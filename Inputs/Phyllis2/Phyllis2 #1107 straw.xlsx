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07 straw" sheetId="1" r:id="rId1"/>
  </sheets>
  <definedNames>
    <definedName name="w" localSheetId="0">IF(ISBLANK('Phyllis2 #1107 straw'!$C$17),#N/A,'Phyllis2 #1107 straw'!$C$17/100)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<sst xmlns="http://schemas.openxmlformats.org/spreadsheetml/2006/main" count="52" uniqueCount="52">
  <si>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</si>
  <si>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https://phyllis.nl/Biomass/View/1107</t>
  </si>
  <si>
    <t>straw (#1107)</t>
  </si>
  <si>
    <t>ID-number</t>
  </si>
  <si>
    <t>#1107</t>
  </si>
  <si>
    <t>Material</t>
  </si>
  <si>
    <t>straw</t>
  </si>
  <si>
    <t>Classification</t>
  </si>
  <si>
    <t>ECN Phyllis classification &gt; straw (stalk/cob/ear) &gt; others &gt; straw</t>
  </si>
  <si>
    <t>NTA 8003 classification &gt; [200] biomassa uit land- en tuinbouw &gt; [220] stro</t>
  </si>
  <si>
    <t>Submitter organisation</t>
  </si>
  <si>
    <t>ECN (Netherlands)</t>
  </si>
  <si>
    <t>Literature</t>
  </si>
  <si>
    <t>W. L. van de Kamp and D. J. Morgan: The co-firing of pulverised bituminous coals with straw, waste paper and municipal sewage sludge. Combust. Sci. and Tech. 121 pp. 317-332 (1996).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</si>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</sst>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0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32</v>
      </c>
      <c r="C18" s="11">
        <f>IFERROR(8.9*(1-w),"")</f>
        <v/>
      </c>
      <c r="D18" s="11">
        <v>8.9</v>
      </c>
      <c r="E18" s="11">
        <v/>
      </c>
      <c r="F18" s="11"/>
      <c r="G18" s="11"/>
      <c r="I18" s="13"/>
    </row>
    <row r="19" outlineLevel="2">
      <c r="A19" s="10" t="s">
        <v>33</v>
      </c>
      <c r="B19" s="0" t="s">
        <v>32</v>
      </c>
      <c r="C19" s="11">
        <f>IFERROR(66.3*(1-w),"")</f>
        <v/>
      </c>
      <c r="D19" s="11">
        <v>66.3</v>
      </c>
      <c r="E19" s="11">
        <v>72.777167947310645</v>
      </c>
      <c r="F19" s="11"/>
      <c r="G19" s="11"/>
      <c r="I19" s="13"/>
    </row>
    <row r="20" outlineLevel="2">
      <c r="A20" s="10" t="s">
        <v>34</v>
      </c>
      <c r="B20" s="0" t="s">
        <v>32</v>
      </c>
      <c r="C20" s="11">
        <f>IFERROR(24.8*(1-w),"")</f>
        <v/>
      </c>
      <c r="D20" s="11">
        <v>24.799999999999997</v>
      </c>
      <c r="E20" s="11">
        <v>27.222832052689348</v>
      </c>
      <c r="F20" s="11"/>
      <c r="G20" s="11"/>
      <c r="I20" s="13"/>
      <c r="J20" s="0" t="s">
        <v>35</v>
      </c>
    </row>
    <row r="21" outlineLevel="1">
      <c r="A21" s="9" t="s">
        <v>36</v>
      </c>
      <c r="I21" s="13"/>
    </row>
    <row r="22" outlineLevel="2">
      <c r="A22" s="10" t="s">
        <v>37</v>
      </c>
      <c r="B22" s="0" t="s">
        <v>32</v>
      </c>
      <c r="C22" s="11">
        <f>IFERROR(40.1*(1-w),"")</f>
        <v/>
      </c>
      <c r="D22" s="11">
        <v>40.1</v>
      </c>
      <c r="E22" s="11">
        <v>44.017563117453349</v>
      </c>
      <c r="F22" s="11"/>
      <c r="G22" s="11"/>
      <c r="I22" s="13"/>
      <c r="J22" s="0" t="s">
        <v>38</v>
      </c>
    </row>
    <row r="23" outlineLevel="2">
      <c r="A23" s="10" t="s">
        <v>39</v>
      </c>
      <c r="B23" s="0" t="s">
        <v>32</v>
      </c>
      <c r="C23" s="11">
        <f>IFERROR(5.2*(1-w),"")</f>
        <v/>
      </c>
      <c r="D23" s="11">
        <v>5.2</v>
      </c>
      <c r="E23" s="11">
        <v>5.70801317233809</v>
      </c>
      <c r="F23" s="11"/>
      <c r="G23" s="11"/>
      <c r="I23" s="13"/>
      <c r="J23" s="0" t="s">
        <v>38</v>
      </c>
    </row>
    <row r="24" outlineLevel="2">
      <c r="A24" s="10" t="s">
        <v>40</v>
      </c>
      <c r="B24" s="0" t="s">
        <v>32</v>
      </c>
      <c r="C24" s="11">
        <f>IFERROR(40*(1-w),"")</f>
        <v/>
      </c>
      <c r="D24" s="11">
        <v>40</v>
      </c>
      <c r="E24" s="11">
        <v>43.90779363336992</v>
      </c>
      <c r="F24" s="11"/>
      <c r="G24" s="11"/>
      <c r="I24" s="13"/>
      <c r="J24" s="0" t="s">
        <v>38</v>
      </c>
    </row>
    <row r="25" outlineLevel="2">
      <c r="A25" s="10" t="s">
        <v>41</v>
      </c>
      <c r="B25" s="0" t="s">
        <v>32</v>
      </c>
      <c r="C25" s="11">
        <f>IFERROR(0.4*(1-w),"")</f>
        <v/>
      </c>
      <c r="D25" s="11">
        <v>0.4</v>
      </c>
      <c r="E25" s="11">
        <v>0.43907793633369924</v>
      </c>
      <c r="F25" s="11"/>
      <c r="G25" s="11"/>
      <c r="I25" s="13"/>
      <c r="J25" s="0" t="s">
        <v>38</v>
      </c>
    </row>
    <row r="26" outlineLevel="2">
      <c r="A26" s="10" t="s">
        <v>42</v>
      </c>
      <c r="B26" s="0" t="s">
        <v>32</v>
      </c>
      <c r="C26" s="11">
        <f>IFERROR(0.16*(1-w),"")</f>
        <v/>
      </c>
      <c r="D26" s="11">
        <v>0.16</v>
      </c>
      <c r="E26" s="11">
        <v>0.17563117453347968</v>
      </c>
      <c r="F26" s="11"/>
      <c r="G26" s="11"/>
      <c r="I26" s="13"/>
      <c r="J26" s="0" t="s">
        <v>38</v>
      </c>
    </row>
    <row r="27" outlineLevel="2">
      <c r="A27" s="10" t="s">
        <v>43</v>
      </c>
      <c r="B27" s="0" t="s">
        <v>32</v>
      </c>
      <c r="C27" s="11">
        <f>IFERROR(95.04*(1-w)+w*100,"")</f>
        <v/>
      </c>
      <c r="D27" s="11">
        <v>95.04000000000002</v>
      </c>
      <c r="E27" s="11">
        <v>94.55543358946214</v>
      </c>
      <c r="F27" s="11"/>
      <c r="G27" s="11"/>
      <c r="I27" s="13"/>
      <c r="J27" s="0" t="s">
        <v>35</v>
      </c>
    </row>
    <row r="28" outlineLevel="1">
      <c r="A28" s="9" t="s">
        <v>44</v>
      </c>
      <c r="I28" s="13"/>
    </row>
    <row r="29" outlineLevel="2">
      <c r="A29" s="10" t="s">
        <v>45</v>
      </c>
      <c r="B29" s="0" t="s">
        <v>46</v>
      </c>
      <c r="C29" s="12">
        <f>IFERROR(2800*(1-w),"")</f>
        <v/>
      </c>
      <c r="D29" s="12">
        <v>2800</v>
      </c>
      <c r="E29" s="12">
        <v>3073.5455543358944</v>
      </c>
      <c r="F29" s="12"/>
      <c r="G29" s="12"/>
      <c r="I29" s="13"/>
      <c r="J29" s="0" t="s">
        <v>38</v>
      </c>
    </row>
    <row r="30" outlineLevel="1">
      <c r="A30" s="9" t="s">
        <v>47</v>
      </c>
      <c r="I30" s="13"/>
    </row>
    <row r="31" outlineLevel="2">
      <c r="A31" s="10" t="s">
        <v>48</v>
      </c>
      <c r="B31" s="0" t="s">
        <v>49</v>
      </c>
      <c r="C31" s="11">
        <f>IFERROR(14.9*(1-w)-w*2.443,"")</f>
        <v/>
      </c>
      <c r="D31" s="11">
        <v>14.9</v>
      </c>
      <c r="E31" s="11">
        <v>16.355653128430298</v>
      </c>
      <c r="F31" s="11"/>
      <c r="G31" s="11"/>
      <c r="I31" s="13"/>
    </row>
    <row r="32" outlineLevel="2">
      <c r="A32" s="10" t="s">
        <v>50</v>
      </c>
      <c r="B32" s="0" t="s">
        <v>49</v>
      </c>
      <c r="C32" s="11">
        <f>IFERROR(16.03473*(1-w),"")</f>
        <v/>
      </c>
      <c r="D32" s="11">
        <v>16.03473</v>
      </c>
      <c r="E32" s="11">
        <v>17.601240395170141</v>
      </c>
      <c r="F32" s="11"/>
      <c r="G32" s="11"/>
      <c r="I32" s="13"/>
    </row>
    <row r="33" outlineLevel="2">
      <c r="A33" s="10" t="s">
        <v>51</v>
      </c>
      <c r="B33" s="0" t="s">
        <v>49</v>
      </c>
      <c r="C33" s="11">
        <f>IFERROR(15.58742513*(1-w),"")</f>
        <v/>
      </c>
      <c r="D33" s="11">
        <v>15.58742513</v>
      </c>
      <c r="E33" s="11">
        <v>17.110236147091108</v>
      </c>
      <c r="F33" s="11"/>
      <c r="G33" s="11"/>
      <c r="I33" s="13"/>
      <c r="J33" s="0" t="s">
        <v>35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https://phyllis.nl/Biomass/View/1107</dc:description>
  <dcterms:created xsi:type="dcterms:W3CDTF">2026-03-17T06:07:45Z</dcterms:created>
  <dc:title>Phyllis2 #1107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