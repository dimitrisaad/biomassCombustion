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09 almond shells" sheetId="1" r:id="rId1"/>
  </sheets>
  <definedNames>
    <definedName name="w" localSheetId="0">IF(ISBLANK('Phyllis2 #1109 almond shells'!$C$17),#N/A,'Phyllis2 #1109 almond shells'!$C$17/100)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<sst xmlns="http://schemas.openxmlformats.org/spreadsheetml/2006/main" count="53" uniqueCount="53">
  <si>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</si>
  <si>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https://phyllis.nl/Biomass/View/1109</t>
  </si>
  <si>
    <t>almond shells (#1109)</t>
  </si>
  <si>
    <t>ID-number</t>
  </si>
  <si>
    <t>#1109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</si>
  <si>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</si>
  <si>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</si>
  <si>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</si>
  <si>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</si>
  <si>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</si>
  <si>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Submitter organisation</t>
  </si>
  <si>
    <t>ECN (Netherlands)</t>
  </si>
  <si>
    <t>Literature</t>
  </si>
  <si>
    <t>S. Rapagnà and A. Latif: Steam gasification of almond shells in a fluidised bed reactor: The influence of temperature and particle size on product yield and distribution. Biomass and Bioenergy 12 (4) pp. 281-288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</si>
  <si>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</si>
  <si>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</si>
  <si>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</si>
  <si>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</si>
  <si>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</si>
  <si>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</si>
  <si>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</si>
  <si>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</si>
  <si>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</si>
  <si>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</si>
  <si>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</si>
  <si>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</si>
  <si>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</si>
  <si>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</si>
  <si>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</si>
  <si>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</si>
  <si>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</si>
  <si>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</si>
  <si>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</si>
  <si>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</si>
  <si>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</si>
  <si>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</si>
  <si>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</si>
  <si>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</si>
  <si>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</si>
  <si>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</si>
  <si>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</si>
  <si>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</si>
  <si>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</si>
  <si>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</si>
  <si>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</si>
  <si>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</si>
  <si>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</si>
  <si>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</si>
  <si>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Unknown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</si>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</sst>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4"/>
    </row>
    <row r="16" outlineLevel="1">
      <c r="A16" s="9" t="s">
        <v>28</v>
      </c>
      <c r="I16" s="14"/>
    </row>
    <row r="17" outlineLevel="2">
      <c r="A17" s="10" t="s">
        <v>29</v>
      </c>
      <c r="B17" s="0" t="s">
        <v>30</v>
      </c>
      <c r="C17" s="11">
        <v>8.84</v>
      </c>
      <c r="D17" s="11"/>
      <c r="E17" s="11"/>
      <c r="F17" s="11"/>
      <c r="G17" s="11"/>
      <c r="I17" s="14"/>
    </row>
    <row r="18" outlineLevel="2">
      <c r="A18" s="10" t="s">
        <v>31</v>
      </c>
      <c r="B18" s="0" t="s">
        <v>30</v>
      </c>
      <c r="C18" s="11">
        <f>IFERROR(1.17*(1-w),"")</f>
        <v>1.0665719999999999</v>
      </c>
      <c r="D18" s="11">
        <v>1.17</v>
      </c>
      <c r="E18" s="11">
        <v/>
      </c>
      <c r="F18" s="11"/>
      <c r="G18" s="11"/>
      <c r="I18" s="14"/>
    </row>
    <row r="19" outlineLevel="2">
      <c r="A19" s="10" t="s">
        <v>32</v>
      </c>
      <c r="B19" s="0" t="s">
        <v>30</v>
      </c>
      <c r="C19" s="11">
        <f>IFERROR(79.48*(1-w),"")</f>
        <v>72.453968</v>
      </c>
      <c r="D19" s="11">
        <v>79.48</v>
      </c>
      <c r="E19" s="11">
        <v>80.420924820398668</v>
      </c>
      <c r="F19" s="11"/>
      <c r="G19" s="11"/>
      <c r="I19" s="14"/>
    </row>
    <row r="20" outlineLevel="2">
      <c r="A20" s="10" t="s">
        <v>33</v>
      </c>
      <c r="B20" s="0" t="s">
        <v>30</v>
      </c>
      <c r="C20" s="11">
        <f>IFERROR(19.35*(1-w),"")</f>
        <v>17.639459999999993</v>
      </c>
      <c r="D20" s="11">
        <v>19.349999999999994</v>
      </c>
      <c r="E20" s="11">
        <v>19.579075179601332</v>
      </c>
      <c r="F20" s="11"/>
      <c r="G20" s="11"/>
      <c r="I20" s="14"/>
      <c r="J20" s="0" t="s">
        <v>34</v>
      </c>
    </row>
    <row r="21" outlineLevel="1">
      <c r="A21" s="9" t="s">
        <v>35</v>
      </c>
      <c r="I21" s="14"/>
    </row>
    <row r="22" outlineLevel="2">
      <c r="A22" s="10" t="s">
        <v>36</v>
      </c>
      <c r="B22" s="0" t="s">
        <v>30</v>
      </c>
      <c r="C22" s="11">
        <f>IFERROR(49.7*(1-w),"")</f>
        <v>45.30652</v>
      </c>
      <c r="D22" s="11">
        <v>49.7</v>
      </c>
      <c r="E22" s="11">
        <v>50.288373975513515</v>
      </c>
      <c r="F22" s="11"/>
      <c r="G22" s="11"/>
      <c r="I22" s="14"/>
      <c r="J22" s="0" t="s">
        <v>37</v>
      </c>
    </row>
    <row r="23" outlineLevel="2">
      <c r="A23" s="10" t="s">
        <v>38</v>
      </c>
      <c r="B23" s="0" t="s">
        <v>30</v>
      </c>
      <c r="C23" s="11">
        <f>IFERROR(6.01*(1-w),"")</f>
        <v>5.4787159999999995</v>
      </c>
      <c r="D23" s="11">
        <v>6.01</v>
      </c>
      <c r="E23" s="11">
        <v>6.081149448548012</v>
      </c>
      <c r="F23" s="11"/>
      <c r="G23" s="11"/>
      <c r="I23" s="14"/>
      <c r="J23" s="0" t="s">
        <v>37</v>
      </c>
    </row>
    <row r="24" outlineLevel="2">
      <c r="A24" s="10" t="s">
        <v>39</v>
      </c>
      <c r="B24" s="0" t="s">
        <v>30</v>
      </c>
      <c r="C24" s="11">
        <f>IFERROR(42.49*(1-w),"")</f>
        <v>38.733884</v>
      </c>
      <c r="D24" s="11">
        <v>42.49</v>
      </c>
      <c r="E24" s="11">
        <v>42.993018314277045</v>
      </c>
      <c r="F24" s="11"/>
      <c r="G24" s="11"/>
      <c r="I24" s="14"/>
      <c r="J24" s="0" t="s">
        <v>37</v>
      </c>
    </row>
    <row r="25" outlineLevel="2">
      <c r="A25" s="10" t="s">
        <v>40</v>
      </c>
      <c r="B25" s="0" t="s">
        <v>30</v>
      </c>
      <c r="C25" s="11">
        <f>IFERROR(99.37*(1-w)+w*100,"")</f>
        <v>99.425692</v>
      </c>
      <c r="D25" s="11">
        <v>99.37</v>
      </c>
      <c r="E25" s="11">
        <v>99.362541738338564</v>
      </c>
      <c r="F25" s="11"/>
      <c r="G25" s="11"/>
      <c r="I25" s="14"/>
      <c r="J25" s="0" t="s">
        <v>34</v>
      </c>
    </row>
    <row r="26" outlineLevel="1">
      <c r="A26" s="9" t="s">
        <v>41</v>
      </c>
      <c r="I26" s="14"/>
    </row>
    <row r="27" outlineLevel="2">
      <c r="A27" s="10" t="s">
        <v>42</v>
      </c>
      <c r="B27" s="0" t="s">
        <v>43</v>
      </c>
      <c r="C27" s="11">
        <f>IFERROR(19.7764284417*(1-w),"")</f>
        <v>18.028192167453724</v>
      </c>
      <c r="D27" s="11">
        <v>19.776428441700006</v>
      </c>
      <c r="E27" s="11">
        <v>20.010551898917338</v>
      </c>
      <c r="F27" s="11"/>
      <c r="G27" s="11"/>
      <c r="I27" s="14"/>
      <c r="J27" s="0" t="s">
        <v>34</v>
      </c>
    </row>
    <row r="28" outlineLevel="1">
      <c r="A28" s="9" t="s">
        <v>44</v>
      </c>
      <c r="I28" s="14"/>
    </row>
    <row r="29" outlineLevel="2">
      <c r="A29" s="12" t="s">
        <v>45</v>
      </c>
      <c r="I29" s="14"/>
    </row>
    <row r="30" outlineLevel="3">
      <c r="A30" s="13" t="s">
        <v>46</v>
      </c>
      <c r="B30" s="0" t="s">
        <v>47</v>
      </c>
      <c r="C30" s="11">
        <v>31.7</v>
      </c>
      <c r="D30" s="11"/>
      <c r="E30" s="11"/>
      <c r="F30" s="11"/>
      <c r="G30" s="11"/>
      <c r="I30" s="14"/>
      <c r="J30" s="0" t="s">
        <v>48</v>
      </c>
    </row>
    <row r="31" outlineLevel="3">
      <c r="A31" s="13" t="s">
        <v>49</v>
      </c>
      <c r="B31" s="0" t="s">
        <v>47</v>
      </c>
      <c r="C31" s="11">
        <v>30.6</v>
      </c>
      <c r="D31" s="11"/>
      <c r="E31" s="11"/>
      <c r="F31" s="11"/>
      <c r="G31" s="11"/>
      <c r="I31" s="14"/>
      <c r="J31" s="0" t="s">
        <v>48</v>
      </c>
    </row>
    <row r="32" outlineLevel="3">
      <c r="A32" s="13" t="s">
        <v>50</v>
      </c>
      <c r="B32" s="0" t="s">
        <v>47</v>
      </c>
      <c r="C32" s="11">
        <v>38.2</v>
      </c>
      <c r="D32" s="11"/>
      <c r="E32" s="11"/>
      <c r="F32" s="11"/>
      <c r="G32" s="11"/>
      <c r="I32" s="14"/>
      <c r="J32" s="0" t="s">
        <v>48</v>
      </c>
    </row>
    <row r="33" outlineLevel="2">
      <c r="A33" s="12" t="s">
        <v>51</v>
      </c>
      <c r="I33" s="14"/>
    </row>
    <row r="34" outlineLevel="3">
      <c r="A34" s="13" t="s">
        <v>52</v>
      </c>
      <c r="B34" s="0" t="s">
        <v>47</v>
      </c>
      <c r="C34" s="11">
        <v>101.67</v>
      </c>
      <c r="D34" s="11"/>
      <c r="E34" s="11"/>
      <c r="F34" s="11"/>
      <c r="G34" s="11"/>
      <c r="I34" s="14"/>
      <c r="J34" s="0" t="s">
        <v>34</v>
      </c>
    </row>
    <row r="35">
      <c r="I35" s="14"/>
    </row>
    <row r="36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0:E30"/>
    <mergeCell ref="C31:E31"/>
    <mergeCell ref="C32:E32"/>
    <mergeCell ref="C34:E34"/>
  </mergeCells>
  <dataValidations count="1">
    <dataValidation type="decimal" sqref="C17" errorStyle="stop" promptTitle="Enter moisture content" errorTitle="Invalid moisture content" prompt="Value should be between 0 and 100.&#10;Original value: 8.8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https://phyllis.nl/Biomass/View/1109</dc:description>
  <dcterms:created xsi:type="dcterms:W3CDTF">2026-03-17T05:38:47Z</dcterms:created>
  <dc:title>Phyllis2 #1109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