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111 banagrass" sheetId="1" r:id="rId1"/>
  </sheets>
  <definedNames>
    <definedName name="w" localSheetId="0">IF(ISBLANK('Phyllis2 #1111 banagrass'!$C$18),#N/A,'Phyllis2 #1111 banagrass'!$C$18/100)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<sst xmlns="http://schemas.openxmlformats.org/spreadsheetml/2006/main" count="67" uniqueCount="67">
  <si>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</si>
  <si>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https://phyllis.nl/Biomass/View/1111</t>
  </si>
  <si>
    <t>banagrass (#1111)</t>
  </si>
  <si>
    <t>ID-number</t>
  </si>
  <si>
    <t>#1111</t>
  </si>
  <si>
    <t>Material</t>
  </si>
  <si>
    <t>banagrass</t>
  </si>
  <si>
    <t>Classification</t>
  </si>
  <si>
    <t>ECN Phyllis classification &gt; grass/plant &gt; other grass &gt; banagrass</t>
  </si>
  <si>
    <t>NTA 8003 classification &gt; [200] biomassa uit land- en tuinbouw &gt; [210] gras &gt; [219] overig gras</t>
  </si>
  <si>
    <t>Submitter organisation</t>
  </si>
  <si>
    <t>ECN (Netherlands)</t>
  </si>
  <si>
    <t>Remarks</t>
  </si>
  <si>
    <t>forage chopped, unpressed</t>
  </si>
  <si>
    <t>Literature</t>
  </si>
  <si>
    <t>S. Q. Turn, C. M. Kinoshita and D. M. Ishimura: Removal of inorganic constituents of biomass feedstocks by mechanical dewatering and leaching. Biomass and Bioenergy 12 pp. 241-251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</si>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</sst>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.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4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11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12</v>
      </c>
      <c r="L14" s="8"/>
    </row>
    <row r="15" s="1" customFormat="1">
      <c r="A15" s="8"/>
      <c r="B15" s="8"/>
      <c r="C15" s="8" t="s">
        <v>25</v>
      </c>
      <c r="D15" s="8" t="s">
        <v>26</v>
      </c>
      <c r="E15" s="8" t="s">
        <v>27</v>
      </c>
      <c r="F15" s="8"/>
      <c r="G15" s="8"/>
      <c r="H15" s="8"/>
      <c r="I15" s="8"/>
      <c r="J15" s="8"/>
      <c r="K15" s="8"/>
      <c r="L15" s="8"/>
    </row>
    <row r="16">
      <c r="A16" s="5" t="s">
        <v>28</v>
      </c>
      <c r="I16" s="13"/>
    </row>
    <row r="17" outlineLevel="1">
      <c r="A17" s="9" t="s">
        <v>29</v>
      </c>
      <c r="I17" s="13"/>
    </row>
    <row r="18" outlineLevel="2">
      <c r="A18" s="10" t="s">
        <v>30</v>
      </c>
      <c r="B18" s="0" t="s">
        <v>31</v>
      </c>
      <c r="C18" s="11">
        <v>65.6</v>
      </c>
      <c r="D18" s="11"/>
      <c r="E18" s="11"/>
      <c r="F18" s="11"/>
      <c r="G18" s="11"/>
      <c r="I18" s="13"/>
    </row>
    <row r="19" outlineLevel="2">
      <c r="A19" s="10" t="s">
        <v>32</v>
      </c>
      <c r="B19" s="0" t="s">
        <v>31</v>
      </c>
      <c r="C19" s="11">
        <f>IFERROR(3.94*(1-w),"")</f>
        <v>1.3553600000000003</v>
      </c>
      <c r="D19" s="11">
        <v>3.94</v>
      </c>
      <c r="E19" s="11">
        <v/>
      </c>
      <c r="F19" s="11"/>
      <c r="G19" s="11"/>
      <c r="I19" s="13"/>
    </row>
    <row r="20" outlineLevel="2">
      <c r="A20" s="10" t="s">
        <v>33</v>
      </c>
      <c r="B20" s="0" t="s">
        <v>31</v>
      </c>
      <c r="C20" s="11">
        <f>IFERROR(80.06*(1-w),"")</f>
        <v>27.540640000000007</v>
      </c>
      <c r="D20" s="11">
        <v>80.06</v>
      </c>
      <c r="E20" s="11">
        <v>83.343743493649811</v>
      </c>
      <c r="F20" s="11"/>
      <c r="G20" s="11"/>
      <c r="I20" s="13"/>
    </row>
    <row r="21" outlineLevel="2">
      <c r="A21" s="10" t="s">
        <v>34</v>
      </c>
      <c r="B21" s="0" t="s">
        <v>31</v>
      </c>
      <c r="C21" s="11">
        <f>IFERROR(16*(1-w),"")</f>
        <v>5.5040000000000013</v>
      </c>
      <c r="D21" s="11">
        <v>16</v>
      </c>
      <c r="E21" s="11">
        <v>16.656256506350196</v>
      </c>
      <c r="F21" s="11"/>
      <c r="G21" s="11"/>
      <c r="I21" s="13"/>
      <c r="J21" s="0" t="s">
        <v>35</v>
      </c>
    </row>
    <row r="22" outlineLevel="1">
      <c r="A22" s="9" t="s">
        <v>36</v>
      </c>
      <c r="I22" s="13"/>
    </row>
    <row r="23" outlineLevel="2">
      <c r="A23" s="10" t="s">
        <v>37</v>
      </c>
      <c r="B23" s="0" t="s">
        <v>31</v>
      </c>
      <c r="C23" s="11">
        <f>IFERROR(47.98*(1-w),"")</f>
        <v>16.50512</v>
      </c>
      <c r="D23" s="11">
        <v>47.98</v>
      </c>
      <c r="E23" s="11">
        <v>49.947949198417653</v>
      </c>
      <c r="F23" s="11"/>
      <c r="G23" s="11"/>
      <c r="I23" s="13"/>
      <c r="J23" s="0" t="s">
        <v>38</v>
      </c>
    </row>
    <row r="24" outlineLevel="2">
      <c r="A24" s="10" t="s">
        <v>39</v>
      </c>
      <c r="B24" s="0" t="s">
        <v>31</v>
      </c>
      <c r="C24" s="11">
        <f>IFERROR(5.5*(1-w),"")</f>
        <v>1.8920000000000003</v>
      </c>
      <c r="D24" s="11">
        <v>5.5</v>
      </c>
      <c r="E24" s="11">
        <v>5.72558817405788</v>
      </c>
      <c r="F24" s="11"/>
      <c r="G24" s="11"/>
      <c r="I24" s="13"/>
      <c r="J24" s="0" t="s">
        <v>38</v>
      </c>
    </row>
    <row r="25" outlineLevel="2">
      <c r="A25" s="10" t="s">
        <v>40</v>
      </c>
      <c r="B25" s="0" t="s">
        <v>31</v>
      </c>
      <c r="C25" s="11">
        <f>IFERROR(41.3*(1-w),"")</f>
        <v>14.207200000000002</v>
      </c>
      <c r="D25" s="11">
        <v>41.3</v>
      </c>
      <c r="E25" s="11">
        <v>42.993962107016443</v>
      </c>
      <c r="F25" s="11"/>
      <c r="G25" s="11"/>
      <c r="I25" s="13"/>
      <c r="J25" s="0" t="s">
        <v>35</v>
      </c>
    </row>
    <row r="26" outlineLevel="2">
      <c r="A26" s="10" t="s">
        <v>41</v>
      </c>
      <c r="B26" s="0" t="s">
        <v>31</v>
      </c>
      <c r="C26" s="11">
        <f>IFERROR(0.6*(1-w),"")</f>
        <v>0.20640000000000006</v>
      </c>
      <c r="D26" s="11">
        <v>0.6</v>
      </c>
      <c r="E26" s="11">
        <v>0.62460961898813239</v>
      </c>
      <c r="F26" s="11"/>
      <c r="G26" s="11"/>
      <c r="I26" s="13"/>
      <c r="J26" s="0" t="s">
        <v>38</v>
      </c>
    </row>
    <row r="27" outlineLevel="2">
      <c r="A27" s="10" t="s">
        <v>42</v>
      </c>
      <c r="B27" s="0" t="s">
        <v>31</v>
      </c>
      <c r="C27" s="11">
        <f>IFERROR(0.1*(1-w),"")</f>
        <v>0.034400000000000007</v>
      </c>
      <c r="D27" s="11">
        <v>0.1</v>
      </c>
      <c r="E27" s="11">
        <v>0.10410160316468874</v>
      </c>
      <c r="F27" s="11"/>
      <c r="G27" s="11"/>
      <c r="I27" s="13"/>
      <c r="J27" s="0" t="s">
        <v>38</v>
      </c>
    </row>
    <row r="28" outlineLevel="2">
      <c r="A28" s="10" t="s">
        <v>43</v>
      </c>
      <c r="B28" s="0" t="s">
        <v>31</v>
      </c>
      <c r="C28" s="11">
        <f>IFERROR(100*(1-w)+w*100,"")</f>
        <v>100</v>
      </c>
      <c r="D28" s="11">
        <v>99.999999999999986</v>
      </c>
      <c r="E28" s="11">
        <v>99.999999999999986</v>
      </c>
      <c r="F28" s="11"/>
      <c r="G28" s="11"/>
      <c r="I28" s="13"/>
      <c r="J28" s="0" t="s">
        <v>35</v>
      </c>
    </row>
    <row r="29" outlineLevel="1">
      <c r="A29" s="9" t="s">
        <v>44</v>
      </c>
      <c r="I29" s="13"/>
    </row>
    <row r="30" outlineLevel="2">
      <c r="A30" s="10" t="s">
        <v>45</v>
      </c>
      <c r="B30" s="0" t="s">
        <v>46</v>
      </c>
      <c r="C30" s="12">
        <f>IFERROR(5800*(1-w),"")</f>
        <v>1995.2000000000005</v>
      </c>
      <c r="D30" s="12">
        <v>5800</v>
      </c>
      <c r="E30" s="12">
        <v>6037.8929835519466</v>
      </c>
      <c r="F30" s="12"/>
      <c r="G30" s="12"/>
      <c r="I30" s="13"/>
      <c r="J30" s="0" t="s">
        <v>38</v>
      </c>
    </row>
    <row r="31" outlineLevel="1">
      <c r="A31" s="9" t="s">
        <v>47</v>
      </c>
      <c r="I31" s="13"/>
    </row>
    <row r="32" outlineLevel="2">
      <c r="A32" s="10" t="s">
        <v>48</v>
      </c>
      <c r="B32" s="0" t="s">
        <v>49</v>
      </c>
      <c r="C32" s="11">
        <f>IFERROR(16.99981*(1-w)-w*2.443,"")</f>
        <v>4.2453266400000018</v>
      </c>
      <c r="D32" s="11">
        <v>16.99981</v>
      </c>
      <c r="E32" s="11">
        <v>17.697074744951074</v>
      </c>
      <c r="F32" s="11"/>
      <c r="G32" s="11"/>
      <c r="I32" s="13"/>
    </row>
    <row r="33" outlineLevel="2">
      <c r="A33" s="10" t="s">
        <v>50</v>
      </c>
      <c r="B33" s="0" t="s">
        <v>49</v>
      </c>
      <c r="C33" s="11">
        <f>IFERROR(18.2*(1-w),"")</f>
        <v>6.2608000000000015</v>
      </c>
      <c r="D33" s="11">
        <v>18.2</v>
      </c>
      <c r="E33" s="11">
        <v>18.94649177597335</v>
      </c>
      <c r="F33" s="11"/>
      <c r="G33" s="11"/>
      <c r="I33" s="13"/>
    </row>
    <row r="34" outlineLevel="2">
      <c r="A34" s="10" t="s">
        <v>51</v>
      </c>
      <c r="B34" s="0" t="s">
        <v>49</v>
      </c>
      <c r="C34" s="11">
        <f>IFERROR(18.5531331108*(1-w),"")</f>
        <v>6.3822777901152019</v>
      </c>
      <c r="D34" s="11">
        <v>18.5531331108</v>
      </c>
      <c r="E34" s="11">
        <v>19.314109005621489</v>
      </c>
      <c r="F34" s="11"/>
      <c r="G34" s="11"/>
      <c r="I34" s="13"/>
      <c r="J34" s="0" t="s">
        <v>35</v>
      </c>
    </row>
    <row r="35">
      <c r="A35" s="5" t="s">
        <v>52</v>
      </c>
      <c r="I35" s="13"/>
    </row>
    <row r="36" outlineLevel="1">
      <c r="A36" s="9" t="s">
        <v>53</v>
      </c>
      <c r="I36" s="13"/>
    </row>
    <row r="37" outlineLevel="2">
      <c r="A37" s="10" t="s">
        <v>54</v>
      </c>
      <c r="B37" s="0" t="s">
        <v>55</v>
      </c>
      <c r="C37" s="11">
        <v>1.05</v>
      </c>
      <c r="D37" s="11"/>
      <c r="E37" s="11"/>
      <c r="F37" s="11"/>
      <c r="G37" s="11"/>
      <c r="I37" s="13"/>
    </row>
    <row r="38" outlineLevel="2">
      <c r="A38" s="10" t="s">
        <v>56</v>
      </c>
      <c r="B38" s="0" t="s">
        <v>55</v>
      </c>
      <c r="C38" s="11">
        <v>2.55</v>
      </c>
      <c r="D38" s="11"/>
      <c r="E38" s="11"/>
      <c r="F38" s="11"/>
      <c r="G38" s="11"/>
      <c r="I38" s="13"/>
    </row>
    <row r="39" outlineLevel="2">
      <c r="A39" s="10" t="s">
        <v>57</v>
      </c>
      <c r="B39" s="0" t="s">
        <v>55</v>
      </c>
      <c r="C39" s="11">
        <v>8.54</v>
      </c>
      <c r="D39" s="11"/>
      <c r="E39" s="11"/>
      <c r="F39" s="11"/>
      <c r="G39" s="11"/>
      <c r="I39" s="13"/>
    </row>
    <row r="40" outlineLevel="2">
      <c r="A40" s="10" t="s">
        <v>58</v>
      </c>
      <c r="B40" s="0" t="s">
        <v>55</v>
      </c>
      <c r="C40" s="11">
        <v>4</v>
      </c>
      <c r="D40" s="11"/>
      <c r="E40" s="11"/>
      <c r="F40" s="11"/>
      <c r="G40" s="11"/>
      <c r="I40" s="13"/>
    </row>
    <row r="41" outlineLevel="2">
      <c r="A41" s="10" t="s">
        <v>59</v>
      </c>
      <c r="B41" s="0" t="s">
        <v>55</v>
      </c>
      <c r="C41" s="11">
        <v>33.99</v>
      </c>
      <c r="D41" s="11"/>
      <c r="E41" s="11"/>
      <c r="F41" s="11"/>
      <c r="G41" s="11"/>
      <c r="I41" s="13"/>
    </row>
    <row r="42" outlineLevel="2">
      <c r="A42" s="10" t="s">
        <v>60</v>
      </c>
      <c r="B42" s="0" t="s">
        <v>55</v>
      </c>
      <c r="C42" s="11">
        <v>0.78</v>
      </c>
      <c r="D42" s="11"/>
      <c r="E42" s="11"/>
      <c r="F42" s="11"/>
      <c r="G42" s="11"/>
      <c r="I42" s="13"/>
    </row>
    <row r="43" outlineLevel="2">
      <c r="A43" s="10" t="s">
        <v>61</v>
      </c>
      <c r="B43" s="0" t="s">
        <v>55</v>
      </c>
      <c r="C43" s="11">
        <v>0.74</v>
      </c>
      <c r="D43" s="11"/>
      <c r="E43" s="11"/>
      <c r="F43" s="11"/>
      <c r="G43" s="11"/>
      <c r="I43" s="13"/>
    </row>
    <row r="44" outlineLevel="2">
      <c r="A44" s="10" t="s">
        <v>62</v>
      </c>
      <c r="B44" s="0" t="s">
        <v>55</v>
      </c>
      <c r="C44" s="11">
        <v>6</v>
      </c>
      <c r="D44" s="11"/>
      <c r="E44" s="11"/>
      <c r="F44" s="11"/>
      <c r="G44" s="11"/>
      <c r="I44" s="13"/>
    </row>
    <row r="45" outlineLevel="2">
      <c r="A45" s="10" t="s">
        <v>63</v>
      </c>
      <c r="B45" s="0" t="s">
        <v>55</v>
      </c>
      <c r="C45" s="11">
        <v>5.36</v>
      </c>
      <c r="D45" s="11"/>
      <c r="E45" s="11"/>
      <c r="F45" s="11"/>
      <c r="G45" s="11"/>
      <c r="I45" s="13"/>
    </row>
    <row r="46" outlineLevel="2">
      <c r="A46" s="10" t="s">
        <v>64</v>
      </c>
      <c r="B46" s="0" t="s">
        <v>55</v>
      </c>
      <c r="C46" s="11">
        <v>1</v>
      </c>
      <c r="D46" s="11"/>
      <c r="E46" s="11"/>
      <c r="F46" s="11"/>
      <c r="G46" s="11"/>
      <c r="I46" s="13"/>
    </row>
    <row r="47" outlineLevel="2">
      <c r="A47" s="10" t="s">
        <v>65</v>
      </c>
      <c r="B47" s="0" t="s">
        <v>55</v>
      </c>
      <c r="C47" s="11">
        <v>31.8</v>
      </c>
      <c r="D47" s="11"/>
      <c r="E47" s="11"/>
      <c r="F47" s="11"/>
      <c r="G47" s="11"/>
      <c r="I47" s="13"/>
    </row>
    <row r="48" outlineLevel="2">
      <c r="A48" s="10" t="s">
        <v>66</v>
      </c>
      <c r="B48" s="0" t="s">
        <v>55</v>
      </c>
      <c r="C48" s="11">
        <v>0.05</v>
      </c>
      <c r="D48" s="11"/>
      <c r="E48" s="11"/>
      <c r="F48" s="11"/>
      <c r="G48" s="11"/>
      <c r="I48" s="13"/>
    </row>
    <row r="49">
      <c r="I49" s="13"/>
    </row>
    <row r="50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dataValidations count="1">
    <dataValidation type="decimal" sqref="C18" errorStyle="stop" promptTitle="Enter moisture content" errorTitle="Invalid moisture content" prompt="Value should be between 0 and 100.&#10;Original value: 65.6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https://phyllis.nl/Biomass/View/1111</dc:description>
  <dcterms:created xsi:type="dcterms:W3CDTF">2026-03-04T04:17:09Z</dcterms:created>
  <dc:title>Phyllis2 #1111 banagrass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