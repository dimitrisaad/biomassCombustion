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15 banagrass" sheetId="1" r:id="rId1"/>
  </sheets>
  <definedNames>
    <definedName name="w" localSheetId="0">IF(ISBLANK('Phyllis2 #1115 banagrass'!$C$18),#N/A,'Phyllis2 #1115 banagrass'!$C$18/100)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<sst xmlns="http://schemas.openxmlformats.org/spreadsheetml/2006/main" count="67" uniqueCount="67">
  <si>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</si>
  <si>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https://phyllis.nl/Biomass/View/1115</t>
  </si>
  <si>
    <t>banagrass (#1115)</t>
  </si>
  <si>
    <t>ID-number</t>
  </si>
  <si>
    <t>#1115</t>
  </si>
  <si>
    <t>Material</t>
  </si>
  <si>
    <t>banagrass</t>
  </si>
  <si>
    <t>Classification</t>
  </si>
  <si>
    <t>ECN Phyllis classification &gt; grass/plant &gt; other grass &gt; banagrass</t>
  </si>
  <si>
    <t>NTA 8003 classification &gt; [200] biomassa uit land- en tuinbouw &gt; [210] gras &gt; [219] overig gras</t>
  </si>
  <si>
    <t>Submitter organisation</t>
  </si>
  <si>
    <t>ECN (Netherlands)</t>
  </si>
  <si>
    <t>Remarks</t>
  </si>
  <si>
    <t>forage chopped, pressed-rinsed-pressed</t>
  </si>
  <si>
    <t>Literature</t>
  </si>
  <si>
    <t>S. Q. Turn, C. M. Kinoshita and D. M. Ishimura: Removal of inorganic constituents of biomass feedstocks by mechanical dewatering and leaching. Biomass and Bioenergy 12 pp. 241-251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</si>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</sst>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44.7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IFERROR(2.69*(1-w),"")</f>
        <v>1.4875699999999998</v>
      </c>
      <c r="D19" s="11">
        <v>2.69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IFERROR(82.99*(1-w),"")</f>
        <v>45.893469999999994</v>
      </c>
      <c r="D20" s="11">
        <v>82.99</v>
      </c>
      <c r="E20" s="11">
        <v>85.2841434590484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IFERROR(14.32*(1-w),"")</f>
        <v>7.9189600000000029</v>
      </c>
      <c r="D21" s="11">
        <v>14.320000000000007</v>
      </c>
      <c r="E21" s="11">
        <v>14.715856540951606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IFERROR(48.84*(1-w),"")</f>
        <v>27.008519999999997</v>
      </c>
      <c r="D23" s="11">
        <v>48.84</v>
      </c>
      <c r="E23" s="11">
        <v>50.190114068441069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IFERROR(5.6*(1-w),"")</f>
        <v>3.0967999999999996</v>
      </c>
      <c r="D24" s="11">
        <v>5.6</v>
      </c>
      <c r="E24" s="11">
        <v>5.7548042338916865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IFERROR(42.32*(1-w),"")</f>
        <v>23.402959999999997</v>
      </c>
      <c r="D25" s="11">
        <v>42.32</v>
      </c>
      <c r="E25" s="11">
        <v>43.489877710410035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IFERROR(0.41*(1-w),"")</f>
        <v>0.22672999999999996</v>
      </c>
      <c r="D26" s="11">
        <v>0.41</v>
      </c>
      <c r="E26" s="11">
        <v>0.421333881409927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IFERROR(0.05*(1-w),"")</f>
        <v>0.027649999999999997</v>
      </c>
      <c r="D27" s="11">
        <v>0.05</v>
      </c>
      <c r="E27" s="11">
        <v>0.051382180659747208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IFERROR(900*(1-w),"")</f>
        <v>497.69999999999993</v>
      </c>
      <c r="D30" s="12">
        <v>900</v>
      </c>
      <c r="E30" s="12">
        <v>924.87925187544965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IFERROR(17.47798*(1-w)-w*2.443,"")</f>
        <v>8.5733019399999968</v>
      </c>
      <c r="D32" s="11">
        <v>17.47798</v>
      </c>
      <c r="E32" s="11">
        <v>17.961134518548967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IFERROR(18.7*(1-w),"")</f>
        <v>10.341099999999999</v>
      </c>
      <c r="D33" s="11">
        <v>18.7</v>
      </c>
      <c r="E33" s="11">
        <v>19.216935566745452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IFERROR(18.8934201233*(1-w),"")</f>
        <v>10.4480613281849</v>
      </c>
      <c r="D34" s="11">
        <v>18.893420123300004</v>
      </c>
      <c r="E34" s="11">
        <v>19.415702521118082</v>
      </c>
      <c r="F34" s="11"/>
      <c r="G34" s="11"/>
      <c r="I34" s="13"/>
      <c r="J34" s="0" t="s">
        <v>35</v>
      </c>
    </row>
    <row r="35">
      <c r="A35" s="5" t="s">
        <v>52</v>
      </c>
      <c r="I35" s="13"/>
    </row>
    <row r="36" outlineLevel="1">
      <c r="A36" s="9" t="s">
        <v>53</v>
      </c>
      <c r="I36" s="13"/>
    </row>
    <row r="37" outlineLevel="2">
      <c r="A37" s="10" t="s">
        <v>54</v>
      </c>
      <c r="B37" s="0" t="s">
        <v>55</v>
      </c>
      <c r="C37" s="11">
        <v>1.96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55</v>
      </c>
      <c r="C38" s="11">
        <v>1.2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55</v>
      </c>
      <c r="C39" s="11">
        <v>0.95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55</v>
      </c>
      <c r="C40" s="11">
        <v>5.69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55</v>
      </c>
      <c r="C41" s="11">
        <v>51.6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55</v>
      </c>
      <c r="C42" s="11">
        <v>0.91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55</v>
      </c>
      <c r="C43" s="11">
        <v>0.86</v>
      </c>
      <c r="D43" s="11"/>
      <c r="E43" s="11"/>
      <c r="F43" s="11"/>
      <c r="G43" s="11"/>
      <c r="I43" s="13"/>
    </row>
    <row r="44" outlineLevel="2">
      <c r="A44" s="10" t="s">
        <v>62</v>
      </c>
      <c r="B44" s="0" t="s">
        <v>55</v>
      </c>
      <c r="C44" s="11">
        <v>9.84</v>
      </c>
      <c r="D44" s="11"/>
      <c r="E44" s="11"/>
      <c r="F44" s="11"/>
      <c r="G44" s="11"/>
      <c r="I44" s="13"/>
    </row>
    <row r="45" outlineLevel="2">
      <c r="A45" s="10" t="s">
        <v>63</v>
      </c>
      <c r="B45" s="0" t="s">
        <v>55</v>
      </c>
      <c r="C45" s="11">
        <v>3.98</v>
      </c>
      <c r="D45" s="11"/>
      <c r="E45" s="11"/>
      <c r="F45" s="11"/>
      <c r="G45" s="11"/>
      <c r="I45" s="13"/>
    </row>
    <row r="46" outlineLevel="2">
      <c r="A46" s="10" t="s">
        <v>64</v>
      </c>
      <c r="B46" s="0" t="s">
        <v>55</v>
      </c>
      <c r="C46" s="11">
        <v>0.85</v>
      </c>
      <c r="D46" s="11"/>
      <c r="E46" s="11"/>
      <c r="F46" s="11"/>
      <c r="G46" s="11"/>
      <c r="I46" s="13"/>
    </row>
    <row r="47" outlineLevel="2">
      <c r="A47" s="10" t="s">
        <v>65</v>
      </c>
      <c r="B47" s="0" t="s">
        <v>55</v>
      </c>
      <c r="C47" s="11">
        <v>15.55</v>
      </c>
      <c r="D47" s="11"/>
      <c r="E47" s="11"/>
      <c r="F47" s="11"/>
      <c r="G47" s="11"/>
      <c r="I47" s="13"/>
    </row>
    <row r="48" outlineLevel="2">
      <c r="A48" s="10" t="s">
        <v>66</v>
      </c>
      <c r="B48" s="0" t="s">
        <v>55</v>
      </c>
      <c r="C48" s="11">
        <v>0.19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8" errorStyle="stop" promptTitle="Enter moisture content" errorTitle="Invalid moisture content" prompt="Value should be between 0 and 100.&#10;Original value: 44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https://phyllis.nl/Biomass/View/1115</dc:description>
  <dcterms:created xsi:type="dcterms:W3CDTF">2026-03-04T04:17:18Z</dcterms:created>
  <dc:title>Phyllis2 #1115 banagrass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