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16 banagrass" sheetId="1" r:id="rId1"/>
  </sheets>
  <definedNames>
    <definedName name="w" localSheetId="0">IF(ISBLANK('Phyllis2 #1116 banagrass'!$C$18),#N/A,'Phyllis2 #1116 banagrass'!$C$18/100)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<sst xmlns="http://schemas.openxmlformats.org/spreadsheetml/2006/main" count="67" uniqueCount="67">
  <si>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</si>
  <si>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https://phyllis.nl/Biomass/View/1116</t>
  </si>
  <si>
    <t>banagrass (#1116)</t>
  </si>
  <si>
    <t>ID-number</t>
  </si>
  <si>
    <t>#1116</t>
  </si>
  <si>
    <t>Material</t>
  </si>
  <si>
    <t>banagrass</t>
  </si>
  <si>
    <t>Classification</t>
  </si>
  <si>
    <t>ECN Phyllis classification &gt; grass/plant &gt; other grass &gt; banagrass</t>
  </si>
  <si>
    <t>NTA 8003 classification &gt; [200] biomassa uit land- en tuinbouw &gt; [210] gras &gt; [219] overig gras</t>
  </si>
  <si>
    <t>Submitter organisation</t>
  </si>
  <si>
    <t>ECN (Netherlands)</t>
  </si>
  <si>
    <t>Remarks</t>
  </si>
  <si>
    <t>Jeffco cut, pressed-rinsed-pressed</t>
  </si>
  <si>
    <t>Literature</t>
  </si>
  <si>
    <t>S. Q. Turn, C. M. Kinoshita and D. M. Ishimura: Removal of inorganic constituents of biomass feedstocks by mechanical dewatering and leaching. Biomass and Bioenergy 12 pp. 241-251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</si>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</sst>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49.3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IFERROR(2.66*(1-w),"")</f>
        <v>1.3486200000000002</v>
      </c>
      <c r="D19" s="11">
        <v>2.66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IFERROR(84.32*(1-w),"")</f>
        <v>42.75024</v>
      </c>
      <c r="D20" s="11">
        <v>84.32</v>
      </c>
      <c r="E20" s="11">
        <v>86.624203821656039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IFERROR(13.02*(1-w),"")</f>
        <v>6.6011400000000053</v>
      </c>
      <c r="D21" s="11">
        <v>13.02000000000001</v>
      </c>
      <c r="E21" s="11">
        <v>13.375796178343959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IFERROR(48.79*(1-w),"")</f>
        <v>24.73653</v>
      </c>
      <c r="D23" s="11">
        <v>48.79</v>
      </c>
      <c r="E23" s="11">
        <v>50.123279227450169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IFERROR(5.57*(1-w),"")</f>
        <v>2.82399</v>
      </c>
      <c r="D24" s="11">
        <v>5.57</v>
      </c>
      <c r="E24" s="11">
        <v>5.72221080747894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IFERROR(42.6*(1-w),"")</f>
        <v>21.598200000000002</v>
      </c>
      <c r="D25" s="11">
        <v>42.6</v>
      </c>
      <c r="E25" s="11">
        <v>43.764125744812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IFERROR(0.31*(1-w),"")</f>
        <v>0.15717</v>
      </c>
      <c r="D26" s="11">
        <v>0.31</v>
      </c>
      <c r="E26" s="11">
        <v>0.31847133757961782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IFERROR(0.05*(1-w),"")</f>
        <v>0.02535</v>
      </c>
      <c r="D27" s="11">
        <v>0.05</v>
      </c>
      <c r="E27" s="11">
        <v>0.051366344770906104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IFERROR(200*(1-w),"")</f>
        <v>101.4</v>
      </c>
      <c r="D30" s="12">
        <v>200</v>
      </c>
      <c r="E30" s="12">
        <v>205.46537908362441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IFERROR(17.38453*(1-w)-w*2.443,"")</f>
        <v>7.6095577100000007</v>
      </c>
      <c r="D32" s="11">
        <v>17.38453</v>
      </c>
      <c r="E32" s="11">
        <v>17.859595233203205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IFERROR(18.6*(1-w),"")</f>
        <v>9.430200000000001</v>
      </c>
      <c r="D33" s="11">
        <v>18.6</v>
      </c>
      <c r="E33" s="11">
        <v>19.108280254777071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IFERROR(18.8155445668*(1-w),"")</f>
        <v>9.5394810953676039</v>
      </c>
      <c r="D34" s="11">
        <v>18.815544566800007</v>
      </c>
      <c r="E34" s="11">
        <v>19.329714985411965</v>
      </c>
      <c r="F34" s="11"/>
      <c r="G34" s="11"/>
      <c r="I34" s="13"/>
      <c r="J34" s="0" t="s">
        <v>35</v>
      </c>
    </row>
    <row r="35">
      <c r="A35" s="5" t="s">
        <v>52</v>
      </c>
      <c r="I35" s="13"/>
    </row>
    <row r="36" outlineLevel="1">
      <c r="A36" s="9" t="s">
        <v>53</v>
      </c>
      <c r="I36" s="13"/>
    </row>
    <row r="37" outlineLevel="2">
      <c r="A37" s="10" t="s">
        <v>54</v>
      </c>
      <c r="B37" s="0" t="s">
        <v>55</v>
      </c>
      <c r="C37" s="11">
        <v>4.47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55</v>
      </c>
      <c r="C38" s="11">
        <v>0.57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55</v>
      </c>
      <c r="C39" s="11">
        <v>0.1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55</v>
      </c>
      <c r="C40" s="11">
        <v>2.37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55</v>
      </c>
      <c r="C41" s="11">
        <v>63.02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55</v>
      </c>
      <c r="C42" s="11">
        <v>0.95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55</v>
      </c>
      <c r="C43" s="11">
        <v>0.73</v>
      </c>
      <c r="D43" s="11"/>
      <c r="E43" s="11"/>
      <c r="F43" s="11"/>
      <c r="G43" s="11"/>
      <c r="I43" s="13"/>
    </row>
    <row r="44" outlineLevel="2">
      <c r="A44" s="10" t="s">
        <v>62</v>
      </c>
      <c r="B44" s="0" t="s">
        <v>55</v>
      </c>
      <c r="C44" s="11">
        <v>11.2</v>
      </c>
      <c r="D44" s="11"/>
      <c r="E44" s="11"/>
      <c r="F44" s="11"/>
      <c r="G44" s="11"/>
      <c r="I44" s="13"/>
    </row>
    <row r="45" outlineLevel="2">
      <c r="A45" s="10" t="s">
        <v>63</v>
      </c>
      <c r="B45" s="0" t="s">
        <v>55</v>
      </c>
      <c r="C45" s="11">
        <v>2.44</v>
      </c>
      <c r="D45" s="11"/>
      <c r="E45" s="11"/>
      <c r="F45" s="11"/>
      <c r="G45" s="11"/>
      <c r="I45" s="13"/>
    </row>
    <row r="46" outlineLevel="2">
      <c r="A46" s="10" t="s">
        <v>64</v>
      </c>
      <c r="B46" s="0" t="s">
        <v>55</v>
      </c>
      <c r="C46" s="11">
        <v>0.56</v>
      </c>
      <c r="D46" s="11"/>
      <c r="E46" s="11"/>
      <c r="F46" s="11"/>
      <c r="G46" s="11"/>
      <c r="I46" s="13"/>
    </row>
    <row r="47" outlineLevel="2">
      <c r="A47" s="10" t="s">
        <v>65</v>
      </c>
      <c r="B47" s="0" t="s">
        <v>55</v>
      </c>
      <c r="C47" s="11">
        <v>7.39</v>
      </c>
      <c r="D47" s="11"/>
      <c r="E47" s="11"/>
      <c r="F47" s="11"/>
      <c r="G47" s="11"/>
      <c r="I47" s="13"/>
    </row>
    <row r="48" outlineLevel="2">
      <c r="A48" s="10" t="s">
        <v>66</v>
      </c>
      <c r="B48" s="0" t="s">
        <v>55</v>
      </c>
      <c r="C48" s="11">
        <v>0.05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8" errorStyle="stop" promptTitle="Enter moisture content" errorTitle="Invalid moisture content" prompt="Value should be between 0 and 100.&#10;Original value: 49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https://phyllis.nl/Biomass/View/1116</dc:description>
  <dcterms:created xsi:type="dcterms:W3CDTF">2026-03-04T04:17:21Z</dcterms:created>
  <dc:title>Phyllis2 #1116 banagrass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