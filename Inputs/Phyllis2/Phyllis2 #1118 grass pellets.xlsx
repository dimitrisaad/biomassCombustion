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18 grass pellets" sheetId="1" r:id="rId1"/>
  </sheets>
  <definedNames>
    <definedName name="w" localSheetId="0">IF(ISBLANK('Phyllis2 #1118 grass pellets'!$C$19),#N/A,'Phyllis2 #1118 grass pellets'!$C$19/100)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<sst xmlns="http://schemas.openxmlformats.org/spreadsheetml/2006/main" count="52" uniqueCount="52">
  <si>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</si>
  <si>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https://phyllis.nl/Biomass/View/1118</t>
  </si>
  <si>
    <t>grass pellets (#1118)</t>
  </si>
  <si>
    <t>ID-number</t>
  </si>
  <si>
    <t>#1118</t>
  </si>
  <si>
    <t>Material</t>
  </si>
  <si>
    <t>grass pellets</t>
  </si>
  <si>
    <t>Classification</t>
  </si>
  <si>
    <t>ECN Phyllis classification &gt; grass/plant &gt; verge grass &gt; grass pellets</t>
  </si>
  <si>
    <t>NTA 8003 classification &gt; [200] biomassa uit land- en tuinbouw &gt; [210] gras &gt; [213] bermgras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</si>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</sst>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6.86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IFERROR(15.56*(1-w),"")</f>
        <v>14.492584</v>
      </c>
      <c r="D20" s="11">
        <v>15.56</v>
      </c>
      <c r="E20" s="11">
        <v/>
      </c>
      <c r="F20" s="11"/>
      <c r="G20" s="11"/>
      <c r="I20" s="13"/>
    </row>
    <row r="21" outlineLevel="1">
      <c r="A21" s="9" t="s">
        <v>35</v>
      </c>
      <c r="I21" s="13"/>
    </row>
    <row r="22" outlineLevel="2">
      <c r="A22" s="10" t="s">
        <v>36</v>
      </c>
      <c r="B22" s="0" t="s">
        <v>33</v>
      </c>
      <c r="C22" s="11">
        <f>IFERROR(41.66*(1-w),"")</f>
        <v>38.802124</v>
      </c>
      <c r="D22" s="11">
        <v>41.66</v>
      </c>
      <c r="E22" s="11">
        <v>49.336807200378964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33</v>
      </c>
      <c r="C23" s="11">
        <f>IFERROR(4.84*(1-w),"")</f>
        <v>4.507976</v>
      </c>
      <c r="D23" s="11">
        <v>4.84</v>
      </c>
      <c r="E23" s="11">
        <v>5.7318806252960677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33</v>
      </c>
      <c r="C24" s="11">
        <f>IFERROR(35.09*(1-w),"")</f>
        <v>32.682826000000006</v>
      </c>
      <c r="D24" s="11">
        <v>35.09</v>
      </c>
      <c r="E24" s="11">
        <v>41.556134533396495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IFERROR(2.07*(1-w),"")</f>
        <v>1.9279979999999999</v>
      </c>
      <c r="D25" s="11">
        <v>2.07</v>
      </c>
      <c r="E25" s="11">
        <v>2.4514448128848882</v>
      </c>
      <c r="F25" s="11"/>
      <c r="G25" s="11"/>
      <c r="I25" s="13"/>
      <c r="J25" s="0" t="s">
        <v>37</v>
      </c>
    </row>
    <row r="26" outlineLevel="2">
      <c r="A26" s="10" t="s">
        <v>42</v>
      </c>
      <c r="B26" s="0" t="s">
        <v>33</v>
      </c>
      <c r="C26" s="11">
        <f>IFERROR(0.11*(1-w),"")</f>
        <v>0.102454</v>
      </c>
      <c r="D26" s="11">
        <v>0.11</v>
      </c>
      <c r="E26" s="11">
        <v>0.13027001421127427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99.999999999999986</v>
      </c>
      <c r="F27" s="11"/>
      <c r="G27" s="11"/>
      <c r="I27" s="13"/>
      <c r="J27" s="0" t="s">
        <v>40</v>
      </c>
    </row>
    <row r="28" outlineLevel="1">
      <c r="A28" s="9" t="s">
        <v>44</v>
      </c>
      <c r="I28" s="13"/>
    </row>
    <row r="29" outlineLevel="2">
      <c r="A29" s="10" t="s">
        <v>45</v>
      </c>
      <c r="B29" s="0" t="s">
        <v>46</v>
      </c>
      <c r="C29" s="12">
        <f>IFERROR(6700*(1-w),"")</f>
        <v>6240.38</v>
      </c>
      <c r="D29" s="12">
        <v>6700</v>
      </c>
      <c r="E29" s="12">
        <v>7934.6281383230689</v>
      </c>
      <c r="F29" s="12"/>
      <c r="G29" s="12"/>
      <c r="I29" s="13"/>
      <c r="J29" s="0" t="s">
        <v>37</v>
      </c>
    </row>
    <row r="30" outlineLevel="1">
      <c r="A30" s="9" t="s">
        <v>47</v>
      </c>
      <c r="I30" s="13"/>
    </row>
    <row r="31" outlineLevel="2">
      <c r="A31" s="10" t="s">
        <v>48</v>
      </c>
      <c r="B31" s="0" t="s">
        <v>49</v>
      </c>
      <c r="C31" s="11">
        <f>IFERROR(15.61383*(1-w)-w*2.443,"")</f>
        <v>14.375131462</v>
      </c>
      <c r="D31" s="11">
        <v>15.61383</v>
      </c>
      <c r="E31" s="11">
        <v>18.491035054476551</v>
      </c>
      <c r="F31" s="11"/>
      <c r="G31" s="11"/>
      <c r="I31" s="13"/>
    </row>
    <row r="32" outlineLevel="2">
      <c r="A32" s="10" t="s">
        <v>50</v>
      </c>
      <c r="B32" s="0" t="s">
        <v>49</v>
      </c>
      <c r="C32" s="11">
        <f>IFERROR(16.67*(1-w),"")</f>
        <v>15.526438000000002</v>
      </c>
      <c r="D32" s="11">
        <v>16.67</v>
      </c>
      <c r="E32" s="11">
        <v>19.741828517290386</v>
      </c>
      <c r="F32" s="11"/>
      <c r="G32" s="11"/>
      <c r="I32" s="13"/>
    </row>
    <row r="33" outlineLevel="2">
      <c r="A33" s="10" t="s">
        <v>51</v>
      </c>
      <c r="B33" s="0" t="s">
        <v>49</v>
      </c>
      <c r="C33" s="11">
        <f>IFERROR(15.9518613808*(1-w),"")</f>
        <v>14.85756369007712</v>
      </c>
      <c r="D33" s="11">
        <v>15.9518613808</v>
      </c>
      <c r="E33" s="11">
        <v>18.891356443391757</v>
      </c>
      <c r="F33" s="11"/>
      <c r="G33" s="11"/>
      <c r="I33" s="13"/>
      <c r="J33" s="0" t="s">
        <v>40</v>
      </c>
    </row>
    <row r="34">
      <c r="I34" s="13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6.8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https://phyllis.nl/Biomass/View/1118</dc:description>
  <dcterms:created xsi:type="dcterms:W3CDTF">2026-03-04T04:45:51Z</dcterms:created>
  <dc:title>Phyllis2 #1118 grass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