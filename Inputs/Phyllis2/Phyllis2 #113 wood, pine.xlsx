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13 wood, pine" sheetId="1" r:id="rId1"/>
  </sheets>
  <definedNames>
    <definedName name="w" localSheetId="0">IF(ISBLANK('Phyllis2 #113 wood, pine'!$C$18),#N/A,'Phyllis2 #113 wood, pine'!$C$18/100)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<sst xmlns="http://schemas.openxmlformats.org/spreadsheetml/2006/main" count="52" uniqueCount="52">
  <si>
    <t>Phyllis2</t>
  </si>
  <si>
    <t>https://phyllis.nl/Biomass/View/113</t>
  </si>
  <si>
    <t>wood, pine (#113)</t>
  </si>
  <si>
    <t>ID-number</t>
  </si>
  <si>
    <t>#113</t>
  </si>
  <si>
    <t>Material</t>
  </si>
  <si>
    <t>wood, pine</t>
  </si>
  <si>
    <t>Classification</t>
  </si>
  <si>
    <t>ECN Phyllis classification &gt; untreated wood &gt; fir/pine/spruce &gt; wood, pine</t>
  </si>
  <si>
    <t>NTA 8003 classification &gt; [100] hout &gt; [110] vers hout &gt; [130] naaldhout &gt; [131] naaldhout</t>
  </si>
  <si>
    <t>Ash type</t>
  </si>
  <si>
    <t>industrial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</si>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</sst>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13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3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25</v>
      </c>
      <c r="L14" s="8"/>
    </row>
    <row r="15" s="1" customFormat="1">
      <c r="A15" s="8"/>
      <c r="B15" s="8"/>
      <c r="C15" s="8" t="s">
        <v>26</v>
      </c>
      <c r="D15" s="8" t="s">
        <v>27</v>
      </c>
      <c r="E15" s="8" t="s">
        <v>28</v>
      </c>
      <c r="F15" s="8"/>
      <c r="G15" s="8"/>
      <c r="H15" s="8"/>
      <c r="I15" s="8"/>
      <c r="J15" s="8"/>
      <c r="K15" s="8"/>
      <c r="L15" s="8"/>
    </row>
    <row r="16">
      <c r="A16" s="5" t="s">
        <v>29</v>
      </c>
      <c r="I16" s="13"/>
    </row>
    <row r="17" outlineLevel="1">
      <c r="A17" s="9" t="s">
        <v>30</v>
      </c>
      <c r="I17" s="13"/>
    </row>
    <row r="18" outlineLevel="2">
      <c r="A18" s="10" t="s">
        <v>31</v>
      </c>
      <c r="B18" s="0" t="s">
        <v>32</v>
      </c>
      <c r="C18" s="11">
        <v/>
      </c>
      <c r="D18" s="11"/>
      <c r="E18" s="11"/>
      <c r="F18" s="11"/>
      <c r="G18" s="11"/>
      <c r="I18" s="13"/>
    </row>
    <row r="19" outlineLevel="2">
      <c r="A19" s="10" t="s">
        <v>33</v>
      </c>
      <c r="B19" s="0" t="s">
        <v>34</v>
      </c>
      <c r="C19" s="11">
        <f>IFERROR(0.41*(1-w),"")</f>
        <v/>
      </c>
      <c r="D19" s="11">
        <v>0.41</v>
      </c>
      <c r="E19" s="11">
        <v/>
      </c>
      <c r="F19" s="11"/>
      <c r="G19" s="11"/>
      <c r="I19" s="13"/>
    </row>
    <row r="20" outlineLevel="1">
      <c r="A20" s="9" t="s">
        <v>35</v>
      </c>
      <c r="I20" s="13"/>
    </row>
    <row r="21" outlineLevel="2">
      <c r="A21" s="10" t="s">
        <v>36</v>
      </c>
      <c r="B21" s="0" t="s">
        <v>34</v>
      </c>
      <c r="C21" s="11">
        <f>IFERROR(51.22558*(1-w),"")</f>
        <v/>
      </c>
      <c r="D21" s="11">
        <v>51.22558</v>
      </c>
      <c r="E21" s="11">
        <v>51.436469525052715</v>
      </c>
      <c r="F21" s="11"/>
      <c r="G21" s="11"/>
      <c r="I21" s="13"/>
      <c r="J21" s="0" t="s">
        <v>37</v>
      </c>
    </row>
    <row r="22" outlineLevel="2">
      <c r="A22" s="10" t="s">
        <v>38</v>
      </c>
      <c r="B22" s="0" t="s">
        <v>34</v>
      </c>
      <c r="C22" s="11">
        <f>IFERROR(6.370634*(1-w),"")</f>
        <v/>
      </c>
      <c r="D22" s="11">
        <v>6.370634</v>
      </c>
      <c r="E22" s="11">
        <v>6.3968611306356058</v>
      </c>
      <c r="F22" s="11"/>
      <c r="G22" s="11"/>
      <c r="I22" s="13"/>
      <c r="J22" s="0" t="s">
        <v>37</v>
      </c>
    </row>
    <row r="23" outlineLevel="2">
      <c r="A23" s="10" t="s">
        <v>39</v>
      </c>
      <c r="B23" s="0" t="s">
        <v>34</v>
      </c>
      <c r="C23" s="11">
        <f>IFERROR(40.71492*(1-w),"")</f>
        <v/>
      </c>
      <c r="D23" s="11">
        <v>40.71492</v>
      </c>
      <c r="E23" s="11">
        <v>40.882538407470626</v>
      </c>
      <c r="F23" s="11"/>
      <c r="G23" s="11"/>
      <c r="I23" s="13"/>
      <c r="J23" s="0" t="s">
        <v>40</v>
      </c>
    </row>
    <row r="24" outlineLevel="2">
      <c r="A24" s="10" t="s">
        <v>41</v>
      </c>
      <c r="B24" s="0" t="s">
        <v>34</v>
      </c>
      <c r="C24" s="11">
        <f>IFERROR(0.0473653*(1-w),"")</f>
        <v/>
      </c>
      <c r="D24" s="11">
        <v>0.0473653</v>
      </c>
      <c r="E24" s="11">
        <v>0.047560297218596247</v>
      </c>
      <c r="F24" s="11"/>
      <c r="G24" s="11"/>
      <c r="I24" s="13"/>
      <c r="J24" s="0" t="s">
        <v>37</v>
      </c>
    </row>
    <row r="25" outlineLevel="2">
      <c r="A25" s="10" t="s">
        <v>42</v>
      </c>
      <c r="B25" s="0" t="s">
        <v>34</v>
      </c>
      <c r="C25" s="11">
        <f>IFERROR(0.0473653*(1-w),"")</f>
        <v/>
      </c>
      <c r="D25" s="11">
        <v>0.0473653</v>
      </c>
      <c r="E25" s="11">
        <v>0.047560297218596247</v>
      </c>
      <c r="F25" s="11"/>
      <c r="G25" s="11"/>
      <c r="I25" s="13"/>
      <c r="J25" s="0" t="s">
        <v>37</v>
      </c>
    </row>
    <row r="26" outlineLevel="2">
      <c r="A26" s="10" t="s">
        <v>43</v>
      </c>
      <c r="B26" s="0" t="s">
        <v>34</v>
      </c>
      <c r="C26" s="11">
        <f>IFERROR(99.9999976*(1-w)+w*100,"")</f>
        <v/>
      </c>
      <c r="D26" s="11">
        <v>99.9999976</v>
      </c>
      <c r="E26" s="11">
        <v>99.999997590119492</v>
      </c>
      <c r="F26" s="11"/>
      <c r="G26" s="11"/>
      <c r="I26" s="13"/>
      <c r="J26" s="0" t="s">
        <v>40</v>
      </c>
    </row>
    <row r="27" outlineLevel="1">
      <c r="A27" s="9" t="s">
        <v>44</v>
      </c>
      <c r="I27" s="13"/>
    </row>
    <row r="28" outlineLevel="2">
      <c r="A28" s="10" t="s">
        <v>45</v>
      </c>
      <c r="B28" s="0" t="s">
        <v>46</v>
      </c>
      <c r="C28" s="12">
        <f>IFERROR(11841.33*(1-w),"")</f>
        <v/>
      </c>
      <c r="D28" s="12">
        <v>11841.33</v>
      </c>
      <c r="E28" s="12">
        <v>11890.079325233457</v>
      </c>
      <c r="F28" s="12"/>
      <c r="G28" s="12"/>
      <c r="I28" s="13"/>
      <c r="J28" s="0" t="s">
        <v>37</v>
      </c>
    </row>
    <row r="29" outlineLevel="1">
      <c r="A29" s="9" t="s">
        <v>47</v>
      </c>
      <c r="I29" s="13"/>
    </row>
    <row r="30" outlineLevel="2">
      <c r="A30" s="10" t="s">
        <v>48</v>
      </c>
      <c r="B30" s="0" t="s">
        <v>49</v>
      </c>
      <c r="C30" s="11">
        <f>IFERROR(19.38482*(1-w)-w*2.443,"")</f>
        <v/>
      </c>
      <c r="D30" s="11">
        <v>19.38482</v>
      </c>
      <c r="E30" s="11">
        <v>19.464624962345617</v>
      </c>
      <c r="F30" s="11"/>
      <c r="G30" s="11"/>
      <c r="I30" s="13"/>
    </row>
    <row r="31" outlineLevel="2">
      <c r="A31" s="10" t="s">
        <v>50</v>
      </c>
      <c r="B31" s="0" t="s">
        <v>49</v>
      </c>
      <c r="C31" s="11">
        <f>IFERROR(20.775*(1-w),"")</f>
        <v/>
      </c>
      <c r="D31" s="11">
        <v>20.775</v>
      </c>
      <c r="E31" s="11">
        <v>20.86052816547846</v>
      </c>
      <c r="F31" s="11"/>
      <c r="G31" s="11"/>
      <c r="I31" s="13"/>
    </row>
    <row r="32" outlineLevel="2">
      <c r="A32" s="10" t="s">
        <v>51</v>
      </c>
      <c r="B32" s="0" t="s">
        <v>49</v>
      </c>
      <c r="C32" s="11">
        <f>IFERROR(20.99542867088*(1-w),"")</f>
        <v/>
      </c>
      <c r="D32" s="11">
        <v>20.99542867088</v>
      </c>
      <c r="E32" s="11">
        <v>21.081864314569735</v>
      </c>
      <c r="F32" s="11"/>
      <c r="G32" s="11"/>
      <c r="I32" s="13"/>
      <c r="J32" s="0" t="s">
        <v>40</v>
      </c>
    </row>
    <row r="33">
      <c r="I33" s="13"/>
    </row>
    <row r="34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https://phyllis.nl/Biomass/View/113</dc:description>
  <dcterms:created xsi:type="dcterms:W3CDTF">2026-03-19T04:22:58Z</dcterms:created>
  <dc:title>Phyllis2 #113 wood, pine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