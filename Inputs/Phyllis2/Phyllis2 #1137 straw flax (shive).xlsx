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37 straw flax (shiv" sheetId="1" r:id="rId1"/>
  </sheets>
  <definedNames>
    <definedName name="w" localSheetId="0">IF(ISBLANK('Phyllis2 #1137 straw flax (shiv'!$C$20),#N/A,'Phyllis2 #1137 straw flax (shiv'!$C$20/100)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<sst xmlns="http://schemas.openxmlformats.org/spreadsheetml/2006/main" count="65" uniqueCount="65">
  <si>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</si>
  <si>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https://phyllis.nl/Biomass/View/1137</t>
  </si>
  <si>
    <t>straw flax (shive) (#1137)</t>
  </si>
  <si>
    <t>ID-number</t>
  </si>
  <si>
    <t>#1137</t>
  </si>
  <si>
    <t>Material</t>
  </si>
  <si>
    <t>straw flax (shive)</t>
  </si>
  <si>
    <t>Classification</t>
  </si>
  <si>
    <t>ECN Phyllis classification &gt; grass/plant &gt; flax</t>
  </si>
  <si>
    <t>NTA 8003 classification &gt; [200] biomassa uit land- en tuinbouw &gt; [240] gewassen &gt; [249] overige gewassen</t>
  </si>
  <si>
    <t>Ash type</t>
  </si>
  <si>
    <t>DIN 51719</t>
  </si>
  <si>
    <t>Submitter organisation</t>
  </si>
  <si>
    <t>ECN (Netherlands)</t>
  </si>
  <si>
    <t>Submission date</t>
  </si>
  <si>
    <t>Remarks</t>
  </si>
  <si>
    <t>Agricultural Biomasses</t>
  </si>
  <si>
    <t>Literature</t>
  </si>
  <si>
    <t>C. Wilén, A. Moilanen and E. Kurkula: Biomass feedstock analyses, VTT publications 282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</si>
  <si>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</si>
  <si>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</si>
  <si>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</si>
  <si>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</si>
  <si>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</si>
  <si>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</si>
  <si>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</si>
  <si>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</si>
  <si>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</si>
  <si>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</si>
  <si>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</si>
  <si>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</si>
  <si>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</si>
  <si>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</si>
  <si>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</si>
  <si>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</si>
  <si>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</si>
  <si>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</si>
  <si>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</si>
  <si>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</si>
  <si>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</si>
  <si>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</si>
  <si>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</si>
  <si>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</si>
  <si>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</si>
  <si>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</si>
  <si>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</si>
  <si>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</si>
  <si>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</si>
  <si>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</si>
  <si>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</si>
  <si>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</si>
  <si>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</si>
  <si>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</si>
  <si>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</si>
  <si>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</si>
  <si>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</si>
  <si>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</si>
  <si>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</si>
  <si>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Molybdenium (Mo)</t>
  </si>
  <si>
    <t>Physical Properties</t>
  </si>
  <si>
    <t>Commonly used properties</t>
  </si>
  <si>
    <t>Bulk density (ar)</t>
  </si>
  <si>
    <t>kg/m³ (ar)</t>
  </si>
  <si>
    <t>Bulk density (daf)</t>
  </si>
  <si>
    <t>kg/m³ (daf)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</si>
</sst>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35860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6.6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IFERROR(1.81*(1-w),"")</f>
        <v>1.69054</v>
      </c>
      <c r="D21" s="13">
        <v>1.81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IFERROR(78.6*(1-w),"")</f>
        <v>73.412399999999991</v>
      </c>
      <c r="D22" s="13">
        <v>78.6</v>
      </c>
      <c r="E22" s="13">
        <v>80.048884815154281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IFERROR(19.59*(1-w),"")</f>
        <v>18.297060000000002</v>
      </c>
      <c r="D23" s="13">
        <v>19.590000000000003</v>
      </c>
      <c r="E23" s="13">
        <v>19.951115184845712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IFERROR(50.3*(1-w),"")</f>
        <v>46.980199999999996</v>
      </c>
      <c r="D25" s="13">
        <v>50.3</v>
      </c>
      <c r="E25" s="13">
        <v>51.227212547102553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IFERROR(6.1*(1-w),"")</f>
        <v>5.6973999999999991</v>
      </c>
      <c r="D26" s="13">
        <v>6.1</v>
      </c>
      <c r="E26" s="13">
        <v>6.2124452591913633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IFERROR(41.08*(1-w),"")</f>
        <v>38.368719999999996</v>
      </c>
      <c r="D27" s="13">
        <v>41.08</v>
      </c>
      <c r="E27" s="13">
        <v>41.837254302882165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IFERROR(0.6*(1-w),"")</f>
        <v>0.5603999999999999</v>
      </c>
      <c r="D28" s="13">
        <v>0.6</v>
      </c>
      <c r="E28" s="13">
        <v>0.6110601894286587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IFERROR(0.07*(1-w),"")</f>
        <v>0.065380000000000008</v>
      </c>
      <c r="D29" s="13">
        <v>0.07</v>
      </c>
      <c r="E29" s="13">
        <v>0.071290355433343527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IFERROR(99.9981*(1-w)+w*100,"")</f>
        <v>99.998225399999967</v>
      </c>
      <c r="D30" s="13">
        <v>99.99809999999998</v>
      </c>
      <c r="E30" s="13">
        <v>99.998064976066786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IFERROR(381*(1-w),"")</f>
        <v>355.854</v>
      </c>
      <c r="D32" s="14">
        <v>381</v>
      </c>
      <c r="E32" s="14">
        <v>388.02322028719828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IFERROR(18.85888*(1-w)-w*2.443,"")</f>
        <v>17.452955919999997</v>
      </c>
      <c r="D34" s="13">
        <v>18.85888</v>
      </c>
      <c r="E34" s="13">
        <v>19.206517975353904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IFERROR(20.19*(1-w),"")</f>
        <v>18.85746</v>
      </c>
      <c r="D35" s="13">
        <v>20.19</v>
      </c>
      <c r="E35" s="13">
        <v>20.562175374274368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IFERROR(20.1925102433*(1-w),"")</f>
        <v>18.859804567242197</v>
      </c>
      <c r="D36" s="13">
        <v>20.1925102433</v>
      </c>
      <c r="E36" s="13">
        <v>20.564731890518381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3362</v>
      </c>
      <c r="D38" s="14"/>
      <c r="E38" s="14"/>
      <c r="F38" s="14"/>
      <c r="G38" s="14"/>
      <c r="I38" s="5"/>
      <c r="J38" s="0" t="s">
        <v>41</v>
      </c>
    </row>
    <row r="39" outlineLevel="2">
      <c r="A39" s="12" t="s">
        <v>58</v>
      </c>
      <c r="B39" s="0" t="s">
        <v>57</v>
      </c>
      <c r="C39" s="14">
        <v>87</v>
      </c>
      <c r="D39" s="14"/>
      <c r="E39" s="14"/>
      <c r="F39" s="14"/>
      <c r="G39" s="14"/>
      <c r="I39" s="5"/>
      <c r="J39" s="0" t="s">
        <v>41</v>
      </c>
    </row>
    <row r="40">
      <c r="A40" s="7" t="s">
        <v>59</v>
      </c>
      <c r="I40" s="5"/>
    </row>
    <row r="41" outlineLevel="1">
      <c r="A41" s="11" t="s">
        <v>60</v>
      </c>
      <c r="I41" s="5"/>
    </row>
    <row r="42" outlineLevel="2">
      <c r="A42" s="12" t="s">
        <v>61</v>
      </c>
      <c r="B42" s="0" t="s">
        <v>62</v>
      </c>
      <c r="C42" s="15">
        <v>114</v>
      </c>
      <c r="D42" s="15"/>
      <c r="E42" s="15"/>
      <c r="F42" s="15"/>
      <c r="G42" s="15"/>
      <c r="I42" s="5"/>
    </row>
    <row r="43" outlineLevel="2">
      <c r="A43" s="12" t="s">
        <v>63</v>
      </c>
      <c r="B43" s="0" t="s">
        <v>64</v>
      </c>
      <c r="C43" s="15">
        <v>106</v>
      </c>
      <c r="D43" s="15"/>
      <c r="E43" s="15"/>
      <c r="F43" s="15"/>
      <c r="G43" s="15"/>
      <c r="I43" s="5"/>
    </row>
    <row r="44">
      <c r="I44" s="5"/>
    </row>
    <row r="4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2:E42"/>
    <mergeCell ref="C43:E43"/>
  </mergeCells>
  <dataValidations count="1">
    <dataValidation type="decimal" sqref="C20" errorStyle="stop" promptTitle="Enter moisture content" errorTitle="Invalid moisture content" prompt="Value should be between 0 and 100.&#10;Original value: 6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https://phyllis.nl/Biomass/View/1137</dc:description>
  <dcterms:created xsi:type="dcterms:W3CDTF">2026-03-04T04:03:04Z</dcterms:created>
  <dc:title>Phyllis2 #1137 straw flax (shive)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