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48 water hyacinth" sheetId="1" r:id="rId1"/>
  </sheets>
  <definedNames>
    <definedName name="w" localSheetId="0">IF(ISBLANK('Phyllis2 #1148 water hyacinth'!$C$20),#N/A,'Phyllis2 #1148 water hyacinth'!$C$20/100)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<sst xmlns="http://schemas.openxmlformats.org/spreadsheetml/2006/main" count="63" uniqueCount="63">
  <si>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</si>
  <si>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https://phyllis.nl/Biomass/View/1148</t>
  </si>
  <si>
    <t>water hyacinth (#1148)</t>
  </si>
  <si>
    <t>ID-number</t>
  </si>
  <si>
    <t>#1148</t>
  </si>
  <si>
    <t>Material</t>
  </si>
  <si>
    <t>water hyacinth</t>
  </si>
  <si>
    <t>Classification</t>
  </si>
  <si>
    <t>ECN Phyllis classification &gt; grass/plant &gt; other plants &gt; water hyacinth</t>
  </si>
  <si>
    <t>NTA 8003 classification &gt; [200] biomassa uit land- en tuinbouw</t>
  </si>
  <si>
    <t>Ash type</t>
  </si>
  <si>
    <t>asgehalte bij 550 oC</t>
  </si>
  <si>
    <t>Submitter organisation</t>
  </si>
  <si>
    <t>ECN (Netherlands)</t>
  </si>
  <si>
    <t>Submission date</t>
  </si>
  <si>
    <t>Remarks</t>
  </si>
  <si>
    <t>water hyacinth from Uganda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</si>
  <si>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</si>
  <si>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</si>
  <si>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</si>
  <si>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</si>
  <si>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</si>
  <si>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</si>
  <si>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</si>
  <si>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</si>
  <si>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</si>
  <si>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</si>
  <si>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</si>
  <si>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</si>
  <si>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</si>
  <si>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</si>
  <si>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</si>
  <si>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</si>
  <si>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</si>
  <si>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</si>
  <si>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</si>
  <si>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</si>
  <si>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</si>
  <si>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</si>
  <si>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</si>
  <si>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</si>
  <si>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</si>
  <si>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</si>
  <si>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</si>
  <si>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</si>
  <si>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</si>
  <si>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</si>
  <si>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</si>
  <si>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</si>
  <si>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</si>
  <si>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</si>
  <si>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</si>
  <si>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</si>
  <si>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</si>
  <si>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</si>
  <si>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</si>
  <si>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</si>
  <si>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</si>
  <si>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</si>
  <si>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</si>
  <si>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Sodium (Na)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</si>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</sst>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35865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8.9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IFERROR(22.12*(1-w),"")</f>
        <v>20.151320000000002</v>
      </c>
      <c r="D21" s="13">
        <v>22.12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IFERROR(62*(1-w),"")</f>
        <v>56.482</v>
      </c>
      <c r="D22" s="13">
        <v>62</v>
      </c>
      <c r="E22" s="13">
        <v>79.609655880842325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IFERROR(15.88*(1-w),"")</f>
        <v>14.466679999999997</v>
      </c>
      <c r="D23" s="13">
        <v>15.879999999999995</v>
      </c>
      <c r="E23" s="13">
        <v>20.390344119157675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IFERROR(36.37*(1-w),"")</f>
        <v>33.13307</v>
      </c>
      <c r="D25" s="13">
        <v>36.37</v>
      </c>
      <c r="E25" s="13">
        <v>46.700051361068311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IFERROR(4.77*(1-w),"")</f>
        <v>4.34547</v>
      </c>
      <c r="D26" s="13">
        <v>4.77</v>
      </c>
      <c r="E26" s="13">
        <v>6.1248073959938365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IFERROR(32.61*(1-w),"")</f>
        <v>29.707710000000002</v>
      </c>
      <c r="D27" s="13">
        <v>32.61</v>
      </c>
      <c r="E27" s="13">
        <v>41.87211093990755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IFERROR(1.82*(1-w),"")</f>
        <v>1.65802</v>
      </c>
      <c r="D28" s="13">
        <v>1.82</v>
      </c>
      <c r="E28" s="13">
        <v>2.3369286081150489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IFERROR(0.408*(1-w),"")</f>
        <v>0.37168799999999996</v>
      </c>
      <c r="D29" s="13">
        <v>0.408</v>
      </c>
      <c r="E29" s="13">
        <v>0.5238828967642527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IFERROR(100.0035*(1-w)+w*100,"")</f>
        <v>100.00318850000001</v>
      </c>
      <c r="D30" s="13">
        <v>100.0035</v>
      </c>
      <c r="E30" s="13">
        <v>100.00449409347715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IFERROR(19000*(1-w),"")</f>
        <v>17309</v>
      </c>
      <c r="D32" s="14">
        <v>19000</v>
      </c>
      <c r="E32" s="14">
        <v>24396.507447354907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IFERROR(55*(1-w),"")</f>
        <v>50.105000000000004</v>
      </c>
      <c r="D33" s="14">
        <v>55</v>
      </c>
      <c r="E33" s="14">
        <v>70.621468926553675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IFERROR(13.7711*(1-w)-w*2.443,"")</f>
        <v>12.3280451</v>
      </c>
      <c r="D35" s="13">
        <v>13.7711</v>
      </c>
      <c r="E35" s="13">
        <v>17.682460195172062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IFERROR(14.812*(1-w),"")</f>
        <v>13.493732</v>
      </c>
      <c r="D36" s="13">
        <v>14.812</v>
      </c>
      <c r="E36" s="13">
        <v>19.019003595274782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IFERROR(14.3409248432*(1-w),"")</f>
        <v>13.0645825321552</v>
      </c>
      <c r="D37" s="13">
        <v>14.3409248432</v>
      </c>
      <c r="E37" s="13">
        <v>18.414130512583462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16553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>
        <v>31446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58</v>
      </c>
      <c r="C41" s="14">
        <v>2542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3166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7299</v>
      </c>
      <c r="D43" s="14"/>
      <c r="E43" s="14"/>
      <c r="F43" s="14"/>
      <c r="G43" s="14"/>
      <c r="I43" s="5"/>
      <c r="J43" s="0" t="s">
        <v>41</v>
      </c>
    </row>
    <row r="44">
      <c r="I44" s="5"/>
    </row>
    <row r="4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</mergeCells>
  <dataValidations count="1">
    <dataValidation type="decimal" sqref="C20" errorStyle="stop" promptTitle="Enter moisture content" errorTitle="Invalid moisture content" prompt="Value should be between 0 and 100.&#10;Original value: 8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https://phyllis.nl/Biomass/View/1148</dc:description>
  <dcterms:created xsi:type="dcterms:W3CDTF">2026-03-04T04:31:39Z</dcterms:created>
  <dc:title>Phyllis2 #1148 water hyacinth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