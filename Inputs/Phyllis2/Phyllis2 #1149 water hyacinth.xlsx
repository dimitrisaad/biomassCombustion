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149 water hyacinth" sheetId="1" r:id="rId1"/>
  </sheets>
  <definedNames>
    <definedName name="w" localSheetId="0">IF(ISBLANK('Phyllis2 #1149 water hyacinth'!$C$20),#N/A,'Phyllis2 #1149 water hyacinth'!$C$20/100)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<sst xmlns="http://schemas.openxmlformats.org/spreadsheetml/2006/main" count="63" uniqueCount="63">
  <si>
    <t>Phyllis2</t>
  </si>
  <si>
    <t>https://phyllis.nl/Biomass/View/1149</t>
  </si>
  <si>
    <t>water hyacinth (#1149)</t>
  </si>
  <si>
    <t>ID-number</t>
  </si>
  <si>
    <t>#1149</t>
  </si>
  <si>
    <t>Material</t>
  </si>
  <si>
    <t>water hyacinth</t>
  </si>
  <si>
    <t>Classification</t>
  </si>
  <si>
    <t>ECN Phyllis classification &gt; grass/plant &gt; other plants &gt; water hyacinth</t>
  </si>
  <si>
    <t>NTA 8003 classification &gt; [200] biomassa uit land- en tuinbouw</t>
  </si>
  <si>
    <t>Ash type</t>
  </si>
  <si>
    <t>asgehalte bij 550 oC</t>
  </si>
  <si>
    <t>Submitter organisation</t>
  </si>
  <si>
    <t>ECN (Netherlands)</t>
  </si>
  <si>
    <t>Submission date</t>
  </si>
  <si>
    <t>Remarks</t>
  </si>
  <si>
    <t>water hyacinth from Uganda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</si>
  <si>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</si>
  <si>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</si>
  <si>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</si>
  <si>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</si>
  <si>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</si>
  <si>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</si>
  <si>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</si>
  <si>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</si>
  <si>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</si>
  <si>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</si>
  <si>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</si>
  <si>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</si>
  <si>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</si>
  <si>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</si>
  <si>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</si>
  <si>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</si>
  <si>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</si>
  <si>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</si>
  <si>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</si>
  <si>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</si>
  <si>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</si>
  <si>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</si>
  <si>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</si>
  <si>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</si>
  <si>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</si>
  <si>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</si>
  <si>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</si>
  <si>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</si>
  <si>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</si>
  <si>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</si>
  <si>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</si>
  <si>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</si>
  <si>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</si>
  <si>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</si>
  <si>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</si>
  <si>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</si>
  <si>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</si>
  <si>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</si>
  <si>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</si>
  <si>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</si>
  <si>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Calcium (Ca)</t>
  </si>
  <si>
    <t>mg/kg (dry)</t>
  </si>
  <si>
    <t>Potassium (K)</t>
  </si>
  <si>
    <t>Sodium (Na)</t>
  </si>
  <si>
    <t>Phosphorus (P)</t>
  </si>
  <si>
    <t>Silicon (Si)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</si>
</sst>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14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35865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9.73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IFERROR(21.61*(1-w),"")</f>
        <v>19.507347</v>
      </c>
      <c r="D21" s="13">
        <v>21.61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IFERROR(63.7*(1-w),"")</f>
        <v>57.501990000000006</v>
      </c>
      <c r="D22" s="13">
        <v>63.7</v>
      </c>
      <c r="E22" s="13">
        <v>81.2603648424544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IFERROR(14.69*(1-w),"")</f>
        <v>13.260663</v>
      </c>
      <c r="D23" s="13">
        <v>14.689999999999998</v>
      </c>
      <c r="E23" s="13">
        <v>18.739635157545603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IFERROR(37.41*(1-w),"")</f>
        <v>33.770007</v>
      </c>
      <c r="D25" s="13">
        <v>37.41</v>
      </c>
      <c r="E25" s="13">
        <v>47.722923842326821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IFERROR(4.93*(1-w),"")</f>
        <v>4.450311</v>
      </c>
      <c r="D26" s="13">
        <v>4.93</v>
      </c>
      <c r="E26" s="13">
        <v>6.289067483097333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IFERROR(32.18*(1-w),"")</f>
        <v>29.048886000000003</v>
      </c>
      <c r="D27" s="13">
        <v>32.18</v>
      </c>
      <c r="E27" s="13">
        <v>41.0511544839903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IFERROR(1.94*(1-w),"")</f>
        <v>1.751238</v>
      </c>
      <c r="D28" s="13">
        <v>1.94</v>
      </c>
      <c r="E28" s="13">
        <v>2.4748054598800864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IFERROR(0.395*(1-w),"")</f>
        <v>0.35656650000000006</v>
      </c>
      <c r="D29" s="13">
        <v>0.395</v>
      </c>
      <c r="E29" s="13">
        <v>0.50389080239826511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IFERROR(100.0018*(1-w)+w*100,"")</f>
        <v>100.00162485999999</v>
      </c>
      <c r="D30" s="13">
        <v>100.00179999999999</v>
      </c>
      <c r="E30" s="13">
        <v>100.00229621125142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IFERROR(15300*(1-w),"")</f>
        <v>13811.310000000001</v>
      </c>
      <c r="D32" s="14">
        <v>15300</v>
      </c>
      <c r="E32" s="14">
        <v>19517.795637198622</v>
      </c>
      <c r="F32" s="14"/>
      <c r="G32" s="14"/>
      <c r="I32" s="5"/>
      <c r="J32" s="0" t="s">
        <v>41</v>
      </c>
    </row>
    <row r="33" outlineLevel="2">
      <c r="A33" s="12" t="s">
        <v>50</v>
      </c>
      <c r="B33" s="0" t="s">
        <v>49</v>
      </c>
      <c r="C33" s="14">
        <f>IFERROR(68*(1-w),"")</f>
        <v>61.3836</v>
      </c>
      <c r="D33" s="14">
        <v>68</v>
      </c>
      <c r="E33" s="14">
        <v>86.745758387549429</v>
      </c>
      <c r="F33" s="14"/>
      <c r="G33" s="14"/>
      <c r="I33" s="5"/>
      <c r="J33" s="0" t="s">
        <v>41</v>
      </c>
    </row>
    <row r="34" outlineLevel="1">
      <c r="A34" s="11" t="s">
        <v>51</v>
      </c>
      <c r="I34" s="5"/>
    </row>
    <row r="35" outlineLevel="2">
      <c r="A35" s="12" t="s">
        <v>52</v>
      </c>
      <c r="B35" s="0" t="s">
        <v>53</v>
      </c>
      <c r="C35" s="13">
        <f>IFERROR(14.05519*(1-w)-w*2.443,"")</f>
        <v>12.449916113</v>
      </c>
      <c r="D35" s="13">
        <v>14.05519</v>
      </c>
      <c r="E35" s="13">
        <v>17.929825232810305</v>
      </c>
      <c r="F35" s="13"/>
      <c r="G35" s="13"/>
      <c r="I35" s="5"/>
    </row>
    <row r="36" outlineLevel="2">
      <c r="A36" s="12" t="s">
        <v>54</v>
      </c>
      <c r="B36" s="0" t="s">
        <v>53</v>
      </c>
      <c r="C36" s="13">
        <f>IFERROR(15.131*(1-w),"")</f>
        <v>13.658753700000002</v>
      </c>
      <c r="D36" s="13">
        <v>15.131</v>
      </c>
      <c r="E36" s="13">
        <v>19.302206914147213</v>
      </c>
      <c r="F36" s="13"/>
      <c r="G36" s="13"/>
      <c r="I36" s="5"/>
    </row>
    <row r="37" outlineLevel="2">
      <c r="A37" s="12" t="s">
        <v>55</v>
      </c>
      <c r="B37" s="0" t="s">
        <v>53</v>
      </c>
      <c r="C37" s="13">
        <f>IFERROR(14.9477837913*(1-w),"")</f>
        <v>13.493364428406512</v>
      </c>
      <c r="D37" s="13">
        <v>14.947783791300001</v>
      </c>
      <c r="E37" s="13">
        <v>19.0684829586682</v>
      </c>
      <c r="F37" s="13"/>
      <c r="G37" s="13"/>
      <c r="I37" s="5"/>
      <c r="J37" s="0" t="s">
        <v>38</v>
      </c>
    </row>
    <row r="38" outlineLevel="1">
      <c r="A38" s="11" t="s">
        <v>56</v>
      </c>
      <c r="I38" s="5"/>
    </row>
    <row r="39" outlineLevel="2">
      <c r="A39" s="12" t="s">
        <v>57</v>
      </c>
      <c r="B39" s="0" t="s">
        <v>58</v>
      </c>
      <c r="C39" s="14">
        <v>14567</v>
      </c>
      <c r="D39" s="14"/>
      <c r="E39" s="14"/>
      <c r="F39" s="14"/>
      <c r="G39" s="14"/>
      <c r="I39" s="5"/>
      <c r="J39" s="0" t="s">
        <v>41</v>
      </c>
    </row>
    <row r="40" outlineLevel="2">
      <c r="A40" s="12" t="s">
        <v>59</v>
      </c>
      <c r="B40" s="0" t="s">
        <v>58</v>
      </c>
      <c r="C40" s="14">
        <v>25296</v>
      </c>
      <c r="D40" s="14"/>
      <c r="E40" s="14"/>
      <c r="F40" s="14"/>
      <c r="G40" s="14"/>
      <c r="I40" s="5"/>
      <c r="J40" s="0" t="s">
        <v>41</v>
      </c>
    </row>
    <row r="41" outlineLevel="2">
      <c r="A41" s="12" t="s">
        <v>60</v>
      </c>
      <c r="B41" s="0" t="s">
        <v>58</v>
      </c>
      <c r="C41" s="14">
        <v>2105</v>
      </c>
      <c r="D41" s="14"/>
      <c r="E41" s="14"/>
      <c r="F41" s="14"/>
      <c r="G41" s="14"/>
      <c r="I41" s="5"/>
      <c r="J41" s="0" t="s">
        <v>41</v>
      </c>
    </row>
    <row r="42" outlineLevel="2">
      <c r="A42" s="12" t="s">
        <v>61</v>
      </c>
      <c r="B42" s="0" t="s">
        <v>58</v>
      </c>
      <c r="C42" s="14">
        <v>2986</v>
      </c>
      <c r="D42" s="14"/>
      <c r="E42" s="14"/>
      <c r="F42" s="14"/>
      <c r="G42" s="14"/>
      <c r="I42" s="5"/>
      <c r="J42" s="0" t="s">
        <v>41</v>
      </c>
    </row>
    <row r="43" outlineLevel="2">
      <c r="A43" s="12" t="s">
        <v>62</v>
      </c>
      <c r="B43" s="0" t="s">
        <v>58</v>
      </c>
      <c r="C43" s="14">
        <v>10257</v>
      </c>
      <c r="D43" s="14"/>
      <c r="E43" s="14"/>
      <c r="F43" s="14"/>
      <c r="G43" s="14"/>
      <c r="I43" s="5"/>
      <c r="J43" s="0" t="s">
        <v>41</v>
      </c>
    </row>
    <row r="44">
      <c r="I44" s="5"/>
    </row>
    <row r="45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9:E39"/>
    <mergeCell ref="C40:E40"/>
    <mergeCell ref="C41:E41"/>
    <mergeCell ref="C42:E42"/>
    <mergeCell ref="C43:E43"/>
  </mergeCells>
  <dataValidations count="1">
    <dataValidation type="decimal" sqref="C20" errorStyle="stop" promptTitle="Enter moisture content" errorTitle="Invalid moisture content" prompt="Value should be between 0 and 100.&#10;Original value: 9.7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https://phyllis.nl/Biomass/View/1149</dc:description>
  <dcterms:created xsi:type="dcterms:W3CDTF">2026-03-04T04:31:44Z</dcterms:created>
  <dc:title>Phyllis2 #1149 water hyacinth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