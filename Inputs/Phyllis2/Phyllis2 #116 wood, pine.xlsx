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6 wood, pine" sheetId="1" r:id="rId1"/>
  </sheets>
  <definedNames>
    <definedName name="w" localSheetId="0">IF(ISBLANK('Phyllis2 #116 wood, pine'!$C$18),#N/A,'Phyllis2 #116 wood,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<sst xmlns="http://schemas.openxmlformats.org/spreadsheetml/2006/main" count="51" uniqueCount="51">
  <si>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</si>
  <si>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https://phyllis.nl/Biomass/View/116</t>
  </si>
  <si>
    <t>wood, pine (#116)</t>
  </si>
  <si>
    <t>ID-number</t>
  </si>
  <si>
    <t>#116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</si>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</sst>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IFERROR(0.32*(1-w),"")</f>
        <v/>
      </c>
      <c r="D19" s="11">
        <v>0.32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IFERROR(51.41003*(1-w),"")</f>
        <v/>
      </c>
      <c r="D21" s="11">
        <v>51.41003</v>
      </c>
      <c r="E21" s="11">
        <v>51.5750702247191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IFERROR(6.359882*(1-w),"")</f>
        <v/>
      </c>
      <c r="D22" s="11">
        <v>6.359882</v>
      </c>
      <c r="E22" s="11">
        <v>6.3802989566613162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IFERROR(41.85109*(1-w),"")</f>
        <v/>
      </c>
      <c r="D23" s="11">
        <v>41.85109</v>
      </c>
      <c r="E23" s="11">
        <v>41.985443418940605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IFERROR(0.04719764*(1-w),"")</f>
        <v/>
      </c>
      <c r="D24" s="11">
        <v>0.04719764</v>
      </c>
      <c r="E24" s="11">
        <v>0.047349157303370783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IFERROR(99.99999905*(1-w)+w*100,"")</f>
        <v/>
      </c>
      <c r="D25" s="11">
        <v>99.999999049999985</v>
      </c>
      <c r="E25" s="11">
        <v>99.999999046950236</v>
      </c>
      <c r="F25" s="11"/>
      <c r="G25" s="11"/>
      <c r="I25" s="13"/>
      <c r="J25" s="0" t="s">
        <v>40</v>
      </c>
    </row>
    <row r="26" outlineLevel="1">
      <c r="A26" s="9" t="s">
        <v>43</v>
      </c>
      <c r="I26" s="13"/>
    </row>
    <row r="27" outlineLevel="2">
      <c r="A27" s="10" t="s">
        <v>44</v>
      </c>
      <c r="B27" s="0" t="s">
        <v>45</v>
      </c>
      <c r="C27" s="12">
        <f>IFERROR(117.9941*(1-w),"")</f>
        <v/>
      </c>
      <c r="D27" s="12">
        <v>117.9941</v>
      </c>
      <c r="E27" s="12">
        <v>118.37289325842697</v>
      </c>
      <c r="F27" s="12"/>
      <c r="G27" s="12"/>
      <c r="I27" s="13"/>
      <c r="J27" s="0" t="s">
        <v>37</v>
      </c>
    </row>
    <row r="28" outlineLevel="1">
      <c r="A28" s="9" t="s">
        <v>46</v>
      </c>
      <c r="I28" s="13"/>
    </row>
    <row r="29" outlineLevel="2">
      <c r="A29" s="10" t="s">
        <v>47</v>
      </c>
      <c r="B29" s="0" t="s">
        <v>48</v>
      </c>
      <c r="C29" s="11">
        <f>IFERROR(19.41716*(1-w)-w*2.443,"")</f>
        <v/>
      </c>
      <c r="D29" s="11">
        <v>19.41716</v>
      </c>
      <c r="E29" s="11">
        <v>19.47949438202247</v>
      </c>
      <c r="F29" s="11"/>
      <c r="G29" s="11"/>
      <c r="I29" s="13"/>
    </row>
    <row r="30" outlineLevel="2">
      <c r="A30" s="10" t="s">
        <v>49</v>
      </c>
      <c r="B30" s="0" t="s">
        <v>48</v>
      </c>
      <c r="C30" s="11">
        <f>IFERROR(20.805*(1-w),"")</f>
        <v/>
      </c>
      <c r="D30" s="11">
        <v>20.805</v>
      </c>
      <c r="E30" s="11">
        <v>20.871789727126806</v>
      </c>
      <c r="F30" s="11"/>
      <c r="G30" s="11"/>
      <c r="I30" s="13"/>
    </row>
    <row r="31" outlineLevel="2">
      <c r="A31" s="10" t="s">
        <v>50</v>
      </c>
      <c r="B31" s="0" t="s">
        <v>48</v>
      </c>
      <c r="C31" s="11">
        <f>IFERROR(20.914810859304*(1-w),"")</f>
        <v/>
      </c>
      <c r="D31" s="11">
        <v>20.914810859304009</v>
      </c>
      <c r="E31" s="11">
        <v>20.98195310925362</v>
      </c>
      <c r="F31" s="11"/>
      <c r="G31" s="11"/>
      <c r="I31" s="13"/>
      <c r="J31" s="0" t="s">
        <v>40</v>
      </c>
    </row>
    <row r="32">
      <c r="I32" s="13"/>
    </row>
    <row r="3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https://phyllis.nl/Biomass/View/116</dc:description>
  <dcterms:created xsi:type="dcterms:W3CDTF">2026-03-19T04:23:05Z</dcterms:created>
  <dc:title>Phyllis2 #116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