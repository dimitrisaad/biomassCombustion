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17 wood, pine" sheetId="1" r:id="rId1"/>
  </sheets>
  <definedNames>
    <definedName name="w" localSheetId="0">IF(ISBLANK('Phyllis2 #117 wood, pine'!$C$18),#N/A,'Phyllis2 #117 wood, pine'!$C$18/100)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<sst xmlns="http://schemas.openxmlformats.org/spreadsheetml/2006/main" count="52" uniqueCount="52">
  <si>
    <t>Phyllis2</t>
  </si>
  <si>
    <t>https://phyllis.nl/Biomass/View/117</t>
  </si>
  <si>
    <t>wood, pine (#117)</t>
  </si>
  <si>
    <t>ID-number</t>
  </si>
  <si>
    <t>#117</t>
  </si>
  <si>
    <t>Material</t>
  </si>
  <si>
    <t>wood, pine</t>
  </si>
  <si>
    <t>Classification</t>
  </si>
  <si>
    <t>ECN Phyllis classification &gt; untreated wood &gt; fir/pine/spruce &gt; wood, pine</t>
  </si>
  <si>
    <t>NTA 8003 classification &gt; [100] hout &gt; [110] vers hout &gt; [130] naaldhout &gt; [131] naaldhout</t>
  </si>
  <si>
    <t>Ash type</t>
  </si>
  <si>
    <t>industrial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</si>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</sst>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1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3"/>
    </row>
    <row r="17" outlineLevel="1">
      <c r="A17" s="9" t="s">
        <v>30</v>
      </c>
      <c r="I17" s="13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3"/>
    </row>
    <row r="19" outlineLevel="2">
      <c r="A19" s="10" t="s">
        <v>33</v>
      </c>
      <c r="B19" s="0" t="s">
        <v>34</v>
      </c>
      <c r="C19" s="11">
        <f>IFERROR(0.29*(1-w),"")</f>
        <v/>
      </c>
      <c r="D19" s="11">
        <v>0.29</v>
      </c>
      <c r="E19" s="11">
        <v/>
      </c>
      <c r="F19" s="11"/>
      <c r="G19" s="11"/>
      <c r="I19" s="13"/>
    </row>
    <row r="20" outlineLevel="1">
      <c r="A20" s="9" t="s">
        <v>35</v>
      </c>
      <c r="I20" s="13"/>
    </row>
    <row r="21" outlineLevel="2">
      <c r="A21" s="10" t="s">
        <v>36</v>
      </c>
      <c r="B21" s="0" t="s">
        <v>34</v>
      </c>
      <c r="C21" s="11">
        <f>IFERROR(54.83946*(1-w),"")</f>
        <v/>
      </c>
      <c r="D21" s="11">
        <v>54.83946</v>
      </c>
      <c r="E21" s="11">
        <v>54.998956975228168</v>
      </c>
      <c r="F21" s="11"/>
      <c r="G21" s="11"/>
      <c r="I21" s="13"/>
      <c r="J21" s="0" t="s">
        <v>37</v>
      </c>
    </row>
    <row r="22" outlineLevel="2">
      <c r="A22" s="10" t="s">
        <v>38</v>
      </c>
      <c r="B22" s="0" t="s">
        <v>34</v>
      </c>
      <c r="C22" s="11">
        <f>IFERROR(6.771746*(1-w),"")</f>
        <v/>
      </c>
      <c r="D22" s="11">
        <v>6.771746</v>
      </c>
      <c r="E22" s="11">
        <v>6.7914411794203193</v>
      </c>
      <c r="F22" s="11"/>
      <c r="G22" s="11"/>
      <c r="I22" s="13"/>
      <c r="J22" s="0" t="s">
        <v>37</v>
      </c>
    </row>
    <row r="23" outlineLevel="2">
      <c r="A23" s="10" t="s">
        <v>39</v>
      </c>
      <c r="B23" s="0" t="s">
        <v>34</v>
      </c>
      <c r="C23" s="11">
        <f>IFERROR(38.00539*(1-w),"")</f>
        <v/>
      </c>
      <c r="D23" s="11">
        <v>38.00539</v>
      </c>
      <c r="E23" s="11">
        <v>38.115926185939223</v>
      </c>
      <c r="F23" s="11"/>
      <c r="G23" s="11"/>
      <c r="I23" s="13"/>
      <c r="J23" s="0" t="s">
        <v>40</v>
      </c>
    </row>
    <row r="24" outlineLevel="2">
      <c r="A24" s="10" t="s">
        <v>41</v>
      </c>
      <c r="B24" s="0" t="s">
        <v>34</v>
      </c>
      <c r="C24" s="11">
        <f>IFERROR(0.03502627*(1-w),"")</f>
        <v/>
      </c>
      <c r="D24" s="11">
        <v>0.03502627</v>
      </c>
      <c r="E24" s="11">
        <v>0.035128141610670946</v>
      </c>
      <c r="F24" s="11"/>
      <c r="G24" s="11"/>
      <c r="I24" s="13"/>
      <c r="J24" s="0" t="s">
        <v>37</v>
      </c>
    </row>
    <row r="25" outlineLevel="2">
      <c r="A25" s="10" t="s">
        <v>42</v>
      </c>
      <c r="B25" s="0" t="s">
        <v>34</v>
      </c>
      <c r="C25" s="11">
        <f>IFERROR(0.04670169*(1-w),"")</f>
        <v/>
      </c>
      <c r="D25" s="11">
        <v>0.04670169</v>
      </c>
      <c r="E25" s="11">
        <v>0.046837518804533143</v>
      </c>
      <c r="F25" s="11"/>
      <c r="G25" s="11"/>
      <c r="I25" s="13"/>
      <c r="J25" s="0" t="s">
        <v>37</v>
      </c>
    </row>
    <row r="26" outlineLevel="2">
      <c r="A26" s="10" t="s">
        <v>43</v>
      </c>
      <c r="B26" s="0" t="s">
        <v>34</v>
      </c>
      <c r="C26" s="11">
        <f>IFERROR(99.99999938*(1-w)+w*100,"")</f>
        <v/>
      </c>
      <c r="D26" s="11">
        <v>99.99999938000002</v>
      </c>
      <c r="E26" s="11">
        <v>99.99999937819679</v>
      </c>
      <c r="F26" s="11"/>
      <c r="G26" s="11"/>
      <c r="I26" s="13"/>
      <c r="J26" s="0" t="s">
        <v>40</v>
      </c>
    </row>
    <row r="27" outlineLevel="1">
      <c r="A27" s="9" t="s">
        <v>44</v>
      </c>
      <c r="I27" s="13"/>
    </row>
    <row r="28" outlineLevel="2">
      <c r="A28" s="10" t="s">
        <v>45</v>
      </c>
      <c r="B28" s="0" t="s">
        <v>46</v>
      </c>
      <c r="C28" s="12">
        <f>IFERROR(116.7542*(1-w),"")</f>
        <v/>
      </c>
      <c r="D28" s="12">
        <v>116.7542</v>
      </c>
      <c r="E28" s="12">
        <v>117.093771938622</v>
      </c>
      <c r="F28" s="12"/>
      <c r="G28" s="12"/>
      <c r="I28" s="13"/>
      <c r="J28" s="0" t="s">
        <v>37</v>
      </c>
    </row>
    <row r="29" outlineLevel="1">
      <c r="A29" s="9" t="s">
        <v>47</v>
      </c>
      <c r="I29" s="13"/>
    </row>
    <row r="30" outlineLevel="2">
      <c r="A30" s="10" t="s">
        <v>48</v>
      </c>
      <c r="B30" s="0" t="s">
        <v>49</v>
      </c>
      <c r="C30" s="11">
        <f>IFERROR(21.41329*(1-w)-w*2.443,"")</f>
        <v/>
      </c>
      <c r="D30" s="11">
        <v>21.41329</v>
      </c>
      <c r="E30" s="11">
        <v>21.475569150536558</v>
      </c>
      <c r="F30" s="11"/>
      <c r="G30" s="11"/>
      <c r="I30" s="13"/>
    </row>
    <row r="31" outlineLevel="2">
      <c r="A31" s="10" t="s">
        <v>50</v>
      </c>
      <c r="B31" s="0" t="s">
        <v>49</v>
      </c>
      <c r="C31" s="11">
        <f>IFERROR(22.891*(1-w),"")</f>
        <v/>
      </c>
      <c r="D31" s="11">
        <v>22.891</v>
      </c>
      <c r="E31" s="11">
        <v>22.957576973222345</v>
      </c>
      <c r="F31" s="11"/>
      <c r="G31" s="11"/>
      <c r="I31" s="13"/>
    </row>
    <row r="32" outlineLevel="2">
      <c r="A32" s="10" t="s">
        <v>51</v>
      </c>
      <c r="B32" s="0" t="s">
        <v>49</v>
      </c>
      <c r="C32" s="11">
        <f>IFERROR(23.086433722834*(1-w),"")</f>
        <v/>
      </c>
      <c r="D32" s="11">
        <v>23.086433722834006</v>
      </c>
      <c r="E32" s="11">
        <v>23.153579102230474</v>
      </c>
      <c r="F32" s="11"/>
      <c r="G32" s="11"/>
      <c r="I32" s="13"/>
      <c r="J32" s="0" t="s">
        <v>40</v>
      </c>
    </row>
    <row r="33">
      <c r="I33" s="13"/>
    </row>
    <row r="34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https://phyllis.nl/Biomass/View/117</dc:description>
  <dcterms:created xsi:type="dcterms:W3CDTF">2026-03-19T04:23:08Z</dcterms:created>
  <dc:title>Phyllis2 #117 wood, pine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