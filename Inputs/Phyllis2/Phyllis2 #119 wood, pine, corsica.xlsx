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9 wood, pine, corsi" sheetId="1" r:id="rId1"/>
  </sheets>
  <definedNames>
    <definedName name="w" localSheetId="0">IF(ISBLANK('Phyllis2 #119 wood, pine, corsi'!$C$18),#N/A,'Phyllis2 #119 wood, pine, corsi'!$C$18/100)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<sst xmlns="http://schemas.openxmlformats.org/spreadsheetml/2006/main" count="49" uniqueCount="49">
  <si>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</si>
  <si>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https://phyllis.nl/Biomass/View/119</t>
  </si>
  <si>
    <t>wood, pine, corsica (#119)</t>
  </si>
  <si>
    <t>ID-number</t>
  </si>
  <si>
    <t>#119</t>
  </si>
  <si>
    <t>Material</t>
  </si>
  <si>
    <t>wood, pine, corsica</t>
  </si>
  <si>
    <t>Classification</t>
  </si>
  <si>
    <t>ECN Phyllis classification &gt; untreated wood &gt; fir/pine/spruce</t>
  </si>
  <si>
    <t>NTA 8003 classification &gt; [100] hout &gt; [110] vers hout &gt; [130] naaldhout &gt; [131] naaldhout</t>
  </si>
  <si>
    <t>Ash type</t>
  </si>
  <si>
    <t>laboratory</t>
  </si>
  <si>
    <t>Submitter organisation</t>
  </si>
  <si>
    <t>ECN (Netherlands)</t>
  </si>
  <si>
    <t>Literature</t>
  </si>
  <si>
    <t>Anonymous: Forestry waste firing of industrial boilers, Oldham (UK), FEC Consultants, ETSU-B--1178 (1990).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</si>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</sst>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2"/>
    </row>
    <row r="17" outlineLevel="1">
      <c r="A17" s="9" t="s">
        <v>30</v>
      </c>
      <c r="I17" s="12"/>
    </row>
    <row r="18" outlineLevel="2">
      <c r="A18" s="10" t="s">
        <v>31</v>
      </c>
      <c r="B18" s="0" t="s">
        <v>32</v>
      </c>
      <c r="C18" s="11">
        <v>60.9</v>
      </c>
      <c r="D18" s="11"/>
      <c r="E18" s="11"/>
      <c r="F18" s="11"/>
      <c r="G18" s="11"/>
      <c r="I18" s="12"/>
    </row>
    <row r="19" outlineLevel="2">
      <c r="A19" s="10" t="s">
        <v>33</v>
      </c>
      <c r="B19" s="0" t="s">
        <v>32</v>
      </c>
      <c r="C19" s="11">
        <f>IFERROR(5.63*(1-w),"")</f>
        <v>2.20133</v>
      </c>
      <c r="D19" s="11">
        <v>5.63</v>
      </c>
      <c r="E19" s="11">
        <v/>
      </c>
      <c r="F19" s="11"/>
      <c r="G19" s="11"/>
      <c r="I19" s="12"/>
    </row>
    <row r="20" outlineLevel="2">
      <c r="A20" s="10" t="s">
        <v>34</v>
      </c>
      <c r="B20" s="0" t="s">
        <v>32</v>
      </c>
      <c r="C20" s="11">
        <f>IFERROR(88*(1-w),"")</f>
        <v>34.408</v>
      </c>
      <c r="D20" s="11">
        <v>88</v>
      </c>
      <c r="E20" s="11">
        <v>93.24997350853026</v>
      </c>
      <c r="F20" s="11"/>
      <c r="G20" s="11"/>
      <c r="I20" s="12"/>
    </row>
    <row r="21" outlineLevel="2">
      <c r="A21" s="10" t="s">
        <v>35</v>
      </c>
      <c r="B21" s="0" t="s">
        <v>32</v>
      </c>
      <c r="C21" s="11">
        <f>IFERROR(6.37*(1-w),"")</f>
        <v>2.4906700000000019</v>
      </c>
      <c r="D21" s="11">
        <v>6.3700000000000045</v>
      </c>
      <c r="E21" s="11">
        <v>6.7500264914697521</v>
      </c>
      <c r="F21" s="11"/>
      <c r="G21" s="11"/>
      <c r="I21" s="12"/>
      <c r="J21" s="0" t="s">
        <v>36</v>
      </c>
    </row>
    <row r="22" outlineLevel="1">
      <c r="A22" s="9" t="s">
        <v>37</v>
      </c>
      <c r="I22" s="12"/>
    </row>
    <row r="23" outlineLevel="2">
      <c r="A23" s="10" t="s">
        <v>38</v>
      </c>
      <c r="B23" s="0" t="s">
        <v>32</v>
      </c>
      <c r="C23" s="11">
        <f>IFERROR(47.27937*(1-w),"")</f>
        <v>18.48623367</v>
      </c>
      <c r="D23" s="11">
        <v>47.27937</v>
      </c>
      <c r="E23" s="11">
        <v>50.1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32</v>
      </c>
      <c r="C24" s="11">
        <f>IFERROR(5.6622*(1-w),"")</f>
        <v>2.2139202</v>
      </c>
      <c r="D24" s="11">
        <v>5.6622</v>
      </c>
      <c r="E24" s="11">
        <v>6.0000000000000009</v>
      </c>
      <c r="F24" s="11"/>
      <c r="G24" s="11"/>
      <c r="I24" s="12"/>
      <c r="J24" s="0" t="s">
        <v>39</v>
      </c>
    </row>
    <row r="25" outlineLevel="2">
      <c r="A25" s="10" t="s">
        <v>41</v>
      </c>
      <c r="B25" s="0" t="s">
        <v>32</v>
      </c>
      <c r="C25" s="11">
        <f>IFERROR(41.33*(1-w),"")</f>
        <v>16.16003</v>
      </c>
      <c r="D25" s="11">
        <v>41.33</v>
      </c>
      <c r="E25" s="11">
        <v>43.795697785313131</v>
      </c>
      <c r="F25" s="11"/>
      <c r="G25" s="11"/>
      <c r="I25" s="12"/>
      <c r="J25" s="0" t="s">
        <v>36</v>
      </c>
    </row>
    <row r="26" outlineLevel="2">
      <c r="A26" s="10" t="s">
        <v>42</v>
      </c>
      <c r="B26" s="0" t="s">
        <v>32</v>
      </c>
      <c r="C26" s="11">
        <f>IFERROR(0.09437*(1-w),"")</f>
        <v>0.03689867</v>
      </c>
      <c r="D26" s="11">
        <v>0.09437</v>
      </c>
      <c r="E26" s="11">
        <v>0.099999999999999992</v>
      </c>
      <c r="F26" s="11"/>
      <c r="G26" s="11"/>
      <c r="I26" s="12"/>
      <c r="J26" s="0" t="s">
        <v>39</v>
      </c>
    </row>
    <row r="27" outlineLevel="2">
      <c r="A27" s="10" t="s">
        <v>43</v>
      </c>
      <c r="B27" s="0" t="s">
        <v>32</v>
      </c>
      <c r="C27" s="11">
        <f>IFERROR(99.99594*(1-w)+w*100,"")</f>
        <v>99.99841254</v>
      </c>
      <c r="D27" s="11">
        <v>99.99593999999999</v>
      </c>
      <c r="E27" s="11">
        <v>99.995697785313126</v>
      </c>
      <c r="F27" s="11"/>
      <c r="G27" s="11"/>
      <c r="I27" s="12"/>
      <c r="J27" s="0" t="s">
        <v>36</v>
      </c>
    </row>
    <row r="28" outlineLevel="1">
      <c r="A28" s="9" t="s">
        <v>44</v>
      </c>
      <c r="I28" s="12"/>
    </row>
    <row r="29" outlineLevel="2">
      <c r="A29" s="10" t="s">
        <v>45</v>
      </c>
      <c r="B29" s="0" t="s">
        <v>46</v>
      </c>
      <c r="C29" s="11">
        <f>IFERROR(16.9337*(1-w)-w*2.443,"")</f>
        <v>5.1332897000000006</v>
      </c>
      <c r="D29" s="11">
        <v>16.9337</v>
      </c>
      <c r="E29" s="11">
        <v>17.943944050015897</v>
      </c>
      <c r="F29" s="11"/>
      <c r="G29" s="11"/>
      <c r="I29" s="12"/>
    </row>
    <row r="30" outlineLevel="2">
      <c r="A30" s="10" t="s">
        <v>47</v>
      </c>
      <c r="B30" s="0" t="s">
        <v>46</v>
      </c>
      <c r="C30" s="11">
        <f>IFERROR(18.243*(1-w),"")</f>
        <v>7.133013</v>
      </c>
      <c r="D30" s="11">
        <v>18.243</v>
      </c>
      <c r="E30" s="11">
        <v>19.331355303592243</v>
      </c>
      <c r="F30" s="11"/>
      <c r="G30" s="11"/>
      <c r="I30" s="12"/>
    </row>
    <row r="31" outlineLevel="2">
      <c r="A31" s="10" t="s">
        <v>48</v>
      </c>
      <c r="B31" s="0" t="s">
        <v>46</v>
      </c>
      <c r="C31" s="11">
        <f>IFERROR(18.5554797957*(1-w),"")</f>
        <v>7.2551926001187024</v>
      </c>
      <c r="D31" s="11">
        <v>18.555479795700005</v>
      </c>
      <c r="E31" s="11">
        <v>19.66247726576243</v>
      </c>
      <c r="F31" s="11"/>
      <c r="G31" s="11"/>
      <c r="I31" s="12"/>
      <c r="J31" s="0" t="s">
        <v>36</v>
      </c>
    </row>
    <row r="32">
      <c r="I32" s="12"/>
    </row>
    <row r="3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60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https://phyllis.nl/Biomass/View/119</dc:description>
  <dcterms:created xsi:type="dcterms:W3CDTF">2026-03-19T07:07:47Z</dcterms:created>
  <dc:title>Phyllis2 #119 wood, pine, corsica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