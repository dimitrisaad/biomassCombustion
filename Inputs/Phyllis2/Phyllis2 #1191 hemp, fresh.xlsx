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1 hemp, fresh" sheetId="1" r:id="rId1"/>
  </sheets>
  <definedNames>
    <definedName name="w" localSheetId="0">IF(ISBLANK('Phyllis2 #1191 hemp, fresh'!$C$20),#N/A,'Phyllis2 #1191 hemp, fresh'!$C$20/100)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<sst xmlns="http://schemas.openxmlformats.org/spreadsheetml/2006/main" count="91" uniqueCount="91">
  <si>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</si>
  <si>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https://phyllis.nl/Biomass/View/1191</t>
  </si>
  <si>
    <t>hemp, fresh (#1191)</t>
  </si>
  <si>
    <t>ID-number</t>
  </si>
  <si>
    <t>#1191</t>
  </si>
  <si>
    <t>Material</t>
  </si>
  <si>
    <t>hemp, fresh</t>
  </si>
  <si>
    <t>Classification</t>
  </si>
  <si>
    <t>ECN Phyllis classification &gt; grass/plant &gt; hemp &gt; hemp, fresh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</si>
  <si>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</si>
  <si>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</si>
  <si>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</si>
  <si>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</si>
  <si>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</si>
  <si>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</si>
  <si>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Remarks</t>
  </si>
  <si>
    <t>harvested November 1997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</si>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</sst>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IFERROR(5.42*(1-w),"")</f>
        <v>5.0080800000000005</v>
      </c>
      <c r="D21" s="13">
        <v>5.42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IFERROR(76*(1-w),"")</f>
        <v>70.224</v>
      </c>
      <c r="D22" s="13">
        <v>76</v>
      </c>
      <c r="E22" s="13">
        <v>80.355254810742224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IFERROR(18.58*(1-w),"")</f>
        <v>17.16792</v>
      </c>
      <c r="D23" s="13">
        <v>18.58</v>
      </c>
      <c r="E23" s="13">
        <v>19.644745189257769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IFERROR(45.67*(1-w),"")</f>
        <v>42.19908</v>
      </c>
      <c r="D25" s="13">
        <v>45.67</v>
      </c>
      <c r="E25" s="13">
        <v>48.287164305349968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IFERROR(5.81*(1-w),"")</f>
        <v>5.36844</v>
      </c>
      <c r="D26" s="13">
        <v>5.81</v>
      </c>
      <c r="E26" s="13">
        <v>6.1429477690843726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IFERROR(43.25*(1-w),"")</f>
        <v>39.963</v>
      </c>
      <c r="D27" s="13">
        <v>43.25</v>
      </c>
      <c r="E27" s="13">
        <v>45.72848382321844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IFERROR(0.539*(1-w),"")</f>
        <v>0.49803600000000003</v>
      </c>
      <c r="D28" s="13">
        <v>0.539</v>
      </c>
      <c r="E28" s="13">
        <v>0.5698879255656587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IFERROR(0.098*(1-w),"")</f>
        <v>0.090552000000000007</v>
      </c>
      <c r="D29" s="13">
        <v>0.098</v>
      </c>
      <c r="E29" s="13">
        <v>0.1036159864664834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IFERROR(101.1789*(1-w)+w*100,"")</f>
        <v>101.08930360000001</v>
      </c>
      <c r="D30" s="13">
        <v>101.17890000000001</v>
      </c>
      <c r="E30" s="13">
        <v>101.24645802495243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IFERROR(3900*(1-w),"")</f>
        <v>3603.6000000000004</v>
      </c>
      <c r="D32" s="14">
        <v>3900</v>
      </c>
      <c r="E32" s="14">
        <v>4123.4933389722983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IFERROR(19*(1-w),"")</f>
        <v>17.556</v>
      </c>
      <c r="D33" s="14">
        <v>19</v>
      </c>
      <c r="E33" s="14">
        <v>20.088813702685556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IFERROR(17.07216*(1-w)-w*2.443,"")</f>
        <v>15.58900784</v>
      </c>
      <c r="D35" s="13">
        <v>17.07216</v>
      </c>
      <c r="E35" s="13">
        <v>18.050496933812646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IFERROR(18.34*(1-w),"")</f>
        <v>16.94616</v>
      </c>
      <c r="D36" s="13">
        <v>18.34</v>
      </c>
      <c r="E36" s="13">
        <v>19.390991753013321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IFERROR(17.9279013892*(1-w),"")</f>
        <v>16.5653808836208</v>
      </c>
      <c r="D37" s="13">
        <v>17.9279013892</v>
      </c>
      <c r="E37" s="13">
        <v>18.95527742567139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300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16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2.6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9600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/>
      <c r="D44" s="14"/>
      <c r="E44" s="14"/>
      <c r="F44" s="14"/>
      <c r="G44" s="14">
        <v>0.1</v>
      </c>
      <c r="I44" s="5"/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1.1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4.2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190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9300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930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6.8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/>
      <c r="D52" s="14"/>
      <c r="E52" s="14"/>
      <c r="F52" s="14"/>
      <c r="G52" s="14">
        <v>0.4</v>
      </c>
      <c r="I52" s="5"/>
    </row>
    <row r="53" outlineLevel="2">
      <c r="A53" s="12" t="s">
        <v>72</v>
      </c>
      <c r="B53" s="0" t="s">
        <v>58</v>
      </c>
      <c r="C53" s="14">
        <v>1150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2.6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970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3300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38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14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0.72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11</v>
      </c>
      <c r="D64" s="14"/>
      <c r="E64" s="14"/>
      <c r="F64" s="14"/>
      <c r="G64" s="14"/>
      <c r="I64" s="5"/>
      <c r="J64" s="0" t="s">
        <v>41</v>
      </c>
    </row>
    <row r="65" outlineLevel="1">
      <c r="A65" s="11" t="s">
        <v>84</v>
      </c>
      <c r="I65" s="5"/>
    </row>
    <row r="66" outlineLevel="2">
      <c r="A66" s="15" t="s">
        <v>85</v>
      </c>
      <c r="I66" s="5"/>
    </row>
    <row r="67" outlineLevel="3">
      <c r="A67" s="16" t="s">
        <v>86</v>
      </c>
      <c r="B67" s="0" t="s">
        <v>87</v>
      </c>
      <c r="C67" s="17">
        <v>1344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87</v>
      </c>
      <c r="C68" s="17">
        <v>1372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87</v>
      </c>
      <c r="C69" s="17">
        <v>1384</v>
      </c>
      <c r="D69" s="17"/>
      <c r="E69" s="17"/>
      <c r="F69" s="17"/>
      <c r="G69" s="17"/>
      <c r="I69" s="5"/>
    </row>
    <row r="70" outlineLevel="3">
      <c r="A70" s="16" t="s">
        <v>90</v>
      </c>
      <c r="B70" s="0" t="s">
        <v>87</v>
      </c>
      <c r="C70" s="17">
        <v>1402</v>
      </c>
      <c r="D70" s="17"/>
      <c r="E70" s="17"/>
      <c r="F70" s="17"/>
      <c r="G70" s="17"/>
      <c r="I70" s="5"/>
    </row>
    <row r="71">
      <c r="I71" s="5"/>
    </row>
    <row r="7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7:E67"/>
    <mergeCell ref="C68:E68"/>
    <mergeCell ref="C69:E69"/>
    <mergeCell ref="C70:E70"/>
  </mergeCells>
  <dataValidations count="1">
    <dataValidation type="decimal" sqref="C20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https://phyllis.nl/Biomass/View/1191</dc:description>
  <dcterms:created xsi:type="dcterms:W3CDTF">2026-03-04T04:05:28Z</dcterms:created>
  <dc:title>Phyllis2 #1191 hemp,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