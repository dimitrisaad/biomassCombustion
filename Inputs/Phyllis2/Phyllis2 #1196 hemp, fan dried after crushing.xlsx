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96 hemp, fan dried " sheetId="1" r:id="rId1"/>
  </sheets>
  <definedNames>
    <definedName name="w" localSheetId="0">IF(ISBLANK('Phyllis2 #1196 hemp, fan dried '!$C$19),#N/A,'Phyllis2 #1196 hemp, fan dried 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<sst xmlns="http://schemas.openxmlformats.org/spreadsheetml/2006/main" count="90" uniqueCount="90">
  <si>
    <t>Phyllis2</t>
  </si>
  <si>
    <t>https://phyllis.nl/Biomass/View/1196</t>
  </si>
  <si>
    <t>hemp, fan dried after crushing (#1196)</t>
  </si>
  <si>
    <t>ID-number</t>
  </si>
  <si>
    <t>#1196</t>
  </si>
  <si>
    <t>Material</t>
  </si>
  <si>
    <t>hemp, fan dried after crushing</t>
  </si>
  <si>
    <t>Classification</t>
  </si>
  <si>
    <t>ECN Phyllis classification &gt; grass/plant &gt; hemp</t>
  </si>
  <si>
    <t>NTA 8003 classification &gt; [200] biomassa uit land- en tuinbouw &gt; [220] stro &gt; [225] hennep</t>
  </si>
  <si>
    <t>Ash type</t>
  </si>
  <si>
    <t>550 degC</t>
  </si>
  <si>
    <t>Submitter organisation</t>
  </si>
  <si>
    <t>ECN (Netherlands)</t>
  </si>
  <si>
    <t>Submission date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</si>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</sst>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9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35926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7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IFERROR(5.51*(1-w),"")</f>
        <v>5.1243</v>
      </c>
      <c r="D20" s="13">
        <v>5.51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IFERROR(75.2*(1-w),"")</f>
        <v>69.935999999999993</v>
      </c>
      <c r="D21" s="13">
        <v>75.2</v>
      </c>
      <c r="E21" s="13">
        <v>79.585141284792044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IFERROR(19.29*(1-w),"")</f>
        <v>17.939699999999991</v>
      </c>
      <c r="D22" s="13">
        <v>19.289999999999992</v>
      </c>
      <c r="E22" s="13">
        <v>20.414858715207952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IFERROR(45.68*(1-w),"")</f>
        <v>42.4824</v>
      </c>
      <c r="D24" s="13">
        <v>45.68</v>
      </c>
      <c r="E24" s="13">
        <v>48.343740078315165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IFERROR(5.95*(1-w),"")</f>
        <v>5.5335</v>
      </c>
      <c r="D25" s="13">
        <v>5.95</v>
      </c>
      <c r="E25" s="13">
        <v>6.2969626415493707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IFERROR(43.08*(1-w),"")</f>
        <v>40.0644</v>
      </c>
      <c r="D26" s="13">
        <v>43.08</v>
      </c>
      <c r="E26" s="13">
        <v>45.592126150915441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33</v>
      </c>
      <c r="C27" s="13">
        <f>IFERROR(0.728*(1-w),"")</f>
        <v>0.67704</v>
      </c>
      <c r="D27" s="13">
        <v>0.728</v>
      </c>
      <c r="E27" s="13">
        <v>0.770451899671923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IFERROR(0.103*(1-w),"")</f>
        <v>0.095789999999999986</v>
      </c>
      <c r="D28" s="13">
        <v>0.103</v>
      </c>
      <c r="E28" s="13">
        <v>0.1090062440469891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IFERROR(101.551*(1-w)+w*100,"")</f>
        <v>101.44243</v>
      </c>
      <c r="D29" s="13">
        <v>101.551</v>
      </c>
      <c r="E29" s="13">
        <v>101.64144353899884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IFERROR(4990*(1-w),"")</f>
        <v>4640.7</v>
      </c>
      <c r="D31" s="14">
        <v>4990</v>
      </c>
      <c r="E31" s="14">
        <v>5280.982114509472</v>
      </c>
      <c r="F31" s="14"/>
      <c r="G31" s="14"/>
      <c r="I31" s="5"/>
      <c r="J31" s="0" t="s">
        <v>40</v>
      </c>
    </row>
    <row r="32" outlineLevel="2">
      <c r="A32" s="12" t="s">
        <v>49</v>
      </c>
      <c r="B32" s="0" t="s">
        <v>48</v>
      </c>
      <c r="C32" s="14">
        <f>IFERROR(10*(1-w),"")</f>
        <v>9.2999999999999989</v>
      </c>
      <c r="D32" s="14">
        <v>10</v>
      </c>
      <c r="E32" s="14">
        <v>10.583130489998942</v>
      </c>
      <c r="F32" s="14"/>
      <c r="G32" s="14"/>
      <c r="I32" s="5"/>
      <c r="J32" s="0" t="s">
        <v>40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IFERROR(17.03161*(1-w)-w*2.443,"")</f>
        <v>15.6683873</v>
      </c>
      <c r="D34" s="13">
        <v>17.03161</v>
      </c>
      <c r="E34" s="13">
        <v>18.02477510847709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IFERROR(18.33*(1-w),"")</f>
        <v>17.046899999999997</v>
      </c>
      <c r="D35" s="13">
        <v>18.33</v>
      </c>
      <c r="E35" s="13">
        <v>19.398878188168059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IFERROR(18.1132278953*(1-w),"")</f>
        <v>16.845301942629</v>
      </c>
      <c r="D36" s="13">
        <v>18.1132278953</v>
      </c>
      <c r="E36" s="13">
        <v>19.169465441104879</v>
      </c>
      <c r="F36" s="13"/>
      <c r="G36" s="13"/>
      <c r="I36" s="5"/>
      <c r="J36" s="0" t="s">
        <v>37</v>
      </c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4">
        <v>88</v>
      </c>
      <c r="D38" s="14"/>
      <c r="E38" s="14"/>
      <c r="F38" s="14"/>
      <c r="G38" s="14"/>
      <c r="I38" s="5"/>
      <c r="J38" s="0" t="s">
        <v>40</v>
      </c>
    </row>
    <row r="39" outlineLevel="2">
      <c r="A39" s="12" t="s">
        <v>58</v>
      </c>
      <c r="B39" s="0" t="s">
        <v>57</v>
      </c>
      <c r="C39" s="14"/>
      <c r="D39" s="14"/>
      <c r="E39" s="14"/>
      <c r="F39" s="14"/>
      <c r="G39" s="14">
        <v>1.1</v>
      </c>
      <c r="I39" s="5"/>
    </row>
    <row r="40" outlineLevel="2">
      <c r="A40" s="12" t="s">
        <v>59</v>
      </c>
      <c r="B40" s="0" t="s">
        <v>57</v>
      </c>
      <c r="C40" s="14">
        <v>14</v>
      </c>
      <c r="D40" s="14"/>
      <c r="E40" s="14"/>
      <c r="F40" s="14"/>
      <c r="G40" s="14"/>
      <c r="I40" s="5"/>
      <c r="J40" s="0" t="s">
        <v>40</v>
      </c>
    </row>
    <row r="41" outlineLevel="2">
      <c r="A41" s="12" t="s">
        <v>60</v>
      </c>
      <c r="B41" s="0" t="s">
        <v>57</v>
      </c>
      <c r="C41" s="14">
        <v>1.6</v>
      </c>
      <c r="D41" s="14"/>
      <c r="E41" s="14"/>
      <c r="F41" s="14"/>
      <c r="G41" s="14"/>
      <c r="I41" s="5"/>
      <c r="J41" s="0" t="s">
        <v>40</v>
      </c>
    </row>
    <row r="42" outlineLevel="2">
      <c r="A42" s="12" t="s">
        <v>61</v>
      </c>
      <c r="B42" s="0" t="s">
        <v>57</v>
      </c>
      <c r="C42" s="14">
        <v>7500</v>
      </c>
      <c r="D42" s="14"/>
      <c r="E42" s="14"/>
      <c r="F42" s="14"/>
      <c r="G42" s="14"/>
      <c r="I42" s="5"/>
      <c r="J42" s="0" t="s">
        <v>40</v>
      </c>
    </row>
    <row r="43" outlineLevel="2">
      <c r="A43" s="12" t="s">
        <v>62</v>
      </c>
      <c r="B43" s="0" t="s">
        <v>57</v>
      </c>
      <c r="C43" s="14"/>
      <c r="D43" s="14"/>
      <c r="E43" s="14"/>
      <c r="F43" s="14"/>
      <c r="G43" s="14">
        <v>0.1</v>
      </c>
      <c r="I43" s="5"/>
    </row>
    <row r="44" outlineLevel="2">
      <c r="A44" s="12" t="s">
        <v>63</v>
      </c>
      <c r="B44" s="0" t="s">
        <v>57</v>
      </c>
      <c r="C44" s="14"/>
      <c r="D44" s="14"/>
      <c r="E44" s="14"/>
      <c r="F44" s="14"/>
      <c r="G44" s="14">
        <v>0.6</v>
      </c>
      <c r="I44" s="5"/>
    </row>
    <row r="45" outlineLevel="2">
      <c r="A45" s="12" t="s">
        <v>64</v>
      </c>
      <c r="B45" s="0" t="s">
        <v>57</v>
      </c>
      <c r="C45" s="14">
        <v>0.8</v>
      </c>
      <c r="D45" s="14"/>
      <c r="E45" s="14"/>
      <c r="F45" s="14"/>
      <c r="G45" s="14"/>
      <c r="I45" s="5"/>
      <c r="J45" s="0" t="s">
        <v>40</v>
      </c>
    </row>
    <row r="46" outlineLevel="2">
      <c r="A46" s="12" t="s">
        <v>65</v>
      </c>
      <c r="B46" s="0" t="s">
        <v>57</v>
      </c>
      <c r="C46" s="14">
        <v>4.2</v>
      </c>
      <c r="D46" s="14"/>
      <c r="E46" s="14"/>
      <c r="F46" s="14"/>
      <c r="G46" s="14"/>
      <c r="I46" s="5"/>
      <c r="J46" s="0" t="s">
        <v>40</v>
      </c>
    </row>
    <row r="47" outlineLevel="2">
      <c r="A47" s="12" t="s">
        <v>66</v>
      </c>
      <c r="B47" s="0" t="s">
        <v>57</v>
      </c>
      <c r="C47" s="14">
        <v>94</v>
      </c>
      <c r="D47" s="14"/>
      <c r="E47" s="14"/>
      <c r="F47" s="14"/>
      <c r="G47" s="14"/>
      <c r="I47" s="5"/>
      <c r="J47" s="0" t="s">
        <v>40</v>
      </c>
    </row>
    <row r="48" outlineLevel="2">
      <c r="A48" s="12" t="s">
        <v>67</v>
      </c>
      <c r="B48" s="0" t="s">
        <v>57</v>
      </c>
      <c r="C48" s="14">
        <v>16500</v>
      </c>
      <c r="D48" s="14"/>
      <c r="E48" s="14"/>
      <c r="F48" s="14"/>
      <c r="G48" s="14"/>
      <c r="I48" s="5"/>
      <c r="J48" s="0" t="s">
        <v>40</v>
      </c>
    </row>
    <row r="49" outlineLevel="2">
      <c r="A49" s="12" t="s">
        <v>68</v>
      </c>
      <c r="B49" s="0" t="s">
        <v>57</v>
      </c>
      <c r="C49" s="14">
        <v>830</v>
      </c>
      <c r="D49" s="14"/>
      <c r="E49" s="14"/>
      <c r="F49" s="14"/>
      <c r="G49" s="14"/>
      <c r="I49" s="5"/>
      <c r="J49" s="0" t="s">
        <v>40</v>
      </c>
    </row>
    <row r="50" outlineLevel="2">
      <c r="A50" s="12" t="s">
        <v>69</v>
      </c>
      <c r="B50" s="0" t="s">
        <v>57</v>
      </c>
      <c r="C50" s="14">
        <v>14</v>
      </c>
      <c r="D50" s="14"/>
      <c r="E50" s="14"/>
      <c r="F50" s="14"/>
      <c r="G50" s="14"/>
      <c r="I50" s="5"/>
      <c r="J50" s="0" t="s">
        <v>40</v>
      </c>
    </row>
    <row r="51" outlineLevel="2">
      <c r="A51" s="12" t="s">
        <v>70</v>
      </c>
      <c r="B51" s="0" t="s">
        <v>57</v>
      </c>
      <c r="C51" s="14"/>
      <c r="D51" s="14"/>
      <c r="E51" s="14"/>
      <c r="F51" s="14"/>
      <c r="G51" s="14">
        <v>0.4</v>
      </c>
      <c r="I51" s="5"/>
    </row>
    <row r="52" outlineLevel="2">
      <c r="A52" s="12" t="s">
        <v>71</v>
      </c>
      <c r="B52" s="0" t="s">
        <v>57</v>
      </c>
      <c r="C52" s="14">
        <v>220</v>
      </c>
      <c r="D52" s="14"/>
      <c r="E52" s="14"/>
      <c r="F52" s="14"/>
      <c r="G52" s="14"/>
      <c r="I52" s="5"/>
      <c r="J52" s="0" t="s">
        <v>40</v>
      </c>
    </row>
    <row r="53" outlineLevel="2">
      <c r="A53" s="12" t="s">
        <v>72</v>
      </c>
      <c r="B53" s="0" t="s">
        <v>57</v>
      </c>
      <c r="C53" s="14">
        <v>1</v>
      </c>
      <c r="D53" s="14"/>
      <c r="E53" s="14"/>
      <c r="F53" s="14"/>
      <c r="G53" s="14"/>
      <c r="I53" s="5"/>
      <c r="J53" s="0" t="s">
        <v>40</v>
      </c>
    </row>
    <row r="54" outlineLevel="2">
      <c r="A54" s="12" t="s">
        <v>73</v>
      </c>
      <c r="B54" s="0" t="s">
        <v>57</v>
      </c>
      <c r="C54" s="14">
        <v>1400</v>
      </c>
      <c r="D54" s="14"/>
      <c r="E54" s="14"/>
      <c r="F54" s="14"/>
      <c r="G54" s="14"/>
      <c r="I54" s="5"/>
      <c r="J54" s="0" t="s">
        <v>40</v>
      </c>
    </row>
    <row r="55" outlineLevel="2">
      <c r="A55" s="12" t="s">
        <v>74</v>
      </c>
      <c r="B55" s="0" t="s">
        <v>57</v>
      </c>
      <c r="C55" s="14"/>
      <c r="D55" s="14"/>
      <c r="E55" s="14"/>
      <c r="F55" s="14"/>
      <c r="G55" s="14">
        <v>3</v>
      </c>
      <c r="I55" s="5"/>
    </row>
    <row r="56" outlineLevel="2">
      <c r="A56" s="12" t="s">
        <v>75</v>
      </c>
      <c r="B56" s="0" t="s">
        <v>57</v>
      </c>
      <c r="C56" s="14"/>
      <c r="D56" s="14"/>
      <c r="E56" s="14"/>
      <c r="F56" s="14"/>
      <c r="G56" s="14">
        <v>1.2</v>
      </c>
      <c r="I56" s="5"/>
    </row>
    <row r="57" outlineLevel="2">
      <c r="A57" s="12" t="s">
        <v>76</v>
      </c>
      <c r="B57" s="0" t="s">
        <v>57</v>
      </c>
      <c r="C57" s="14"/>
      <c r="D57" s="14"/>
      <c r="E57" s="14"/>
      <c r="F57" s="14"/>
      <c r="G57" s="14">
        <v>0.9</v>
      </c>
      <c r="I57" s="5"/>
    </row>
    <row r="58" outlineLevel="2">
      <c r="A58" s="12" t="s">
        <v>77</v>
      </c>
      <c r="B58" s="0" t="s">
        <v>57</v>
      </c>
      <c r="C58" s="14">
        <v>1180</v>
      </c>
      <c r="D58" s="14"/>
      <c r="E58" s="14"/>
      <c r="F58" s="14"/>
      <c r="G58" s="14"/>
      <c r="I58" s="5"/>
      <c r="J58" s="0" t="s">
        <v>40</v>
      </c>
    </row>
    <row r="59" outlineLevel="2">
      <c r="A59" s="12" t="s">
        <v>78</v>
      </c>
      <c r="B59" s="0" t="s">
        <v>57</v>
      </c>
      <c r="C59" s="14"/>
      <c r="D59" s="14"/>
      <c r="E59" s="14"/>
      <c r="F59" s="14"/>
      <c r="G59" s="14">
        <v>0.7</v>
      </c>
      <c r="I59" s="5"/>
    </row>
    <row r="60" outlineLevel="2">
      <c r="A60" s="12" t="s">
        <v>79</v>
      </c>
      <c r="B60" s="0" t="s">
        <v>57</v>
      </c>
      <c r="C60" s="14">
        <v>33</v>
      </c>
      <c r="D60" s="14"/>
      <c r="E60" s="14"/>
      <c r="F60" s="14"/>
      <c r="G60" s="14"/>
      <c r="I60" s="5"/>
      <c r="J60" s="0" t="s">
        <v>40</v>
      </c>
    </row>
    <row r="61" outlineLevel="2">
      <c r="A61" s="12" t="s">
        <v>80</v>
      </c>
      <c r="B61" s="0" t="s">
        <v>57</v>
      </c>
      <c r="C61" s="14">
        <v>4.8</v>
      </c>
      <c r="D61" s="14"/>
      <c r="E61" s="14"/>
      <c r="F61" s="14"/>
      <c r="G61" s="14"/>
      <c r="I61" s="5"/>
      <c r="J61" s="0" t="s">
        <v>40</v>
      </c>
    </row>
    <row r="62" outlineLevel="2">
      <c r="A62" s="12" t="s">
        <v>81</v>
      </c>
      <c r="B62" s="0" t="s">
        <v>57</v>
      </c>
      <c r="C62" s="14">
        <v>0.3</v>
      </c>
      <c r="D62" s="14"/>
      <c r="E62" s="14"/>
      <c r="F62" s="14"/>
      <c r="G62" s="14"/>
      <c r="I62" s="5"/>
      <c r="J62" s="0" t="s">
        <v>40</v>
      </c>
    </row>
    <row r="63" outlineLevel="2">
      <c r="A63" s="12" t="s">
        <v>82</v>
      </c>
      <c r="B63" s="0" t="s">
        <v>57</v>
      </c>
      <c r="C63" s="14">
        <v>10</v>
      </c>
      <c r="D63" s="14"/>
      <c r="E63" s="14"/>
      <c r="F63" s="14"/>
      <c r="G63" s="14"/>
      <c r="I63" s="5"/>
      <c r="J63" s="0" t="s">
        <v>40</v>
      </c>
    </row>
    <row r="64" outlineLevel="1">
      <c r="A64" s="11" t="s">
        <v>83</v>
      </c>
      <c r="I64" s="5"/>
    </row>
    <row r="65" outlineLevel="2">
      <c r="A65" s="15" t="s">
        <v>84</v>
      </c>
      <c r="I65" s="5"/>
    </row>
    <row r="66" outlineLevel="3">
      <c r="A66" s="16" t="s">
        <v>85</v>
      </c>
      <c r="B66" s="0" t="s">
        <v>86</v>
      </c>
      <c r="C66" s="17">
        <v>1471</v>
      </c>
      <c r="D66" s="17"/>
      <c r="E66" s="17"/>
      <c r="F66" s="17"/>
      <c r="G66" s="17"/>
      <c r="I66" s="5"/>
    </row>
    <row r="67" outlineLevel="3">
      <c r="A67" s="16" t="s">
        <v>87</v>
      </c>
      <c r="B67" s="0" t="s">
        <v>86</v>
      </c>
      <c r="C67" s="17">
        <v>1475</v>
      </c>
      <c r="D67" s="17"/>
      <c r="E67" s="17"/>
      <c r="F67" s="17"/>
      <c r="G67" s="17"/>
      <c r="I67" s="5"/>
    </row>
    <row r="68" outlineLevel="3">
      <c r="A68" s="16" t="s">
        <v>88</v>
      </c>
      <c r="B68" s="0" t="s">
        <v>86</v>
      </c>
      <c r="C68" s="17">
        <v>1486</v>
      </c>
      <c r="D68" s="17"/>
      <c r="E68" s="17"/>
      <c r="F68" s="17"/>
      <c r="G68" s="17"/>
      <c r="I68" s="5"/>
    </row>
    <row r="69" outlineLevel="3">
      <c r="A69" s="16" t="s">
        <v>89</v>
      </c>
      <c r="B69" s="0" t="s">
        <v>86</v>
      </c>
      <c r="C69" s="17">
        <v>1498</v>
      </c>
      <c r="D69" s="17"/>
      <c r="E69" s="17"/>
      <c r="F69" s="17"/>
      <c r="G69" s="17"/>
      <c r="I69" s="5"/>
    </row>
    <row r="70">
      <c r="I70" s="5"/>
    </row>
    <row r="7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6:E66"/>
    <mergeCell ref="C67:E67"/>
    <mergeCell ref="C68:E68"/>
    <mergeCell ref="C69:E69"/>
  </mergeCells>
  <dataValidations count="1">
    <dataValidation type="decimal" sqref="C19" errorStyle="stop" promptTitle="Enter moisture content" errorTitle="Invalid moisture content" prompt="Value should be between 0 and 100.&#10;Original value: 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https://phyllis.nl/Biomass/View/1196</dc:description>
  <dcterms:created xsi:type="dcterms:W3CDTF">2026-03-04T04:06:27Z</dcterms:created>
  <dc:title>Phyllis2 #1196 hemp, fan dried after crushing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