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97 hemp, fan dried" sheetId="1" r:id="rId1"/>
  </sheets>
  <definedNames>
    <definedName name="w" localSheetId="0">IF(ISBLANK('Phyllis2 #1197 hemp, fan dried'!$C$19),#N/A,'Phyllis2 #1197 hemp, fan dried'!$C$19/100)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<sst xmlns="http://schemas.openxmlformats.org/spreadsheetml/2006/main" count="83" uniqueCount="83">
  <si>
    <t>Phyllis2</t>
  </si>
  <si>
    <t>https://phyllis.nl/Biomass/View/1197</t>
  </si>
  <si>
    <t>hemp, fan dried (#1197)</t>
  </si>
  <si>
    <t>ID-number</t>
  </si>
  <si>
    <t>#1197</t>
  </si>
  <si>
    <t>Material</t>
  </si>
  <si>
    <t>hemp, fan dried</t>
  </si>
  <si>
    <t>Classification</t>
  </si>
  <si>
    <t>ECN Phyllis classification &gt; grass/plant &gt; hemp</t>
  </si>
  <si>
    <t>NTA 8003 classification &gt; [200] biomassa uit land- en tuinbouw &gt; [220] stro &gt; [225] hennep</t>
  </si>
  <si>
    <t>Ash type</t>
  </si>
  <si>
    <t>550 degC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</si>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</sst>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9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3.2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IFERROR(7.75*(1-w),"")</f>
        <v>7.502</v>
      </c>
      <c r="D20" s="13">
        <v>7.75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IFERROR(74.3*(1-w),"")</f>
        <v>71.9224</v>
      </c>
      <c r="D21" s="13">
        <v>74.3</v>
      </c>
      <c r="E21" s="13">
        <v>80.5420054200542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IFERROR(17.95*(1-w),"")</f>
        <v>17.375600000000002</v>
      </c>
      <c r="D22" s="13">
        <v>17.950000000000003</v>
      </c>
      <c r="E22" s="13">
        <v>19.457994579945805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IFERROR(45.27*(1-w),"")</f>
        <v>43.82136</v>
      </c>
      <c r="D24" s="13">
        <v>45.27</v>
      </c>
      <c r="E24" s="13">
        <v>49.073170731707322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IFERROR(5.91*(1-w),"")</f>
        <v>5.72088</v>
      </c>
      <c r="D25" s="13">
        <v>5.91</v>
      </c>
      <c r="E25" s="13">
        <v>6.4065040650406511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IFERROR(40.78*(1-w),"")</f>
        <v>39.47504</v>
      </c>
      <c r="D26" s="13">
        <v>40.78</v>
      </c>
      <c r="E26" s="13">
        <v>44.205962059620596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33</v>
      </c>
      <c r="C27" s="13">
        <f>IFERROR(1.265*(1-w),"")</f>
        <v>1.2245199999999998</v>
      </c>
      <c r="D27" s="13">
        <v>1.265</v>
      </c>
      <c r="E27" s="13">
        <v>1.3712737127371273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IFERROR(0.142*(1-w),"")</f>
        <v>0.137456</v>
      </c>
      <c r="D28" s="13">
        <v>0.142</v>
      </c>
      <c r="E28" s="13">
        <v>0.15392953929539294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IFERROR(101.6112*(1-w)+w*100,"")</f>
        <v>101.5596416</v>
      </c>
      <c r="D29" s="13">
        <v>101.61120000000001</v>
      </c>
      <c r="E29" s="13">
        <v>101.74655826558266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IFERROR(4930*(1-w),"")</f>
        <v>4772.24</v>
      </c>
      <c r="D31" s="14">
        <v>4930</v>
      </c>
      <c r="E31" s="14">
        <v>5344.1734417344178</v>
      </c>
      <c r="F31" s="14"/>
      <c r="G31" s="14"/>
      <c r="I31" s="5"/>
      <c r="J31" s="0" t="s">
        <v>40</v>
      </c>
    </row>
    <row r="32" outlineLevel="2">
      <c r="A32" s="12" t="s">
        <v>49</v>
      </c>
      <c r="B32" s="0" t="s">
        <v>48</v>
      </c>
      <c r="C32" s="14">
        <f>IFERROR(12*(1-w),"")</f>
        <v>11.616</v>
      </c>
      <c r="D32" s="14">
        <v>12</v>
      </c>
      <c r="E32" s="14">
        <v>13.008130081300813</v>
      </c>
      <c r="F32" s="14"/>
      <c r="G32" s="14"/>
      <c r="I32" s="5"/>
      <c r="J32" s="0" t="s">
        <v>40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IFERROR(17.14034*(1-w)-w*2.443,"")</f>
        <v>16.51367312</v>
      </c>
      <c r="D34" s="13">
        <v>17.14034</v>
      </c>
      <c r="E34" s="13">
        <v>18.580314363143628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IFERROR(18.43*(1-w),"")</f>
        <v>17.840239999999998</v>
      </c>
      <c r="D35" s="13">
        <v>18.43</v>
      </c>
      <c r="E35" s="13">
        <v>19.978319783197833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IFERROR(18.1050457625*(1-w),"")</f>
        <v>17.5256842981</v>
      </c>
      <c r="D36" s="13">
        <v>18.1050457625</v>
      </c>
      <c r="E36" s="13">
        <v>19.626065867208673</v>
      </c>
      <c r="F36" s="13"/>
      <c r="G36" s="13"/>
      <c r="I36" s="5"/>
      <c r="J36" s="0" t="s">
        <v>37</v>
      </c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4">
        <v>110</v>
      </c>
      <c r="D38" s="14"/>
      <c r="E38" s="14"/>
      <c r="F38" s="14"/>
      <c r="G38" s="14"/>
      <c r="I38" s="5"/>
      <c r="J38" s="0" t="s">
        <v>40</v>
      </c>
    </row>
    <row r="39" outlineLevel="2">
      <c r="A39" s="12" t="s">
        <v>58</v>
      </c>
      <c r="B39" s="0" t="s">
        <v>57</v>
      </c>
      <c r="C39" s="14"/>
      <c r="D39" s="14"/>
      <c r="E39" s="14"/>
      <c r="F39" s="14"/>
      <c r="G39" s="14">
        <v>1.1</v>
      </c>
      <c r="I39" s="5"/>
    </row>
    <row r="40" outlineLevel="2">
      <c r="A40" s="12" t="s">
        <v>59</v>
      </c>
      <c r="B40" s="0" t="s">
        <v>57</v>
      </c>
      <c r="C40" s="14">
        <v>24</v>
      </c>
      <c r="D40" s="14"/>
      <c r="E40" s="14"/>
      <c r="F40" s="14"/>
      <c r="G40" s="14"/>
      <c r="I40" s="5"/>
      <c r="J40" s="0" t="s">
        <v>40</v>
      </c>
    </row>
    <row r="41" outlineLevel="2">
      <c r="A41" s="12" t="s">
        <v>60</v>
      </c>
      <c r="B41" s="0" t="s">
        <v>57</v>
      </c>
      <c r="C41" s="14">
        <v>1.3</v>
      </c>
      <c r="D41" s="14"/>
      <c r="E41" s="14"/>
      <c r="F41" s="14"/>
      <c r="G41" s="14"/>
      <c r="I41" s="5"/>
      <c r="J41" s="0" t="s">
        <v>40</v>
      </c>
    </row>
    <row r="42" outlineLevel="2">
      <c r="A42" s="12" t="s">
        <v>61</v>
      </c>
      <c r="B42" s="0" t="s">
        <v>57</v>
      </c>
      <c r="C42" s="14">
        <v>12600</v>
      </c>
      <c r="D42" s="14"/>
      <c r="E42" s="14"/>
      <c r="F42" s="14"/>
      <c r="G42" s="14"/>
      <c r="I42" s="5"/>
      <c r="J42" s="0" t="s">
        <v>40</v>
      </c>
    </row>
    <row r="43" outlineLevel="2">
      <c r="A43" s="12" t="s">
        <v>62</v>
      </c>
      <c r="B43" s="0" t="s">
        <v>57</v>
      </c>
      <c r="C43" s="14">
        <v>0.2</v>
      </c>
      <c r="D43" s="14"/>
      <c r="E43" s="14"/>
      <c r="F43" s="14"/>
      <c r="G43" s="14"/>
      <c r="I43" s="5"/>
      <c r="J43" s="0" t="s">
        <v>40</v>
      </c>
    </row>
    <row r="44" outlineLevel="2">
      <c r="A44" s="12" t="s">
        <v>63</v>
      </c>
      <c r="B44" s="0" t="s">
        <v>57</v>
      </c>
      <c r="C44" s="14"/>
      <c r="D44" s="14"/>
      <c r="E44" s="14"/>
      <c r="F44" s="14"/>
      <c r="G44" s="14">
        <v>0.6</v>
      </c>
      <c r="I44" s="5"/>
    </row>
    <row r="45" outlineLevel="2">
      <c r="A45" s="12" t="s">
        <v>64</v>
      </c>
      <c r="B45" s="0" t="s">
        <v>57</v>
      </c>
      <c r="C45" s="14">
        <v>0.8</v>
      </c>
      <c r="D45" s="14"/>
      <c r="E45" s="14"/>
      <c r="F45" s="14"/>
      <c r="G45" s="14"/>
      <c r="I45" s="5"/>
      <c r="J45" s="0" t="s">
        <v>40</v>
      </c>
    </row>
    <row r="46" outlineLevel="2">
      <c r="A46" s="12" t="s">
        <v>65</v>
      </c>
      <c r="B46" s="0" t="s">
        <v>57</v>
      </c>
      <c r="C46" s="14">
        <v>7.4</v>
      </c>
      <c r="D46" s="14"/>
      <c r="E46" s="14"/>
      <c r="F46" s="14"/>
      <c r="G46" s="14"/>
      <c r="I46" s="5"/>
      <c r="J46" s="0" t="s">
        <v>40</v>
      </c>
    </row>
    <row r="47" outlineLevel="2">
      <c r="A47" s="12" t="s">
        <v>66</v>
      </c>
      <c r="B47" s="0" t="s">
        <v>57</v>
      </c>
      <c r="C47" s="14">
        <v>160</v>
      </c>
      <c r="D47" s="14"/>
      <c r="E47" s="14"/>
      <c r="F47" s="14"/>
      <c r="G47" s="14"/>
      <c r="I47" s="5"/>
      <c r="J47" s="0" t="s">
        <v>40</v>
      </c>
    </row>
    <row r="48" outlineLevel="2">
      <c r="A48" s="12" t="s">
        <v>67</v>
      </c>
      <c r="B48" s="0" t="s">
        <v>57</v>
      </c>
      <c r="C48" s="14">
        <v>19500</v>
      </c>
      <c r="D48" s="14"/>
      <c r="E48" s="14"/>
      <c r="F48" s="14"/>
      <c r="G48" s="14"/>
      <c r="I48" s="5"/>
      <c r="J48" s="0" t="s">
        <v>40</v>
      </c>
    </row>
    <row r="49" outlineLevel="2">
      <c r="A49" s="12" t="s">
        <v>68</v>
      </c>
      <c r="B49" s="0" t="s">
        <v>57</v>
      </c>
      <c r="C49" s="14">
        <v>1500</v>
      </c>
      <c r="D49" s="14"/>
      <c r="E49" s="14"/>
      <c r="F49" s="14"/>
      <c r="G49" s="14"/>
      <c r="I49" s="5"/>
      <c r="J49" s="0" t="s">
        <v>40</v>
      </c>
    </row>
    <row r="50" outlineLevel="2">
      <c r="A50" s="12" t="s">
        <v>69</v>
      </c>
      <c r="B50" s="0" t="s">
        <v>57</v>
      </c>
      <c r="C50" s="14">
        <v>15</v>
      </c>
      <c r="D50" s="14"/>
      <c r="E50" s="14"/>
      <c r="F50" s="14"/>
      <c r="G50" s="14"/>
      <c r="I50" s="5"/>
      <c r="J50" s="0" t="s">
        <v>40</v>
      </c>
    </row>
    <row r="51" outlineLevel="2">
      <c r="A51" s="12" t="s">
        <v>70</v>
      </c>
      <c r="B51" s="0" t="s">
        <v>57</v>
      </c>
      <c r="C51" s="14">
        <v>0.5</v>
      </c>
      <c r="D51" s="14"/>
      <c r="E51" s="14"/>
      <c r="F51" s="14"/>
      <c r="G51" s="14"/>
      <c r="I51" s="5"/>
      <c r="J51" s="0" t="s">
        <v>40</v>
      </c>
    </row>
    <row r="52" outlineLevel="2">
      <c r="A52" s="12" t="s">
        <v>71</v>
      </c>
      <c r="B52" s="0" t="s">
        <v>57</v>
      </c>
      <c r="C52" s="14">
        <v>330</v>
      </c>
      <c r="D52" s="14"/>
      <c r="E52" s="14"/>
      <c r="F52" s="14"/>
      <c r="G52" s="14"/>
      <c r="I52" s="5"/>
      <c r="J52" s="0" t="s">
        <v>40</v>
      </c>
    </row>
    <row r="53" outlineLevel="2">
      <c r="A53" s="12" t="s">
        <v>72</v>
      </c>
      <c r="B53" s="0" t="s">
        <v>57</v>
      </c>
      <c r="C53" s="14">
        <v>1.3</v>
      </c>
      <c r="D53" s="14"/>
      <c r="E53" s="14"/>
      <c r="F53" s="14"/>
      <c r="G53" s="14"/>
      <c r="I53" s="5"/>
      <c r="J53" s="0" t="s">
        <v>40</v>
      </c>
    </row>
    <row r="54" outlineLevel="2">
      <c r="A54" s="12" t="s">
        <v>73</v>
      </c>
      <c r="B54" s="0" t="s">
        <v>57</v>
      </c>
      <c r="C54" s="14">
        <v>2340</v>
      </c>
      <c r="D54" s="14"/>
      <c r="E54" s="14"/>
      <c r="F54" s="14"/>
      <c r="G54" s="14"/>
      <c r="I54" s="5"/>
      <c r="J54" s="0" t="s">
        <v>40</v>
      </c>
    </row>
    <row r="55" outlineLevel="2">
      <c r="A55" s="12" t="s">
        <v>74</v>
      </c>
      <c r="B55" s="0" t="s">
        <v>57</v>
      </c>
      <c r="C55" s="14"/>
      <c r="D55" s="14"/>
      <c r="E55" s="14"/>
      <c r="F55" s="14"/>
      <c r="G55" s="14">
        <v>3</v>
      </c>
      <c r="I55" s="5"/>
    </row>
    <row r="56" outlineLevel="2">
      <c r="A56" s="12" t="s">
        <v>75</v>
      </c>
      <c r="B56" s="0" t="s">
        <v>57</v>
      </c>
      <c r="C56" s="14"/>
      <c r="D56" s="14"/>
      <c r="E56" s="14"/>
      <c r="F56" s="14"/>
      <c r="G56" s="14">
        <v>1.2</v>
      </c>
      <c r="I56" s="5"/>
    </row>
    <row r="57" outlineLevel="2">
      <c r="A57" s="12" t="s">
        <v>76</v>
      </c>
      <c r="B57" s="0" t="s">
        <v>57</v>
      </c>
      <c r="C57" s="14"/>
      <c r="D57" s="14"/>
      <c r="E57" s="14"/>
      <c r="F57" s="14"/>
      <c r="G57" s="14">
        <v>0.9</v>
      </c>
      <c r="I57" s="5"/>
    </row>
    <row r="58" outlineLevel="2">
      <c r="A58" s="12" t="s">
        <v>77</v>
      </c>
      <c r="B58" s="0" t="s">
        <v>57</v>
      </c>
      <c r="C58" s="14">
        <v>3500</v>
      </c>
      <c r="D58" s="14"/>
      <c r="E58" s="14"/>
      <c r="F58" s="14"/>
      <c r="G58" s="14"/>
      <c r="I58" s="5"/>
      <c r="J58" s="0" t="s">
        <v>40</v>
      </c>
    </row>
    <row r="59" outlineLevel="2">
      <c r="A59" s="12" t="s">
        <v>78</v>
      </c>
      <c r="B59" s="0" t="s">
        <v>57</v>
      </c>
      <c r="C59" s="14">
        <v>2.2</v>
      </c>
      <c r="D59" s="14"/>
      <c r="E59" s="14"/>
      <c r="F59" s="14"/>
      <c r="G59" s="14"/>
      <c r="I59" s="5"/>
      <c r="J59" s="0" t="s">
        <v>40</v>
      </c>
    </row>
    <row r="60" outlineLevel="2">
      <c r="A60" s="12" t="s">
        <v>79</v>
      </c>
      <c r="B60" s="0" t="s">
        <v>57</v>
      </c>
      <c r="C60" s="14">
        <v>40</v>
      </c>
      <c r="D60" s="14"/>
      <c r="E60" s="14"/>
      <c r="F60" s="14"/>
      <c r="G60" s="14"/>
      <c r="I60" s="5"/>
      <c r="J60" s="0" t="s">
        <v>40</v>
      </c>
    </row>
    <row r="61" outlineLevel="2">
      <c r="A61" s="12" t="s">
        <v>80</v>
      </c>
      <c r="B61" s="0" t="s">
        <v>57</v>
      </c>
      <c r="C61" s="14">
        <v>5.9</v>
      </c>
      <c r="D61" s="14"/>
      <c r="E61" s="14"/>
      <c r="F61" s="14"/>
      <c r="G61" s="14"/>
      <c r="I61" s="5"/>
      <c r="J61" s="0" t="s">
        <v>40</v>
      </c>
    </row>
    <row r="62" outlineLevel="2">
      <c r="A62" s="12" t="s">
        <v>81</v>
      </c>
      <c r="B62" s="0" t="s">
        <v>57</v>
      </c>
      <c r="C62" s="14">
        <v>0.4</v>
      </c>
      <c r="D62" s="14"/>
      <c r="E62" s="14"/>
      <c r="F62" s="14"/>
      <c r="G62" s="14"/>
      <c r="I62" s="5"/>
      <c r="J62" s="0" t="s">
        <v>40</v>
      </c>
    </row>
    <row r="63" outlineLevel="2">
      <c r="A63" s="12" t="s">
        <v>82</v>
      </c>
      <c r="B63" s="0" t="s">
        <v>57</v>
      </c>
      <c r="C63" s="14">
        <v>19</v>
      </c>
      <c r="D63" s="14"/>
      <c r="E63" s="14"/>
      <c r="F63" s="14"/>
      <c r="G63" s="14"/>
      <c r="I63" s="5"/>
      <c r="J63" s="0" t="s">
        <v>40</v>
      </c>
    </row>
    <row r="64">
      <c r="I64" s="5"/>
    </row>
    <row r="6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</mergeCells>
  <dataValidations count="1">
    <dataValidation type="decimal" sqref="C19" errorStyle="stop" promptTitle="Enter moisture content" errorTitle="Invalid moisture content" prompt="Value should be between 0 and 100.&#10;Original value: 3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https://phyllis.nl/Biomass/View/1197</dc:description>
  <dcterms:created xsi:type="dcterms:W3CDTF">2026-03-04T04:06:22Z</dcterms:created>
  <dc:title>Phyllis2 #1197 hemp, fan dried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