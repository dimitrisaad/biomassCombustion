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98 hemp, crushed, b" sheetId="1" r:id="rId1"/>
  </sheets>
  <definedNames>
    <definedName name="w" localSheetId="0">IF(ISBLANK('Phyllis2 #1198 hemp, crushed, b'!$C$19),#N/A,'Phyllis2 #1198 hemp, crushed, b'!$C$19/100)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<sst xmlns="http://schemas.openxmlformats.org/spreadsheetml/2006/main" count="90" uniqueCount="90">
  <si>
    <t>Phyllis2</t>
  </si>
  <si>
    <t>https://phyllis.nl/Biomass/View/1198</t>
  </si>
  <si>
    <t>hemp, crushed, baled (#1198)</t>
  </si>
  <si>
    <t>ID-number</t>
  </si>
  <si>
    <t>#1198</t>
  </si>
  <si>
    <t>Material</t>
  </si>
  <si>
    <t>hemp, crushed, baled</t>
  </si>
  <si>
    <t>Classification</t>
  </si>
  <si>
    <t>ECN Phyllis classification &gt; grass/plant &gt; hemp</t>
  </si>
  <si>
    <t>NTA 8003 classification &gt; [200] biomassa uit land- en tuinbouw &gt; [220] stro &gt; [225] hennep</t>
  </si>
  <si>
    <t>Ash type</t>
  </si>
  <si>
    <t>550 degC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</si>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</sst>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3.3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IFERROR(8.74*(1-w),"")</f>
        <v>8.45158</v>
      </c>
      <c r="D20" s="13">
        <v>8.74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IFERROR(72.6*(1-w),"")</f>
        <v>70.204199999999986</v>
      </c>
      <c r="D21" s="13">
        <v>72.6</v>
      </c>
      <c r="E21" s="13">
        <v>79.552925706771859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IFERROR(18.66*(1-w),"")</f>
        <v>18.04422000000001</v>
      </c>
      <c r="D22" s="13">
        <v>18.660000000000011</v>
      </c>
      <c r="E22" s="13">
        <v>20.447074293228152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IFERROR(44.8*(1-w),"")</f>
        <v>43.3216</v>
      </c>
      <c r="D24" s="13">
        <v>44.8</v>
      </c>
      <c r="E24" s="13">
        <v>49.090510628972169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IFERROR(5.88*(1-w),"")</f>
        <v>5.68596</v>
      </c>
      <c r="D25" s="13">
        <v>5.88</v>
      </c>
      <c r="E25" s="13">
        <v>6.4431295200525973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IFERROR(40.89*(1-w),"")</f>
        <v>39.54063</v>
      </c>
      <c r="D26" s="13">
        <v>40.89</v>
      </c>
      <c r="E26" s="13">
        <v>44.8060486522025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IFERROR(1.38*(1-w),"")</f>
        <v>1.3344599999999998</v>
      </c>
      <c r="D27" s="13">
        <v>1.38</v>
      </c>
      <c r="E27" s="13">
        <v>1.5121630506245891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IFERROR(0.167*(1-w),"")</f>
        <v>0.161489</v>
      </c>
      <c r="D28" s="13">
        <v>0.167</v>
      </c>
      <c r="E28" s="13">
        <v>0.18299364453210609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IFERROR(102.4141*(1-w)+w*100,"")</f>
        <v>102.33443469999999</v>
      </c>
      <c r="D29" s="13">
        <v>102.41409999999999</v>
      </c>
      <c r="E29" s="13">
        <v>102.64529914529915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IFERROR(5560*(1-w),"")</f>
        <v>5376.5199999999995</v>
      </c>
      <c r="D31" s="14">
        <v>5560</v>
      </c>
      <c r="E31" s="14">
        <v>6092.4830155599393</v>
      </c>
      <c r="F31" s="14"/>
      <c r="G31" s="14"/>
      <c r="I31" s="5"/>
      <c r="J31" s="0" t="s">
        <v>40</v>
      </c>
    </row>
    <row r="32" outlineLevel="2">
      <c r="A32" s="12" t="s">
        <v>49</v>
      </c>
      <c r="B32" s="0" t="s">
        <v>48</v>
      </c>
      <c r="C32" s="14">
        <f>IFERROR(11*(1-w),"")</f>
        <v>10.637</v>
      </c>
      <c r="D32" s="14">
        <v>11</v>
      </c>
      <c r="E32" s="14">
        <v>12.053473591935131</v>
      </c>
      <c r="F32" s="14"/>
      <c r="G32" s="14"/>
      <c r="I32" s="5"/>
      <c r="J32" s="0" t="s">
        <v>40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IFERROR(17.09688*(1-w)-w*2.443,"")</f>
        <v>16.45206396</v>
      </c>
      <c r="D34" s="13">
        <v>17.09688</v>
      </c>
      <c r="E34" s="13">
        <v>18.734253780407627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IFERROR(18.38*(1-w),"")</f>
        <v>17.77346</v>
      </c>
      <c r="D35" s="13">
        <v>18.38</v>
      </c>
      <c r="E35" s="13">
        <v>20.140258601797061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IFERROR(17.8671815028*(1-w),"")</f>
        <v>17.2775645132076</v>
      </c>
      <c r="D36" s="13">
        <v>17.8671815028</v>
      </c>
      <c r="E36" s="13">
        <v>19.578327309664697</v>
      </c>
      <c r="F36" s="13"/>
      <c r="G36" s="13"/>
      <c r="I36" s="5"/>
      <c r="J36" s="0" t="s">
        <v>37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260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57</v>
      </c>
      <c r="C39" s="14"/>
      <c r="D39" s="14"/>
      <c r="E39" s="14"/>
      <c r="F39" s="14"/>
      <c r="G39" s="14">
        <v>1.1</v>
      </c>
      <c r="I39" s="5"/>
    </row>
    <row r="40" outlineLevel="2">
      <c r="A40" s="12" t="s">
        <v>59</v>
      </c>
      <c r="B40" s="0" t="s">
        <v>57</v>
      </c>
      <c r="C40" s="14">
        <v>24</v>
      </c>
      <c r="D40" s="14"/>
      <c r="E40" s="14"/>
      <c r="F40" s="14"/>
      <c r="G40" s="14"/>
      <c r="I40" s="5"/>
      <c r="J40" s="0" t="s">
        <v>40</v>
      </c>
    </row>
    <row r="41" outlineLevel="2">
      <c r="A41" s="12" t="s">
        <v>60</v>
      </c>
      <c r="B41" s="0" t="s">
        <v>57</v>
      </c>
      <c r="C41" s="14">
        <v>2.2</v>
      </c>
      <c r="D41" s="14"/>
      <c r="E41" s="14"/>
      <c r="F41" s="14"/>
      <c r="G41" s="14"/>
      <c r="I41" s="5"/>
      <c r="J41" s="0" t="s">
        <v>40</v>
      </c>
    </row>
    <row r="42" outlineLevel="2">
      <c r="A42" s="12" t="s">
        <v>61</v>
      </c>
      <c r="B42" s="0" t="s">
        <v>57</v>
      </c>
      <c r="C42" s="14">
        <v>13600</v>
      </c>
      <c r="D42" s="14"/>
      <c r="E42" s="14"/>
      <c r="F42" s="14"/>
      <c r="G42" s="14"/>
      <c r="I42" s="5"/>
      <c r="J42" s="0" t="s">
        <v>40</v>
      </c>
    </row>
    <row r="43" outlineLevel="2">
      <c r="A43" s="12" t="s">
        <v>62</v>
      </c>
      <c r="B43" s="0" t="s">
        <v>57</v>
      </c>
      <c r="C43" s="14">
        <v>0.6</v>
      </c>
      <c r="D43" s="14"/>
      <c r="E43" s="14"/>
      <c r="F43" s="14"/>
      <c r="G43" s="14"/>
      <c r="I43" s="5"/>
      <c r="J43" s="0" t="s">
        <v>40</v>
      </c>
    </row>
    <row r="44" outlineLevel="2">
      <c r="A44" s="12" t="s">
        <v>63</v>
      </c>
      <c r="B44" s="0" t="s">
        <v>57</v>
      </c>
      <c r="C44" s="14"/>
      <c r="D44" s="14"/>
      <c r="E44" s="14"/>
      <c r="F44" s="14"/>
      <c r="G44" s="14">
        <v>0.6</v>
      </c>
      <c r="I44" s="5"/>
    </row>
    <row r="45" outlineLevel="2">
      <c r="A45" s="12" t="s">
        <v>64</v>
      </c>
      <c r="B45" s="0" t="s">
        <v>57</v>
      </c>
      <c r="C45" s="14">
        <v>2.1</v>
      </c>
      <c r="D45" s="14"/>
      <c r="E45" s="14"/>
      <c r="F45" s="14"/>
      <c r="G45" s="14"/>
      <c r="I45" s="5"/>
      <c r="J45" s="0" t="s">
        <v>40</v>
      </c>
    </row>
    <row r="46" outlineLevel="2">
      <c r="A46" s="12" t="s">
        <v>65</v>
      </c>
      <c r="B46" s="0" t="s">
        <v>57</v>
      </c>
      <c r="C46" s="14">
        <v>7.9</v>
      </c>
      <c r="D46" s="14"/>
      <c r="E46" s="14"/>
      <c r="F46" s="14"/>
      <c r="G46" s="14"/>
      <c r="I46" s="5"/>
      <c r="J46" s="0" t="s">
        <v>40</v>
      </c>
    </row>
    <row r="47" outlineLevel="2">
      <c r="A47" s="12" t="s">
        <v>66</v>
      </c>
      <c r="B47" s="0" t="s">
        <v>57</v>
      </c>
      <c r="C47" s="14">
        <v>340</v>
      </c>
      <c r="D47" s="14"/>
      <c r="E47" s="14"/>
      <c r="F47" s="14"/>
      <c r="G47" s="14"/>
      <c r="I47" s="5"/>
      <c r="J47" s="0" t="s">
        <v>40</v>
      </c>
    </row>
    <row r="48" outlineLevel="2">
      <c r="A48" s="12" t="s">
        <v>67</v>
      </c>
      <c r="B48" s="0" t="s">
        <v>57</v>
      </c>
      <c r="C48" s="14">
        <v>21000</v>
      </c>
      <c r="D48" s="14"/>
      <c r="E48" s="14"/>
      <c r="F48" s="14"/>
      <c r="G48" s="14"/>
      <c r="I48" s="5"/>
      <c r="J48" s="0" t="s">
        <v>40</v>
      </c>
    </row>
    <row r="49" outlineLevel="2">
      <c r="A49" s="12" t="s">
        <v>68</v>
      </c>
      <c r="B49" s="0" t="s">
        <v>57</v>
      </c>
      <c r="C49" s="14">
        <v>1620</v>
      </c>
      <c r="D49" s="14"/>
      <c r="E49" s="14"/>
      <c r="F49" s="14"/>
      <c r="G49" s="14"/>
      <c r="I49" s="5"/>
      <c r="J49" s="0" t="s">
        <v>40</v>
      </c>
    </row>
    <row r="50" outlineLevel="2">
      <c r="A50" s="12" t="s">
        <v>69</v>
      </c>
      <c r="B50" s="0" t="s">
        <v>57</v>
      </c>
      <c r="C50" s="14">
        <v>21</v>
      </c>
      <c r="D50" s="14"/>
      <c r="E50" s="14"/>
      <c r="F50" s="14"/>
      <c r="G50" s="14"/>
      <c r="I50" s="5"/>
      <c r="J50" s="0" t="s">
        <v>40</v>
      </c>
    </row>
    <row r="51" outlineLevel="2">
      <c r="A51" s="12" t="s">
        <v>70</v>
      </c>
      <c r="B51" s="0" t="s">
        <v>57</v>
      </c>
      <c r="C51" s="14">
        <v>0.4</v>
      </c>
      <c r="D51" s="14"/>
      <c r="E51" s="14"/>
      <c r="F51" s="14"/>
      <c r="G51" s="14"/>
      <c r="I51" s="5"/>
      <c r="J51" s="0" t="s">
        <v>40</v>
      </c>
    </row>
    <row r="52" outlineLevel="2">
      <c r="A52" s="12" t="s">
        <v>71</v>
      </c>
      <c r="B52" s="0" t="s">
        <v>57</v>
      </c>
      <c r="C52" s="14">
        <v>190</v>
      </c>
      <c r="D52" s="14"/>
      <c r="E52" s="14"/>
      <c r="F52" s="14"/>
      <c r="G52" s="14"/>
      <c r="I52" s="5"/>
      <c r="J52" s="0" t="s">
        <v>40</v>
      </c>
    </row>
    <row r="53" outlineLevel="2">
      <c r="A53" s="12" t="s">
        <v>72</v>
      </c>
      <c r="B53" s="0" t="s">
        <v>57</v>
      </c>
      <c r="C53" s="14">
        <v>1.8</v>
      </c>
      <c r="D53" s="14"/>
      <c r="E53" s="14"/>
      <c r="F53" s="14"/>
      <c r="G53" s="14"/>
      <c r="I53" s="5"/>
      <c r="J53" s="0" t="s">
        <v>40</v>
      </c>
    </row>
    <row r="54" outlineLevel="2">
      <c r="A54" s="12" t="s">
        <v>73</v>
      </c>
      <c r="B54" s="0" t="s">
        <v>57</v>
      </c>
      <c r="C54" s="14">
        <v>2500</v>
      </c>
      <c r="D54" s="14"/>
      <c r="E54" s="14"/>
      <c r="F54" s="14"/>
      <c r="G54" s="14"/>
      <c r="I54" s="5"/>
      <c r="J54" s="0" t="s">
        <v>40</v>
      </c>
    </row>
    <row r="55" outlineLevel="2">
      <c r="A55" s="12" t="s">
        <v>74</v>
      </c>
      <c r="B55" s="0" t="s">
        <v>57</v>
      </c>
      <c r="C55" s="14"/>
      <c r="D55" s="14"/>
      <c r="E55" s="14"/>
      <c r="F55" s="14"/>
      <c r="G55" s="14">
        <v>3</v>
      </c>
      <c r="I55" s="5"/>
    </row>
    <row r="56" outlineLevel="2">
      <c r="A56" s="12" t="s">
        <v>75</v>
      </c>
      <c r="B56" s="0" t="s">
        <v>57</v>
      </c>
      <c r="C56" s="14"/>
      <c r="D56" s="14"/>
      <c r="E56" s="14"/>
      <c r="F56" s="14"/>
      <c r="G56" s="14">
        <v>1.2</v>
      </c>
      <c r="I56" s="5"/>
    </row>
    <row r="57" outlineLevel="2">
      <c r="A57" s="12" t="s">
        <v>76</v>
      </c>
      <c r="B57" s="0" t="s">
        <v>57</v>
      </c>
      <c r="C57" s="14"/>
      <c r="D57" s="14"/>
      <c r="E57" s="14"/>
      <c r="F57" s="14"/>
      <c r="G57" s="14">
        <v>0.9</v>
      </c>
      <c r="I57" s="5"/>
    </row>
    <row r="58" outlineLevel="2">
      <c r="A58" s="12" t="s">
        <v>77</v>
      </c>
      <c r="B58" s="0" t="s">
        <v>57</v>
      </c>
      <c r="C58" s="14">
        <v>4300</v>
      </c>
      <c r="D58" s="14"/>
      <c r="E58" s="14"/>
      <c r="F58" s="14"/>
      <c r="G58" s="14"/>
      <c r="I58" s="5"/>
      <c r="J58" s="0" t="s">
        <v>40</v>
      </c>
    </row>
    <row r="59" outlineLevel="2">
      <c r="A59" s="12" t="s">
        <v>78</v>
      </c>
      <c r="B59" s="0" t="s">
        <v>57</v>
      </c>
      <c r="C59" s="14">
        <v>7.6</v>
      </c>
      <c r="D59" s="14"/>
      <c r="E59" s="14"/>
      <c r="F59" s="14"/>
      <c r="G59" s="14"/>
      <c r="I59" s="5"/>
      <c r="J59" s="0" t="s">
        <v>40</v>
      </c>
    </row>
    <row r="60" outlineLevel="2">
      <c r="A60" s="12" t="s">
        <v>79</v>
      </c>
      <c r="B60" s="0" t="s">
        <v>57</v>
      </c>
      <c r="C60" s="14">
        <v>38</v>
      </c>
      <c r="D60" s="14"/>
      <c r="E60" s="14"/>
      <c r="F60" s="14"/>
      <c r="G60" s="14"/>
      <c r="I60" s="5"/>
      <c r="J60" s="0" t="s">
        <v>40</v>
      </c>
    </row>
    <row r="61" outlineLevel="2">
      <c r="A61" s="12" t="s">
        <v>80</v>
      </c>
      <c r="B61" s="0" t="s">
        <v>57</v>
      </c>
      <c r="C61" s="14">
        <v>12</v>
      </c>
      <c r="D61" s="14"/>
      <c r="E61" s="14"/>
      <c r="F61" s="14"/>
      <c r="G61" s="14"/>
      <c r="I61" s="5"/>
      <c r="J61" s="0" t="s">
        <v>40</v>
      </c>
    </row>
    <row r="62" outlineLevel="2">
      <c r="A62" s="12" t="s">
        <v>81</v>
      </c>
      <c r="B62" s="0" t="s">
        <v>57</v>
      </c>
      <c r="C62" s="14">
        <v>0.7</v>
      </c>
      <c r="D62" s="14"/>
      <c r="E62" s="14"/>
      <c r="F62" s="14"/>
      <c r="G62" s="14"/>
      <c r="I62" s="5"/>
      <c r="J62" s="0" t="s">
        <v>40</v>
      </c>
    </row>
    <row r="63" outlineLevel="2">
      <c r="A63" s="12" t="s">
        <v>82</v>
      </c>
      <c r="B63" s="0" t="s">
        <v>57</v>
      </c>
      <c r="C63" s="14">
        <v>21</v>
      </c>
      <c r="D63" s="14"/>
      <c r="E63" s="14"/>
      <c r="F63" s="14"/>
      <c r="G63" s="14"/>
      <c r="I63" s="5"/>
      <c r="J63" s="0" t="s">
        <v>40</v>
      </c>
    </row>
    <row r="64" outlineLevel="1">
      <c r="A64" s="11" t="s">
        <v>83</v>
      </c>
      <c r="I64" s="5"/>
    </row>
    <row r="65" outlineLevel="2">
      <c r="A65" s="15" t="s">
        <v>84</v>
      </c>
      <c r="I65" s="5"/>
    </row>
    <row r="66" outlineLevel="3">
      <c r="A66" s="16" t="s">
        <v>85</v>
      </c>
      <c r="B66" s="0" t="s">
        <v>86</v>
      </c>
      <c r="C66" s="17">
        <v>1315</v>
      </c>
      <c r="D66" s="17"/>
      <c r="E66" s="17"/>
      <c r="F66" s="17"/>
      <c r="G66" s="17"/>
      <c r="I66" s="5"/>
    </row>
    <row r="67" outlineLevel="3">
      <c r="A67" s="16" t="s">
        <v>87</v>
      </c>
      <c r="B67" s="0" t="s">
        <v>86</v>
      </c>
      <c r="C67" s="17">
        <v>1441</v>
      </c>
      <c r="D67" s="17"/>
      <c r="E67" s="17"/>
      <c r="F67" s="17"/>
      <c r="G67" s="17"/>
      <c r="I67" s="5"/>
    </row>
    <row r="68" outlineLevel="3">
      <c r="A68" s="16" t="s">
        <v>88</v>
      </c>
      <c r="B68" s="0" t="s">
        <v>86</v>
      </c>
      <c r="C68" s="17">
        <v>1451</v>
      </c>
      <c r="D68" s="17"/>
      <c r="E68" s="17"/>
      <c r="F68" s="17"/>
      <c r="G68" s="17"/>
      <c r="I68" s="5"/>
    </row>
    <row r="69" outlineLevel="3">
      <c r="A69" s="16" t="s">
        <v>89</v>
      </c>
      <c r="B69" s="0" t="s">
        <v>86</v>
      </c>
      <c r="C69" s="17">
        <v>1456</v>
      </c>
      <c r="D69" s="17"/>
      <c r="E69" s="17"/>
      <c r="F69" s="17"/>
      <c r="G69" s="17"/>
      <c r="I69" s="5"/>
    </row>
    <row r="70">
      <c r="I70" s="5"/>
    </row>
    <row r="7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  <mergeCell ref="C67:E67"/>
    <mergeCell ref="C68:E68"/>
    <mergeCell ref="C69:E69"/>
  </mergeCells>
  <dataValidations count="1">
    <dataValidation type="decimal" sqref="C19" errorStyle="stop" promptTitle="Enter moisture content" errorTitle="Invalid moisture content" prompt="Value should be between 0 and 100.&#10;Original value: 3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https://phyllis.nl/Biomass/View/1198</dc:description>
  <dcterms:created xsi:type="dcterms:W3CDTF">2026-03-04T04:06:15Z</dcterms:created>
  <dc:title>Phyllis2 #1198 hemp, crushed, baled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