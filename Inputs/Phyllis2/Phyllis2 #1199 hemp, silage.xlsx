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9 hemp, silage" sheetId="1" r:id="rId1"/>
  </sheets>
  <definedNames>
    <definedName name="w" localSheetId="0">IF(ISBLANK('Phyllis2 #1199 hemp, silage'!$C$20),#N/A,'Phyllis2 #1199 hemp, silage'!$C$20/100)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<sst xmlns="http://schemas.openxmlformats.org/spreadsheetml/2006/main" count="84" uniqueCount="84">
  <si>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</si>
  <si>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https://phyllis.nl/Biomass/View/1199</t>
  </si>
  <si>
    <t>hemp, silage (#1199)</t>
  </si>
  <si>
    <t>ID-number</t>
  </si>
  <si>
    <t>#1199</t>
  </si>
  <si>
    <t>Material</t>
  </si>
  <si>
    <t>hemp, silage</t>
  </si>
  <si>
    <t>Classification</t>
  </si>
  <si>
    <t>ECN Phyllis classification &gt; grass/plant &gt; hemp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</si>
  <si>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</si>
  <si>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</si>
  <si>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</si>
  <si>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</si>
  <si>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</si>
  <si>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</si>
  <si>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Remarks</t>
  </si>
  <si>
    <t>silage from September to January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</si>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</sst>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1.5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IFERROR(8.28*(1-w),"")</f>
        <v>8.1558</v>
      </c>
      <c r="D21" s="13">
        <v>8.28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IFERROR(74.5*(1-w),"")</f>
        <v>73.3825</v>
      </c>
      <c r="D22" s="13">
        <v>74.5</v>
      </c>
      <c r="E22" s="13">
        <v>81.225468818142176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IFERROR(17.22*(1-w),"")</f>
        <v>16.961699999999997</v>
      </c>
      <c r="D23" s="13">
        <v>17.22</v>
      </c>
      <c r="E23" s="13">
        <v>18.774531181857828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IFERROR(46.17*(1-w),"")</f>
        <v>45.477450000000005</v>
      </c>
      <c r="D25" s="13">
        <v>46.17</v>
      </c>
      <c r="E25" s="13">
        <v>50.337985172263409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IFERROR(5.9*(1-w),"")</f>
        <v>5.8115000000000006</v>
      </c>
      <c r="D26" s="13">
        <v>5.9</v>
      </c>
      <c r="E26" s="13">
        <v>6.4326210204971659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IFERROR(40.14*(1-w),"")</f>
        <v>39.5379</v>
      </c>
      <c r="D27" s="13">
        <v>40.14</v>
      </c>
      <c r="E27" s="13">
        <v>43.763628434365458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IFERROR(1.14*(1-w),"")</f>
        <v>1.1228999999999998</v>
      </c>
      <c r="D28" s="13">
        <v>1.14</v>
      </c>
      <c r="E28" s="13">
        <v>1.2429132141299606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IFERROR(0.16*(1-w),"")</f>
        <v>0.1576</v>
      </c>
      <c r="D29" s="13">
        <v>0.16</v>
      </c>
      <c r="E29" s="13">
        <v>0.17444395987788922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IFERROR(102.294*(1-w)+w*100,"")</f>
        <v>102.25959</v>
      </c>
      <c r="D30" s="13">
        <v>102.29400000000001</v>
      </c>
      <c r="E30" s="13">
        <v>102.50109027474925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IFERROR(5030*(1-w),"")</f>
        <v>4954.55</v>
      </c>
      <c r="D32" s="14">
        <v>5030</v>
      </c>
      <c r="E32" s="14">
        <v>5484.0819886611425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9.85</v>
      </c>
      <c r="D33" s="14">
        <v>10</v>
      </c>
      <c r="E33" s="14">
        <v>10.902747492368077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IFERROR(18.21252*(1-w)-w*2.443,"")</f>
        <v>17.902687200000003</v>
      </c>
      <c r="D35" s="13">
        <v>18.21252</v>
      </c>
      <c r="E35" s="13">
        <v>19.856650675970346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IFERROR(19.5*(1-w),"")</f>
        <v>19.2075</v>
      </c>
      <c r="D36" s="13">
        <v>19.5</v>
      </c>
      <c r="E36" s="13">
        <v>21.260357610117751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IFERROR(18.4849514352*(1-w),"")</f>
        <v>18.207677163672003</v>
      </c>
      <c r="D37" s="13">
        <v>18.484951435200003</v>
      </c>
      <c r="E37" s="13">
        <v>20.153675790667251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61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30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1.2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15300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0.1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0.8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9.5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150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15400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2000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15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0.5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440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1.9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2820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6400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44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4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23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1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https://phyllis.nl/Biomass/View/1199</dc:description>
  <dcterms:created xsi:type="dcterms:W3CDTF">2026-03-04T04:06:33Z</dcterms:created>
  <dc:title>Phyllis2 #1199 hemp, silage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