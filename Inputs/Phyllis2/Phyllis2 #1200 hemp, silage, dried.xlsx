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200 hemp, silage, dr" sheetId="1" r:id="rId1"/>
  </sheets>
  <definedNames>
    <definedName name="w" localSheetId="0">IF(ISBLANK('Phyllis2 #1200 hemp, silage, dr'!$C$20),#N/A,'Phyllis2 #1200 hemp, silage, dr'!$C$20/100)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<sst xmlns="http://schemas.openxmlformats.org/spreadsheetml/2006/main" count="80" uniqueCount="80">
  <si>
    <t>Phyllis2</t>
  </si>
  <si>
    <t>https://phyllis.nl/Biomass/View/1200</t>
  </si>
  <si>
    <t>hemp, silage, dried (#1200)</t>
  </si>
  <si>
    <t>ID-number</t>
  </si>
  <si>
    <t>#1200</t>
  </si>
  <si>
    <t>Material</t>
  </si>
  <si>
    <t>hemp, silage, dried</t>
  </si>
  <si>
    <t>Classification</t>
  </si>
  <si>
    <t>ECN Phyllis classification &gt; grass/plant &gt; hemp</t>
  </si>
  <si>
    <t>NTA 8003 classification &gt; [200] biomassa uit land- en tuinbouw &gt; [220] stro &gt; [225] hennep</t>
  </si>
  <si>
    <t>Ash type</t>
  </si>
  <si>
    <t>550 degC</t>
  </si>
  <si>
    <t>Submitter organisation</t>
  </si>
  <si>
    <t>ECN (Netherlands)</t>
  </si>
  <si>
    <t>Submission date</t>
  </si>
  <si>
    <t>Remarks</t>
  </si>
  <si>
    <t>silage from September to January, squeeze dried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</si>
  <si>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</si>
  <si>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</si>
  <si>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</si>
  <si>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</si>
  <si>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</si>
  <si>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</si>
  <si>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</si>
  <si>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</si>
  <si>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</si>
  <si>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</si>
  <si>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</si>
  <si>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</si>
  <si>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</si>
  <si>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</si>
  <si>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</si>
  <si>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</si>
  <si>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</si>
  <si>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</si>
  <si>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</si>
  <si>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</si>
  <si>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</si>
  <si>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</si>
  <si>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</si>
  <si>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</si>
  <si>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</si>
  <si>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</si>
  <si>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</si>
  <si>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</si>
  <si>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</si>
  <si>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</si>
  <si>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</si>
  <si>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</si>
  <si>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</si>
  <si>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</si>
  <si>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</si>
  <si>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</si>
  <si>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Aluminium (Al)</t>
  </si>
  <si>
    <t>mg/kg (dry)</t>
  </si>
  <si>
    <t>Arsenic (As)</t>
  </si>
  <si>
    <t>Boron (B)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</si>
  <si>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</si>
  <si>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</si>
  <si>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</si>
  <si>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</si>
  <si>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</si>
  <si>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</si>
  <si>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</si>
  <si>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</si>
  <si>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</si>
  <si>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</si>
  <si>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</si>
  <si>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</si>
  <si>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</si>
  <si>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</si>
  <si>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</si>
  <si>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</si>
  <si>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Selenium (Se)</t>
  </si>
  <si>
    <t>Silicon (Si)</t>
  </si>
  <si>
    <t>Tin (Sn)</t>
  </si>
  <si>
    <t>Strontium (Sr)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</si>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</sst>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20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35926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2.8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IFERROR(7.06*(1-w),"")</f>
        <v>6.8623199999999995</v>
      </c>
      <c r="D21" s="13">
        <v>7.06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IFERROR(75.2*(1-w),"")</f>
        <v>73.094400000000007</v>
      </c>
      <c r="D22" s="13">
        <v>75.2</v>
      </c>
      <c r="E22" s="13">
        <v>80.912416612868526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IFERROR(17.74*(1-w),"")</f>
        <v>17.243279999999995</v>
      </c>
      <c r="D23" s="13">
        <v>17.739999999999995</v>
      </c>
      <c r="E23" s="13">
        <v>19.087583387131478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IFERROR(46.58*(1-w),"")</f>
        <v>45.27576</v>
      </c>
      <c r="D25" s="13">
        <v>46.58</v>
      </c>
      <c r="E25" s="13">
        <v>50.118355928556056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IFERROR(5.9*(1-w),"")</f>
        <v>5.7348</v>
      </c>
      <c r="D26" s="13">
        <v>5.9</v>
      </c>
      <c r="E26" s="13">
        <v>6.3481816225521843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IFERROR(39.63*(1-w),"")</f>
        <v>38.520360000000004</v>
      </c>
      <c r="D27" s="13">
        <v>39.63</v>
      </c>
      <c r="E27" s="13">
        <v>42.64041316978696</v>
      </c>
      <c r="F27" s="13"/>
      <c r="G27" s="13"/>
      <c r="I27" s="5"/>
      <c r="J27" s="0" t="s">
        <v>41</v>
      </c>
    </row>
    <row r="28" outlineLevel="2">
      <c r="A28" s="12" t="s">
        <v>44</v>
      </c>
      <c r="B28" s="0" t="s">
        <v>34</v>
      </c>
      <c r="C28" s="13">
        <f>IFERROR(1.135*(1-w),"")</f>
        <v>1.10322</v>
      </c>
      <c r="D28" s="13">
        <v>1.135</v>
      </c>
      <c r="E28" s="13">
        <v>1.2212179901011406</v>
      </c>
      <c r="F28" s="13"/>
      <c r="G28" s="13"/>
      <c r="I28" s="5"/>
      <c r="J28" s="0" t="s">
        <v>41</v>
      </c>
    </row>
    <row r="29" outlineLevel="2">
      <c r="A29" s="12" t="s">
        <v>45</v>
      </c>
      <c r="B29" s="0" t="s">
        <v>34</v>
      </c>
      <c r="C29" s="13">
        <f>IFERROR(0.134*(1-w),"")</f>
        <v>0.130248</v>
      </c>
      <c r="D29" s="13">
        <v>0.134</v>
      </c>
      <c r="E29" s="13">
        <v>0.14417904024101572</v>
      </c>
      <c r="F29" s="13"/>
      <c r="G29" s="13"/>
      <c r="I29" s="5"/>
      <c r="J29" s="0" t="s">
        <v>41</v>
      </c>
    </row>
    <row r="30" outlineLevel="2">
      <c r="A30" s="12" t="s">
        <v>46</v>
      </c>
      <c r="B30" s="0" t="s">
        <v>34</v>
      </c>
      <c r="C30" s="13">
        <f>IFERROR(100.439*(1-w)+w*100,"")</f>
        <v>100.426708</v>
      </c>
      <c r="D30" s="13">
        <v>100.43900000000001</v>
      </c>
      <c r="E30" s="13">
        <v>100.47234775123736</v>
      </c>
      <c r="F30" s="13"/>
      <c r="G30" s="13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3">
        <f>IFERROR(18.66252*(1-w)-w*2.443,"")</f>
        <v>18.07156544</v>
      </c>
      <c r="D32" s="13">
        <v>18.66252</v>
      </c>
      <c r="E32" s="13">
        <v>20.080180761781794</v>
      </c>
      <c r="F32" s="13"/>
      <c r="G32" s="13"/>
      <c r="I32" s="5"/>
    </row>
    <row r="33" outlineLevel="2">
      <c r="A33" s="12" t="s">
        <v>50</v>
      </c>
      <c r="B33" s="0" t="s">
        <v>49</v>
      </c>
      <c r="C33" s="13">
        <f>IFERROR(19.95*(1-w),"")</f>
        <v>19.391399999999997</v>
      </c>
      <c r="D33" s="13">
        <v>19.95</v>
      </c>
      <c r="E33" s="13">
        <v>21.465461588121368</v>
      </c>
      <c r="F33" s="13"/>
      <c r="G33" s="13"/>
      <c r="I33" s="5"/>
    </row>
    <row r="34" outlineLevel="2">
      <c r="A34" s="12" t="s">
        <v>51</v>
      </c>
      <c r="B34" s="0" t="s">
        <v>49</v>
      </c>
      <c r="C34" s="13">
        <f>IFERROR(18.7005804708*(1-w),"")</f>
        <v>18.176964217617606</v>
      </c>
      <c r="D34" s="13">
        <v>18.700580470800006</v>
      </c>
      <c r="E34" s="13">
        <v>20.121132419625571</v>
      </c>
      <c r="F34" s="13"/>
      <c r="G34" s="13"/>
      <c r="I34" s="5"/>
      <c r="J34" s="0" t="s">
        <v>38</v>
      </c>
    </row>
    <row r="35" outlineLevel="1">
      <c r="A35" s="11" t="s">
        <v>52</v>
      </c>
      <c r="I35" s="5"/>
    </row>
    <row r="36" outlineLevel="2">
      <c r="A36" s="12" t="s">
        <v>53</v>
      </c>
      <c r="B36" s="0" t="s">
        <v>54</v>
      </c>
      <c r="C36" s="14">
        <v>58</v>
      </c>
      <c r="D36" s="14"/>
      <c r="E36" s="14"/>
      <c r="F36" s="14"/>
      <c r="G36" s="14"/>
      <c r="I36" s="5"/>
      <c r="J36" s="0" t="s">
        <v>41</v>
      </c>
    </row>
    <row r="37" outlineLevel="2">
      <c r="A37" s="12" t="s">
        <v>55</v>
      </c>
      <c r="B37" s="0" t="s">
        <v>54</v>
      </c>
      <c r="C37" s="14"/>
      <c r="D37" s="14"/>
      <c r="E37" s="14"/>
      <c r="F37" s="14"/>
      <c r="G37" s="14">
        <v>1.1</v>
      </c>
      <c r="I37" s="5"/>
    </row>
    <row r="38" outlineLevel="2">
      <c r="A38" s="12" t="s">
        <v>56</v>
      </c>
      <c r="B38" s="0" t="s">
        <v>54</v>
      </c>
      <c r="C38" s="14">
        <v>31</v>
      </c>
      <c r="D38" s="14"/>
      <c r="E38" s="14"/>
      <c r="F38" s="14"/>
      <c r="G38" s="14"/>
      <c r="I38" s="5"/>
      <c r="J38" s="0" t="s">
        <v>41</v>
      </c>
    </row>
    <row r="39" outlineLevel="2">
      <c r="A39" s="12" t="s">
        <v>57</v>
      </c>
      <c r="B39" s="0" t="s">
        <v>54</v>
      </c>
      <c r="C39" s="14">
        <v>1.1</v>
      </c>
      <c r="D39" s="14"/>
      <c r="E39" s="14"/>
      <c r="F39" s="14"/>
      <c r="G39" s="14"/>
      <c r="I39" s="5"/>
      <c r="J39" s="0" t="s">
        <v>41</v>
      </c>
    </row>
    <row r="40" outlineLevel="2">
      <c r="A40" s="12" t="s">
        <v>58</v>
      </c>
      <c r="B40" s="0" t="s">
        <v>54</v>
      </c>
      <c r="C40" s="14">
        <v>14400</v>
      </c>
      <c r="D40" s="14"/>
      <c r="E40" s="14"/>
      <c r="F40" s="14"/>
      <c r="G40" s="14"/>
      <c r="I40" s="5"/>
      <c r="J40" s="0" t="s">
        <v>41</v>
      </c>
    </row>
    <row r="41" outlineLevel="2">
      <c r="A41" s="12" t="s">
        <v>59</v>
      </c>
      <c r="B41" s="0" t="s">
        <v>54</v>
      </c>
      <c r="C41" s="14">
        <v>0.13</v>
      </c>
      <c r="D41" s="14"/>
      <c r="E41" s="14"/>
      <c r="F41" s="14"/>
      <c r="G41" s="14"/>
      <c r="I41" s="5"/>
      <c r="J41" s="0" t="s">
        <v>41</v>
      </c>
    </row>
    <row r="42" outlineLevel="2">
      <c r="A42" s="12" t="s">
        <v>60</v>
      </c>
      <c r="B42" s="0" t="s">
        <v>54</v>
      </c>
      <c r="C42" s="14"/>
      <c r="D42" s="14"/>
      <c r="E42" s="14"/>
      <c r="F42" s="14"/>
      <c r="G42" s="14">
        <v>0.6</v>
      </c>
      <c r="I42" s="5"/>
    </row>
    <row r="43" outlineLevel="2">
      <c r="A43" s="12" t="s">
        <v>61</v>
      </c>
      <c r="B43" s="0" t="s">
        <v>54</v>
      </c>
      <c r="C43" s="14">
        <v>0.5</v>
      </c>
      <c r="D43" s="14"/>
      <c r="E43" s="14"/>
      <c r="F43" s="14"/>
      <c r="G43" s="14"/>
      <c r="I43" s="5"/>
      <c r="J43" s="0" t="s">
        <v>41</v>
      </c>
    </row>
    <row r="44" outlineLevel="2">
      <c r="A44" s="12" t="s">
        <v>62</v>
      </c>
      <c r="B44" s="0" t="s">
        <v>54</v>
      </c>
      <c r="C44" s="14">
        <v>8.6</v>
      </c>
      <c r="D44" s="14"/>
      <c r="E44" s="14"/>
      <c r="F44" s="14"/>
      <c r="G44" s="14"/>
      <c r="I44" s="5"/>
      <c r="J44" s="0" t="s">
        <v>41</v>
      </c>
    </row>
    <row r="45" outlineLevel="2">
      <c r="A45" s="12" t="s">
        <v>63</v>
      </c>
      <c r="B45" s="0" t="s">
        <v>54</v>
      </c>
      <c r="C45" s="14">
        <v>160</v>
      </c>
      <c r="D45" s="14"/>
      <c r="E45" s="14"/>
      <c r="F45" s="14"/>
      <c r="G45" s="14"/>
      <c r="I45" s="5"/>
      <c r="J45" s="0" t="s">
        <v>41</v>
      </c>
    </row>
    <row r="46" outlineLevel="2">
      <c r="A46" s="12" t="s">
        <v>64</v>
      </c>
      <c r="B46" s="0" t="s">
        <v>54</v>
      </c>
      <c r="C46" s="14">
        <v>10600</v>
      </c>
      <c r="D46" s="14"/>
      <c r="E46" s="14"/>
      <c r="F46" s="14"/>
      <c r="G46" s="14"/>
      <c r="I46" s="5"/>
      <c r="J46" s="0" t="s">
        <v>41</v>
      </c>
    </row>
    <row r="47" outlineLevel="2">
      <c r="A47" s="12" t="s">
        <v>65</v>
      </c>
      <c r="B47" s="0" t="s">
        <v>54</v>
      </c>
      <c r="C47" s="14">
        <v>1600</v>
      </c>
      <c r="D47" s="14"/>
      <c r="E47" s="14"/>
      <c r="F47" s="14"/>
      <c r="G47" s="14"/>
      <c r="I47" s="5"/>
      <c r="J47" s="0" t="s">
        <v>41</v>
      </c>
    </row>
    <row r="48" outlineLevel="2">
      <c r="A48" s="12" t="s">
        <v>66</v>
      </c>
      <c r="B48" s="0" t="s">
        <v>54</v>
      </c>
      <c r="C48" s="14">
        <v>16</v>
      </c>
      <c r="D48" s="14"/>
      <c r="E48" s="14"/>
      <c r="F48" s="14"/>
      <c r="G48" s="14"/>
      <c r="I48" s="5"/>
      <c r="J48" s="0" t="s">
        <v>41</v>
      </c>
    </row>
    <row r="49" outlineLevel="2">
      <c r="A49" s="12" t="s">
        <v>67</v>
      </c>
      <c r="B49" s="0" t="s">
        <v>54</v>
      </c>
      <c r="C49" s="14">
        <v>0.6</v>
      </c>
      <c r="D49" s="14"/>
      <c r="E49" s="14"/>
      <c r="F49" s="14"/>
      <c r="G49" s="14"/>
      <c r="I49" s="5"/>
      <c r="J49" s="0" t="s">
        <v>41</v>
      </c>
    </row>
    <row r="50" outlineLevel="2">
      <c r="A50" s="12" t="s">
        <v>68</v>
      </c>
      <c r="B50" s="0" t="s">
        <v>54</v>
      </c>
      <c r="C50" s="14">
        <v>300</v>
      </c>
      <c r="D50" s="14"/>
      <c r="E50" s="14"/>
      <c r="F50" s="14"/>
      <c r="G50" s="14"/>
      <c r="I50" s="5"/>
      <c r="J50" s="0" t="s">
        <v>41</v>
      </c>
    </row>
    <row r="51" outlineLevel="2">
      <c r="A51" s="12" t="s">
        <v>69</v>
      </c>
      <c r="B51" s="0" t="s">
        <v>54</v>
      </c>
      <c r="C51" s="14">
        <v>1.4</v>
      </c>
      <c r="D51" s="14"/>
      <c r="E51" s="14"/>
      <c r="F51" s="14"/>
      <c r="G51" s="14"/>
      <c r="I51" s="5"/>
      <c r="J51" s="0" t="s">
        <v>41</v>
      </c>
    </row>
    <row r="52" outlineLevel="2">
      <c r="A52" s="12" t="s">
        <v>70</v>
      </c>
      <c r="B52" s="0" t="s">
        <v>54</v>
      </c>
      <c r="C52" s="14">
        <v>3100</v>
      </c>
      <c r="D52" s="14"/>
      <c r="E52" s="14"/>
      <c r="F52" s="14"/>
      <c r="G52" s="14"/>
      <c r="I52" s="5"/>
      <c r="J52" s="0" t="s">
        <v>41</v>
      </c>
    </row>
    <row r="53" outlineLevel="2">
      <c r="A53" s="12" t="s">
        <v>71</v>
      </c>
      <c r="B53" s="0" t="s">
        <v>54</v>
      </c>
      <c r="C53" s="14"/>
      <c r="D53" s="14"/>
      <c r="E53" s="14"/>
      <c r="F53" s="14"/>
      <c r="G53" s="14">
        <v>3</v>
      </c>
      <c r="I53" s="5"/>
    </row>
    <row r="54" outlineLevel="2">
      <c r="A54" s="12" t="s">
        <v>72</v>
      </c>
      <c r="B54" s="0" t="s">
        <v>54</v>
      </c>
      <c r="C54" s="14"/>
      <c r="D54" s="14"/>
      <c r="E54" s="14"/>
      <c r="F54" s="14"/>
      <c r="G54" s="14">
        <v>1.2</v>
      </c>
      <c r="I54" s="5"/>
    </row>
    <row r="55" outlineLevel="2">
      <c r="A55" s="12" t="s">
        <v>73</v>
      </c>
      <c r="B55" s="0" t="s">
        <v>54</v>
      </c>
      <c r="C55" s="14"/>
      <c r="D55" s="14"/>
      <c r="E55" s="14"/>
      <c r="F55" s="14"/>
      <c r="G55" s="14">
        <v>0.9</v>
      </c>
      <c r="I55" s="5"/>
    </row>
    <row r="56" outlineLevel="2">
      <c r="A56" s="12" t="s">
        <v>74</v>
      </c>
      <c r="B56" s="0" t="s">
        <v>54</v>
      </c>
      <c r="C56" s="14">
        <v>6400</v>
      </c>
      <c r="D56" s="14"/>
      <c r="E56" s="14"/>
      <c r="F56" s="14"/>
      <c r="G56" s="14"/>
      <c r="I56" s="5"/>
      <c r="J56" s="0" t="s">
        <v>41</v>
      </c>
    </row>
    <row r="57" outlineLevel="2">
      <c r="A57" s="12" t="s">
        <v>75</v>
      </c>
      <c r="B57" s="0" t="s">
        <v>54</v>
      </c>
      <c r="C57" s="14"/>
      <c r="D57" s="14"/>
      <c r="E57" s="14"/>
      <c r="F57" s="14"/>
      <c r="G57" s="14">
        <v>0.7</v>
      </c>
      <c r="I57" s="5"/>
    </row>
    <row r="58" outlineLevel="2">
      <c r="A58" s="12" t="s">
        <v>76</v>
      </c>
      <c r="B58" s="0" t="s">
        <v>54</v>
      </c>
      <c r="C58" s="14">
        <v>40</v>
      </c>
      <c r="D58" s="14"/>
      <c r="E58" s="14"/>
      <c r="F58" s="14"/>
      <c r="G58" s="14"/>
      <c r="I58" s="5"/>
      <c r="J58" s="0" t="s">
        <v>41</v>
      </c>
    </row>
    <row r="59" outlineLevel="2">
      <c r="A59" s="12" t="s">
        <v>77</v>
      </c>
      <c r="B59" s="0" t="s">
        <v>54</v>
      </c>
      <c r="C59" s="14">
        <v>4</v>
      </c>
      <c r="D59" s="14"/>
      <c r="E59" s="14"/>
      <c r="F59" s="14"/>
      <c r="G59" s="14"/>
      <c r="I59" s="5"/>
      <c r="J59" s="0" t="s">
        <v>41</v>
      </c>
    </row>
    <row r="60" outlineLevel="2">
      <c r="A60" s="12" t="s">
        <v>78</v>
      </c>
      <c r="B60" s="0" t="s">
        <v>54</v>
      </c>
      <c r="C60" s="14">
        <v>0.2</v>
      </c>
      <c r="D60" s="14"/>
      <c r="E60" s="14"/>
      <c r="F60" s="14"/>
      <c r="G60" s="14"/>
      <c r="I60" s="5"/>
      <c r="J60" s="0" t="s">
        <v>41</v>
      </c>
    </row>
    <row r="61" outlineLevel="2">
      <c r="A61" s="12" t="s">
        <v>79</v>
      </c>
      <c r="B61" s="0" t="s">
        <v>54</v>
      </c>
      <c r="C61" s="14">
        <v>24</v>
      </c>
      <c r="D61" s="14"/>
      <c r="E61" s="14"/>
      <c r="F61" s="14"/>
      <c r="G61" s="14"/>
      <c r="I61" s="5"/>
      <c r="J61" s="0" t="s">
        <v>41</v>
      </c>
    </row>
    <row r="62">
      <c r="I62" s="5"/>
    </row>
    <row r="63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</mergeCells>
  <dataValidations count="1">
    <dataValidation type="decimal" sqref="C20" errorStyle="stop" promptTitle="Enter moisture content" errorTitle="Invalid moisture content" prompt="Value should be between 0 and 100.&#10;Original value: 2.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https://phyllis.nl/Biomass/View/1200</dc:description>
  <dcterms:created xsi:type="dcterms:W3CDTF">2026-03-04T04:06:38Z</dcterms:created>
  <dc:title>Phyllis2 #1200 hemp, silage, dried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