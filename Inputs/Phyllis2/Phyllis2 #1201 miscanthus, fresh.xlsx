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01 miscanthus, fres" sheetId="1" r:id="rId1"/>
  </sheets>
  <definedNames>
    <definedName name="w" localSheetId="0">IF(ISBLANK('Phyllis2 #1201 miscanthus, fres'!$C$20),#N/A,'Phyllis2 #1201 miscanthus, fres'!$C$20/100)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<sst xmlns="http://schemas.openxmlformats.org/spreadsheetml/2006/main" count="91" uniqueCount="91">
  <si>
    <t>Phyllis2</t>
  </si>
  <si>
    <t>https://phyllis.nl/Biomass/View/1201</t>
  </si>
  <si>
    <t>miscanthus, fresh (#1201)</t>
  </si>
  <si>
    <t>ID-number</t>
  </si>
  <si>
    <t>#1201</t>
  </si>
  <si>
    <t>Material</t>
  </si>
  <si>
    <t>miscanthus, fresh</t>
  </si>
  <si>
    <t>Classification</t>
  </si>
  <si>
    <t>ECN Phyllis classification &gt; grass/plant &gt; miscanthus &gt; miscanthus, fresh</t>
  </si>
  <si>
    <t>NTA 8003 classification &gt; [200] biomassa uit land- en tuinbouw &gt; [210] gras &gt; [212] olifantsgras/miscanthus</t>
  </si>
  <si>
    <t>Ash type</t>
  </si>
  <si>
    <t>550 degC</t>
  </si>
  <si>
    <t>Submitter organisation</t>
  </si>
  <si>
    <t>ECN (Netherlands)</t>
  </si>
  <si>
    <t>Submission date</t>
  </si>
  <si>
    <t>Remarks</t>
  </si>
  <si>
    <t>harvested November 1997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</si>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</sst>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4.4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IFERROR(4.79*(1-w),"")</f>
        <v>4.5792399999999995</v>
      </c>
      <c r="D21" s="13">
        <v>4.79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IFERROR(74.8*(1-w),"")</f>
        <v>71.5088</v>
      </c>
      <c r="D22" s="13">
        <v>74.8</v>
      </c>
      <c r="E22" s="13">
        <v>78.563176136960408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IFERROR(20.41*(1-w),"")</f>
        <v>19.511959999999995</v>
      </c>
      <c r="D23" s="13">
        <v>20.409999999999997</v>
      </c>
      <c r="E23" s="13">
        <v>21.436823863039596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IFERROR(46.96*(1-w),"")</f>
        <v>44.89376</v>
      </c>
      <c r="D25" s="13">
        <v>46.96</v>
      </c>
      <c r="E25" s="13">
        <v>49.32255015229493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IFERROR(5.69*(1-w),"")</f>
        <v>5.43964</v>
      </c>
      <c r="D26" s="13">
        <v>5.69</v>
      </c>
      <c r="E26" s="13">
        <v>5.9762629975842883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IFERROR(42.12*(1-w),"")</f>
        <v>40.26672</v>
      </c>
      <c r="D27" s="13">
        <v>42.12</v>
      </c>
      <c r="E27" s="13">
        <v>44.239050519903373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IFERROR(0.536*(1-w),"")</f>
        <v>0.512416</v>
      </c>
      <c r="D28" s="13">
        <v>0.536</v>
      </c>
      <c r="E28" s="13">
        <v>0.5629660749921227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IFERROR(0.083*(1-w),"")</f>
        <v>0.079348</v>
      </c>
      <c r="D29" s="13">
        <v>0.083</v>
      </c>
      <c r="E29" s="13">
        <v>0.087175716836466771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IFERROR(100.648*(1-w)+w*100,"")</f>
        <v>100.619488</v>
      </c>
      <c r="D30" s="13">
        <v>100.648</v>
      </c>
      <c r="E30" s="13">
        <v>100.68060077722927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IFERROR(4680*(1-w),"")</f>
        <v>4474.08</v>
      </c>
      <c r="D32" s="14">
        <v>4680</v>
      </c>
      <c r="E32" s="14">
        <v>4915.4500577670415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IFERROR(10*(1-w),"")</f>
        <v>9.5599999999999987</v>
      </c>
      <c r="D33" s="14">
        <v>10</v>
      </c>
      <c r="E33" s="14">
        <v>10.50309841403214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IFERROR(17.81834*(1-w)-w*2.443,"")</f>
        <v>16.92684104</v>
      </c>
      <c r="D35" s="13">
        <v>17.81834</v>
      </c>
      <c r="E35" s="13">
        <v>18.714777859468544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IFERROR(19.06*(1-w),"")</f>
        <v>18.221359999999997</v>
      </c>
      <c r="D36" s="13">
        <v>19.06</v>
      </c>
      <c r="E36" s="13">
        <v>20.018905577145258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IFERROR(18.3527372473*(1-w),"")</f>
        <v>17.5452168084188</v>
      </c>
      <c r="D37" s="13">
        <v>18.352737247300002</v>
      </c>
      <c r="E37" s="13">
        <v>19.276060547526523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150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/>
      <c r="D40" s="14"/>
      <c r="E40" s="14"/>
      <c r="F40" s="14"/>
      <c r="G40" s="14">
        <v>1.1</v>
      </c>
      <c r="I40" s="5"/>
    </row>
    <row r="41" outlineLevel="2">
      <c r="A41" s="12" t="s">
        <v>60</v>
      </c>
      <c r="B41" s="0" t="s">
        <v>58</v>
      </c>
      <c r="C41" s="14">
        <v>4.5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3.5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2400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0.2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/>
      <c r="D45" s="14"/>
      <c r="E45" s="14"/>
      <c r="F45" s="14"/>
      <c r="G45" s="14">
        <v>0.6</v>
      </c>
      <c r="I45" s="5"/>
    </row>
    <row r="46" outlineLevel="2">
      <c r="A46" s="12" t="s">
        <v>65</v>
      </c>
      <c r="B46" s="0" t="s">
        <v>58</v>
      </c>
      <c r="C46" s="14">
        <v>2.6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2.5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100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12000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540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7.8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0.9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260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>
        <v>2.3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58</v>
      </c>
      <c r="C55" s="14">
        <v>560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/>
      <c r="D56" s="14"/>
      <c r="E56" s="14"/>
      <c r="F56" s="14"/>
      <c r="G56" s="14">
        <v>3</v>
      </c>
      <c r="I56" s="5"/>
    </row>
    <row r="57" outlineLevel="2">
      <c r="A57" s="12" t="s">
        <v>76</v>
      </c>
      <c r="B57" s="0" t="s">
        <v>58</v>
      </c>
      <c r="C57" s="14"/>
      <c r="D57" s="14"/>
      <c r="E57" s="14"/>
      <c r="F57" s="14"/>
      <c r="G57" s="14">
        <v>1.2</v>
      </c>
      <c r="I57" s="5"/>
    </row>
    <row r="58" outlineLevel="2">
      <c r="A58" s="12" t="s">
        <v>77</v>
      </c>
      <c r="B58" s="0" t="s">
        <v>58</v>
      </c>
      <c r="C58" s="14"/>
      <c r="D58" s="14"/>
      <c r="E58" s="14"/>
      <c r="F58" s="14"/>
      <c r="G58" s="14">
        <v>0.9</v>
      </c>
      <c r="I58" s="5"/>
    </row>
    <row r="59" outlineLevel="2">
      <c r="A59" s="12" t="s">
        <v>78</v>
      </c>
      <c r="B59" s="0" t="s">
        <v>58</v>
      </c>
      <c r="C59" s="14">
        <v>10800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>
        <v>1.4</v>
      </c>
      <c r="D60" s="14"/>
      <c r="E60" s="14"/>
      <c r="F60" s="14"/>
      <c r="G60" s="14"/>
      <c r="I60" s="5"/>
      <c r="J60" s="0" t="s">
        <v>41</v>
      </c>
    </row>
    <row r="61" outlineLevel="2">
      <c r="A61" s="12" t="s">
        <v>80</v>
      </c>
      <c r="B61" s="0" t="s">
        <v>58</v>
      </c>
      <c r="C61" s="14">
        <v>7.7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6.3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0.4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12</v>
      </c>
      <c r="D64" s="14"/>
      <c r="E64" s="14"/>
      <c r="F64" s="14"/>
      <c r="G64" s="14"/>
      <c r="I64" s="5"/>
      <c r="J64" s="0" t="s">
        <v>41</v>
      </c>
    </row>
    <row r="65" outlineLevel="1">
      <c r="A65" s="11" t="s">
        <v>84</v>
      </c>
      <c r="I65" s="5"/>
    </row>
    <row r="66" outlineLevel="2">
      <c r="A66" s="15" t="s">
        <v>85</v>
      </c>
      <c r="I66" s="5"/>
    </row>
    <row r="67" outlineLevel="3">
      <c r="A67" s="16" t="s">
        <v>86</v>
      </c>
      <c r="B67" s="0" t="s">
        <v>87</v>
      </c>
      <c r="C67" s="17">
        <v>1012</v>
      </c>
      <c r="D67" s="17"/>
      <c r="E67" s="17"/>
      <c r="F67" s="17"/>
      <c r="G67" s="17"/>
      <c r="I67" s="5"/>
    </row>
    <row r="68" outlineLevel="3">
      <c r="A68" s="16" t="s">
        <v>88</v>
      </c>
      <c r="B68" s="0" t="s">
        <v>87</v>
      </c>
      <c r="C68" s="17">
        <v>1037</v>
      </c>
      <c r="D68" s="17"/>
      <c r="E68" s="17"/>
      <c r="F68" s="17"/>
      <c r="G68" s="17"/>
      <c r="I68" s="5"/>
    </row>
    <row r="69" outlineLevel="3">
      <c r="A69" s="16" t="s">
        <v>89</v>
      </c>
      <c r="B69" s="0" t="s">
        <v>87</v>
      </c>
      <c r="C69" s="17">
        <v>1065</v>
      </c>
      <c r="D69" s="17"/>
      <c r="E69" s="17"/>
      <c r="F69" s="17"/>
      <c r="G69" s="17"/>
      <c r="I69" s="5"/>
    </row>
    <row r="70" outlineLevel="3">
      <c r="A70" s="16" t="s">
        <v>90</v>
      </c>
      <c r="B70" s="0" t="s">
        <v>87</v>
      </c>
      <c r="C70" s="17">
        <v>1150</v>
      </c>
      <c r="D70" s="17"/>
      <c r="E70" s="17"/>
      <c r="F70" s="17"/>
      <c r="G70" s="17"/>
      <c r="I70" s="5"/>
    </row>
    <row r="71">
      <c r="I71" s="5"/>
    </row>
    <row r="7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7:E67"/>
    <mergeCell ref="C68:E68"/>
    <mergeCell ref="C69:E69"/>
    <mergeCell ref="C70:E70"/>
  </mergeCells>
  <dataValidations count="1">
    <dataValidation type="decimal" sqref="C20" errorStyle="stop" promptTitle="Enter moisture content" errorTitle="Invalid moisture content" prompt="Value should be between 0 and 100.&#10;Original value: 4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https://phyllis.nl/Biomass/View/1201</dc:description>
  <dcterms:created xsi:type="dcterms:W3CDTF">2026-03-04T04:14:14Z</dcterms:created>
  <dc:title>Phyllis2 #1201 miscanthus, fresh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