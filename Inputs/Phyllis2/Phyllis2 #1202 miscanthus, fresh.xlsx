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1202 miscanthus, fres" sheetId="1" r:id="rId1"/>
  </sheets>
  <definedNames>
    <definedName name="w" localSheetId="0">IF(ISBLANK('Phyllis2 #1202 miscanthus, fres'!$C$20),#N/A,'Phyllis2 #1202 miscanthus, fres'!$C$20/100)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7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7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7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<sst xmlns="http://schemas.openxmlformats.org/spreadsheetml/2006/main" count="91" uniqueCount="91">
  <si>
    <t>Phyllis2</t>
  </si>
  <si>
    <t>https://phyllis.nl/Biomass/View/1202</t>
  </si>
  <si>
    <t>miscanthus, fresh (#1202)</t>
  </si>
  <si>
    <t>ID-number</t>
  </si>
  <si>
    <t>#1202</t>
  </si>
  <si>
    <t>Material</t>
  </si>
  <si>
    <t>miscanthus, fresh</t>
  </si>
  <si>
    <t>Classification</t>
  </si>
  <si>
    <t>ECN Phyllis classification &gt; grass/plant &gt; miscanthus &gt; miscanthus, fresh</t>
  </si>
  <si>
    <t>NTA 8003 classification &gt; [200] biomassa uit land- en tuinbouw &gt; [210] gras &gt; [212] olifantsgras/miscanthus</t>
  </si>
  <si>
    <t>Ash type</t>
  </si>
  <si>
    <t>550 degC</t>
  </si>
  <si>
    <t>Submitter organisation</t>
  </si>
  <si>
    <t>ECN (Netherlands)</t>
  </si>
  <si>
    <t>Submission date</t>
  </si>
  <si>
    <t>Remarks</t>
  </si>
  <si>
    <t>harvested February 1998</t>
  </si>
  <si>
    <t>Literature</t>
  </si>
  <si>
    <t>ECN laboratories.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</si>
  <si>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</si>
  <si>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</si>
  <si>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</si>
  <si>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</si>
  <si>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</si>
  <si>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</si>
  <si>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</si>
  <si>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</si>
  <si>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</si>
  <si>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</si>
  <si>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</si>
  <si>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</si>
  <si>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</si>
  <si>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</si>
  <si>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</si>
  <si>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</si>
  <si>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</si>
  <si>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Volatile matter</t>
  </si>
  <si>
    <t>Fixed carbon</t>
  </si>
  <si>
    <t>Calculated</t>
  </si>
  <si>
    <t>Ultimate analysis (macroelements)</t>
  </si>
  <si>
    <t>Carbon</t>
  </si>
  <si>
    <t>Measured</t>
  </si>
  <si>
    <t>Hydrogen</t>
  </si>
  <si>
    <t>Oxygen</t>
  </si>
  <si>
    <t>Nitrogen</t>
  </si>
  <si>
    <t>Sulphur</t>
  </si>
  <si>
    <t>Total (with halides)</t>
  </si>
  <si>
    <t>Halides</t>
  </si>
  <si>
    <t>Chlorine (Cl)</t>
  </si>
  <si>
    <t>mg/kg</t>
  </si>
  <si>
    <t>Fluorine (F)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</si>
  <si>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</si>
  <si>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</si>
  <si>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</si>
  <si>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</si>
  <si>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</si>
  <si>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</si>
  <si>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Aluminium (Al)</t>
  </si>
  <si>
    <t>mg/kg (dry)</t>
  </si>
  <si>
    <t>Arsenic (As)</t>
  </si>
  <si>
    <t>Boron (B)</t>
  </si>
  <si>
    <t>Barium (Ba)</t>
  </si>
  <si>
    <t>Calcium (Ca)</t>
  </si>
  <si>
    <t>Cadmium (Cd)</t>
  </si>
  <si>
    <t>Cobalt (Co)</t>
  </si>
  <si>
    <t>Chromium (Cr)</t>
  </si>
  <si>
    <t>Copper (Cu)</t>
  </si>
  <si>
    <t>Iron (Fe)</t>
  </si>
  <si>
    <t>Potassium (K)</t>
  </si>
  <si>
    <t>Magnesium (Mg)</t>
  </si>
  <si>
    <t>Manganese (Mn)</t>
  </si>
  <si>
    <t>Molybdenium (Mo)</t>
  </si>
  <si>
    <t>Sodium (Na)</t>
  </si>
  <si>
    <t>Nickel (Ni)</t>
  </si>
  <si>
    <t>Phosphorus (P)</t>
  </si>
  <si>
    <t>Lead (Pb)</t>
  </si>
  <si>
    <t>Antimony (Sb)</t>
  </si>
  <si>
    <t>Selenium (Se)</t>
  </si>
  <si>
    <t>Silicon (Si)</t>
  </si>
  <si>
    <t>Tin (Sn)</t>
  </si>
  <si>
    <t>Strontium (Sr)</t>
  </si>
  <si>
    <t>Titanium (Ti)</t>
  </si>
  <si>
    <t>Vanadium (V)</t>
  </si>
  <si>
    <t>Zinc (Zn)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</si>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</sst>
</file>

<file path=xl/styles.xml><?xml version="1.0" encoding="utf-8"?>
<styleSheet xmlns="http://schemas.openxmlformats.org/spreadsheetml/2006/main">
  <numFmts count="4">
    <numFmt numFmtId="164" formatCode="yyyy-mm-dd"/>
    <numFmt numFmtId="165" formatCode="#,0.00"/>
    <numFmt numFmtId="166" formatCode="#,0.0"/>
    <numFmt numFmtId="167" formatCode="#,0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8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164" applyNumberFormat="1" fontId="0" applyFont="1" xfId="0"/>
    <xf numFmtId="164" applyNumberFormat="1" fontId="0" applyFont="1" xfId="0">
      <alignment horizontal="left"/>
    </xf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5" applyNumberFormat="1" fontId="0" applyFont="1" xfId="0"/>
    <xf numFmtId="166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1202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71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7" t="s">
        <v>3</v>
      </c>
      <c r="B5" s="0" t="s">
        <v>4</v>
      </c>
    </row>
    <row r="6" outlineLevel="1">
      <c r="A6" s="7" t="s">
        <v>5</v>
      </c>
      <c r="B6" s="0" t="s">
        <v>6</v>
      </c>
    </row>
    <row r="7" outlineLevel="1">
      <c r="A7" s="8" t="s">
        <v>7</v>
      </c>
      <c r="B7" s="0" t="s">
        <v>8</v>
      </c>
    </row>
    <row r="8" outlineLevel="1">
      <c r="A8" s="8"/>
      <c r="B8" s="0" t="s">
        <v>9</v>
      </c>
    </row>
    <row r="9" outlineLevel="1">
      <c r="A9" s="7" t="s">
        <v>10</v>
      </c>
      <c r="B9" s="0" t="s">
        <v>11</v>
      </c>
    </row>
    <row r="10" outlineLevel="1">
      <c r="A10" s="7" t="s">
        <v>12</v>
      </c>
      <c r="B10" s="0" t="s">
        <v>13</v>
      </c>
    </row>
    <row r="11" outlineLevel="1">
      <c r="A11" s="7" t="s">
        <v>14</v>
      </c>
      <c r="B11" s="6">
        <v>35926</v>
      </c>
    </row>
    <row r="12" outlineLevel="1">
      <c r="A12" s="7" t="s">
        <v>15</v>
      </c>
      <c r="B12" s="0" t="s">
        <v>16</v>
      </c>
    </row>
    <row r="13" outlineLevel="1">
      <c r="A13" s="7" t="s">
        <v>17</v>
      </c>
      <c r="B13" s="0" t="s">
        <v>18</v>
      </c>
    </row>
    <row r="14">
      <c r="A14" s="7"/>
    </row>
    <row r="15" s="1" customFormat="1">
      <c r="A15" s="9" t="s">
        <v>19</v>
      </c>
    </row>
    <row r="16" s="1" customFormat="1">
      <c r="A16" s="10" t="s">
        <v>20</v>
      </c>
      <c r="B16" s="10" t="s">
        <v>21</v>
      </c>
      <c r="C16" s="10" t="s">
        <v>22</v>
      </c>
      <c r="D16" s="10"/>
      <c r="E16" s="10"/>
      <c r="F16" s="10" t="s">
        <v>23</v>
      </c>
      <c r="G16" s="10" t="s">
        <v>24</v>
      </c>
      <c r="H16" s="10" t="s">
        <v>25</v>
      </c>
      <c r="I16" s="10" t="s">
        <v>26</v>
      </c>
      <c r="J16" s="10" t="s">
        <v>27</v>
      </c>
      <c r="K16" s="10" t="s">
        <v>15</v>
      </c>
      <c r="L16" s="10"/>
    </row>
    <row r="17" s="1" customFormat="1">
      <c r="A17" s="10"/>
      <c r="B17" s="10"/>
      <c r="C17" s="10" t="s">
        <v>28</v>
      </c>
      <c r="D17" s="10" t="s">
        <v>29</v>
      </c>
      <c r="E17" s="10" t="s">
        <v>30</v>
      </c>
      <c r="F17" s="10"/>
      <c r="G17" s="10"/>
      <c r="H17" s="10"/>
      <c r="I17" s="10"/>
      <c r="J17" s="10"/>
      <c r="K17" s="10"/>
      <c r="L17" s="10"/>
    </row>
    <row r="18">
      <c r="A18" s="7" t="s">
        <v>31</v>
      </c>
      <c r="I18" s="5"/>
    </row>
    <row r="19" outlineLevel="1">
      <c r="A19" s="11" t="s">
        <v>32</v>
      </c>
      <c r="I19" s="5"/>
    </row>
    <row r="20" outlineLevel="2">
      <c r="A20" s="12" t="s">
        <v>33</v>
      </c>
      <c r="B20" s="0" t="s">
        <v>34</v>
      </c>
      <c r="C20" s="13">
        <v>6.9</v>
      </c>
      <c r="D20" s="13"/>
      <c r="E20" s="13"/>
      <c r="F20" s="13"/>
      <c r="G20" s="13"/>
      <c r="I20" s="5"/>
    </row>
    <row r="21" outlineLevel="2">
      <c r="A21" s="12" t="s">
        <v>35</v>
      </c>
      <c r="B21" s="0" t="s">
        <v>34</v>
      </c>
      <c r="C21" s="13">
        <f>IFERROR(4.7*(1-w),"")</f>
        <v>4.3757</v>
      </c>
      <c r="D21" s="13">
        <v>4.7</v>
      </c>
      <c r="E21" s="13">
        <v/>
      </c>
      <c r="F21" s="13"/>
      <c r="G21" s="13"/>
      <c r="I21" s="5"/>
    </row>
    <row r="22" outlineLevel="2">
      <c r="A22" s="12" t="s">
        <v>36</v>
      </c>
      <c r="B22" s="0" t="s">
        <v>34</v>
      </c>
      <c r="C22" s="13">
        <f>IFERROR(74.5*(1-w),"")</f>
        <v>69.3595</v>
      </c>
      <c r="D22" s="13">
        <v>74.5</v>
      </c>
      <c r="E22" s="13">
        <v>78.174186778593921</v>
      </c>
      <c r="F22" s="13"/>
      <c r="G22" s="13"/>
      <c r="I22" s="5"/>
    </row>
    <row r="23" outlineLevel="2">
      <c r="A23" s="12" t="s">
        <v>37</v>
      </c>
      <c r="B23" s="0" t="s">
        <v>34</v>
      </c>
      <c r="C23" s="13">
        <f>IFERROR(20.8*(1-w),"")</f>
        <v>19.3648</v>
      </c>
      <c r="D23" s="13">
        <v>20.799999999999997</v>
      </c>
      <c r="E23" s="13">
        <v>21.825813221406083</v>
      </c>
      <c r="F23" s="13"/>
      <c r="G23" s="13"/>
      <c r="I23" s="5"/>
      <c r="J23" s="0" t="s">
        <v>38</v>
      </c>
    </row>
    <row r="24" outlineLevel="1">
      <c r="A24" s="11" t="s">
        <v>39</v>
      </c>
      <c r="I24" s="5"/>
    </row>
    <row r="25" outlineLevel="2">
      <c r="A25" s="12" t="s">
        <v>40</v>
      </c>
      <c r="B25" s="0" t="s">
        <v>34</v>
      </c>
      <c r="C25" s="13">
        <f>IFERROR(46.95*(1-w),"")</f>
        <v>43.71045</v>
      </c>
      <c r="D25" s="13">
        <v>46.95</v>
      </c>
      <c r="E25" s="13">
        <v>49.265477439664224</v>
      </c>
      <c r="F25" s="13"/>
      <c r="G25" s="13"/>
      <c r="I25" s="5"/>
      <c r="J25" s="0" t="s">
        <v>41</v>
      </c>
    </row>
    <row r="26" outlineLevel="2">
      <c r="A26" s="12" t="s">
        <v>42</v>
      </c>
      <c r="B26" s="0" t="s">
        <v>34</v>
      </c>
      <c r="C26" s="13">
        <f>IFERROR(5.728*(1-w),"")</f>
        <v>5.332768</v>
      </c>
      <c r="D26" s="13">
        <v>5.728</v>
      </c>
      <c r="E26" s="13">
        <v>6.010493179433368</v>
      </c>
      <c r="F26" s="13"/>
      <c r="G26" s="13"/>
      <c r="I26" s="5"/>
      <c r="J26" s="0" t="s">
        <v>41</v>
      </c>
    </row>
    <row r="27" outlineLevel="2">
      <c r="A27" s="12" t="s">
        <v>43</v>
      </c>
      <c r="B27" s="0" t="s">
        <v>34</v>
      </c>
      <c r="C27" s="13">
        <f>IFERROR(42.01*(1-w),"")</f>
        <v>39.11131</v>
      </c>
      <c r="D27" s="13">
        <v>42.01</v>
      </c>
      <c r="E27" s="13">
        <v>44.081846799580269</v>
      </c>
      <c r="F27" s="13"/>
      <c r="G27" s="13"/>
      <c r="I27" s="5"/>
      <c r="J27" s="0" t="s">
        <v>41</v>
      </c>
    </row>
    <row r="28" outlineLevel="2">
      <c r="A28" s="12" t="s">
        <v>44</v>
      </c>
      <c r="B28" s="0" t="s">
        <v>34</v>
      </c>
      <c r="C28" s="13">
        <f>IFERROR(0.562*(1-w),"")</f>
        <v>0.52322200000000008</v>
      </c>
      <c r="D28" s="13">
        <v>0.562</v>
      </c>
      <c r="E28" s="13">
        <v>0.5897166841552991</v>
      </c>
      <c r="F28" s="13"/>
      <c r="G28" s="13"/>
      <c r="I28" s="5"/>
      <c r="J28" s="0" t="s">
        <v>41</v>
      </c>
    </row>
    <row r="29" outlineLevel="2">
      <c r="A29" s="12" t="s">
        <v>45</v>
      </c>
      <c r="B29" s="0" t="s">
        <v>34</v>
      </c>
      <c r="C29" s="13">
        <f>IFERROR(0.096*(1-w),"")</f>
        <v>0.089376000000000011</v>
      </c>
      <c r="D29" s="13">
        <v>0.096</v>
      </c>
      <c r="E29" s="13">
        <v>0.10073452256033578</v>
      </c>
      <c r="F29" s="13"/>
      <c r="G29" s="13"/>
      <c r="I29" s="5"/>
      <c r="J29" s="0" t="s">
        <v>41</v>
      </c>
    </row>
    <row r="30" outlineLevel="2">
      <c r="A30" s="12" t="s">
        <v>46</v>
      </c>
      <c r="B30" s="0" t="s">
        <v>34</v>
      </c>
      <c r="C30" s="13">
        <f>IFERROR(100.5973*(1-w)+w*100,"")</f>
        <v>100.55608630000002</v>
      </c>
      <c r="D30" s="13">
        <v>100.5973</v>
      </c>
      <c r="E30" s="13">
        <v>100.62675760755509</v>
      </c>
      <c r="F30" s="13"/>
      <c r="G30" s="13"/>
      <c r="I30" s="5"/>
      <c r="J30" s="0" t="s">
        <v>38</v>
      </c>
    </row>
    <row r="31" outlineLevel="1">
      <c r="A31" s="11" t="s">
        <v>47</v>
      </c>
      <c r="I31" s="5"/>
    </row>
    <row r="32" outlineLevel="2">
      <c r="A32" s="12" t="s">
        <v>48</v>
      </c>
      <c r="B32" s="0" t="s">
        <v>49</v>
      </c>
      <c r="C32" s="14">
        <f>IFERROR(5500*(1-w),"")</f>
        <v>5120.5</v>
      </c>
      <c r="D32" s="14">
        <v>5500</v>
      </c>
      <c r="E32" s="14">
        <v>5771.2486883525708</v>
      </c>
      <c r="F32" s="14"/>
      <c r="G32" s="14"/>
      <c r="I32" s="5"/>
      <c r="J32" s="0" t="s">
        <v>41</v>
      </c>
    </row>
    <row r="33" outlineLevel="2">
      <c r="A33" s="12" t="s">
        <v>50</v>
      </c>
      <c r="B33" s="0" t="s">
        <v>49</v>
      </c>
      <c r="C33" s="14">
        <f>IFERROR(13*(1-w),"")</f>
        <v>12.103000000000002</v>
      </c>
      <c r="D33" s="14">
        <v>13</v>
      </c>
      <c r="E33" s="14">
        <v>13.641133263378805</v>
      </c>
      <c r="F33" s="14"/>
      <c r="G33" s="14"/>
      <c r="I33" s="5"/>
      <c r="J33" s="0" t="s">
        <v>41</v>
      </c>
    </row>
    <row r="34" outlineLevel="1">
      <c r="A34" s="11" t="s">
        <v>51</v>
      </c>
      <c r="I34" s="5"/>
    </row>
    <row r="35" outlineLevel="2">
      <c r="A35" s="12" t="s">
        <v>52</v>
      </c>
      <c r="B35" s="0" t="s">
        <v>53</v>
      </c>
      <c r="C35" s="13">
        <f>IFERROR(17.74005*(1-w)-w*2.443,"")</f>
        <v>16.34741955</v>
      </c>
      <c r="D35" s="13">
        <v>17.74005</v>
      </c>
      <c r="E35" s="13">
        <v>18.614952780692551</v>
      </c>
      <c r="F35" s="13"/>
      <c r="G35" s="13"/>
      <c r="I35" s="5"/>
    </row>
    <row r="36" outlineLevel="2">
      <c r="A36" s="12" t="s">
        <v>54</v>
      </c>
      <c r="B36" s="0" t="s">
        <v>53</v>
      </c>
      <c r="C36" s="13">
        <f>IFERROR(18.99*(1-w),"")</f>
        <v>17.67969</v>
      </c>
      <c r="D36" s="13">
        <v>18.99</v>
      </c>
      <c r="E36" s="13">
        <v>19.92654774396642</v>
      </c>
      <c r="F36" s="13"/>
      <c r="G36" s="13"/>
      <c r="I36" s="5"/>
    </row>
    <row r="37" outlineLevel="2">
      <c r="A37" s="12" t="s">
        <v>55</v>
      </c>
      <c r="B37" s="0" t="s">
        <v>53</v>
      </c>
      <c r="C37" s="13">
        <f>IFERROR(18.41178137*(1-w),"")</f>
        <v>17.141368455470005</v>
      </c>
      <c r="D37" s="13">
        <v>18.411781370000003</v>
      </c>
      <c r="E37" s="13">
        <v>19.319812560335787</v>
      </c>
      <c r="F37" s="13"/>
      <c r="G37" s="13"/>
      <c r="I37" s="5"/>
      <c r="J37" s="0" t="s">
        <v>38</v>
      </c>
    </row>
    <row r="38" outlineLevel="1">
      <c r="A38" s="11" t="s">
        <v>56</v>
      </c>
      <c r="I38" s="5"/>
    </row>
    <row r="39" outlineLevel="2">
      <c r="A39" s="12" t="s">
        <v>57</v>
      </c>
      <c r="B39" s="0" t="s">
        <v>58</v>
      </c>
      <c r="C39" s="14">
        <v>69</v>
      </c>
      <c r="D39" s="14"/>
      <c r="E39" s="14"/>
      <c r="F39" s="14"/>
      <c r="G39" s="14"/>
      <c r="I39" s="5"/>
      <c r="J39" s="0" t="s">
        <v>41</v>
      </c>
    </row>
    <row r="40" outlineLevel="2">
      <c r="A40" s="12" t="s">
        <v>59</v>
      </c>
      <c r="B40" s="0" t="s">
        <v>58</v>
      </c>
      <c r="C40" s="14">
        <v>1.7</v>
      </c>
      <c r="D40" s="14"/>
      <c r="E40" s="14"/>
      <c r="F40" s="14"/>
      <c r="G40" s="14"/>
      <c r="I40" s="5"/>
      <c r="J40" s="0" t="s">
        <v>41</v>
      </c>
    </row>
    <row r="41" outlineLevel="2">
      <c r="A41" s="12" t="s">
        <v>60</v>
      </c>
      <c r="B41" s="0" t="s">
        <v>58</v>
      </c>
      <c r="C41" s="14">
        <v>3.1</v>
      </c>
      <c r="D41" s="14"/>
      <c r="E41" s="14"/>
      <c r="F41" s="14"/>
      <c r="G41" s="14"/>
      <c r="I41" s="5"/>
      <c r="J41" s="0" t="s">
        <v>41</v>
      </c>
    </row>
    <row r="42" outlineLevel="2">
      <c r="A42" s="12" t="s">
        <v>61</v>
      </c>
      <c r="B42" s="0" t="s">
        <v>58</v>
      </c>
      <c r="C42" s="14">
        <v>1.4</v>
      </c>
      <c r="D42" s="14"/>
      <c r="E42" s="14"/>
      <c r="F42" s="14"/>
      <c r="G42" s="14"/>
      <c r="I42" s="5"/>
      <c r="J42" s="0" t="s">
        <v>41</v>
      </c>
    </row>
    <row r="43" outlineLevel="2">
      <c r="A43" s="12" t="s">
        <v>62</v>
      </c>
      <c r="B43" s="0" t="s">
        <v>58</v>
      </c>
      <c r="C43" s="14">
        <v>990</v>
      </c>
      <c r="D43" s="14"/>
      <c r="E43" s="14"/>
      <c r="F43" s="14"/>
      <c r="G43" s="14"/>
      <c r="I43" s="5"/>
      <c r="J43" s="0" t="s">
        <v>41</v>
      </c>
    </row>
    <row r="44" outlineLevel="2">
      <c r="A44" s="12" t="s">
        <v>63</v>
      </c>
      <c r="B44" s="0" t="s">
        <v>58</v>
      </c>
      <c r="C44" s="14">
        <v>1.2</v>
      </c>
      <c r="D44" s="14"/>
      <c r="E44" s="14"/>
      <c r="F44" s="14"/>
      <c r="G44" s="14"/>
      <c r="I44" s="5"/>
      <c r="J44" s="0" t="s">
        <v>41</v>
      </c>
    </row>
    <row r="45" outlineLevel="2">
      <c r="A45" s="12" t="s">
        <v>64</v>
      </c>
      <c r="B45" s="0" t="s">
        <v>58</v>
      </c>
      <c r="C45" s="14"/>
      <c r="D45" s="14"/>
      <c r="E45" s="14"/>
      <c r="F45" s="14"/>
      <c r="G45" s="14">
        <v>0.6</v>
      </c>
      <c r="I45" s="5"/>
    </row>
    <row r="46" outlineLevel="2">
      <c r="A46" s="12" t="s">
        <v>65</v>
      </c>
      <c r="B46" s="0" t="s">
        <v>58</v>
      </c>
      <c r="C46" s="14">
        <v>2.1</v>
      </c>
      <c r="D46" s="14"/>
      <c r="E46" s="14"/>
      <c r="F46" s="14"/>
      <c r="G46" s="14"/>
      <c r="I46" s="5"/>
      <c r="J46" s="0" t="s">
        <v>41</v>
      </c>
    </row>
    <row r="47" outlineLevel="2">
      <c r="A47" s="12" t="s">
        <v>66</v>
      </c>
      <c r="B47" s="0" t="s">
        <v>58</v>
      </c>
      <c r="C47" s="14">
        <v>2.5</v>
      </c>
      <c r="D47" s="14"/>
      <c r="E47" s="14"/>
      <c r="F47" s="14"/>
      <c r="G47" s="14"/>
      <c r="I47" s="5"/>
      <c r="J47" s="0" t="s">
        <v>41</v>
      </c>
    </row>
    <row r="48" outlineLevel="2">
      <c r="A48" s="12" t="s">
        <v>67</v>
      </c>
      <c r="B48" s="0" t="s">
        <v>58</v>
      </c>
      <c r="C48" s="14">
        <v>61</v>
      </c>
      <c r="D48" s="14"/>
      <c r="E48" s="14"/>
      <c r="F48" s="14"/>
      <c r="G48" s="14"/>
      <c r="I48" s="5"/>
      <c r="J48" s="0" t="s">
        <v>41</v>
      </c>
    </row>
    <row r="49" outlineLevel="2">
      <c r="A49" s="12" t="s">
        <v>68</v>
      </c>
      <c r="B49" s="0" t="s">
        <v>58</v>
      </c>
      <c r="C49" s="14">
        <v>16400</v>
      </c>
      <c r="D49" s="14"/>
      <c r="E49" s="14"/>
      <c r="F49" s="14"/>
      <c r="G49" s="14"/>
      <c r="I49" s="5"/>
      <c r="J49" s="0" t="s">
        <v>41</v>
      </c>
    </row>
    <row r="50" outlineLevel="2">
      <c r="A50" s="12" t="s">
        <v>69</v>
      </c>
      <c r="B50" s="0" t="s">
        <v>58</v>
      </c>
      <c r="C50" s="14">
        <v>480</v>
      </c>
      <c r="D50" s="14"/>
      <c r="E50" s="14"/>
      <c r="F50" s="14"/>
      <c r="G50" s="14"/>
      <c r="I50" s="5"/>
      <c r="J50" s="0" t="s">
        <v>41</v>
      </c>
    </row>
    <row r="51" outlineLevel="2">
      <c r="A51" s="12" t="s">
        <v>70</v>
      </c>
      <c r="B51" s="0" t="s">
        <v>58</v>
      </c>
      <c r="C51" s="14">
        <v>13</v>
      </c>
      <c r="D51" s="14"/>
      <c r="E51" s="14"/>
      <c r="F51" s="14"/>
      <c r="G51" s="14"/>
      <c r="I51" s="5"/>
      <c r="J51" s="0" t="s">
        <v>41</v>
      </c>
    </row>
    <row r="52" outlineLevel="2">
      <c r="A52" s="12" t="s">
        <v>71</v>
      </c>
      <c r="B52" s="0" t="s">
        <v>58</v>
      </c>
      <c r="C52" s="14">
        <v>0.7</v>
      </c>
      <c r="D52" s="14"/>
      <c r="E52" s="14"/>
      <c r="F52" s="14"/>
      <c r="G52" s="14"/>
      <c r="I52" s="5"/>
      <c r="J52" s="0" t="s">
        <v>41</v>
      </c>
    </row>
    <row r="53" outlineLevel="2">
      <c r="A53" s="12" t="s">
        <v>72</v>
      </c>
      <c r="B53" s="0" t="s">
        <v>58</v>
      </c>
      <c r="C53" s="14">
        <v>420</v>
      </c>
      <c r="D53" s="14"/>
      <c r="E53" s="14"/>
      <c r="F53" s="14"/>
      <c r="G53" s="14"/>
      <c r="I53" s="5"/>
      <c r="J53" s="0" t="s">
        <v>41</v>
      </c>
    </row>
    <row r="54" outlineLevel="2">
      <c r="A54" s="12" t="s">
        <v>73</v>
      </c>
      <c r="B54" s="0" t="s">
        <v>58</v>
      </c>
      <c r="C54" s="14">
        <v>2</v>
      </c>
      <c r="D54" s="14"/>
      <c r="E54" s="14"/>
      <c r="F54" s="14"/>
      <c r="G54" s="14"/>
      <c r="I54" s="5"/>
      <c r="J54" s="0" t="s">
        <v>41</v>
      </c>
    </row>
    <row r="55" outlineLevel="2">
      <c r="A55" s="12" t="s">
        <v>74</v>
      </c>
      <c r="B55" s="0" t="s">
        <v>58</v>
      </c>
      <c r="C55" s="14">
        <v>540</v>
      </c>
      <c r="D55" s="14"/>
      <c r="E55" s="14"/>
      <c r="F55" s="14"/>
      <c r="G55" s="14"/>
      <c r="I55" s="5"/>
      <c r="J55" s="0" t="s">
        <v>41</v>
      </c>
    </row>
    <row r="56" outlineLevel="2">
      <c r="A56" s="12" t="s">
        <v>75</v>
      </c>
      <c r="B56" s="0" t="s">
        <v>58</v>
      </c>
      <c r="C56" s="14">
        <v>3.6</v>
      </c>
      <c r="D56" s="14"/>
      <c r="E56" s="14"/>
      <c r="F56" s="14"/>
      <c r="G56" s="14"/>
      <c r="I56" s="5"/>
      <c r="J56" s="0" t="s">
        <v>41</v>
      </c>
    </row>
    <row r="57" outlineLevel="2">
      <c r="A57" s="12" t="s">
        <v>76</v>
      </c>
      <c r="B57" s="0" t="s">
        <v>58</v>
      </c>
      <c r="C57" s="14"/>
      <c r="D57" s="14"/>
      <c r="E57" s="14"/>
      <c r="F57" s="14"/>
      <c r="G57" s="14">
        <v>1.2</v>
      </c>
      <c r="I57" s="5"/>
    </row>
    <row r="58" outlineLevel="2">
      <c r="A58" s="12" t="s">
        <v>77</v>
      </c>
      <c r="B58" s="0" t="s">
        <v>58</v>
      </c>
      <c r="C58" s="14"/>
      <c r="D58" s="14"/>
      <c r="E58" s="14"/>
      <c r="F58" s="14"/>
      <c r="G58" s="14">
        <v>0.9</v>
      </c>
      <c r="I58" s="5"/>
    </row>
    <row r="59" outlineLevel="2">
      <c r="A59" s="12" t="s">
        <v>78</v>
      </c>
      <c r="B59" s="0" t="s">
        <v>58</v>
      </c>
      <c r="C59" s="14">
        <v>7700</v>
      </c>
      <c r="D59" s="14"/>
      <c r="E59" s="14"/>
      <c r="F59" s="14"/>
      <c r="G59" s="14"/>
      <c r="I59" s="5"/>
      <c r="J59" s="0" t="s">
        <v>41</v>
      </c>
    </row>
    <row r="60" outlineLevel="2">
      <c r="A60" s="12" t="s">
        <v>79</v>
      </c>
      <c r="B60" s="0" t="s">
        <v>58</v>
      </c>
      <c r="C60" s="14">
        <v>1.6</v>
      </c>
      <c r="D60" s="14"/>
      <c r="E60" s="14"/>
      <c r="F60" s="14"/>
      <c r="G60" s="14"/>
      <c r="I60" s="5"/>
      <c r="J60" s="0" t="s">
        <v>41</v>
      </c>
    </row>
    <row r="61" outlineLevel="2">
      <c r="A61" s="12" t="s">
        <v>80</v>
      </c>
      <c r="B61" s="0" t="s">
        <v>58</v>
      </c>
      <c r="C61" s="14">
        <v>4.9</v>
      </c>
      <c r="D61" s="14"/>
      <c r="E61" s="14"/>
      <c r="F61" s="14"/>
      <c r="G61" s="14"/>
      <c r="I61" s="5"/>
      <c r="J61" s="0" t="s">
        <v>41</v>
      </c>
    </row>
    <row r="62" outlineLevel="2">
      <c r="A62" s="12" t="s">
        <v>81</v>
      </c>
      <c r="B62" s="0" t="s">
        <v>58</v>
      </c>
      <c r="C62" s="14">
        <v>3.8</v>
      </c>
      <c r="D62" s="14"/>
      <c r="E62" s="14"/>
      <c r="F62" s="14"/>
      <c r="G62" s="14"/>
      <c r="I62" s="5"/>
      <c r="J62" s="0" t="s">
        <v>41</v>
      </c>
    </row>
    <row r="63" outlineLevel="2">
      <c r="A63" s="12" t="s">
        <v>82</v>
      </c>
      <c r="B63" s="0" t="s">
        <v>58</v>
      </c>
      <c r="C63" s="14">
        <v>0.3</v>
      </c>
      <c r="D63" s="14"/>
      <c r="E63" s="14"/>
      <c r="F63" s="14"/>
      <c r="G63" s="14"/>
      <c r="I63" s="5"/>
      <c r="J63" s="0" t="s">
        <v>41</v>
      </c>
    </row>
    <row r="64" outlineLevel="2">
      <c r="A64" s="12" t="s">
        <v>83</v>
      </c>
      <c r="B64" s="0" t="s">
        <v>58</v>
      </c>
      <c r="C64" s="14">
        <v>16</v>
      </c>
      <c r="D64" s="14"/>
      <c r="E64" s="14"/>
      <c r="F64" s="14"/>
      <c r="G64" s="14"/>
      <c r="I64" s="5"/>
      <c r="J64" s="0" t="s">
        <v>41</v>
      </c>
    </row>
    <row r="65" outlineLevel="1">
      <c r="A65" s="11" t="s">
        <v>84</v>
      </c>
      <c r="I65" s="5"/>
    </row>
    <row r="66" outlineLevel="2">
      <c r="A66" s="15" t="s">
        <v>85</v>
      </c>
      <c r="I66" s="5"/>
    </row>
    <row r="67" outlineLevel="3">
      <c r="A67" s="16" t="s">
        <v>86</v>
      </c>
      <c r="B67" s="0" t="s">
        <v>87</v>
      </c>
      <c r="C67" s="17">
        <v>787</v>
      </c>
      <c r="D67" s="17"/>
      <c r="E67" s="17"/>
      <c r="F67" s="17"/>
      <c r="G67" s="17"/>
      <c r="I67" s="5"/>
    </row>
    <row r="68" outlineLevel="3">
      <c r="A68" s="16" t="s">
        <v>88</v>
      </c>
      <c r="B68" s="0" t="s">
        <v>87</v>
      </c>
      <c r="C68" s="17">
        <v>826</v>
      </c>
      <c r="D68" s="17"/>
      <c r="E68" s="17"/>
      <c r="F68" s="17"/>
      <c r="G68" s="17"/>
      <c r="I68" s="5"/>
    </row>
    <row r="69" outlineLevel="3">
      <c r="A69" s="16" t="s">
        <v>89</v>
      </c>
      <c r="B69" s="0" t="s">
        <v>87</v>
      </c>
      <c r="C69" s="17">
        <v>959</v>
      </c>
      <c r="D69" s="17"/>
      <c r="E69" s="17"/>
      <c r="F69" s="17"/>
      <c r="G69" s="17"/>
      <c r="I69" s="5"/>
    </row>
    <row r="70" outlineLevel="3">
      <c r="A70" s="16" t="s">
        <v>90</v>
      </c>
      <c r="B70" s="0" t="s">
        <v>87</v>
      </c>
      <c r="C70" s="17">
        <v>1101</v>
      </c>
      <c r="D70" s="17"/>
      <c r="E70" s="17"/>
      <c r="F70" s="17"/>
      <c r="G70" s="17"/>
      <c r="I70" s="5"/>
    </row>
    <row r="71">
      <c r="I71" s="5"/>
    </row>
    <row r="72" s="1" customFormat="1"/>
  </sheetData>
  <mergeCells>
    <mergeCell ref="A7:A8"/>
    <mergeCell ref="C16:E16"/>
    <mergeCell ref="A16:A17"/>
    <mergeCell ref="B16:B17"/>
    <mergeCell ref="F16:F17"/>
    <mergeCell ref="G16:G17"/>
    <mergeCell ref="H16:H17"/>
    <mergeCell ref="I16:I17"/>
    <mergeCell ref="J16:J17"/>
    <mergeCell ref="K16:K17"/>
    <mergeCell ref="C39:E39"/>
    <mergeCell ref="C40:E40"/>
    <mergeCell ref="C41:E41"/>
    <mergeCell ref="C42:E42"/>
    <mergeCell ref="C43:E43"/>
    <mergeCell ref="C44:E44"/>
    <mergeCell ref="C45:E45"/>
    <mergeCell ref="C46:E46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  <mergeCell ref="C62:E62"/>
    <mergeCell ref="C63:E63"/>
    <mergeCell ref="C64:E64"/>
    <mergeCell ref="C67:E67"/>
    <mergeCell ref="C68:E68"/>
    <mergeCell ref="C69:E69"/>
    <mergeCell ref="C70:E70"/>
  </mergeCells>
  <dataValidations count="1">
    <dataValidation type="decimal" sqref="C20" errorStyle="stop" promptTitle="Enter moisture content" errorTitle="Invalid moisture content" prompt="Value should be between 0 and 100.&#10;Original value: 6.9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https://phyllis.nl/Biomass/View/1202</dc:description>
  <dcterms:created xsi:type="dcterms:W3CDTF">2026-03-04T04:14:17Z</dcterms:created>
  <dc:title>Phyllis2 #1202 miscanthus, fresh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