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03 miscanthus, sila" sheetId="1" r:id="rId1"/>
  </sheets>
  <definedNames>
    <definedName name="w" localSheetId="0">IF(ISBLANK('Phyllis2 #1203 miscanthus, sila'!$C$20),#N/A,'Phyllis2 #1203 miscanthus, sila'!$C$20/100)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<sst xmlns="http://schemas.openxmlformats.org/spreadsheetml/2006/main" count="84" uniqueCount="84">
  <si>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</si>
  <si>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https://phyllis.nl/Biomass/View/1203</t>
  </si>
  <si>
    <t>miscanthus, silage (#1203)</t>
  </si>
  <si>
    <t>ID-number</t>
  </si>
  <si>
    <t>#1203</t>
  </si>
  <si>
    <t>Material</t>
  </si>
  <si>
    <t>miscanthus, silage</t>
  </si>
  <si>
    <t>Classification</t>
  </si>
  <si>
    <t>ECN Phyllis classification &gt; grass/plant &gt; miscanthus &gt; miscanthus, silage</t>
  </si>
  <si>
    <t>NTA 8003 classification &gt; [200] biomassa uit land- en tuinbouw &gt; [210] gras &gt; [212] olifantsgras/miscanthus</t>
  </si>
  <si>
    <t>Ash type</t>
  </si>
  <si>
    <t>550 degC</t>
  </si>
  <si>
    <t>Submitter organisation</t>
  </si>
  <si>
    <t>ECN (Netherlands)</t>
  </si>
  <si>
    <t>Submission date</t>
  </si>
  <si>
    <t>Remarks</t>
  </si>
  <si>
    <t>silage from November to March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</si>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</sst>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0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2.8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IFERROR(5.01*(1-w),"")</f>
        <v>4.86972</v>
      </c>
      <c r="D21" s="13">
        <v>5.01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IFERROR(75.3*(1-w),"")</f>
        <v>73.1916</v>
      </c>
      <c r="D22" s="13">
        <v>75.3</v>
      </c>
      <c r="E22" s="13">
        <v>79.271502263396144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IFERROR(19.69*(1-w),"")</f>
        <v>19.138679999999997</v>
      </c>
      <c r="D23" s="13">
        <v>19.689999999999998</v>
      </c>
      <c r="E23" s="13">
        <v>20.728497736603853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IFERROR(47.14*(1-w),"")</f>
        <v>45.82008</v>
      </c>
      <c r="D25" s="13">
        <v>47.14</v>
      </c>
      <c r="E25" s="13">
        <v>49.626276450152652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IFERROR(5.78*(1-w),"")</f>
        <v>5.6181600000000005</v>
      </c>
      <c r="D26" s="13">
        <v>5.78</v>
      </c>
      <c r="E26" s="13">
        <v>6.0848510369512585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IFERROR(41.75*(1-w),"")</f>
        <v>40.580999999999996</v>
      </c>
      <c r="D27" s="13">
        <v>41.75</v>
      </c>
      <c r="E27" s="13">
        <v>43.951994946836514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IFERROR(0.448*(1-w),"")</f>
        <v>0.435456</v>
      </c>
      <c r="D28" s="13">
        <v>0.448</v>
      </c>
      <c r="E28" s="13">
        <v>0.47162859248341932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IFERROR(0.079*(1-w),"")</f>
        <v>0.076788</v>
      </c>
      <c r="D29" s="13">
        <v>0.079</v>
      </c>
      <c r="E29" s="13">
        <v>0.0831666491209601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IFERROR(100.271*(1-w)+w*100,"")</f>
        <v>100.26341199999999</v>
      </c>
      <c r="D30" s="13">
        <v>100.27099999999999</v>
      </c>
      <c r="E30" s="13">
        <v>100.2852931887567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IFERROR(630*(1-w),"")</f>
        <v>612.36</v>
      </c>
      <c r="D32" s="14">
        <v>630</v>
      </c>
      <c r="E32" s="14">
        <v>663.22770817980847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IFERROR(10*(1-w),"")</f>
        <v>9.7199999999999989</v>
      </c>
      <c r="D33" s="14">
        <v>10</v>
      </c>
      <c r="E33" s="14">
        <v>10.527423939362038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IFERROR(18.01871*(1-w)-w*2.443,"")</f>
        <v>17.445782119999997</v>
      </c>
      <c r="D35" s="13">
        <v>18.01871</v>
      </c>
      <c r="E35" s="13">
        <v>18.969059901042215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IFERROR(19.28*(1-w),"")</f>
        <v>18.74016</v>
      </c>
      <c r="D36" s="13">
        <v>19.28</v>
      </c>
      <c r="E36" s="13">
        <v>20.29687335509001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IFERROR(18.5847467153*(1-w),"")</f>
        <v>18.064373807271608</v>
      </c>
      <c r="D37" s="13">
        <v>18.584746715300007</v>
      </c>
      <c r="E37" s="13">
        <v>19.564950747762929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57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/>
      <c r="D40" s="14"/>
      <c r="E40" s="14"/>
      <c r="F40" s="14"/>
      <c r="G40" s="14">
        <v>1.1</v>
      </c>
      <c r="I40" s="5"/>
    </row>
    <row r="41" outlineLevel="2">
      <c r="A41" s="12" t="s">
        <v>60</v>
      </c>
      <c r="B41" s="0" t="s">
        <v>58</v>
      </c>
      <c r="C41" s="14">
        <v>4.6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3.6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2000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58</v>
      </c>
      <c r="C44" s="14">
        <v>0.2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58</v>
      </c>
      <c r="C45" s="14"/>
      <c r="D45" s="14"/>
      <c r="E45" s="14"/>
      <c r="F45" s="14"/>
      <c r="G45" s="14">
        <v>0.6</v>
      </c>
      <c r="I45" s="5"/>
    </row>
    <row r="46" outlineLevel="2">
      <c r="A46" s="12" t="s">
        <v>65</v>
      </c>
      <c r="B46" s="0" t="s">
        <v>58</v>
      </c>
      <c r="C46" s="14">
        <v>0.4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58</v>
      </c>
      <c r="C47" s="14">
        <v>2.5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58</v>
      </c>
      <c r="C48" s="14">
        <v>64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58</v>
      </c>
      <c r="C49" s="14">
        <v>12000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58</v>
      </c>
      <c r="C50" s="14">
        <v>530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58</v>
      </c>
      <c r="C51" s="14">
        <v>12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58</v>
      </c>
      <c r="C52" s="14">
        <v>1.7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58</v>
      </c>
      <c r="C53" s="14">
        <v>210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58</v>
      </c>
      <c r="C54" s="14"/>
      <c r="D54" s="14"/>
      <c r="E54" s="14"/>
      <c r="F54" s="14"/>
      <c r="G54" s="14">
        <v>0.6</v>
      </c>
      <c r="I54" s="5"/>
    </row>
    <row r="55" outlineLevel="2">
      <c r="A55" s="12" t="s">
        <v>74</v>
      </c>
      <c r="B55" s="0" t="s">
        <v>58</v>
      </c>
      <c r="C55" s="14">
        <v>660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58</v>
      </c>
      <c r="C56" s="14"/>
      <c r="D56" s="14"/>
      <c r="E56" s="14"/>
      <c r="F56" s="14"/>
      <c r="G56" s="14">
        <v>3</v>
      </c>
      <c r="I56" s="5"/>
    </row>
    <row r="57" outlineLevel="2">
      <c r="A57" s="12" t="s">
        <v>76</v>
      </c>
      <c r="B57" s="0" t="s">
        <v>58</v>
      </c>
      <c r="C57" s="14"/>
      <c r="D57" s="14"/>
      <c r="E57" s="14"/>
      <c r="F57" s="14"/>
      <c r="G57" s="14">
        <v>1.2</v>
      </c>
      <c r="I57" s="5"/>
    </row>
    <row r="58" outlineLevel="2">
      <c r="A58" s="12" t="s">
        <v>77</v>
      </c>
      <c r="B58" s="0" t="s">
        <v>58</v>
      </c>
      <c r="C58" s="14">
        <v>1</v>
      </c>
      <c r="D58" s="14"/>
      <c r="E58" s="14"/>
      <c r="F58" s="14"/>
      <c r="G58" s="14"/>
      <c r="I58" s="5"/>
      <c r="J58" s="0" t="s">
        <v>41</v>
      </c>
    </row>
    <row r="59" outlineLevel="2">
      <c r="A59" s="12" t="s">
        <v>78</v>
      </c>
      <c r="B59" s="0" t="s">
        <v>58</v>
      </c>
      <c r="C59" s="14">
        <v>10000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79</v>
      </c>
      <c r="B60" s="0" t="s">
        <v>58</v>
      </c>
      <c r="C60" s="14"/>
      <c r="D60" s="14"/>
      <c r="E60" s="14"/>
      <c r="F60" s="14"/>
      <c r="G60" s="14">
        <v>0.7</v>
      </c>
      <c r="I60" s="5"/>
    </row>
    <row r="61" outlineLevel="2">
      <c r="A61" s="12" t="s">
        <v>80</v>
      </c>
      <c r="B61" s="0" t="s">
        <v>58</v>
      </c>
      <c r="C61" s="14">
        <v>8.7</v>
      </c>
      <c r="D61" s="14"/>
      <c r="E61" s="14"/>
      <c r="F61" s="14"/>
      <c r="G61" s="14"/>
      <c r="I61" s="5"/>
      <c r="J61" s="0" t="s">
        <v>41</v>
      </c>
    </row>
    <row r="62" outlineLevel="2">
      <c r="A62" s="12" t="s">
        <v>81</v>
      </c>
      <c r="B62" s="0" t="s">
        <v>58</v>
      </c>
      <c r="C62" s="14">
        <v>3.3</v>
      </c>
      <c r="D62" s="14"/>
      <c r="E62" s="14"/>
      <c r="F62" s="14"/>
      <c r="G62" s="14"/>
      <c r="I62" s="5"/>
      <c r="J62" s="0" t="s">
        <v>41</v>
      </c>
    </row>
    <row r="63" outlineLevel="2">
      <c r="A63" s="12" t="s">
        <v>82</v>
      </c>
      <c r="B63" s="0" t="s">
        <v>58</v>
      </c>
      <c r="C63" s="14">
        <v>0.2</v>
      </c>
      <c r="D63" s="14"/>
      <c r="E63" s="14"/>
      <c r="F63" s="14"/>
      <c r="G63" s="14"/>
      <c r="I63" s="5"/>
      <c r="J63" s="0" t="s">
        <v>41</v>
      </c>
    </row>
    <row r="64" outlineLevel="2">
      <c r="A64" s="12" t="s">
        <v>83</v>
      </c>
      <c r="B64" s="0" t="s">
        <v>58</v>
      </c>
      <c r="C64" s="14">
        <v>17</v>
      </c>
      <c r="D64" s="14"/>
      <c r="E64" s="14"/>
      <c r="F64" s="14"/>
      <c r="G64" s="14"/>
      <c r="I64" s="5"/>
      <c r="J64" s="0" t="s">
        <v>41</v>
      </c>
    </row>
    <row r="65">
      <c r="I65" s="5"/>
    </row>
    <row r="66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</mergeCells>
  <dataValidations count="1">
    <dataValidation type="decimal" sqref="C20" errorStyle="stop" promptTitle="Enter moisture content" errorTitle="Invalid moisture content" prompt="Value should be between 0 and 100.&#10;Original value: 2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https://phyllis.nl/Biomass/View/1203</dc:description>
  <dcterms:created xsi:type="dcterms:W3CDTF">2026-03-04T04:14:26Z</dcterms:created>
  <dc:title>Phyllis2 #1203 miscanthus, silage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