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5 miscanthus, sila" sheetId="1" r:id="rId1"/>
  </sheets>
  <definedNames>
    <definedName name="w" localSheetId="0">IF(ISBLANK('Phyllis2 #1205 miscanthus, sila'!$C$20),#N/A,'Phyllis2 #1205 miscanthus, sila'!$C$20/100)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<sst xmlns="http://schemas.openxmlformats.org/spreadsheetml/2006/main" count="84" uniqueCount="84">
  <si>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</si>
  <si>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https://phyllis.nl/Biomass/View/1205</t>
  </si>
  <si>
    <t>miscanthus, silage (#1205)</t>
  </si>
  <si>
    <t>ID-number</t>
  </si>
  <si>
    <t>#1205</t>
  </si>
  <si>
    <t>Material</t>
  </si>
  <si>
    <t>miscanthus, silage</t>
  </si>
  <si>
    <t>Classification</t>
  </si>
  <si>
    <t>ECN Phyllis classification &gt; grass/plant &gt; miscanthus &gt; miscanthus, silage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</si>
  <si>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</si>
  <si>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</si>
  <si>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</si>
  <si>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</si>
  <si>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</si>
  <si>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</si>
  <si>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</si>
  <si>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silage from February to March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</si>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</sst>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2.5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IFERROR(3.13*(1-w),"")</f>
        <v>3.0517499999999997</v>
      </c>
      <c r="D21" s="13">
        <v>3.13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IFERROR(76.7*(1-w),"")</f>
        <v>74.7825</v>
      </c>
      <c r="D22" s="13">
        <v>76.7</v>
      </c>
      <c r="E22" s="13">
        <v>79.178280169299057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IFERROR(20.17*(1-w),"")</f>
        <v>19.665750000000003</v>
      </c>
      <c r="D23" s="13">
        <v>20.17</v>
      </c>
      <c r="E23" s="13">
        <v>20.821719830700943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IFERROR(47.75*(1-w),"")</f>
        <v>46.55625</v>
      </c>
      <c r="D25" s="13">
        <v>47.75</v>
      </c>
      <c r="E25" s="13">
        <v>49.292866728605347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IFERROR(5.84*(1-w),"")</f>
        <v>5.694</v>
      </c>
      <c r="D26" s="13">
        <v>5.84</v>
      </c>
      <c r="E26" s="13">
        <v>6.0286982553938264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IFERROR(42.55*(1-w),"")</f>
        <v>41.48625</v>
      </c>
      <c r="D27" s="13">
        <v>42.55</v>
      </c>
      <c r="E27" s="13">
        <v>43.924847734076593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IFERROR(0.382*(1-w),"")</f>
        <v>0.37245</v>
      </c>
      <c r="D28" s="13">
        <v>0.382</v>
      </c>
      <c r="E28" s="13">
        <v>0.39434293382884278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IFERROR(0.072*(1-w),"")</f>
        <v>0.0702</v>
      </c>
      <c r="D29" s="13">
        <v>0.072</v>
      </c>
      <c r="E29" s="13">
        <v>0.07432641684732115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IFERROR(99.78*(1-w)+w*100,"")</f>
        <v>99.7855</v>
      </c>
      <c r="D30" s="13">
        <v>99.78</v>
      </c>
      <c r="E30" s="13">
        <v>99.772891504077634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IFERROR(550*(1-w),"")</f>
        <v>536.25</v>
      </c>
      <c r="D32" s="14">
        <v>550</v>
      </c>
      <c r="E32" s="14">
        <v>567.77123980592546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9.75</v>
      </c>
      <c r="D33" s="14">
        <v>10</v>
      </c>
      <c r="E33" s="14">
        <v>10.323113451016827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IFERROR(18.03561*(1-w)-w*2.443,"")</f>
        <v>17.52364475</v>
      </c>
      <c r="D35" s="13">
        <v>18.03561</v>
      </c>
      <c r="E35" s="13">
        <v>18.618364818829356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IFERROR(19.31*(1-w),"")</f>
        <v>18.82725</v>
      </c>
      <c r="D36" s="13">
        <v>19.31</v>
      </c>
      <c r="E36" s="13">
        <v>19.933932073913493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IFERROR(18.8099391257*(1-w),"")</f>
        <v>18.3396906475575</v>
      </c>
      <c r="D37" s="13">
        <v>18.8099391257</v>
      </c>
      <c r="E37" s="13">
        <v>19.417713560132139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90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2.5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1.8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1100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0.11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0.8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1.7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81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9500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480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8.5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0.6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640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/>
      <c r="D54" s="14"/>
      <c r="E54" s="14"/>
      <c r="F54" s="14"/>
      <c r="G54" s="14">
        <v>0.6</v>
      </c>
      <c r="I54" s="5"/>
    </row>
    <row r="55" outlineLevel="2">
      <c r="A55" s="12" t="s">
        <v>74</v>
      </c>
      <c r="B55" s="0" t="s">
        <v>58</v>
      </c>
      <c r="C55" s="14">
        <v>450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7400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6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5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0.3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12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2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https://phyllis.nl/Biomass/View/1205</dc:description>
  <dcterms:created xsi:type="dcterms:W3CDTF">2026-03-04T04:14:31Z</dcterms:created>
  <dc:title>Phyllis2 #1205 miscanthus, silage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