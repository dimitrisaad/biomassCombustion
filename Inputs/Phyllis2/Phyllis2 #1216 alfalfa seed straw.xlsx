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16 alfalfa seed str" sheetId="1" r:id="rId1"/>
  </sheets>
  <definedNames>
    <definedName name="w" localSheetId="0">IF(ISBLANK('Phyllis2 #1216 alfalfa seed str'!$C$18),#N/A,'Phyllis2 #1216 alfalfa seed str'!$C$18/100)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<sst xmlns="http://schemas.openxmlformats.org/spreadsheetml/2006/main" count="53" uniqueCount="53">
  <si>
    <t>Phyllis2</t>
  </si>
  <si>
    <t>https://phyllis.nl/Biomass/View/1216</t>
  </si>
  <si>
    <t>alfalfa seed straw (#1216)</t>
  </si>
  <si>
    <t>ID-number</t>
  </si>
  <si>
    <t>#1216</t>
  </si>
  <si>
    <t>Material</t>
  </si>
  <si>
    <t>alfalfa seed straw</t>
  </si>
  <si>
    <t>Classification</t>
  </si>
  <si>
    <t>ECN Phyllis classification &gt; grass/plant &gt; alfalfa</t>
  </si>
  <si>
    <t>NTA 8003 classification &gt; [200] biomassa uit land- en tuinbouw &gt; [240] gewassen &gt; [249] overige gewassen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</si>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</sst>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1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35950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IFERROR(7.25*(1-w),"")</f>
        <v/>
      </c>
      <c r="D19" s="13">
        <v>7.25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IFERROR(72.6*(1-w),"")</f>
        <v/>
      </c>
      <c r="D20" s="13">
        <v>72.6</v>
      </c>
      <c r="E20" s="13">
        <v>78.274932614555254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IFERROR(20.15*(1-w),"")</f>
        <v/>
      </c>
      <c r="D21" s="13">
        <v>20.150000000000006</v>
      </c>
      <c r="E21" s="13">
        <v>21.725067385444749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IFERROR(46.76*(1-w),"")</f>
        <v/>
      </c>
      <c r="D23" s="13">
        <v>46.76</v>
      </c>
      <c r="E23" s="13">
        <v>50.415094339622641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IFERROR(5.4*(1-w),"")</f>
        <v/>
      </c>
      <c r="D24" s="13">
        <v>5.4</v>
      </c>
      <c r="E24" s="13">
        <v>5.822102425876011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IFERROR(40.72*(1-w),"")</f>
        <v/>
      </c>
      <c r="D25" s="13">
        <v>40.72</v>
      </c>
      <c r="E25" s="13">
        <v>43.902964959568735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IFERROR(1*(1-w),"")</f>
        <v/>
      </c>
      <c r="D26" s="13">
        <v>1</v>
      </c>
      <c r="E26" s="13">
        <v>1.0781671159029649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IFERROR(0.02*(1-w),"")</f>
        <v/>
      </c>
      <c r="D27" s="13">
        <v>0.02</v>
      </c>
      <c r="E27" s="13">
        <v>0.0215633423180593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IFERROR(101.18*(1-w)+w*100,"")</f>
        <v/>
      </c>
      <c r="D28" s="13">
        <v>101.17999999999999</v>
      </c>
      <c r="E28" s="13">
        <v>101.27223719676549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4">
        <f>IFERROR(300*(1-w),"")</f>
        <v/>
      </c>
      <c r="D30" s="14">
        <v>300</v>
      </c>
      <c r="E30" s="14">
        <v>323.45013477088946</v>
      </c>
      <c r="F30" s="14"/>
      <c r="G30" s="14"/>
      <c r="I30" s="5"/>
      <c r="J30" s="0" t="s">
        <v>39</v>
      </c>
    </row>
    <row r="31" outlineLevel="1">
      <c r="A31" s="11" t="s">
        <v>48</v>
      </c>
      <c r="I31" s="5"/>
    </row>
    <row r="32" outlineLevel="2">
      <c r="A32" s="12" t="s">
        <v>49</v>
      </c>
      <c r="B32" s="0" t="s">
        <v>50</v>
      </c>
      <c r="C32" s="13">
        <f>IFERROR(17.27163*(1-w)-w*2.443,"")</f>
        <v/>
      </c>
      <c r="D32" s="13">
        <v>17.27163</v>
      </c>
      <c r="E32" s="13">
        <v>18.621703504043126</v>
      </c>
      <c r="F32" s="13"/>
      <c r="G32" s="13"/>
      <c r="I32" s="5"/>
    </row>
    <row r="33" outlineLevel="2">
      <c r="A33" s="12" t="s">
        <v>51</v>
      </c>
      <c r="B33" s="0" t="s">
        <v>50</v>
      </c>
      <c r="C33" s="13">
        <f>IFERROR(18.45*(1-w),"")</f>
        <v/>
      </c>
      <c r="D33" s="13">
        <v>18.45</v>
      </c>
      <c r="E33" s="13">
        <v>19.892183288409704</v>
      </c>
      <c r="F33" s="13"/>
      <c r="G33" s="13"/>
      <c r="I33" s="5"/>
    </row>
    <row r="34" outlineLevel="2">
      <c r="A34" s="12" t="s">
        <v>52</v>
      </c>
      <c r="B34" s="0" t="s">
        <v>50</v>
      </c>
      <c r="C34" s="13">
        <f>IFERROR(17.9760490625*(1-w),"")</f>
        <v/>
      </c>
      <c r="D34" s="13">
        <v>17.976049062499996</v>
      </c>
      <c r="E34" s="13">
        <v>19.381184973045819</v>
      </c>
      <c r="F34" s="13"/>
      <c r="G34" s="13"/>
      <c r="I34" s="5"/>
      <c r="J34" s="0" t="s">
        <v>36</v>
      </c>
    </row>
    <row r="35">
      <c r="I35" s="5"/>
    </row>
    <row r="3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https://phyllis.nl/Biomass/View/1216</dc:description>
  <dcterms:created xsi:type="dcterms:W3CDTF">2026-03-04T03:59:42Z</dcterms:created>
  <dc:title>Phyllis2 #1216 alfalfa seed straw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