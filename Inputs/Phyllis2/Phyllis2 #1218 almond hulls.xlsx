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18 almond hulls" sheetId="1" r:id="rId1"/>
  </sheets>
  <definedNames>
    <definedName name="w" localSheetId="0">IF(ISBLANK('Phyllis2 #1218 almond hulls'!$C$18),#N/A,'Phyllis2 #1218 almond hulls'!$C$18/100)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<sst xmlns="http://schemas.openxmlformats.org/spreadsheetml/2006/main" count="53" uniqueCount="53">
  <si>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</si>
  <si>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https://phyllis.nl/Biomass/View/1218</t>
  </si>
  <si>
    <t>almond hulls (#1218)</t>
  </si>
  <si>
    <t>ID-number</t>
  </si>
  <si>
    <t>#1218</t>
  </si>
  <si>
    <t>Material</t>
  </si>
  <si>
    <t>almond hulls</t>
  </si>
  <si>
    <t>Classification</t>
  </si>
  <si>
    <t>ECN Phyllis classification &gt; husk/shell/pit &gt; almond &gt; almond hulls</t>
  </si>
  <si>
    <t>NTA 8003 classification &gt; [200] biomassa uit land- en tuinbouw &gt; [230] restproducten (doppen) &gt; [235] amandeldoppen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</si>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</sst>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IFERROR(5.78*(1-w),"")</f>
        <v/>
      </c>
      <c r="D19" s="13">
        <v>5.78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IFERROR(71.33*(1-w),"")</f>
        <v/>
      </c>
      <c r="D20" s="13">
        <v>71.33</v>
      </c>
      <c r="E20" s="13">
        <v>75.70579494799405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IFERROR(22.89*(1-w),"")</f>
        <v/>
      </c>
      <c r="D21" s="13">
        <v>22.89</v>
      </c>
      <c r="E21" s="13">
        <v>24.294205052005942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IFERROR(45.79*(1-w),"")</f>
        <v/>
      </c>
      <c r="D23" s="13">
        <v>45.79</v>
      </c>
      <c r="E23" s="13">
        <v>48.599023561876457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IFERROR(5.36*(1-w),"")</f>
        <v/>
      </c>
      <c r="D24" s="13">
        <v>5.36</v>
      </c>
      <c r="E24" s="13">
        <v>5.688813415410741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IFERROR(40.6*(1-w),"")</f>
        <v/>
      </c>
      <c r="D25" s="13">
        <v>40.6</v>
      </c>
      <c r="E25" s="13">
        <v>43.09063893016345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IFERROR(0.96*(1-w),"")</f>
        <v/>
      </c>
      <c r="D26" s="13">
        <v>0.96</v>
      </c>
      <c r="E26" s="13">
        <v>1.0188919549989386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0.010613457864572278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IFERROR(98.58*(1-w)+w*100,"")</f>
        <v/>
      </c>
      <c r="D28" s="13">
        <v>98.58</v>
      </c>
      <c r="E28" s="13">
        <v>98.492888983230728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IFERROR(800*(1-w),"")</f>
        <v/>
      </c>
      <c r="D30" s="14">
        <v>800</v>
      </c>
      <c r="E30" s="14">
        <v>849.07662916578215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IFERROR(17.05036*(1-w)-w*2.443,"")</f>
        <v/>
      </c>
      <c r="D32" s="13">
        <v>17.05036</v>
      </c>
      <c r="E32" s="13">
        <v>18.096327743578858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IFERROR(18.22*(1-w),"")</f>
        <v/>
      </c>
      <c r="D33" s="13">
        <v>18.22</v>
      </c>
      <c r="E33" s="13">
        <v>19.337720229250689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IFERROR(17.6304734852*(1-w),"")</f>
        <v/>
      </c>
      <c r="D34" s="13">
        <v>17.630473485200003</v>
      </c>
      <c r="E34" s="13">
        <v>18.712028746762897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https://phyllis.nl/Biomass/View/1218</dc:description>
  <dcterms:created xsi:type="dcterms:W3CDTF">2026-03-17T05:38:29Z</dcterms:created>
  <dc:title>Phyllis2 #1218 almond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