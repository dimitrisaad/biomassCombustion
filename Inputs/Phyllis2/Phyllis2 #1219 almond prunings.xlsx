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19 almond prunings" sheetId="1" r:id="rId1"/>
  </sheets>
  <definedNames>
    <definedName name="w" localSheetId="0">IF(ISBLANK('Phyllis2 #1219 almond prunings'!$C$18),#N/A,'Phyllis2 #1219 almond prunings'!$C$18/100)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<sst xmlns="http://schemas.openxmlformats.org/spreadsheetml/2006/main" count="53" uniqueCount="53">
  <si>
    <t>Phyllis2</t>
  </si>
  <si>
    <t>https://phyllis.nl/Biomass/View/1219</t>
  </si>
  <si>
    <t>almond prunings (#1219)</t>
  </si>
  <si>
    <t>ID-number</t>
  </si>
  <si>
    <t>#1219</t>
  </si>
  <si>
    <t>Material</t>
  </si>
  <si>
    <t>almond prunings</t>
  </si>
  <si>
    <t>Classification</t>
  </si>
  <si>
    <t>ECN Phyllis classification &gt; untreated wood &gt; other hard wood</t>
  </si>
  <si>
    <t>NTA 8003 classification &gt; [100] hout &gt; [110] vers hout &gt; [120] loofhout &gt; [126] hard loofhout met schors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</si>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</sst>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1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35950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IFERROR(1.63*(1-w),"")</f>
        <v/>
      </c>
      <c r="D19" s="13">
        <v>1.63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IFERROR(76.83*(1-w),"")</f>
        <v/>
      </c>
      <c r="D20" s="13">
        <v>76.83</v>
      </c>
      <c r="E20" s="13">
        <v>78.1030802073803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IFERROR(21.54*(1-w),"")</f>
        <v/>
      </c>
      <c r="D21" s="13">
        <v>21.540000000000006</v>
      </c>
      <c r="E21" s="13">
        <v>21.896919792619705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IFERROR(51.3*(1-w),"")</f>
        <v/>
      </c>
      <c r="D23" s="13">
        <v>51.3</v>
      </c>
      <c r="E23" s="13">
        <v>52.150045745654161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IFERROR(5.29*(1-w),"")</f>
        <v/>
      </c>
      <c r="D24" s="13">
        <v>5.29</v>
      </c>
      <c r="E24" s="13">
        <v>5.3776557893666768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IFERROR(40.9*(1-w),"")</f>
        <v/>
      </c>
      <c r="D25" s="13">
        <v>40.9</v>
      </c>
      <c r="E25" s="13">
        <v>41.577716783572228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IFERROR(0.66*(1-w),"")</f>
        <v/>
      </c>
      <c r="D26" s="13">
        <v>0.66</v>
      </c>
      <c r="E26" s="13">
        <v>0.67093626105519977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IFERROR(0.01*(1-w),"")</f>
        <v/>
      </c>
      <c r="D27" s="13">
        <v>0.01</v>
      </c>
      <c r="E27" s="13">
        <v>0.010165700925078784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IFERROR(99.83*(1-w)+w*100,"")</f>
        <v/>
      </c>
      <c r="D28" s="13">
        <v>99.83</v>
      </c>
      <c r="E28" s="13">
        <v>99.827183084273656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IFERROR(400*(1-w),"")</f>
        <v/>
      </c>
      <c r="D30" s="14">
        <v>400</v>
      </c>
      <c r="E30" s="14">
        <v>406.62803700315135</v>
      </c>
      <c r="F30" s="14"/>
      <c r="G30" s="14"/>
      <c r="I30" s="5"/>
      <c r="J30" s="0" t="s">
        <v>39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IFERROR(18.85563*(1-w)-w*2.443,"")</f>
        <v/>
      </c>
      <c r="D32" s="13">
        <v>18.85563</v>
      </c>
      <c r="E32" s="13">
        <v>19.168069533394327</v>
      </c>
      <c r="F32" s="13"/>
      <c r="G32" s="13"/>
      <c r="I32" s="5"/>
    </row>
    <row r="33" outlineLevel="2">
      <c r="A33" s="12" t="s">
        <v>51</v>
      </c>
      <c r="B33" s="0" t="s">
        <v>50</v>
      </c>
      <c r="C33" s="13">
        <f>IFERROR(20.01*(1-w),"")</f>
        <v/>
      </c>
      <c r="D33" s="13">
        <v>20.01</v>
      </c>
      <c r="E33" s="13">
        <v>20.341567551082647</v>
      </c>
      <c r="F33" s="13"/>
      <c r="G33" s="13"/>
      <c r="I33" s="5"/>
    </row>
    <row r="34" outlineLevel="2">
      <c r="A34" s="12" t="s">
        <v>52</v>
      </c>
      <c r="B34" s="0" t="s">
        <v>50</v>
      </c>
      <c r="C34" s="13">
        <f>IFERROR(19.4756335057*(1-w),"")</f>
        <v/>
      </c>
      <c r="D34" s="13">
        <v>19.475633505700003</v>
      </c>
      <c r="E34" s="13">
        <v>19.798346554538988</v>
      </c>
      <c r="F34" s="13"/>
      <c r="G34" s="13"/>
      <c r="I34" s="5"/>
      <c r="J34" s="0" t="s">
        <v>36</v>
      </c>
    </row>
    <row r="35">
      <c r="I35" s="5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https://phyllis.nl/Biomass/View/1219</dc:description>
  <dcterms:created xsi:type="dcterms:W3CDTF">2026-03-19T07:16:42Z</dcterms:created>
  <dc:title>Phyllis2 #1219 almond prunings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