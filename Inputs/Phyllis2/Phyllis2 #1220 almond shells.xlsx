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20 almond shells" sheetId="1" r:id="rId1"/>
  </sheets>
  <definedNames>
    <definedName name="w" localSheetId="0">IF(ISBLANK('Phyllis2 #1220 almond shells'!$C$18),#N/A,'Phyllis2 #1220 almond shells'!$C$18/100)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<sst xmlns="http://schemas.openxmlformats.org/spreadsheetml/2006/main" count="50" uniqueCount="50">
  <si>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</si>
  <si>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https://phyllis.nl/Biomass/View/1220</t>
  </si>
  <si>
    <t>almond shells (#1220)</t>
  </si>
  <si>
    <t>ID-number</t>
  </si>
  <si>
    <t>#1220</t>
  </si>
  <si>
    <t>Material</t>
  </si>
  <si>
    <t>almond shells</t>
  </si>
  <si>
    <t>Classification</t>
  </si>
  <si>
    <t>ECN Phyllis classification &gt; husk/shell/pit &gt; almond &gt; almond shells</t>
  </si>
  <si>
    <t>NTA 8003 classification &gt; [200] biomassa uit land- en tuinbouw &gt; [230] restproducten (doppen) &gt; [235] amandeldoppen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</si>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</sst>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2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35950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IFERROR(4.81*(1-w),"")</f>
        <v/>
      </c>
      <c r="D19" s="13">
        <v>4.81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IFERROR(73.45*(1-w),"")</f>
        <v/>
      </c>
      <c r="D20" s="13">
        <v>73.45</v>
      </c>
      <c r="E20" s="13">
        <v>77.161466540603016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IFERROR(21.74*(1-w),"")</f>
        <v/>
      </c>
      <c r="D21" s="13">
        <v>21.739999999999995</v>
      </c>
      <c r="E21" s="13">
        <v>22.838533459396992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IFERROR(44.98*(1-w),"")</f>
        <v/>
      </c>
      <c r="D23" s="13">
        <v>44.98</v>
      </c>
      <c r="E23" s="13">
        <v>47.252862695661307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IFERROR(5.97*(1-w),"")</f>
        <v/>
      </c>
      <c r="D24" s="13">
        <v>5.97</v>
      </c>
      <c r="E24" s="13">
        <v>6.2716671919319253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IFERROR(42.27*(1-w),"")</f>
        <v/>
      </c>
      <c r="D25" s="13">
        <v>42.27</v>
      </c>
      <c r="E25" s="13">
        <v>44.405924992121022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IFERROR(1.16*(1-w),"")</f>
        <v/>
      </c>
      <c r="D26" s="13">
        <v>1.16</v>
      </c>
      <c r="E26" s="13">
        <v>1.2186154007773926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IFERROR(0.02*(1-w),"")</f>
        <v/>
      </c>
      <c r="D27" s="13">
        <v>0.02</v>
      </c>
      <c r="E27" s="13">
        <v>0.021010610358230909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IFERROR(99.21*(1-w)+w*100,"")</f>
        <v/>
      </c>
      <c r="D28" s="13">
        <v>99.21</v>
      </c>
      <c r="E28" s="13">
        <v>99.170080890849874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IFERROR(18.07724*(1-w)-w*2.443,"")</f>
        <v/>
      </c>
      <c r="D30" s="13">
        <v>18.07724</v>
      </c>
      <c r="E30" s="13">
        <v>18.990692299611304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IFERROR(19.38*(1-w),"")</f>
        <v/>
      </c>
      <c r="D31" s="13">
        <v>19.38</v>
      </c>
      <c r="E31" s="13">
        <v>20.359281437125748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IFERROR(17.9502388233*(1-w),"")</f>
        <v/>
      </c>
      <c r="D32" s="13">
        <v>17.9502388233</v>
      </c>
      <c r="E32" s="13">
        <v>18.857273687677278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https://phyllis.nl/Biomass/View/1220</dc:description>
  <dcterms:created xsi:type="dcterms:W3CDTF">2026-03-17T05:38:53Z</dcterms:created>
  <dc:title>Phyllis2 #1220 almond shells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