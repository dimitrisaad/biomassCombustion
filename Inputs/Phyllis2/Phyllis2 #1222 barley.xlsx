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22 barley" sheetId="1" r:id="rId1"/>
  </sheets>
  <definedNames>
    <definedName name="w" localSheetId="0">IF(ISBLANK('Phyllis2 #1222 barley'!$C$18),#N/A,'Phyllis2 #1222 barley'!$C$18/100)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<sst xmlns="http://schemas.openxmlformats.org/spreadsheetml/2006/main" count="49" uniqueCount="49">
  <si>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</si>
  <si>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https://phyllis.nl/Biomass/View/1222</t>
  </si>
  <si>
    <t>barley (#1222)</t>
  </si>
  <si>
    <t>ID-number</t>
  </si>
  <si>
    <t>#1222</t>
  </si>
  <si>
    <t>Material</t>
  </si>
  <si>
    <t>barley</t>
  </si>
  <si>
    <t>Classification</t>
  </si>
  <si>
    <t>ECN Phyllis classification &gt; straw (stalk/cob/ear) &gt; barley &gt; barley</t>
  </si>
  <si>
    <t>NTA 8003 classification &gt; [200] biomassa uit land- en tuinbouw &gt; [220] stro &gt; [222] gerstestro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</si>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</sst>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IFERROR(10.3*(1-w),"")</f>
        <v/>
      </c>
      <c r="D19" s="13">
        <v>10.3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IFERROR(68.8*(1-w),"")</f>
        <v/>
      </c>
      <c r="D20" s="13">
        <v>68.8</v>
      </c>
      <c r="E20" s="13">
        <v>76.700111482720175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IFERROR(20.9*(1-w),"")</f>
        <v/>
      </c>
      <c r="D21" s="13">
        <v>20.900000000000006</v>
      </c>
      <c r="E21" s="13">
        <v>23.299888517279829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IFERROR(39.92*(1-w),"")</f>
        <v/>
      </c>
      <c r="D23" s="13">
        <v>39.92</v>
      </c>
      <c r="E23" s="13">
        <v>44.503901895206241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IFERROR(5.27*(1-w),"")</f>
        <v/>
      </c>
      <c r="D24" s="13">
        <v>5.27</v>
      </c>
      <c r="E24" s="13">
        <v>5.8751393534002228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IFERROR(43.81*(1-w),"")</f>
        <v/>
      </c>
      <c r="D25" s="13">
        <v>43.81</v>
      </c>
      <c r="E25" s="13">
        <v>48.840579710144929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IFERROR(1.25*(1-w),"")</f>
        <v/>
      </c>
      <c r="D26" s="13">
        <v>1.25</v>
      </c>
      <c r="E26" s="13">
        <v>1.3935340022296543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IFERROR(100.55*(1-w)+w*100,"")</f>
        <v/>
      </c>
      <c r="D27" s="13">
        <v>100.55</v>
      </c>
      <c r="E27" s="13">
        <v>100.61315496098105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IFERROR(16.16*(1-w)-w*2.443,"")</f>
        <v/>
      </c>
      <c r="D29" s="13">
        <v>16.16</v>
      </c>
      <c r="E29" s="13">
        <v>18.015607580824973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IFERROR(17.31*(1-w),"")</f>
        <v/>
      </c>
      <c r="D30" s="13">
        <v>17.31</v>
      </c>
      <c r="E30" s="13">
        <v>19.297658862876251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IFERROR(15.03110177*(1-w),"")</f>
        <v/>
      </c>
      <c r="D31" s="13">
        <v>15.031101770000001</v>
      </c>
      <c r="E31" s="13">
        <v>16.757081125975475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https://phyllis.nl/Biomass/View/1222</dc:description>
  <dcterms:created xsi:type="dcterms:W3CDTF">2026-03-17T06:04:10Z</dcterms:created>
  <dc:title>Phyllis2 #1222 barley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