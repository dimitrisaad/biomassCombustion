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25 wood, black locu" sheetId="1" r:id="rId1"/>
  </sheets>
  <definedNames>
    <definedName name="w" localSheetId="0">IF(ISBLANK('Phyllis2 #1225 wood, black locu'!$C$18),#N/A,'Phyllis2 #1225 wood, black locu'!$C$18/100)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<sst xmlns="http://schemas.openxmlformats.org/spreadsheetml/2006/main" count="53" uniqueCount="53">
  <si>
    <t>Phyllis2</t>
  </si>
  <si>
    <t>https://phyllis.nl/Biomass/View/1225</t>
  </si>
  <si>
    <t>wood, black locust (Robinia pseudoacacia) (#1225)</t>
  </si>
  <si>
    <t>ID-number</t>
  </si>
  <si>
    <t>#1225</t>
  </si>
  <si>
    <t>Material</t>
  </si>
  <si>
    <t>wood, black locust (Robinia pseudoacacia)</t>
  </si>
  <si>
    <t>Classification</t>
  </si>
  <si>
    <t>ECN Phyllis classification &gt; untreated wood &gt; other hard wood</t>
  </si>
  <si>
    <t>NTA 8003 classification &gt; [100] hout &gt; [110] vers hout &gt; [120] loofhout &gt; [125] hard loofhout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</si>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</sst>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2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35957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IFERROR(0.8*(1-w),"")</f>
        <v/>
      </c>
      <c r="D19" s="13">
        <v>0.8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IFERROR(80.94*(1-w),"")</f>
        <v/>
      </c>
      <c r="D20" s="13">
        <v>80.94</v>
      </c>
      <c r="E20" s="13">
        <v>81.592741935483872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IFERROR(18.26*(1-w),"")</f>
        <v/>
      </c>
      <c r="D21" s="13">
        <v>18.260000000000005</v>
      </c>
      <c r="E21" s="13">
        <v>18.407258064516135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IFERROR(50.73*(1-w),"")</f>
        <v/>
      </c>
      <c r="D23" s="13">
        <v>50.73</v>
      </c>
      <c r="E23" s="13">
        <v>51.1391129032258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IFERROR(5.71*(1-w),"")</f>
        <v/>
      </c>
      <c r="D24" s="13">
        <v>5.71</v>
      </c>
      <c r="E24" s="13">
        <v>5.756048387096774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IFERROR(41.93*(1-w),"")</f>
        <v/>
      </c>
      <c r="D25" s="13">
        <v>41.93</v>
      </c>
      <c r="E25" s="13">
        <v>42.26814516129032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IFERROR(0.57*(1-w),"")</f>
        <v/>
      </c>
      <c r="D26" s="13">
        <v>0.57</v>
      </c>
      <c r="E26" s="13">
        <v>0.57459677419354838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IFERROR(0.01*(1-w),"")</f>
        <v/>
      </c>
      <c r="D27" s="13">
        <v>0.01</v>
      </c>
      <c r="E27" s="13">
        <v>0.010080645161290322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IFERROR(99.83*(1-w)+w*100,"")</f>
        <v/>
      </c>
      <c r="D28" s="13">
        <v>99.83</v>
      </c>
      <c r="E28" s="13">
        <v>99.828629032258064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IFERROR(800*(1-w),"")</f>
        <v/>
      </c>
      <c r="D30" s="14">
        <v>800</v>
      </c>
      <c r="E30" s="14">
        <v>806.45161290322585</v>
      </c>
      <c r="F30" s="14"/>
      <c r="G30" s="14"/>
      <c r="I30" s="5"/>
      <c r="J30" s="0" t="s">
        <v>39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IFERROR(18.46398*(1-w)-w*2.443,"")</f>
        <v/>
      </c>
      <c r="D32" s="13">
        <v>18.46398</v>
      </c>
      <c r="E32" s="13">
        <v>18.612883064516129</v>
      </c>
      <c r="F32" s="13"/>
      <c r="G32" s="13"/>
      <c r="I32" s="5"/>
    </row>
    <row r="33" outlineLevel="2">
      <c r="A33" s="12" t="s">
        <v>51</v>
      </c>
      <c r="B33" s="0" t="s">
        <v>50</v>
      </c>
      <c r="C33" s="13">
        <f>IFERROR(19.71*(1-w),"")</f>
        <v/>
      </c>
      <c r="D33" s="13">
        <v>19.71</v>
      </c>
      <c r="E33" s="13">
        <v>19.868951612903228</v>
      </c>
      <c r="F33" s="13"/>
      <c r="G33" s="13"/>
      <c r="I33" s="5"/>
    </row>
    <row r="34" outlineLevel="2">
      <c r="A34" s="12" t="s">
        <v>52</v>
      </c>
      <c r="B34" s="0" t="s">
        <v>50</v>
      </c>
      <c r="C34" s="13">
        <f>IFERROR(19.73609392*(1-w),"")</f>
        <v/>
      </c>
      <c r="D34" s="13">
        <v>19.73609392</v>
      </c>
      <c r="E34" s="13">
        <v>19.895255967741935</v>
      </c>
      <c r="F34" s="13"/>
      <c r="G34" s="13"/>
      <c r="I34" s="5"/>
      <c r="J34" s="0" t="s">
        <v>36</v>
      </c>
    </row>
    <row r="35">
      <c r="I35" s="5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https://phyllis.nl/Biomass/View/1225</dc:description>
  <dcterms:created xsi:type="dcterms:W3CDTF">2026-03-19T07:17:26Z</dcterms:created>
  <dc:title>Phyllis2 #1225 wood, black locust (Robinia pseudoacacia)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