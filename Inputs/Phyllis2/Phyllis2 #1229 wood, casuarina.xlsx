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29 wood, casuarina" sheetId="1" r:id="rId1"/>
  </sheets>
  <definedNames>
    <definedName name="w" localSheetId="0">IF(ISBLANK('Phyllis2 #1229 wood, casuarina'!$C$19),#N/A,'Phyllis2 #1229 wood, casuarina'!$C$19/100)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<sst xmlns="http://schemas.openxmlformats.org/spreadsheetml/2006/main" count="54" uniqueCount="54">
  <si>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</si>
  <si>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https://phyllis.nl/Biomass/View/1229</t>
  </si>
  <si>
    <t>wood, casuarina (#1229)</t>
  </si>
  <si>
    <t>ID-number</t>
  </si>
  <si>
    <t>#1229</t>
  </si>
  <si>
    <t>Material</t>
  </si>
  <si>
    <t>wood, casuarina</t>
  </si>
  <si>
    <t>Classification</t>
  </si>
  <si>
    <t>ECN Phyllis classification &gt; untreated wood &gt; tropical hard wood &gt; wood, casuarina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</si>
  <si>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</si>
  <si>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</si>
  <si>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</si>
  <si>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</si>
  <si>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</si>
  <si>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Tjemara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</si>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</sst>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2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IFERROR(1.4*(1-w),"")</f>
        <v/>
      </c>
      <c r="D20" s="13">
        <v>1.4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IFERROR(78.94*(1-w),"")</f>
        <v/>
      </c>
      <c r="D21" s="13">
        <v>78.94</v>
      </c>
      <c r="E21" s="13">
        <v>80.060851926977691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IFERROR(19.66*(1-w),"")</f>
        <v/>
      </c>
      <c r="D22" s="13">
        <v>19.659999999999997</v>
      </c>
      <c r="E22" s="13">
        <v>19.939148073022309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IFERROR(48.61*(1-w),"")</f>
        <v/>
      </c>
      <c r="D24" s="13">
        <v>48.61</v>
      </c>
      <c r="E24" s="13">
        <v>49.300202839756594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IFERROR(5.83*(1-w),"")</f>
        <v/>
      </c>
      <c r="D25" s="13">
        <v>5.83</v>
      </c>
      <c r="E25" s="13">
        <v>5.9127789046653145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IFERROR(43.36*(1-w),"")</f>
        <v/>
      </c>
      <c r="D26" s="13">
        <v>43.36</v>
      </c>
      <c r="E26" s="13">
        <v>43.975659229208922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34</v>
      </c>
      <c r="C27" s="13">
        <f>IFERROR(0.59*(1-w),"")</f>
        <v/>
      </c>
      <c r="D27" s="13">
        <v>0.59</v>
      </c>
      <c r="E27" s="13">
        <v>0.59837728194726159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IFERROR(0.02*(1-w),"")</f>
        <v/>
      </c>
      <c r="D28" s="13">
        <v>0.02</v>
      </c>
      <c r="E28" s="13">
        <v>0.020283975659229209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IFERROR(99.97*(1-w)+w*100,"")</f>
        <v/>
      </c>
      <c r="D29" s="13">
        <v>99.97</v>
      </c>
      <c r="E29" s="13">
        <v>99.969574036511148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IFERROR(1600*(1-w),"")</f>
        <v/>
      </c>
      <c r="D31" s="14">
        <v>1600</v>
      </c>
      <c r="E31" s="14">
        <v>1622.7180527383368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IFERROR(18.16779*(1-w)-w*2.443,"")</f>
        <v/>
      </c>
      <c r="D33" s="13">
        <v>18.16779</v>
      </c>
      <c r="E33" s="13">
        <v>18.425750507099391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IFERROR(19.44*(1-w),"")</f>
        <v/>
      </c>
      <c r="D34" s="13">
        <v>19.44</v>
      </c>
      <c r="E34" s="13">
        <v>19.716024340770794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IFERROR(18.98952188*(1-w),"")</f>
        <v/>
      </c>
      <c r="D35" s="13">
        <v>18.989521880000005</v>
      </c>
      <c r="E35" s="13">
        <v>19.259149979716028</v>
      </c>
      <c r="F35" s="13"/>
      <c r="G35" s="13"/>
      <c r="I35" s="5"/>
      <c r="J35" s="0" t="s">
        <v>37</v>
      </c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https://phyllis.nl/Biomass/View/1229</dc:description>
  <dcterms:created xsi:type="dcterms:W3CDTF">2026-03-19T07:25:30Z</dcterms:created>
  <dc:title>Phyllis2 #1229 wood, casuarina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