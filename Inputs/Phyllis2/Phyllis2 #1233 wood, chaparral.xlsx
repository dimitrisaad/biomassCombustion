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33 wood, chaparral" sheetId="1" r:id="rId1"/>
  </sheets>
  <definedNames>
    <definedName name="w" localSheetId="0">IF(ISBLANK('Phyllis2 #1233 wood, chaparral'!$C$18),#N/A,'Phyllis2 #1233 wood, chaparral'!$C$18/100)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<sst xmlns="http://schemas.openxmlformats.org/spreadsheetml/2006/main" count="53" uniqueCount="53">
  <si>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</si>
  <si>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https://phyllis.nl/Biomass/View/1233</t>
  </si>
  <si>
    <t>wood, chaparral (#1233)</t>
  </si>
  <si>
    <t>ID-number</t>
  </si>
  <si>
    <t>#1233</t>
  </si>
  <si>
    <t>Material</t>
  </si>
  <si>
    <t>wood, chaparral</t>
  </si>
  <si>
    <t>Classification</t>
  </si>
  <si>
    <t>ECN Phyllis classification &gt; untreated wood &gt; other hard wood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</si>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</sst>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3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IFERROR(6.13*(1-w),"")</f>
        <v/>
      </c>
      <c r="D19" s="13">
        <v>6.13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IFERROR(75.19*(1-w),"")</f>
        <v/>
      </c>
      <c r="D20" s="13">
        <v>75.19</v>
      </c>
      <c r="E20" s="13">
        <v>80.100138489400237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IFERROR(18.68*(1-w),"")</f>
        <v/>
      </c>
      <c r="D21" s="13">
        <v>18.680000000000007</v>
      </c>
      <c r="E21" s="13">
        <v>19.899861510599774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IFERROR(46.9*(1-w),"")</f>
        <v/>
      </c>
      <c r="D23" s="13">
        <v>46.9</v>
      </c>
      <c r="E23" s="13">
        <v>49.962714392244592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IFERROR(5.08*(1-w),"")</f>
        <v/>
      </c>
      <c r="D24" s="13">
        <v>5.08</v>
      </c>
      <c r="E24" s="13">
        <v>5.41173963992756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IFERROR(40.17*(1-w),"")</f>
        <v/>
      </c>
      <c r="D25" s="13">
        <v>40.17</v>
      </c>
      <c r="E25" s="13">
        <v>42.793224672419306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IFERROR(0.54*(1-w),"")</f>
        <v/>
      </c>
      <c r="D26" s="13">
        <v>0.54</v>
      </c>
      <c r="E26" s="13">
        <v>0.57526366251198469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IFERROR(0.03*(1-w),"")</f>
        <v/>
      </c>
      <c r="D27" s="13">
        <v>0.03</v>
      </c>
      <c r="E27" s="13">
        <v>0.031959092361776922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IFERROR(98.87*(1-w)+w*100,"")</f>
        <v/>
      </c>
      <c r="D28" s="13">
        <v>98.87</v>
      </c>
      <c r="E28" s="13">
        <v>98.796207521039747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IFERROR(200*(1-w),"")</f>
        <v/>
      </c>
      <c r="D30" s="14">
        <v>200</v>
      </c>
      <c r="E30" s="14">
        <v>213.06061574517952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IFERROR(17.50146*(1-w)-w*2.443,"")</f>
        <v/>
      </c>
      <c r="D32" s="13">
        <v>17.50146</v>
      </c>
      <c r="E32" s="13">
        <v>18.644359220198147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IFERROR(18.61*(1-w),"")</f>
        <v/>
      </c>
      <c r="D33" s="13">
        <v>18.61</v>
      </c>
      <c r="E33" s="13">
        <v>19.825290295088951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IFERROR(17.7374782657*(1-w),"")</f>
        <v/>
      </c>
      <c r="D34" s="13">
        <v>17.7374782657</v>
      </c>
      <c r="E34" s="13">
        <v>18.8957902052839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https://phyllis.nl/Biomass/View/1233</dc:description>
  <dcterms:created xsi:type="dcterms:W3CDTF">2026-03-19T07:17:35Z</dcterms:created>
  <dc:title>Phyllis2 #1233 wood, chaparral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