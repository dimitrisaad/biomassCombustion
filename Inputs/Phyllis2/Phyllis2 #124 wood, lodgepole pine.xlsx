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 wood, lodgepole p" sheetId="1" r:id="rId1"/>
  </sheets>
  <definedNames>
    <definedName name="w" localSheetId="0">IF(ISBLANK('Phyllis2 #124 wood, lodgepole p'!$C$19),#N/A,'Phyllis2 #124 wood, lodgepole p'!$C$19/100)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<sst xmlns="http://schemas.openxmlformats.org/spreadsheetml/2006/main" count="50" uniqueCount="50">
  <si>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</si>
  <si>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https://phyllis.nl/Biomass/View/124</t>
  </si>
  <si>
    <t>wood, lodgepole pine (#124)</t>
  </si>
  <si>
    <t>ID-number</t>
  </si>
  <si>
    <t>#124</t>
  </si>
  <si>
    <t>Material</t>
  </si>
  <si>
    <t>wood, lodgepole pine</t>
  </si>
  <si>
    <t>Classification</t>
  </si>
  <si>
    <t>ECN Phyllis classification &gt; untreated wood &gt; fir/pine/spruce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</si>
  <si>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</si>
  <si>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</si>
  <si>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</si>
  <si>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</si>
  <si>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</si>
  <si>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</si>
  <si>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air dried whole tree, fell delay chip, residues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</si>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</sst>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51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IFERROR(4.69*(1-w),"")</f>
        <v>2.2981000000000003</v>
      </c>
      <c r="D20" s="11">
        <v>4.69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IFERROR(60.6*(1-w),"")</f>
        <v>29.694</v>
      </c>
      <c r="D21" s="11">
        <v>60.6</v>
      </c>
      <c r="E21" s="11">
        <v>63.581995593327044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IFERROR(34.71*(1-w),"")</f>
        <v>17.0079</v>
      </c>
      <c r="D22" s="11">
        <v>34.71</v>
      </c>
      <c r="E22" s="11">
        <v>36.418004406672964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IFERROR(51.08616*(1-w),"")</f>
        <v>25.032218399999998</v>
      </c>
      <c r="D24" s="11">
        <v>51.08616</v>
      </c>
      <c r="E24" s="11">
        <v>53.6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IFERROR(5.90922*(1-w),"")</f>
        <v>2.8955178</v>
      </c>
      <c r="D25" s="11">
        <v>5.90922</v>
      </c>
      <c r="E25" s="11">
        <v>6.2000000000000011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IFERROR(38.22*(1-w),"")</f>
        <v>18.7278</v>
      </c>
      <c r="D26" s="11">
        <v>38.22</v>
      </c>
      <c r="E26" s="11">
        <v>40.100723953415169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IFERROR(0.09531*(1-w),"")</f>
        <v>0.046701900000000005</v>
      </c>
      <c r="D27" s="11">
        <v>0.09531</v>
      </c>
      <c r="E27" s="11">
        <v>0.1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IFERROR(100.00069*(1-w)+w*100,"")</f>
        <v>100.0003381</v>
      </c>
      <c r="D28" s="11">
        <v>100.00068999999999</v>
      </c>
      <c r="E28" s="11">
        <v>100.00072395341518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IFERROR(17.51405*(1-w)-w*2.443,"")</f>
        <v>7.3359545000000015</v>
      </c>
      <c r="D30" s="11">
        <v>17.51405</v>
      </c>
      <c r="E30" s="11">
        <v>18.375878711572764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IFERROR(18.867*(1-w),"")</f>
        <v>9.24483</v>
      </c>
      <c r="D31" s="11">
        <v>18.867</v>
      </c>
      <c r="E31" s="11">
        <v>19.795404469625435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IFERROR(20.5661406033*(1-w),"")</f>
        <v>10.077408895617</v>
      </c>
      <c r="D32" s="11">
        <v>20.5661406033</v>
      </c>
      <c r="E32" s="11">
        <v>21.57815612559018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</dc:description>
  <dcterms:created xsi:type="dcterms:W3CDTF">2026-03-19T07:07:18Z</dcterms:created>
  <dc:title>Phyllis2 #124 wood, lodgepole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