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43 cotton stalks" sheetId="1" r:id="rId1"/>
  </sheets>
  <definedNames>
    <definedName name="w" localSheetId="0">IF(ISBLANK('Phyllis2 #1243 cotton stalks'!$C$18),#N/A,'Phyllis2 #1243 cotton stalks'!$C$18/100)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<sst xmlns="http://schemas.openxmlformats.org/spreadsheetml/2006/main" count="53" uniqueCount="53">
  <si>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</si>
  <si>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https://phyllis.nl/Biomass/View/1243</t>
  </si>
  <si>
    <t>cotton stalks (#1243)</t>
  </si>
  <si>
    <t>ID-number</t>
  </si>
  <si>
    <t>#1243</t>
  </si>
  <si>
    <t>Material</t>
  </si>
  <si>
    <t>cotton stalks</t>
  </si>
  <si>
    <t>Classification</t>
  </si>
  <si>
    <t>ECN Phyllis classification &gt; grass/plant &gt; cotton &gt; cotton stalks</t>
  </si>
  <si>
    <t>NTA 8003 classification &gt; [200] biomassa uit land- en tuinbouw &gt; [220] stro &gt; [229] overig stro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</si>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</sst>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4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35957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IFERROR(5.51*(1-w),"")</f>
        <v/>
      </c>
      <c r="D19" s="13">
        <v>5.51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IFERROR(73.29*(1-w),"")</f>
        <v/>
      </c>
      <c r="D20" s="13">
        <v>73.29</v>
      </c>
      <c r="E20" s="13">
        <v>77.563763361202248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IFERROR(21.2*(1-w),"")</f>
        <v/>
      </c>
      <c r="D21" s="13">
        <v>21.199999999999989</v>
      </c>
      <c r="E21" s="13">
        <v>22.436236638797745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IFERROR(47.05*(1-w),"")</f>
        <v/>
      </c>
      <c r="D23" s="13">
        <v>47.05</v>
      </c>
      <c r="E23" s="13">
        <v>49.793628955445023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IFERROR(5.35*(1-w),"")</f>
        <v/>
      </c>
      <c r="D24" s="13">
        <v>5.35</v>
      </c>
      <c r="E24" s="13">
        <v>5.6619748121494338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IFERROR(40.77*(1-w),"")</f>
        <v/>
      </c>
      <c r="D25" s="13">
        <v>40.77</v>
      </c>
      <c r="E25" s="13">
        <v>43.147423007725692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IFERROR(0.65*(1-w),"")</f>
        <v/>
      </c>
      <c r="D26" s="13">
        <v>0.65</v>
      </c>
      <c r="E26" s="13">
        <v>0.68790348184993122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IFERROR(0.21*(1-w),"")</f>
        <v/>
      </c>
      <c r="D27" s="13">
        <v>0.21</v>
      </c>
      <c r="E27" s="13">
        <v>0.22224574028997779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IFERROR(99.62*(1-w)+w*100,"")</f>
        <v/>
      </c>
      <c r="D28" s="13">
        <v>99.62</v>
      </c>
      <c r="E28" s="13">
        <v>99.59784104138005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IFERROR(800*(1-w),"")</f>
        <v/>
      </c>
      <c r="D30" s="14">
        <v>800</v>
      </c>
      <c r="E30" s="14">
        <v>846.65043919991535</v>
      </c>
      <c r="F30" s="14"/>
      <c r="G30" s="14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IFERROR(17.09254*(1-w)-w*2.443,"")</f>
        <v/>
      </c>
      <c r="D32" s="13">
        <v>17.09254</v>
      </c>
      <c r="E32" s="13">
        <v>18.08925812255265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IFERROR(18.26*(1-w),"")</f>
        <v/>
      </c>
      <c r="D33" s="13">
        <v>18.26</v>
      </c>
      <c r="E33" s="13">
        <v>19.32479627473807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IFERROR(18.0810980953*(1-w),"")</f>
        <v/>
      </c>
      <c r="D34" s="13">
        <v>18.081098095299996</v>
      </c>
      <c r="E34" s="13">
        <v>19.135462054503119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https://phyllis.nl/Biomass/View/1243</dc:description>
  <dcterms:created xsi:type="dcterms:W3CDTF">2026-03-04T04:01:16Z</dcterms:created>
  <dc:title>Phyllis2 #1243 cotton stalks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