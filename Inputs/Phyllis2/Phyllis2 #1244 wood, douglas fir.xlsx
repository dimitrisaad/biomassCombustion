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1244 wood, douglas fi" sheetId="1" r:id="rId1"/>
  </sheets>
  <definedNames>
    <definedName name="w" localSheetId="0">IF(ISBLANK('Phyllis2 #1244 wood, douglas fi'!$C$18),#N/A,'Phyllis2 #1244 wood, douglas fi'!$C$18/100)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5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5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5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<sst xmlns="http://schemas.openxmlformats.org/spreadsheetml/2006/main" count="50" uniqueCount="50">
  <si>
    <t>Phyllis2</t>
  </si>
  <si>
    <t>https://phyllis.nl/Biomass/View/1244</t>
  </si>
  <si>
    <t>wood, douglas fir (#1244)</t>
  </si>
  <si>
    <t>ID-number</t>
  </si>
  <si>
    <t>#1244</t>
  </si>
  <si>
    <t>Material</t>
  </si>
  <si>
    <t>wood, douglas fir</t>
  </si>
  <si>
    <t>Classification</t>
  </si>
  <si>
    <t>ECN Phyllis classification &gt; untreated wood &gt; fir/pine/spruce &gt; wood, douglas fir</t>
  </si>
  <si>
    <t>NTA 8003 classification &gt; [100] hout &gt; [110] vers hout &gt; [130] naaldhout &gt; [131] naaldhout</t>
  </si>
  <si>
    <t>Submitter organisation</t>
  </si>
  <si>
    <t>ECN (Netherlands)</t>
  </si>
  <si>
    <t>Submission date</t>
  </si>
  <si>
    <t>Literature</t>
  </si>
  <si>
    <t>O. Kitani and C. W. Hall: Biomass Handbook, Gordon and Breach science publishers, New York (1989).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</si>
  <si>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</si>
  <si>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</si>
  <si>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</si>
  <si>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</si>
  <si>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</si>
  <si>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</si>
  <si>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</si>
  <si>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</si>
  <si>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</si>
  <si>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Remarks</t>
  </si>
  <si>
    <t>ar</t>
  </si>
  <si>
    <t>dry</t>
  </si>
  <si>
    <t>daf</t>
  </si>
  <si>
    <t>Main biomass properties</t>
  </si>
  <si>
    <t>Proximate analysis</t>
  </si>
  <si>
    <t>Moisture content</t>
  </si>
  <si>
    <t>wt% (ar)</t>
  </si>
  <si>
    <t>Ash content</t>
  </si>
  <si>
    <t>wt%</t>
  </si>
  <si>
    <t>Volatile matter</t>
  </si>
  <si>
    <t>Fixed carbon</t>
  </si>
  <si>
    <t>Calculated</t>
  </si>
  <si>
    <t>Ultimate analysis (macroelements)</t>
  </si>
  <si>
    <t>Carbon</t>
  </si>
  <si>
    <t>Measured</t>
  </si>
  <si>
    <t>Hydrogen</t>
  </si>
  <si>
    <t>Oxygen</t>
  </si>
  <si>
    <t>Nitrogen</t>
  </si>
  <si>
    <t>Sulphur</t>
  </si>
  <si>
    <t>Total (with halides)</t>
  </si>
  <si>
    <t>Heating value</t>
  </si>
  <si>
    <t>Net calorific value (LHV)</t>
  </si>
  <si>
    <t>MJ/kg</t>
  </si>
  <si>
    <t>Gross calorific value (HHV)</t>
  </si>
  <si>
    <t>HHVMilne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</si>
</sst>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#,0.00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4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164" applyNumberFormat="1" fontId="0" applyFont="1" xfId="0"/>
    <xf numFmtId="164" applyNumberFormat="1" fontId="0" applyFont="1" xfId="0">
      <alignment horizontal="left"/>
    </xf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5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1244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33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33.7364463806152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0.5977783203125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7" t="s">
        <v>3</v>
      </c>
      <c r="B5" s="0" t="s">
        <v>4</v>
      </c>
    </row>
    <row r="6" outlineLevel="1">
      <c r="A6" s="7" t="s">
        <v>5</v>
      </c>
      <c r="B6" s="0" t="s">
        <v>6</v>
      </c>
    </row>
    <row r="7" outlineLevel="1">
      <c r="A7" s="8" t="s">
        <v>7</v>
      </c>
      <c r="B7" s="0" t="s">
        <v>8</v>
      </c>
    </row>
    <row r="8" outlineLevel="1">
      <c r="A8" s="8"/>
      <c r="B8" s="0" t="s">
        <v>9</v>
      </c>
    </row>
    <row r="9" outlineLevel="1">
      <c r="A9" s="7" t="s">
        <v>10</v>
      </c>
      <c r="B9" s="0" t="s">
        <v>11</v>
      </c>
    </row>
    <row r="10" outlineLevel="1">
      <c r="A10" s="7" t="s">
        <v>12</v>
      </c>
      <c r="B10" s="6">
        <v>35957</v>
      </c>
    </row>
    <row r="11" outlineLevel="1">
      <c r="A11" s="7" t="s">
        <v>13</v>
      </c>
      <c r="B11" s="0" t="s">
        <v>14</v>
      </c>
    </row>
    <row r="12">
      <c r="A12" s="7"/>
    </row>
    <row r="13" s="1" customFormat="1">
      <c r="A13" s="9" t="s">
        <v>15</v>
      </c>
    </row>
    <row r="14" s="1" customFormat="1">
      <c r="A14" s="10" t="s">
        <v>16</v>
      </c>
      <c r="B14" s="10" t="s">
        <v>17</v>
      </c>
      <c r="C14" s="10" t="s">
        <v>18</v>
      </c>
      <c r="D14" s="10"/>
      <c r="E14" s="10"/>
      <c r="F14" s="10" t="s">
        <v>19</v>
      </c>
      <c r="G14" s="10" t="s">
        <v>20</v>
      </c>
      <c r="H14" s="10" t="s">
        <v>21</v>
      </c>
      <c r="I14" s="10" t="s">
        <v>22</v>
      </c>
      <c r="J14" s="10" t="s">
        <v>23</v>
      </c>
      <c r="K14" s="10" t="s">
        <v>24</v>
      </c>
      <c r="L14" s="10"/>
    </row>
    <row r="15" s="1" customFormat="1">
      <c r="A15" s="10"/>
      <c r="B15" s="10"/>
      <c r="C15" s="10" t="s">
        <v>25</v>
      </c>
      <c r="D15" s="10" t="s">
        <v>26</v>
      </c>
      <c r="E15" s="10" t="s">
        <v>27</v>
      </c>
      <c r="F15" s="10"/>
      <c r="G15" s="10"/>
      <c r="H15" s="10"/>
      <c r="I15" s="10"/>
      <c r="J15" s="10"/>
      <c r="K15" s="10"/>
      <c r="L15" s="10"/>
    </row>
    <row r="16">
      <c r="A16" s="7" t="s">
        <v>28</v>
      </c>
      <c r="I16" s="5"/>
    </row>
    <row r="17" outlineLevel="1">
      <c r="A17" s="11" t="s">
        <v>29</v>
      </c>
      <c r="I17" s="5"/>
    </row>
    <row r="18" outlineLevel="2">
      <c r="A18" s="12" t="s">
        <v>30</v>
      </c>
      <c r="B18" s="0" t="s">
        <v>31</v>
      </c>
      <c r="C18" s="13">
        <v/>
      </c>
      <c r="D18" s="13"/>
      <c r="E18" s="13"/>
      <c r="F18" s="13"/>
      <c r="G18" s="13"/>
      <c r="I18" s="5"/>
    </row>
    <row r="19" outlineLevel="2">
      <c r="A19" s="12" t="s">
        <v>32</v>
      </c>
      <c r="B19" s="0" t="s">
        <v>33</v>
      </c>
      <c r="C19" s="13">
        <f>IFERROR(0.1*(1-w),"")</f>
        <v/>
      </c>
      <c r="D19" s="13">
        <v>0.1</v>
      </c>
      <c r="E19" s="13">
        <v/>
      </c>
      <c r="F19" s="13"/>
      <c r="G19" s="13"/>
      <c r="I19" s="5"/>
    </row>
    <row r="20" outlineLevel="2">
      <c r="A20" s="12" t="s">
        <v>34</v>
      </c>
      <c r="B20" s="0" t="s">
        <v>33</v>
      </c>
      <c r="C20" s="13">
        <f>IFERROR(87.3*(1-w),"")</f>
        <v/>
      </c>
      <c r="D20" s="13">
        <v>87.3</v>
      </c>
      <c r="E20" s="13">
        <v>87.387387387387378</v>
      </c>
      <c r="F20" s="13"/>
      <c r="G20" s="13"/>
      <c r="I20" s="5"/>
    </row>
    <row r="21" outlineLevel="2">
      <c r="A21" s="12" t="s">
        <v>35</v>
      </c>
      <c r="B21" s="0" t="s">
        <v>33</v>
      </c>
      <c r="C21" s="13">
        <f>IFERROR(12.6*(1-w),"")</f>
        <v/>
      </c>
      <c r="D21" s="13">
        <v>12.600000000000009</v>
      </c>
      <c r="E21" s="13">
        <v>12.612612612612621</v>
      </c>
      <c r="F21" s="13"/>
      <c r="G21" s="13"/>
      <c r="I21" s="5"/>
      <c r="J21" s="0" t="s">
        <v>36</v>
      </c>
    </row>
    <row r="22" outlineLevel="1">
      <c r="A22" s="11" t="s">
        <v>37</v>
      </c>
      <c r="I22" s="5"/>
    </row>
    <row r="23" outlineLevel="2">
      <c r="A23" s="12" t="s">
        <v>38</v>
      </c>
      <c r="B23" s="0" t="s">
        <v>33</v>
      </c>
      <c r="C23" s="13">
        <f>IFERROR(50.64*(1-w),"")</f>
        <v/>
      </c>
      <c r="D23" s="13">
        <v>50.64</v>
      </c>
      <c r="E23" s="13">
        <v>50.690690690690694</v>
      </c>
      <c r="F23" s="13"/>
      <c r="G23" s="13"/>
      <c r="I23" s="5"/>
      <c r="J23" s="0" t="s">
        <v>39</v>
      </c>
    </row>
    <row r="24" outlineLevel="2">
      <c r="A24" s="12" t="s">
        <v>40</v>
      </c>
      <c r="B24" s="0" t="s">
        <v>33</v>
      </c>
      <c r="C24" s="13">
        <f>IFERROR(6.18*(1-w),"")</f>
        <v/>
      </c>
      <c r="D24" s="13">
        <v>6.18</v>
      </c>
      <c r="E24" s="13">
        <v>6.1861861861861858</v>
      </c>
      <c r="F24" s="13"/>
      <c r="G24" s="13"/>
      <c r="I24" s="5"/>
      <c r="J24" s="0" t="s">
        <v>39</v>
      </c>
    </row>
    <row r="25" outlineLevel="2">
      <c r="A25" s="12" t="s">
        <v>41</v>
      </c>
      <c r="B25" s="0" t="s">
        <v>33</v>
      </c>
      <c r="C25" s="13">
        <f>IFERROR(43*(1-w),"")</f>
        <v/>
      </c>
      <c r="D25" s="13">
        <v>43</v>
      </c>
      <c r="E25" s="13">
        <v>43.043043043043042</v>
      </c>
      <c r="F25" s="13"/>
      <c r="G25" s="13"/>
      <c r="I25" s="5"/>
      <c r="J25" s="0" t="s">
        <v>39</v>
      </c>
    </row>
    <row r="26" outlineLevel="2">
      <c r="A26" s="12" t="s">
        <v>42</v>
      </c>
      <c r="B26" s="0" t="s">
        <v>33</v>
      </c>
      <c r="C26" s="13">
        <f>IFERROR(0.06*(1-w),"")</f>
        <v/>
      </c>
      <c r="D26" s="13">
        <v>0.06</v>
      </c>
      <c r="E26" s="13">
        <v>0.06006006006006006</v>
      </c>
      <c r="F26" s="13"/>
      <c r="G26" s="13"/>
      <c r="I26" s="5"/>
      <c r="J26" s="0" t="s">
        <v>39</v>
      </c>
    </row>
    <row r="27" outlineLevel="2">
      <c r="A27" s="12" t="s">
        <v>43</v>
      </c>
      <c r="B27" s="0" t="s">
        <v>33</v>
      </c>
      <c r="C27" s="13">
        <f>IFERROR(0.02*(1-w),"")</f>
        <v/>
      </c>
      <c r="D27" s="13">
        <v>0.02</v>
      </c>
      <c r="E27" s="13">
        <v>0.02002002002002002</v>
      </c>
      <c r="F27" s="13"/>
      <c r="G27" s="13"/>
      <c r="I27" s="5"/>
      <c r="J27" s="0" t="s">
        <v>39</v>
      </c>
    </row>
    <row r="28" outlineLevel="2">
      <c r="A28" s="12" t="s">
        <v>44</v>
      </c>
      <c r="B28" s="0" t="s">
        <v>33</v>
      </c>
      <c r="C28" s="13">
        <f>IFERROR(100*(1-w)+w*100,"")</f>
        <v/>
      </c>
      <c r="D28" s="13">
        <v>99.999999999999986</v>
      </c>
      <c r="E28" s="13">
        <v>99.999999999999986</v>
      </c>
      <c r="F28" s="13"/>
      <c r="G28" s="13"/>
      <c r="I28" s="5"/>
      <c r="J28" s="0" t="s">
        <v>36</v>
      </c>
    </row>
    <row r="29" outlineLevel="1">
      <c r="A29" s="11" t="s">
        <v>45</v>
      </c>
      <c r="I29" s="5"/>
    </row>
    <row r="30" outlineLevel="2">
      <c r="A30" s="12" t="s">
        <v>46</v>
      </c>
      <c r="B30" s="0" t="s">
        <v>47</v>
      </c>
      <c r="C30" s="13">
        <f>IFERROR(19.02142*(1-w)-w*2.443,"")</f>
        <v/>
      </c>
      <c r="D30" s="13">
        <v>19.02142</v>
      </c>
      <c r="E30" s="13">
        <v>19.040460460460459</v>
      </c>
      <c r="F30" s="13"/>
      <c r="G30" s="13"/>
      <c r="I30" s="5"/>
    </row>
    <row r="31" outlineLevel="2">
      <c r="A31" s="12" t="s">
        <v>48</v>
      </c>
      <c r="B31" s="0" t="s">
        <v>47</v>
      </c>
      <c r="C31" s="13">
        <f>IFERROR(20.37*(1-w),"")</f>
        <v/>
      </c>
      <c r="D31" s="13">
        <v>20.37</v>
      </c>
      <c r="E31" s="13">
        <v>20.39039039039039</v>
      </c>
      <c r="F31" s="13"/>
      <c r="G31" s="13"/>
      <c r="I31" s="5"/>
    </row>
    <row r="32" outlineLevel="2">
      <c r="A32" s="12" t="s">
        <v>49</v>
      </c>
      <c r="B32" s="0" t="s">
        <v>47</v>
      </c>
      <c r="C32" s="13">
        <f>IFERROR(20.27084353*(1-w),"")</f>
        <v/>
      </c>
      <c r="D32" s="13">
        <v>20.270843530000004</v>
      </c>
      <c r="E32" s="13">
        <v>20.291134664664668</v>
      </c>
      <c r="F32" s="13"/>
      <c r="G32" s="13"/>
      <c r="I32" s="5"/>
      <c r="J32" s="0" t="s">
        <v>36</v>
      </c>
    </row>
    <row r="33">
      <c r="I33" s="5"/>
    </row>
    <row r="34" s="1" customFormat="1"/>
  </sheetData>
  <mergeCells>
    <mergeCell ref="A7:A8"/>
    <mergeCell ref="C14:E14"/>
    <mergeCell ref="A14:A15"/>
    <mergeCell ref="B14:B15"/>
    <mergeCell ref="F14:F15"/>
    <mergeCell ref="G14:G15"/>
    <mergeCell ref="H14:H15"/>
    <mergeCell ref="I14:I15"/>
    <mergeCell ref="J14:J15"/>
    <mergeCell ref="K14:K15"/>
  </mergeCells>
  <dataValidations count="1">
    <dataValidation type="decimal" sqref="C18" errorStyle="stop" promptTitle="Enter moisture content" errorTitle="Invalid moisture content" prompt="Value should be between 0 and 100.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https://phyllis.nl/Biomass/View/1244</dc:description>
  <dcterms:created xsi:type="dcterms:W3CDTF">2026-03-19T04:22:17Z</dcterms:created>
  <dc:title>Phyllis2 #1244 wood, douglas fir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