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46 English walnut p" sheetId="1" r:id="rId1"/>
  </sheets>
  <definedNames>
    <definedName name="w" localSheetId="0">IF(ISBLANK('Phyllis2 #1246 English walnut p'!$C$18),#N/A,'Phyllis2 #1246 English walnut p'!$C$18/100)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<sst xmlns="http://schemas.openxmlformats.org/spreadsheetml/2006/main" count="53" uniqueCount="53">
  <si>
    <t>Phyllis2</t>
  </si>
  <si>
    <t>https://phyllis.nl/Biomass/View/1246</t>
  </si>
  <si>
    <t>English walnut prunings (#1246)</t>
  </si>
  <si>
    <t>ID-number</t>
  </si>
  <si>
    <t>#1246</t>
  </si>
  <si>
    <t>Material</t>
  </si>
  <si>
    <t>English walnut prunings</t>
  </si>
  <si>
    <t>Classification</t>
  </si>
  <si>
    <t>ECN Phyllis classification &gt; untreated wood &gt; other hard wood</t>
  </si>
  <si>
    <t>NTA 8003 classification &gt; [100] hout &gt; [110] vers hout &gt; [120] loofhout &gt; [126] hard loofhout met schors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</si>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</sst>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4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35957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IFERROR(1.08*(1-w),"")</f>
        <v/>
      </c>
      <c r="D19" s="13">
        <v>1.08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IFERROR(80.82*(1-w),"")</f>
        <v/>
      </c>
      <c r="D20" s="13">
        <v>80.82</v>
      </c>
      <c r="E20" s="13">
        <v>81.702385766275768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IFERROR(18.1*(1-w),"")</f>
        <v/>
      </c>
      <c r="D21" s="13">
        <v>18.100000000000009</v>
      </c>
      <c r="E21" s="13">
        <v>18.297614233724232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IFERROR(49.72*(1-w),"")</f>
        <v/>
      </c>
      <c r="D23" s="13">
        <v>49.72</v>
      </c>
      <c r="E23" s="13">
        <v>50.262838657501014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IFERROR(5.63*(1-w),"")</f>
        <v/>
      </c>
      <c r="D24" s="13">
        <v>5.63</v>
      </c>
      <c r="E24" s="13">
        <v>5.6914678528103515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IFERROR(43.14*(1-w),"")</f>
        <v/>
      </c>
      <c r="D25" s="13">
        <v>43.14</v>
      </c>
      <c r="E25" s="13">
        <v>43.610998786898506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IFERROR(0.37*(1-w),"")</f>
        <v/>
      </c>
      <c r="D26" s="13">
        <v>0.37</v>
      </c>
      <c r="E26" s="13">
        <v>0.37403962798220786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IFERROR(0.01*(1-w),"")</f>
        <v/>
      </c>
      <c r="D27" s="13">
        <v>0.01</v>
      </c>
      <c r="E27" s="13">
        <v>0.010109179134654266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IFERROR(100.01*(1-w)+w*100,"")</f>
        <v/>
      </c>
      <c r="D28" s="13">
        <v>100.01000000000002</v>
      </c>
      <c r="E28" s="13">
        <v>100.01010917913467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4">
        <f>IFERROR(600*(1-w),"")</f>
        <v/>
      </c>
      <c r="D30" s="14">
        <v>600</v>
      </c>
      <c r="E30" s="14">
        <v>606.550748079256</v>
      </c>
      <c r="F30" s="14"/>
      <c r="G30" s="14"/>
      <c r="I30" s="5"/>
      <c r="J30" s="0" t="s">
        <v>39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3">
        <f>IFERROR(18.40144*(1-w)-w*2.443,"")</f>
        <v/>
      </c>
      <c r="D32" s="13">
        <v>18.40144</v>
      </c>
      <c r="E32" s="13">
        <v>18.602345329559242</v>
      </c>
      <c r="F32" s="13"/>
      <c r="G32" s="13"/>
      <c r="I32" s="5"/>
    </row>
    <row r="33" outlineLevel="2">
      <c r="A33" s="12" t="s">
        <v>51</v>
      </c>
      <c r="B33" s="0" t="s">
        <v>50</v>
      </c>
      <c r="C33" s="13">
        <f>IFERROR(19.63*(1-w),"")</f>
        <v/>
      </c>
      <c r="D33" s="13">
        <v>19.63</v>
      </c>
      <c r="E33" s="13">
        <v>19.844318641326325</v>
      </c>
      <c r="F33" s="13"/>
      <c r="G33" s="13"/>
      <c r="I33" s="5"/>
    </row>
    <row r="34" outlineLevel="2">
      <c r="A34" s="12" t="s">
        <v>52</v>
      </c>
      <c r="B34" s="0" t="s">
        <v>50</v>
      </c>
      <c r="C34" s="13">
        <f>IFERROR(19.1605204592*(1-w),"")</f>
        <v/>
      </c>
      <c r="D34" s="13">
        <v>19.160520459199997</v>
      </c>
      <c r="E34" s="13">
        <v>19.369713363526081</v>
      </c>
      <c r="F34" s="13"/>
      <c r="G34" s="13"/>
      <c r="I34" s="5"/>
      <c r="J34" s="0" t="s">
        <v>36</v>
      </c>
    </row>
    <row r="35">
      <c r="I35" s="5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https://phyllis.nl/Biomass/View/1246</dc:description>
  <dcterms:created xsi:type="dcterms:W3CDTF">2026-03-19T07:16:48Z</dcterms:created>
  <dc:title>Phyllis2 #1246 English walnut prunings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