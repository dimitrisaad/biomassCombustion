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48 leaves, eucalypt" sheetId="1" r:id="rId1"/>
  </sheets>
  <definedNames>
    <definedName name="w" localSheetId="0">IF(ISBLANK('Phyllis2 #1248 leaves, eucalypt'!$C$18),#N/A,'Phyllis2 #1248 leaves, eucalypt'!$C$18/100)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<sst xmlns="http://schemas.openxmlformats.org/spreadsheetml/2006/main" count="42" uniqueCount="42">
  <si>
    <t>Phyllis2</t>
  </si>
  <si>
    <t>https://phyllis.nl/Biomass/View/1248</t>
  </si>
  <si>
    <t>leaves, eucalyptus (#1248)</t>
  </si>
  <si>
    <t>ID-number</t>
  </si>
  <si>
    <t>#1248</t>
  </si>
  <si>
    <t>Material</t>
  </si>
  <si>
    <t>leaves, eucalyptus</t>
  </si>
  <si>
    <t>Classification</t>
  </si>
  <si>
    <t>ECN Phyllis classification &gt; untreated wood &gt; leaves</t>
  </si>
  <si>
    <t>NTA 8003 classification &gt; [100] 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</si>
  <si>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</si>
  <si>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</si>
  <si>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</si>
  <si>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</si>
  <si>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</si>
  <si>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</si>
  <si>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</si>
  <si>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</si>
  <si>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</si>
  <si>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</si>
  <si>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</si>
  <si>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</si>
  <si>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</si>
  <si>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</si>
  <si>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</si>
  <si>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</si>
  <si>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</si>
  <si>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</si>
  <si>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</si>
  <si>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</si>
  <si>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</si>
  <si>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</si>
  <si>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</si>
  <si>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</si>
  <si>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</si>
  <si>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</si>
  <si>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</si>
  <si>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</si>
  <si>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Total (with halides)</t>
  </si>
  <si>
    <t>Heating value</t>
  </si>
  <si>
    <t>Gross calorific value (HHV)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</si>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</sst>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IFERROR(4.83*(1-w),"")</f>
        <v/>
      </c>
      <c r="D19" s="13">
        <v>4.83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IFERROR(77.78*(1-w),"")</f>
        <v/>
      </c>
      <c r="D20" s="13">
        <v>77.78</v>
      </c>
      <c r="E20" s="13">
        <v>81.727435116108026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IFERROR(17.39*(1-w),"")</f>
        <v/>
      </c>
      <c r="D21" s="13">
        <v>17.39</v>
      </c>
      <c r="E21" s="13">
        <v>18.272564883891985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IFERROR(4.83*(1-w)+w*100,"")</f>
        <v/>
      </c>
      <c r="D23" s="13">
        <v>4.83</v>
      </c>
      <c r="E23" s="13">
        <v>0</v>
      </c>
      <c r="F23" s="13"/>
      <c r="G23" s="13"/>
      <c r="I23" s="5"/>
      <c r="J23" s="0" t="s">
        <v>36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41</v>
      </c>
      <c r="C25" s="13">
        <f>IFERROR(20.31*(1-w),"")</f>
        <v/>
      </c>
      <c r="D25" s="13">
        <v>20.31</v>
      </c>
      <c r="E25" s="13">
        <v>21.340758642429336</v>
      </c>
      <c r="F25" s="13"/>
      <c r="G25" s="13"/>
      <c r="I25" s="5"/>
    </row>
    <row r="26">
      <c r="I26" s="5"/>
    </row>
    <row r="2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https://phyllis.nl/Biomass/View/1248</dc:description>
  <dcterms:created xsi:type="dcterms:W3CDTF">2026-03-19T07:08:43Z</dcterms:created>
  <dc:title>Phyllis2 #1248 leaves, eucalyptus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