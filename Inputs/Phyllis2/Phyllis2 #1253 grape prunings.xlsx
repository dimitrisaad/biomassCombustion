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53 grape prunings" sheetId="1" r:id="rId1"/>
  </sheets>
  <definedNames>
    <definedName name="w" localSheetId="0">IF(ISBLANK('Phyllis2 #1253 grape prunings'!$C$19),#N/A,'Phyllis2 #1253 grape prunings'!$C$19/100)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<sst xmlns="http://schemas.openxmlformats.org/spreadsheetml/2006/main" count="54" uniqueCount="54">
  <si>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</si>
  <si>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https://phyllis.nl/Biomass/View/1253</t>
  </si>
  <si>
    <t>grape prunings (#1253)</t>
  </si>
  <si>
    <t>ID-number</t>
  </si>
  <si>
    <t>#1253</t>
  </si>
  <si>
    <t>Material</t>
  </si>
  <si>
    <t>grape prunings</t>
  </si>
  <si>
    <t>Classification</t>
  </si>
  <si>
    <t>ECN Phyllis classification &gt; untreated wood &gt; others &gt; grape prunings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</si>
  <si>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</si>
  <si>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</si>
  <si>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</si>
  <si>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</si>
  <si>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Remarks</t>
  </si>
  <si>
    <t>Variety Cabernet Sauvignon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</si>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</sst>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IFERROR(2.17*(1-w),"")</f>
        <v/>
      </c>
      <c r="D20" s="13">
        <v>2.17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IFERROR(78.63*(1-w),"")</f>
        <v/>
      </c>
      <c r="D21" s="13">
        <v>78.63</v>
      </c>
      <c r="E21" s="13">
        <v>80.374118368598587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IFERROR(19.2*(1-w),"")</f>
        <v/>
      </c>
      <c r="D22" s="13">
        <v>19.200000000000003</v>
      </c>
      <c r="E22" s="13">
        <v>19.625881631401416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IFERROR(46.59*(1-w),"")</f>
        <v/>
      </c>
      <c r="D24" s="13">
        <v>46.59</v>
      </c>
      <c r="E24" s="13">
        <v>47.62342839619749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IFERROR(5.85*(1-w),"")</f>
        <v/>
      </c>
      <c r="D25" s="13">
        <v>5.85</v>
      </c>
      <c r="E25" s="13">
        <v>5.9797608095676171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IFERROR(43.9*(1-w),"")</f>
        <v/>
      </c>
      <c r="D26" s="13">
        <v>43.9</v>
      </c>
      <c r="E26" s="13">
        <v>44.873760605131352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IFERROR(0.83*(1-w),"")</f>
        <v/>
      </c>
      <c r="D27" s="13">
        <v>0.83</v>
      </c>
      <c r="E27" s="13">
        <v>0.84841050802412343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IFERROR(0.04*(1-w),"")</f>
        <v/>
      </c>
      <c r="D28" s="13">
        <v>0.04</v>
      </c>
      <c r="E28" s="13">
        <v>0.040887253398752939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IFERROR(99.46*(1-w)+w*100,"")</f>
        <v/>
      </c>
      <c r="D29" s="13">
        <v>99.460000000000008</v>
      </c>
      <c r="E29" s="13">
        <v>99.448022079116853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IFERROR(800*(1-w),"")</f>
        <v/>
      </c>
      <c r="D31" s="14">
        <v>800</v>
      </c>
      <c r="E31" s="14">
        <v>817.74506797505887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IFERROR(17.75343*(1-w)-w*2.443,"")</f>
        <v/>
      </c>
      <c r="D33" s="13">
        <v>17.75343</v>
      </c>
      <c r="E33" s="13">
        <v>18.147224777675561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IFERROR(19.03*(1-w),"")</f>
        <v/>
      </c>
      <c r="D34" s="13">
        <v>19.03</v>
      </c>
      <c r="E34" s="13">
        <v>19.452110804456712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IFERROR(18.2235534617*(1-w),"")</f>
        <v/>
      </c>
      <c r="D35" s="13">
        <v>18.223553461700007</v>
      </c>
      <c r="E35" s="13">
        <v>18.627776205356238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https://phyllis.nl/Biomass/View/1253</dc:description>
  <dcterms:created xsi:type="dcterms:W3CDTF">2026-03-19T07:19:38Z</dcterms:created>
  <dc:title>Phyllis2 #1253 grape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