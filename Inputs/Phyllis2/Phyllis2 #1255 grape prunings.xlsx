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55 grape prunings" sheetId="1" r:id="rId1"/>
  </sheets>
  <definedNames>
    <definedName name="w" localSheetId="0">IF(ISBLANK('Phyllis2 #1255 grape prunings'!$C$19),#N/A,'Phyllis2 #1255 grape prunings'!$C$19/100)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<sst xmlns="http://schemas.openxmlformats.org/spreadsheetml/2006/main" count="54" uniqueCount="54">
  <si>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</si>
  <si>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https://phyllis.nl/Biomass/View/1255</t>
  </si>
  <si>
    <t>grape prunings (#1255)</t>
  </si>
  <si>
    <t>ID-number</t>
  </si>
  <si>
    <t>#1255</t>
  </si>
  <si>
    <t>Material</t>
  </si>
  <si>
    <t>grape prunings</t>
  </si>
  <si>
    <t>Classification</t>
  </si>
  <si>
    <t>ECN Phyllis classification &gt; untreated wood &gt; others &gt; grape prunings</t>
  </si>
  <si>
    <t>NTA 8003 classification &gt; [100] hout &gt; [110] vers hout &gt; [120] loofhout &gt; [126] hard loofhout met schors</t>
  </si>
  <si>
    <t>Submitter organisation</t>
  </si>
  <si>
    <t>ECN (Netherlands)</t>
  </si>
  <si>
    <t>Submission date</t>
  </si>
  <si>
    <t>Remarks</t>
  </si>
  <si>
    <t>Variety Chenin Blanc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</si>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</sst>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5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35957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IFERROR(2.51*(1-w),"")</f>
        <v/>
      </c>
      <c r="D20" s="13">
        <v>2.51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IFERROR(77.28*(1-w),"")</f>
        <v/>
      </c>
      <c r="D21" s="13">
        <v>77.28</v>
      </c>
      <c r="E21" s="13">
        <v>79.2696686839676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IFERROR(20.21*(1-w),"")</f>
        <v/>
      </c>
      <c r="D22" s="13">
        <v>20.209999999999994</v>
      </c>
      <c r="E22" s="13">
        <v>20.730331316032409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IFERROR(48.02*(1-w),"")</f>
        <v/>
      </c>
      <c r="D24" s="13">
        <v>48.02</v>
      </c>
      <c r="E24" s="13">
        <v>49.256333982972613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IFERROR(5.89*(1-w),"")</f>
        <v/>
      </c>
      <c r="D25" s="13">
        <v>5.89</v>
      </c>
      <c r="E25" s="13">
        <v>6.0416452969535337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IFERROR(41.93*(1-w),"")</f>
        <v/>
      </c>
      <c r="D26" s="13">
        <v>41.93</v>
      </c>
      <c r="E26" s="13">
        <v>43.009539439942557</v>
      </c>
      <c r="F26" s="13"/>
      <c r="G26" s="13"/>
      <c r="I26" s="5"/>
      <c r="J26" s="0" t="s">
        <v>40</v>
      </c>
    </row>
    <row r="27" outlineLevel="2">
      <c r="A27" s="12" t="s">
        <v>43</v>
      </c>
      <c r="B27" s="0" t="s">
        <v>34</v>
      </c>
      <c r="C27" s="13">
        <f>IFERROR(0.86*(1-w),"")</f>
        <v/>
      </c>
      <c r="D27" s="13">
        <v>0.86</v>
      </c>
      <c r="E27" s="13">
        <v>0.88214175812903883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34</v>
      </c>
      <c r="C28" s="13">
        <f>IFERROR(0.07*(1-w),"")</f>
        <v/>
      </c>
      <c r="D28" s="13">
        <v>0.07</v>
      </c>
      <c r="E28" s="13">
        <v>0.071802236126782243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34</v>
      </c>
      <c r="C29" s="13">
        <f>IFERROR(99.38*(1-w)+w*100,"")</f>
        <v/>
      </c>
      <c r="D29" s="13">
        <v>99.38</v>
      </c>
      <c r="E29" s="13">
        <v>99.36403733716277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4">
        <f>IFERROR(1000*(1-w),"")</f>
        <v/>
      </c>
      <c r="D31" s="14">
        <v>1000</v>
      </c>
      <c r="E31" s="14">
        <v>1025.7462303826032</v>
      </c>
      <c r="F31" s="14"/>
      <c r="G31" s="14"/>
      <c r="I31" s="5"/>
      <c r="J31" s="0" t="s">
        <v>40</v>
      </c>
    </row>
    <row r="32" outlineLevel="1">
      <c r="A32" s="11" t="s">
        <v>49</v>
      </c>
      <c r="I32" s="5"/>
    </row>
    <row r="33" outlineLevel="2">
      <c r="A33" s="12" t="s">
        <v>50</v>
      </c>
      <c r="B33" s="0" t="s">
        <v>51</v>
      </c>
      <c r="C33" s="13">
        <f>IFERROR(17.8447*(1-w)-w*2.443,"")</f>
        <v/>
      </c>
      <c r="D33" s="13">
        <v>17.8447</v>
      </c>
      <c r="E33" s="13">
        <v>18.304133757308442</v>
      </c>
      <c r="F33" s="13"/>
      <c r="G33" s="13"/>
      <c r="I33" s="5"/>
    </row>
    <row r="34" outlineLevel="2">
      <c r="A34" s="12" t="s">
        <v>52</v>
      </c>
      <c r="B34" s="0" t="s">
        <v>51</v>
      </c>
      <c r="C34" s="13">
        <f>IFERROR(19.13*(1-w),"")</f>
        <v/>
      </c>
      <c r="D34" s="13">
        <v>19.13</v>
      </c>
      <c r="E34" s="13">
        <v>19.622525387219202</v>
      </c>
      <c r="F34" s="13"/>
      <c r="G34" s="13"/>
      <c r="I34" s="5"/>
    </row>
    <row r="35" outlineLevel="2">
      <c r="A35" s="12" t="s">
        <v>53</v>
      </c>
      <c r="B35" s="0" t="s">
        <v>51</v>
      </c>
      <c r="C35" s="13">
        <f>IFERROR(18.9939629153*(1-w),"")</f>
        <v/>
      </c>
      <c r="D35" s="13">
        <v>18.993962915300003</v>
      </c>
      <c r="E35" s="13">
        <v>19.482985860395942</v>
      </c>
      <c r="F35" s="13"/>
      <c r="G35" s="13"/>
      <c r="I35" s="5"/>
      <c r="J35" s="0" t="s">
        <v>37</v>
      </c>
    </row>
    <row r="36">
      <c r="I36" s="5"/>
    </row>
    <row r="37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https://phyllis.nl/Biomass/View/1255</dc:description>
  <dcterms:created xsi:type="dcterms:W3CDTF">2026-03-19T07:19:50Z</dcterms:created>
  <dc:title>Phyllis2 #1255 grape prunings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