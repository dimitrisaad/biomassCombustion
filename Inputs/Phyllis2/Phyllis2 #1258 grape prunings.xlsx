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58 grape prunings" sheetId="1" r:id="rId1"/>
  </sheets>
  <definedNames>
    <definedName name="w" localSheetId="0">IF(ISBLANK('Phyllis2 #1258 grape prunings'!$C$19),#N/A,'Phyllis2 #1258 grape prunings'!$C$19/100)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<sst xmlns="http://schemas.openxmlformats.org/spreadsheetml/2006/main" count="54" uniqueCount="54">
  <si>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</si>
  <si>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https://phyllis.nl/Biomass/View/1258</t>
  </si>
  <si>
    <t>grape prunings (#1258)</t>
  </si>
  <si>
    <t>ID-number</t>
  </si>
  <si>
    <t>#1258</t>
  </si>
  <si>
    <t>Material</t>
  </si>
  <si>
    <t>grape prunings</t>
  </si>
  <si>
    <t>Classification</t>
  </si>
  <si>
    <t>ECN Phyllis classification &gt; untreated wood &gt; others &gt; grape prunings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</si>
  <si>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</si>
  <si>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</si>
  <si>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</si>
  <si>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</si>
  <si>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Remarks</t>
  </si>
  <si>
    <t>Variety Pinot Noir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</si>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</sst>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IFERROR(2.71*(1-w),"")</f>
        <v/>
      </c>
      <c r="D20" s="13">
        <v>2.71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IFERROR(76.83*(1-w),"")</f>
        <v/>
      </c>
      <c r="D21" s="13">
        <v>76.83</v>
      </c>
      <c r="E21" s="13">
        <v>78.970089423373423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IFERROR(20.46*(1-w),"")</f>
        <v/>
      </c>
      <c r="D22" s="13">
        <v>20.460000000000008</v>
      </c>
      <c r="E22" s="13">
        <v>21.029910576626587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IFERROR(47.14*(1-w),"")</f>
        <v/>
      </c>
      <c r="D24" s="13">
        <v>47.14</v>
      </c>
      <c r="E24" s="13">
        <v>48.453078425326346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IFERROR(5.82*(1-w),"")</f>
        <v/>
      </c>
      <c r="D25" s="13">
        <v>5.82</v>
      </c>
      <c r="E25" s="13">
        <v>5.9821153253160659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IFERROR(43.03*(1-w),"")</f>
        <v/>
      </c>
      <c r="D26" s="13">
        <v>43.03</v>
      </c>
      <c r="E26" s="13">
        <v>44.228594922396958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IFERROR(0.86*(1-w),"")</f>
        <v/>
      </c>
      <c r="D27" s="13">
        <v>0.86</v>
      </c>
      <c r="E27" s="13">
        <v>0.8839551855278035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IFERROR(0.01*(1-w),"")</f>
        <v/>
      </c>
      <c r="D28" s="13">
        <v>0.01</v>
      </c>
      <c r="E28" s="13">
        <v>0.010278548668927948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IFERROR(99.7*(1-w)+w*100,"")</f>
        <v/>
      </c>
      <c r="D29" s="13">
        <v>99.7</v>
      </c>
      <c r="E29" s="13">
        <v>99.691643539932173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IFERROR(1300*(1-w),"")</f>
        <v/>
      </c>
      <c r="D31" s="14">
        <v>1300</v>
      </c>
      <c r="E31" s="14">
        <v>1336.2113269606332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IFERROR(17.77998*(1-w)-w*2.443,"")</f>
        <v/>
      </c>
      <c r="D33" s="13">
        <v>17.77998</v>
      </c>
      <c r="E33" s="13">
        <v>18.275238976256553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IFERROR(19.05*(1-w),"")</f>
        <v/>
      </c>
      <c r="D34" s="13">
        <v>19.05</v>
      </c>
      <c r="E34" s="13">
        <v>19.58063521430774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IFERROR(18.4623266473*(1-w),"")</f>
        <v/>
      </c>
      <c r="D35" s="13">
        <v>18.4623266473</v>
      </c>
      <c r="E35" s="13">
        <v>18.976592298591839</v>
      </c>
      <c r="F35" s="13"/>
      <c r="G35" s="13"/>
      <c r="I35" s="5"/>
      <c r="J35" s="0" t="s">
        <v>37</v>
      </c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https://phyllis.nl/Biomass/View/1258</dc:description>
  <dcterms:created xsi:type="dcterms:W3CDTF">2026-03-19T07:19:55Z</dcterms:created>
  <dc:title>Phyllis2 #1258 grape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