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61 grape prunings" sheetId="1" r:id="rId1"/>
  </sheets>
  <definedNames>
    <definedName name="w" localSheetId="0">IF(ISBLANK('Phyllis2 #1261 grape prunings'!$C$19),#N/A,'Phyllis2 #1261 grape prunings'!$C$19/100)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<sst xmlns="http://schemas.openxmlformats.org/spreadsheetml/2006/main" count="54" uniqueCount="54">
  <si>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</si>
  <si>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https://phyllis.nl/Biomass/View/1261</t>
  </si>
  <si>
    <t>grape prunings (#1261)</t>
  </si>
  <si>
    <t>ID-number</t>
  </si>
  <si>
    <t>#1261</t>
  </si>
  <si>
    <t>Material</t>
  </si>
  <si>
    <t>grape prunings</t>
  </si>
  <si>
    <t>Classification</t>
  </si>
  <si>
    <t>ECN Phyllis classification &gt; untreated wood &gt; others &gt; grape prunings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</si>
  <si>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</si>
  <si>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</si>
  <si>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</si>
  <si>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</si>
  <si>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Remarks</t>
  </si>
  <si>
    <t>Variety Tokay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</si>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</sst>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IFERROR(2.45*(1-w),"")</f>
        <v/>
      </c>
      <c r="D20" s="13">
        <v>2.45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IFERROR(76.53*(1-w),"")</f>
        <v/>
      </c>
      <c r="D21" s="13">
        <v>76.53</v>
      </c>
      <c r="E21" s="13">
        <v>78.452075858534087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IFERROR(21.02*(1-w),"")</f>
        <v/>
      </c>
      <c r="D22" s="13">
        <v>21.019999999999996</v>
      </c>
      <c r="E22" s="13">
        <v>21.547924141465909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IFERROR(47.77*(1-w),"")</f>
        <v/>
      </c>
      <c r="D24" s="13">
        <v>47.77</v>
      </c>
      <c r="E24" s="13">
        <v>48.969759097898518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IFERROR(5.82*(1-w),"")</f>
        <v/>
      </c>
      <c r="D25" s="13">
        <v>5.82</v>
      </c>
      <c r="E25" s="13">
        <v>5.9661711942593545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IFERROR(42.63*(1-w),"")</f>
        <v/>
      </c>
      <c r="D26" s="13">
        <v>42.63</v>
      </c>
      <c r="E26" s="13">
        <v>43.70066632496156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IFERROR(0.75*(1-w),"")</f>
        <v/>
      </c>
      <c r="D27" s="13">
        <v>0.75</v>
      </c>
      <c r="E27" s="13">
        <v>0.76883649410558685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IFERROR(0.03*(1-w),"")</f>
        <v/>
      </c>
      <c r="D28" s="13">
        <v>0.03</v>
      </c>
      <c r="E28" s="13">
        <v>0.030753459764223473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IFERROR(99.52*(1-w)+w*100,"")</f>
        <v/>
      </c>
      <c r="D29" s="13">
        <v>99.52</v>
      </c>
      <c r="E29" s="13">
        <v>99.507944643772419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IFERROR(700*(1-w),"")</f>
        <v/>
      </c>
      <c r="D31" s="14">
        <v>700</v>
      </c>
      <c r="E31" s="14">
        <v>717.58072783188106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IFERROR(18.03998*(1-w)-w*2.443,"")</f>
        <v/>
      </c>
      <c r="D33" s="13">
        <v>18.03998</v>
      </c>
      <c r="E33" s="13">
        <v>18.493059969246538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IFERROR(19.31*(1-w),"")</f>
        <v/>
      </c>
      <c r="D34" s="13">
        <v>19.31</v>
      </c>
      <c r="E34" s="13">
        <v>19.794976934905176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IFERROR(18.7435013825*(1-w),"")</f>
        <v/>
      </c>
      <c r="D35" s="13">
        <v>18.743501382500007</v>
      </c>
      <c r="E35" s="13">
        <v>19.214250520246033</v>
      </c>
      <c r="F35" s="13"/>
      <c r="G35" s="13"/>
      <c r="I35" s="5"/>
      <c r="J35" s="0" t="s">
        <v>37</v>
      </c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https://phyllis.nl/Biomass/View/1261</dc:description>
  <dcterms:created xsi:type="dcterms:W3CDTF">2026-03-19T07:20:01Z</dcterms:created>
  <dc:title>Phyllis2 #1261 grape prunings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