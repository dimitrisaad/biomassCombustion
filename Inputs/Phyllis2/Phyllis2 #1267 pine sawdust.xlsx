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67 pine sawdust" sheetId="1" r:id="rId1"/>
  </sheets>
  <definedNames>
    <definedName name="w" localSheetId="0">IF(ISBLANK('Phyllis2 #1267 pine sawdust'!$C$20),#N/A,'Phyllis2 #1267 pine sawdust'!$C$20/100)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<sst xmlns="http://schemas.openxmlformats.org/spreadsheetml/2006/main" count="72" uniqueCount="72">
  <si>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</si>
  <si>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https://phyllis.nl/Biomass/View/1267</t>
  </si>
  <si>
    <t>pine sawdust (#1267)</t>
  </si>
  <si>
    <t>ID-number</t>
  </si>
  <si>
    <t>#1267</t>
  </si>
  <si>
    <t>Material</t>
  </si>
  <si>
    <t>pine sawdust</t>
  </si>
  <si>
    <t>Description</t>
  </si>
  <si>
    <t>sawdust</t>
  </si>
  <si>
    <t>Classification</t>
  </si>
  <si>
    <t>ECN Phyllis classification &gt; untreated wood &gt; fir/pine/spruce &gt; pine sawdust</t>
  </si>
  <si>
    <t>NTA 8003 classification &gt; [100] hout &gt; [110] vers hout &gt; [115] zaagsel</t>
  </si>
  <si>
    <t>Ash type</t>
  </si>
  <si>
    <t>550 degC</t>
  </si>
  <si>
    <t>Submitter organisation</t>
  </si>
  <si>
    <t>ECN (Netherlands)</t>
  </si>
  <si>
    <t>Submission date</t>
  </si>
  <si>
    <t>Literature</t>
  </si>
  <si>
    <t>E. Kurkela: Formation and removal of biomass-derived contaminants in fluidized-bed gasification processes, VTT Publications 287, Espoo, Finland, VTT, 47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</si>
  <si>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</si>
  <si>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</si>
  <si>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</si>
  <si>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</si>
  <si>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</si>
  <si>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</si>
  <si>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</si>
  <si>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</si>
  <si>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</si>
  <si>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</si>
  <si>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</si>
  <si>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</si>
  <si>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</si>
  <si>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</si>
  <si>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</si>
  <si>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</si>
  <si>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</si>
  <si>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</si>
  <si>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</si>
  <si>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</si>
  <si>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</si>
  <si>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</si>
  <si>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</si>
  <si>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</si>
  <si>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</si>
  <si>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</si>
  <si>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</si>
  <si>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</si>
  <si>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wt% (dry)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</si>
  <si>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</si>
  <si>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</si>
  <si>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</si>
  <si>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</si>
  <si>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</si>
  <si>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</si>
  <si>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</si>
  <si>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</si>
  <si>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</si>
  <si>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</si>
  <si>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</si>
  <si>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</si>
  <si>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</si>
  <si>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Properties</t>
  </si>
  <si>
    <t>Ash composition</t>
  </si>
  <si>
    <t>SiO2</t>
  </si>
  <si>
    <t>wt% (ash)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</si>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</sst>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6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6">
        <v>35978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28</v>
      </c>
      <c r="L16" s="10"/>
    </row>
    <row r="17" s="1" customFormat="1">
      <c r="A17" s="10"/>
      <c r="B17" s="10"/>
      <c r="C17" s="10" t="s">
        <v>29</v>
      </c>
      <c r="D17" s="10" t="s">
        <v>30</v>
      </c>
      <c r="E17" s="10" t="s">
        <v>31</v>
      </c>
      <c r="F17" s="10"/>
      <c r="G17" s="10"/>
      <c r="H17" s="10"/>
      <c r="I17" s="10"/>
      <c r="J17" s="10"/>
      <c r="K17" s="10"/>
      <c r="L17" s="10"/>
    </row>
    <row r="18">
      <c r="A18" s="7" t="s">
        <v>32</v>
      </c>
      <c r="I18" s="5"/>
    </row>
    <row r="19" outlineLevel="1">
      <c r="A19" s="11" t="s">
        <v>33</v>
      </c>
      <c r="I19" s="5"/>
    </row>
    <row r="20" outlineLevel="2">
      <c r="A20" s="12" t="s">
        <v>34</v>
      </c>
      <c r="B20" s="0" t="s">
        <v>35</v>
      </c>
      <c r="C20" s="13">
        <v>6</v>
      </c>
      <c r="D20" s="13"/>
      <c r="E20" s="13"/>
      <c r="F20" s="13"/>
      <c r="G20" s="13"/>
      <c r="I20" s="5"/>
    </row>
    <row r="21" outlineLevel="2">
      <c r="A21" s="12" t="s">
        <v>36</v>
      </c>
      <c r="B21" s="0" t="s">
        <v>35</v>
      </c>
      <c r="C21" s="13">
        <f>IFERROR(0.1*(1-w),"")</f>
        <v>0.094</v>
      </c>
      <c r="D21" s="13">
        <v>0.1</v>
      </c>
      <c r="E21" s="13">
        <v/>
      </c>
      <c r="F21" s="13"/>
      <c r="G21" s="13"/>
      <c r="I21" s="5"/>
    </row>
    <row r="22" outlineLevel="2">
      <c r="A22" s="12" t="s">
        <v>37</v>
      </c>
      <c r="B22" s="0" t="s">
        <v>35</v>
      </c>
      <c r="C22" s="13">
        <f>IFERROR(83.1*(1-w),"")</f>
        <v>78.11399999999999</v>
      </c>
      <c r="D22" s="13">
        <v>83.1</v>
      </c>
      <c r="E22" s="13">
        <v>83.183183183183175</v>
      </c>
      <c r="F22" s="13"/>
      <c r="G22" s="13"/>
      <c r="I22" s="5"/>
    </row>
    <row r="23" outlineLevel="2">
      <c r="A23" s="12" t="s">
        <v>38</v>
      </c>
      <c r="B23" s="0" t="s">
        <v>35</v>
      </c>
      <c r="C23" s="13">
        <f>IFERROR(16.8*(1-w),"")</f>
        <v>15.79200000000001</v>
      </c>
      <c r="D23" s="13">
        <v>16.800000000000011</v>
      </c>
      <c r="E23" s="13">
        <v>16.816816816816829</v>
      </c>
      <c r="F23" s="13"/>
      <c r="G23" s="13"/>
      <c r="I23" s="5"/>
      <c r="J23" s="0" t="s">
        <v>39</v>
      </c>
    </row>
    <row r="24" outlineLevel="1">
      <c r="A24" s="11" t="s">
        <v>40</v>
      </c>
      <c r="I24" s="5"/>
    </row>
    <row r="25" outlineLevel="2">
      <c r="A25" s="12" t="s">
        <v>41</v>
      </c>
      <c r="B25" s="0" t="s">
        <v>35</v>
      </c>
      <c r="C25" s="13">
        <f>IFERROR(51*(1-w),"")</f>
        <v>47.94</v>
      </c>
      <c r="D25" s="13">
        <v>51</v>
      </c>
      <c r="E25" s="13">
        <v>51.051051051051054</v>
      </c>
      <c r="F25" s="13"/>
      <c r="G25" s="13"/>
      <c r="I25" s="5"/>
      <c r="J25" s="0" t="s">
        <v>42</v>
      </c>
    </row>
    <row r="26" outlineLevel="2">
      <c r="A26" s="12" t="s">
        <v>43</v>
      </c>
      <c r="B26" s="0" t="s">
        <v>35</v>
      </c>
      <c r="C26" s="13">
        <f>IFERROR(6*(1-w),"")</f>
        <v>5.64</v>
      </c>
      <c r="D26" s="13">
        <v>6</v>
      </c>
      <c r="E26" s="13">
        <v>6.0060060060060056</v>
      </c>
      <c r="F26" s="13"/>
      <c r="G26" s="13"/>
      <c r="I26" s="5"/>
      <c r="J26" s="0" t="s">
        <v>42</v>
      </c>
    </row>
    <row r="27" outlineLevel="2">
      <c r="A27" s="12" t="s">
        <v>44</v>
      </c>
      <c r="B27" s="0" t="s">
        <v>35</v>
      </c>
      <c r="C27" s="13">
        <f>IFERROR(42.79*(1-w),"")</f>
        <v>40.2226</v>
      </c>
      <c r="D27" s="13">
        <v>42.79</v>
      </c>
      <c r="E27" s="13">
        <v>42.832832832832835</v>
      </c>
      <c r="F27" s="13"/>
      <c r="G27" s="13"/>
      <c r="I27" s="5"/>
      <c r="J27" s="0" t="s">
        <v>39</v>
      </c>
    </row>
    <row r="28" outlineLevel="2">
      <c r="A28" s="12" t="s">
        <v>45</v>
      </c>
      <c r="B28" s="0" t="s">
        <v>35</v>
      </c>
      <c r="C28" s="13">
        <f>IFERROR(0.1*(1-w),"")</f>
        <v>0.094</v>
      </c>
      <c r="D28" s="13">
        <v>0.1</v>
      </c>
      <c r="E28" s="13">
        <v>0.10010010010010011</v>
      </c>
      <c r="F28" s="13"/>
      <c r="G28" s="13"/>
      <c r="I28" s="5"/>
      <c r="J28" s="0" t="s">
        <v>42</v>
      </c>
    </row>
    <row r="29" outlineLevel="2">
      <c r="A29" s="12" t="s">
        <v>46</v>
      </c>
      <c r="B29" s="0" t="s">
        <v>47</v>
      </c>
      <c r="C29" s="13"/>
      <c r="D29" s="13"/>
      <c r="E29" s="13"/>
      <c r="F29" s="13"/>
      <c r="G29" s="13">
        <v>0.01</v>
      </c>
      <c r="I29" s="5"/>
    </row>
    <row r="30" outlineLevel="2">
      <c r="A30" s="12" t="s">
        <v>48</v>
      </c>
      <c r="B30" s="0" t="s">
        <v>35</v>
      </c>
      <c r="C30" s="13">
        <f>IFERROR(99.9915*(1-w)+w*100,"")</f>
        <v>99.992009999999965</v>
      </c>
      <c r="D30" s="13">
        <v>99.991499999999974</v>
      </c>
      <c r="E30" s="13">
        <v>99.991491491491473</v>
      </c>
      <c r="F30" s="13"/>
      <c r="G30" s="13"/>
      <c r="I30" s="5"/>
      <c r="J30" s="0" t="s">
        <v>39</v>
      </c>
    </row>
    <row r="31" outlineLevel="1">
      <c r="A31" s="11" t="s">
        <v>49</v>
      </c>
      <c r="I31" s="5"/>
    </row>
    <row r="32" outlineLevel="2">
      <c r="A32" s="12" t="s">
        <v>50</v>
      </c>
      <c r="B32" s="0" t="s">
        <v>51</v>
      </c>
      <c r="C32" s="14">
        <f>IFERROR(15*(1-w),"")</f>
        <v>14.1</v>
      </c>
      <c r="D32" s="14">
        <v>15</v>
      </c>
      <c r="E32" s="14">
        <v>15.015015015015015</v>
      </c>
      <c r="F32" s="14"/>
      <c r="G32" s="14"/>
      <c r="I32" s="5"/>
      <c r="J32" s="0" t="s">
        <v>42</v>
      </c>
    </row>
    <row r="33" outlineLevel="1">
      <c r="A33" s="11" t="s">
        <v>52</v>
      </c>
      <c r="I33" s="5"/>
    </row>
    <row r="34" outlineLevel="2">
      <c r="A34" s="12" t="s">
        <v>53</v>
      </c>
      <c r="B34" s="0" t="s">
        <v>54</v>
      </c>
      <c r="C34" s="13">
        <f>IFERROR(19*(1-w)-w*2.443,"")</f>
        <v>17.71342</v>
      </c>
      <c r="D34" s="13">
        <v>19</v>
      </c>
      <c r="E34" s="13">
        <v>19.019019019019019</v>
      </c>
      <c r="F34" s="13"/>
      <c r="G34" s="13"/>
      <c r="I34" s="5"/>
    </row>
    <row r="35" outlineLevel="2">
      <c r="A35" s="12" t="s">
        <v>55</v>
      </c>
      <c r="B35" s="0" t="s">
        <v>54</v>
      </c>
      <c r="C35" s="13">
        <f>IFERROR(20.3093*(1-w),"")</f>
        <v>19.090742</v>
      </c>
      <c r="D35" s="13">
        <v>20.3093</v>
      </c>
      <c r="E35" s="13">
        <v>20.329629629629629</v>
      </c>
      <c r="F35" s="13"/>
      <c r="G35" s="13"/>
      <c r="I35" s="5"/>
    </row>
    <row r="36" outlineLevel="2">
      <c r="A36" s="12" t="s">
        <v>56</v>
      </c>
      <c r="B36" s="0" t="s">
        <v>54</v>
      </c>
      <c r="C36" s="13">
        <f>IFERROR(20.17467153*(1-w),"")</f>
        <v>18.964191238200005</v>
      </c>
      <c r="D36" s="13">
        <v>20.174671530000008</v>
      </c>
      <c r="E36" s="13">
        <v>20.194866396396403</v>
      </c>
      <c r="F36" s="13"/>
      <c r="G36" s="13"/>
      <c r="I36" s="5"/>
      <c r="J36" s="0" t="s">
        <v>39</v>
      </c>
    </row>
    <row r="37" outlineLevel="1">
      <c r="A37" s="11" t="s">
        <v>57</v>
      </c>
      <c r="I37" s="5"/>
    </row>
    <row r="38" outlineLevel="2">
      <c r="A38" s="12" t="s">
        <v>58</v>
      </c>
      <c r="B38" s="0" t="s">
        <v>59</v>
      </c>
      <c r="C38" s="14">
        <v>500</v>
      </c>
      <c r="D38" s="14"/>
      <c r="E38" s="14"/>
      <c r="F38" s="14"/>
      <c r="G38" s="14"/>
      <c r="I38" s="5"/>
      <c r="J38" s="0" t="s">
        <v>42</v>
      </c>
    </row>
    <row r="39" outlineLevel="2">
      <c r="A39" s="12" t="s">
        <v>60</v>
      </c>
      <c r="B39" s="0" t="s">
        <v>59</v>
      </c>
      <c r="C39" s="14">
        <v>40</v>
      </c>
      <c r="D39" s="14"/>
      <c r="E39" s="14"/>
      <c r="F39" s="14"/>
      <c r="G39" s="14"/>
      <c r="I39" s="5"/>
      <c r="J39" s="0" t="s">
        <v>42</v>
      </c>
    </row>
    <row r="40">
      <c r="A40" s="7" t="s">
        <v>61</v>
      </c>
      <c r="I40" s="5"/>
    </row>
    <row r="41" outlineLevel="1">
      <c r="A41" s="11" t="s">
        <v>62</v>
      </c>
      <c r="I41" s="5"/>
    </row>
    <row r="42" outlineLevel="2">
      <c r="A42" s="12" t="s">
        <v>63</v>
      </c>
      <c r="B42" s="0" t="s">
        <v>64</v>
      </c>
      <c r="C42" s="13">
        <v>8.3</v>
      </c>
      <c r="D42" s="13"/>
      <c r="E42" s="13"/>
      <c r="F42" s="13"/>
      <c r="G42" s="13"/>
      <c r="I42" s="5"/>
    </row>
    <row r="43" outlineLevel="2">
      <c r="A43" s="12" t="s">
        <v>65</v>
      </c>
      <c r="B43" s="0" t="s">
        <v>64</v>
      </c>
      <c r="C43" s="13">
        <v>1.9</v>
      </c>
      <c r="D43" s="13"/>
      <c r="E43" s="13"/>
      <c r="F43" s="13"/>
      <c r="G43" s="13"/>
      <c r="I43" s="5"/>
    </row>
    <row r="44" outlineLevel="2">
      <c r="A44" s="12" t="s">
        <v>66</v>
      </c>
      <c r="B44" s="0" t="s">
        <v>64</v>
      </c>
      <c r="C44" s="13">
        <v>2.1</v>
      </c>
      <c r="D44" s="13"/>
      <c r="E44" s="13"/>
      <c r="F44" s="13"/>
      <c r="G44" s="13"/>
      <c r="I44" s="5"/>
    </row>
    <row r="45" outlineLevel="2">
      <c r="A45" s="12" t="s">
        <v>67</v>
      </c>
      <c r="B45" s="0" t="s">
        <v>64</v>
      </c>
      <c r="C45" s="13">
        <v>42</v>
      </c>
      <c r="D45" s="13"/>
      <c r="E45" s="13"/>
      <c r="F45" s="13"/>
      <c r="G45" s="13"/>
      <c r="I45" s="5"/>
    </row>
    <row r="46" outlineLevel="2">
      <c r="A46" s="12" t="s">
        <v>68</v>
      </c>
      <c r="B46" s="0" t="s">
        <v>64</v>
      </c>
      <c r="C46" s="13">
        <v>11.8</v>
      </c>
      <c r="D46" s="13"/>
      <c r="E46" s="13"/>
      <c r="F46" s="13"/>
      <c r="G46" s="13"/>
      <c r="I46" s="5"/>
    </row>
    <row r="47" outlineLevel="2">
      <c r="A47" s="12" t="s">
        <v>69</v>
      </c>
      <c r="B47" s="0" t="s">
        <v>64</v>
      </c>
      <c r="C47" s="13">
        <v>0.24</v>
      </c>
      <c r="D47" s="13"/>
      <c r="E47" s="13"/>
      <c r="F47" s="13"/>
      <c r="G47" s="13"/>
      <c r="I47" s="5"/>
    </row>
    <row r="48" outlineLevel="2">
      <c r="A48" s="12" t="s">
        <v>70</v>
      </c>
      <c r="B48" s="0" t="s">
        <v>64</v>
      </c>
      <c r="C48" s="13">
        <v>12.3</v>
      </c>
      <c r="D48" s="13"/>
      <c r="E48" s="13"/>
      <c r="F48" s="13"/>
      <c r="G48" s="13"/>
      <c r="I48" s="5"/>
    </row>
    <row r="49" outlineLevel="2">
      <c r="A49" s="12" t="s">
        <v>71</v>
      </c>
      <c r="B49" s="0" t="s">
        <v>64</v>
      </c>
      <c r="C49" s="13">
        <v>0.12</v>
      </c>
      <c r="D49" s="13"/>
      <c r="E49" s="13"/>
      <c r="F49" s="13"/>
      <c r="G49" s="13"/>
      <c r="I49" s="5"/>
    </row>
    <row r="50">
      <c r="I50" s="5"/>
    </row>
    <row r="51" s="1" customFormat="1"/>
  </sheetData>
  <mergeCells>
    <mergeCell ref="A8: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29:E29"/>
    <mergeCell ref="C38:E38"/>
    <mergeCell ref="C39:E39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20" errorStyle="stop" promptTitle="Enter moisture content" errorTitle="Invalid moisture content" prompt="Value should be between 0 and 100.&#10;Original value: 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https://phyllis.nl/Biomass/View/1267</dc:description>
  <dcterms:created xsi:type="dcterms:W3CDTF">2026-03-19T04:21:52Z</dcterms:created>
  <dc:title>Phyllis2 #1267 pine sawdust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