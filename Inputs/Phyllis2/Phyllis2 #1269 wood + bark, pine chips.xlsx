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69 wood + bark, pin" sheetId="1" r:id="rId1"/>
  </sheets>
  <definedNames>
    <definedName name="w" localSheetId="0">IF(ISBLANK('Phyllis2 #1269 wood + bark, pin'!$C$20),#N/A,'Phyllis2 #1269 wood + bark, pin'!$C$20/100)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<sst xmlns="http://schemas.openxmlformats.org/spreadsheetml/2006/main" count="60" uniqueCount="60">
  <si>
    <t>Phyllis2</t>
  </si>
  <si>
    <t>https://phyllis.nl/Biomass/View/1269</t>
  </si>
  <si>
    <t>wood + bark, pine chips (#1269)</t>
  </si>
  <si>
    <t>ID-number</t>
  </si>
  <si>
    <t>#1269</t>
  </si>
  <si>
    <t>Material</t>
  </si>
  <si>
    <t>wood + bark, pine chips</t>
  </si>
  <si>
    <t>Description</t>
  </si>
  <si>
    <t>chips</t>
  </si>
  <si>
    <t>Classification</t>
  </si>
  <si>
    <t>ECN Phyllis classification &gt; untreated wood &gt; fir/pine/spruce</t>
  </si>
  <si>
    <t>NTA 8003 classification &gt; [100] hout &gt; [110] vers hout &gt; [130] naaldhout &gt; [132] naaldhout met schors</t>
  </si>
  <si>
    <t>Ash type</t>
  </si>
  <si>
    <t>550 degC</t>
  </si>
  <si>
    <t>Submitter organisation</t>
  </si>
  <si>
    <t>ECN (Netherlands)</t>
  </si>
  <si>
    <t>Submission date</t>
  </si>
  <si>
    <t>Literature</t>
  </si>
  <si>
    <t>E. Kurkela: Formation and removal of biomass-derived contaminants in fluidized-bed gasification processes, VTT Publications 287, Espoo, Finland, VTT, 47 p.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</si>
  <si>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</si>
  <si>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</si>
  <si>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</si>
  <si>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</si>
  <si>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</si>
  <si>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</si>
  <si>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</si>
  <si>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</si>
  <si>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</si>
  <si>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</si>
  <si>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</si>
  <si>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</si>
  <si>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</si>
  <si>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</si>
  <si>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</si>
  <si>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</si>
  <si>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</si>
  <si>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</si>
  <si>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</si>
  <si>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</si>
  <si>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</si>
  <si>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</si>
  <si>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</si>
  <si>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</si>
  <si>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</si>
  <si>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</si>
  <si>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</si>
  <si>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</si>
  <si>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</si>
  <si>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</si>
  <si>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</si>
  <si>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</si>
  <si>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</si>
  <si>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</si>
  <si>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</si>
  <si>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</si>
  <si>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</si>
  <si>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</si>
  <si>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Potassium (K)</t>
  </si>
  <si>
    <t>mg/kg (dry)</t>
  </si>
  <si>
    <t>Sodium (Na)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</si>
</sst>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6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0" t="s">
        <v>15</v>
      </c>
    </row>
    <row r="12" outlineLevel="1">
      <c r="A12" s="7" t="s">
        <v>16</v>
      </c>
      <c r="B12" s="6">
        <v>35978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28</v>
      </c>
      <c r="L16" s="10"/>
    </row>
    <row r="17" s="1" customFormat="1">
      <c r="A17" s="10"/>
      <c r="B17" s="10"/>
      <c r="C17" s="10" t="s">
        <v>29</v>
      </c>
      <c r="D17" s="10" t="s">
        <v>30</v>
      </c>
      <c r="E17" s="10" t="s">
        <v>31</v>
      </c>
      <c r="F17" s="10"/>
      <c r="G17" s="10"/>
      <c r="H17" s="10"/>
      <c r="I17" s="10"/>
      <c r="J17" s="10"/>
      <c r="K17" s="10"/>
      <c r="L17" s="10"/>
    </row>
    <row r="18">
      <c r="A18" s="7" t="s">
        <v>32</v>
      </c>
      <c r="I18" s="5"/>
    </row>
    <row r="19" outlineLevel="1">
      <c r="A19" s="11" t="s">
        <v>33</v>
      </c>
      <c r="I19" s="5"/>
    </row>
    <row r="20" outlineLevel="2">
      <c r="A20" s="12" t="s">
        <v>34</v>
      </c>
      <c r="B20" s="0" t="s">
        <v>35</v>
      </c>
      <c r="C20" s="13">
        <v>6</v>
      </c>
      <c r="D20" s="13"/>
      <c r="E20" s="13"/>
      <c r="F20" s="13"/>
      <c r="G20" s="13"/>
      <c r="I20" s="5"/>
    </row>
    <row r="21" outlineLevel="2">
      <c r="A21" s="12" t="s">
        <v>36</v>
      </c>
      <c r="B21" s="0" t="s">
        <v>35</v>
      </c>
      <c r="C21" s="13">
        <f>IFERROR(0.4*(1-w),"")</f>
        <v>0.376</v>
      </c>
      <c r="D21" s="13">
        <v>0.4</v>
      </c>
      <c r="E21" s="13">
        <v/>
      </c>
      <c r="F21" s="13"/>
      <c r="G21" s="13"/>
      <c r="I21" s="5"/>
    </row>
    <row r="22" outlineLevel="2">
      <c r="A22" s="12" t="s">
        <v>37</v>
      </c>
      <c r="B22" s="0" t="s">
        <v>35</v>
      </c>
      <c r="C22" s="13">
        <f>IFERROR(81.5*(1-w),"")</f>
        <v>76.61</v>
      </c>
      <c r="D22" s="13">
        <v>81.5</v>
      </c>
      <c r="E22" s="13">
        <v>81.8273092369478</v>
      </c>
      <c r="F22" s="13"/>
      <c r="G22" s="13"/>
      <c r="I22" s="5"/>
    </row>
    <row r="23" outlineLevel="2">
      <c r="A23" s="12" t="s">
        <v>38</v>
      </c>
      <c r="B23" s="0" t="s">
        <v>35</v>
      </c>
      <c r="C23" s="13">
        <f>IFERROR(18.1*(1-w),"")</f>
        <v>17.013999999999992</v>
      </c>
      <c r="D23" s="13">
        <v>18.099999999999994</v>
      </c>
      <c r="E23" s="13">
        <v>18.172690763052202</v>
      </c>
      <c r="F23" s="13"/>
      <c r="G23" s="13"/>
      <c r="I23" s="5"/>
      <c r="J23" s="0" t="s">
        <v>39</v>
      </c>
    </row>
    <row r="24" outlineLevel="1">
      <c r="A24" s="11" t="s">
        <v>40</v>
      </c>
      <c r="I24" s="5"/>
    </row>
    <row r="25" outlineLevel="2">
      <c r="A25" s="12" t="s">
        <v>41</v>
      </c>
      <c r="B25" s="0" t="s">
        <v>35</v>
      </c>
      <c r="C25" s="13">
        <f>IFERROR(50.5*(1-w),"")</f>
        <v>47.47</v>
      </c>
      <c r="D25" s="13">
        <v>50.5</v>
      </c>
      <c r="E25" s="13">
        <v>50.70281124497992</v>
      </c>
      <c r="F25" s="13"/>
      <c r="G25" s="13"/>
      <c r="I25" s="5"/>
      <c r="J25" s="0" t="s">
        <v>42</v>
      </c>
    </row>
    <row r="26" outlineLevel="2">
      <c r="A26" s="12" t="s">
        <v>43</v>
      </c>
      <c r="B26" s="0" t="s">
        <v>35</v>
      </c>
      <c r="C26" s="13">
        <f>IFERROR(6.1*(1-w),"")</f>
        <v>5.7339999999999991</v>
      </c>
      <c r="D26" s="13">
        <v>6.1</v>
      </c>
      <c r="E26" s="13">
        <v>6.1244979919678713</v>
      </c>
      <c r="F26" s="13"/>
      <c r="G26" s="13"/>
      <c r="I26" s="5"/>
      <c r="J26" s="0" t="s">
        <v>42</v>
      </c>
    </row>
    <row r="27" outlineLevel="2">
      <c r="A27" s="12" t="s">
        <v>44</v>
      </c>
      <c r="B27" s="0" t="s">
        <v>35</v>
      </c>
      <c r="C27" s="13">
        <f>IFERROR(42.76*(1-w),"")</f>
        <v>40.194399999999995</v>
      </c>
      <c r="D27" s="13">
        <v>42.76</v>
      </c>
      <c r="E27" s="13">
        <v>42.931726907630519</v>
      </c>
      <c r="F27" s="13"/>
      <c r="G27" s="13"/>
      <c r="I27" s="5"/>
      <c r="J27" s="0" t="s">
        <v>39</v>
      </c>
    </row>
    <row r="28" outlineLevel="2">
      <c r="A28" s="12" t="s">
        <v>45</v>
      </c>
      <c r="B28" s="0" t="s">
        <v>35</v>
      </c>
      <c r="C28" s="13">
        <f>IFERROR(0.2*(1-w),"")</f>
        <v>0.188</v>
      </c>
      <c r="D28" s="13">
        <v>0.2</v>
      </c>
      <c r="E28" s="13">
        <v>0.20080321285140562</v>
      </c>
      <c r="F28" s="13"/>
      <c r="G28" s="13"/>
      <c r="I28" s="5"/>
      <c r="J28" s="0" t="s">
        <v>42</v>
      </c>
    </row>
    <row r="29" outlineLevel="2">
      <c r="A29" s="12" t="s">
        <v>46</v>
      </c>
      <c r="B29" s="0" t="s">
        <v>35</v>
      </c>
      <c r="C29" s="13">
        <f>IFERROR(0.03*(1-w),"")</f>
        <v>0.028199999999999996</v>
      </c>
      <c r="D29" s="13">
        <v>0.03</v>
      </c>
      <c r="E29" s="13">
        <v>0.030120481927710843</v>
      </c>
      <c r="F29" s="13"/>
      <c r="G29" s="13"/>
      <c r="I29" s="5"/>
      <c r="J29" s="0" t="s">
        <v>42</v>
      </c>
    </row>
    <row r="30" outlineLevel="2">
      <c r="A30" s="12" t="s">
        <v>47</v>
      </c>
      <c r="B30" s="0" t="s">
        <v>35</v>
      </c>
      <c r="C30" s="13">
        <f>IFERROR(99.9975*(1-w)+w*100,"")</f>
        <v>99.99765</v>
      </c>
      <c r="D30" s="13">
        <v>99.9975</v>
      </c>
      <c r="E30" s="13">
        <v>99.997489959839356</v>
      </c>
      <c r="F30" s="13"/>
      <c r="G30" s="13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4">
        <f>IFERROR(75*(1-w),"")</f>
        <v>70.5</v>
      </c>
      <c r="D32" s="14">
        <v>75</v>
      </c>
      <c r="E32" s="14">
        <v>75.3012048192771</v>
      </c>
      <c r="F32" s="14"/>
      <c r="G32" s="14"/>
      <c r="I32" s="5"/>
      <c r="J32" s="0" t="s">
        <v>42</v>
      </c>
    </row>
    <row r="33" outlineLevel="1">
      <c r="A33" s="11" t="s">
        <v>51</v>
      </c>
      <c r="I33" s="5"/>
    </row>
    <row r="34" outlineLevel="2">
      <c r="A34" s="12" t="s">
        <v>52</v>
      </c>
      <c r="B34" s="0" t="s">
        <v>53</v>
      </c>
      <c r="C34" s="13">
        <f>IFERROR(18.9*(1-w)-w*2.443,"")</f>
        <v>17.619419999999998</v>
      </c>
      <c r="D34" s="13">
        <v>18.9</v>
      </c>
      <c r="E34" s="13">
        <v>18.975903614457831</v>
      </c>
      <c r="F34" s="13"/>
      <c r="G34" s="13"/>
      <c r="I34" s="5"/>
    </row>
    <row r="35" outlineLevel="2">
      <c r="A35" s="12" t="s">
        <v>54</v>
      </c>
      <c r="B35" s="0" t="s">
        <v>53</v>
      </c>
      <c r="C35" s="13">
        <f>IFERROR(20.23113*(1-w),"")</f>
        <v>19.017262199999998</v>
      </c>
      <c r="D35" s="13">
        <v>20.23113</v>
      </c>
      <c r="E35" s="13">
        <v>20.312379518072291</v>
      </c>
      <c r="F35" s="13"/>
      <c r="G35" s="13"/>
      <c r="I35" s="5"/>
    </row>
    <row r="36" outlineLevel="2">
      <c r="A36" s="12" t="s">
        <v>55</v>
      </c>
      <c r="B36" s="0" t="s">
        <v>53</v>
      </c>
      <c r="C36" s="13">
        <f>IFERROR(20.12546248*(1-w),"")</f>
        <v>18.917934731200003</v>
      </c>
      <c r="D36" s="13">
        <v>20.125462480000003</v>
      </c>
      <c r="E36" s="13">
        <v>20.206287630522091</v>
      </c>
      <c r="F36" s="13"/>
      <c r="G36" s="13"/>
      <c r="I36" s="5"/>
      <c r="J36" s="0" t="s">
        <v>39</v>
      </c>
    </row>
    <row r="37" outlineLevel="1">
      <c r="A37" s="11" t="s">
        <v>56</v>
      </c>
      <c r="I37" s="5"/>
    </row>
    <row r="38" outlineLevel="2">
      <c r="A38" s="12" t="s">
        <v>57</v>
      </c>
      <c r="B38" s="0" t="s">
        <v>58</v>
      </c>
      <c r="C38" s="14">
        <v>1060</v>
      </c>
      <c r="D38" s="14"/>
      <c r="E38" s="14"/>
      <c r="F38" s="14"/>
      <c r="G38" s="14"/>
      <c r="I38" s="5"/>
      <c r="J38" s="0" t="s">
        <v>42</v>
      </c>
    </row>
    <row r="39" outlineLevel="2">
      <c r="A39" s="12" t="s">
        <v>59</v>
      </c>
      <c r="B39" s="0" t="s">
        <v>58</v>
      </c>
      <c r="C39" s="14">
        <v>30</v>
      </c>
      <c r="D39" s="14"/>
      <c r="E39" s="14"/>
      <c r="F39" s="14"/>
      <c r="G39" s="14"/>
      <c r="I39" s="5"/>
      <c r="J39" s="0" t="s">
        <v>42</v>
      </c>
    </row>
    <row r="40">
      <c r="I40" s="5"/>
    </row>
    <row r="41" s="1" customFormat="1"/>
  </sheetData>
  <mergeCells>
    <mergeCell ref="A8:A9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8:E38"/>
    <mergeCell ref="C39:E39"/>
  </mergeCells>
  <dataValidations count="1">
    <dataValidation type="decimal" sqref="C20" errorStyle="stop" promptTitle="Enter moisture content" errorTitle="Invalid moisture content" prompt="Value should be between 0 and 100.&#10;Original value: 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https://phyllis.nl/Biomass/View/1269</dc:description>
  <dcterms:created xsi:type="dcterms:W3CDTF">2026-03-19T07:06:54Z</dcterms:created>
  <dc:title>Phyllis2 #1269 wood + bark, pine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