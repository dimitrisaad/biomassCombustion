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70 wood, eucalyptus" sheetId="1" r:id="rId1"/>
  </sheets>
  <definedNames>
    <definedName name="w" localSheetId="0">IF(ISBLANK('Phyllis2 #1270 wood, eucalyptus'!$C$19),#N/A,'Phyllis2 #1270 wood, eucalyptus'!$C$19/100)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<sst xmlns="http://schemas.openxmlformats.org/spreadsheetml/2006/main" count="58" uniqueCount="58">
  <si>
    <t>Phyllis2</t>
  </si>
  <si>
    <t>https://phyllis.nl/Biomass/View/1270</t>
  </si>
  <si>
    <t>wood, eucalyptus (#1270)</t>
  </si>
  <si>
    <t>ID-number</t>
  </si>
  <si>
    <t>#1270</t>
  </si>
  <si>
    <t>Material</t>
  </si>
  <si>
    <t>wood, eucalyptus</t>
  </si>
  <si>
    <t>Classification</t>
  </si>
  <si>
    <t>ECN Phyllis classification &gt; untreated wood &gt; other hard wood &gt; wood, eucalyptus</t>
  </si>
  <si>
    <t>NTA 8003 classification &gt; [100] hout &gt; [110] vers hout &gt; [120] loofhout &gt; [125] hard loofhout</t>
  </si>
  <si>
    <t>Ash type</t>
  </si>
  <si>
    <t>550 degC</t>
  </si>
  <si>
    <t>Submitter organisation</t>
  </si>
  <si>
    <t>ECN (Netherlands)</t>
  </si>
  <si>
    <t>Submission date</t>
  </si>
  <si>
    <t>Literature</t>
  </si>
  <si>
    <t>E. Kurkela: Formation and removal of biomass-derived contaminants in fluidized-bed gasification processes, VTT Publications 287, Espoo, Finland, VTT, 47 p.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</si>
  <si>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</si>
  <si>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</si>
  <si>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</si>
  <si>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</si>
  <si>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</si>
  <si>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</si>
  <si>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</si>
  <si>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</si>
  <si>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</si>
  <si>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</si>
  <si>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</si>
  <si>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</si>
  <si>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</si>
  <si>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</si>
  <si>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</si>
  <si>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</si>
  <si>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</si>
  <si>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</si>
  <si>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</si>
  <si>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</si>
  <si>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</si>
  <si>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</si>
  <si>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</si>
  <si>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</si>
  <si>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</si>
  <si>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</si>
  <si>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</si>
  <si>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</si>
  <si>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</si>
  <si>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</si>
  <si>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</si>
  <si>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</si>
  <si>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</si>
  <si>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</si>
  <si>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</si>
  <si>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</si>
  <si>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</si>
  <si>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</si>
  <si>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Potassium (K)</t>
  </si>
  <si>
    <t>mg/kg (dry)</t>
  </si>
  <si>
    <t>Sodium (Na)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</si>
</sst>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7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35978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4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IFERROR(0.8*(1-w),"")</f>
        <v>0.768</v>
      </c>
      <c r="D20" s="13">
        <v>0.8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IFERROR(80.4*(1-w),"")</f>
        <v>77.184</v>
      </c>
      <c r="D21" s="13">
        <v>80.4</v>
      </c>
      <c r="E21" s="13">
        <v>81.0483870967742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IFERROR(18.8*(1-w),"")</f>
        <v>18.048</v>
      </c>
      <c r="D22" s="13">
        <v>18.799999999999997</v>
      </c>
      <c r="E22" s="13">
        <v>18.951612903225804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IFERROR(51.2*(1-w),"")</f>
        <v>49.152</v>
      </c>
      <c r="D24" s="13">
        <v>51.2</v>
      </c>
      <c r="E24" s="13">
        <v>51.612903225806456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IFERROR(6*(1-w),"")</f>
        <v>5.76</v>
      </c>
      <c r="D25" s="13">
        <v>6</v>
      </c>
      <c r="E25" s="13">
        <v>6.0483870967741939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IFERROR(41.69*(1-w),"")</f>
        <v>40.0224</v>
      </c>
      <c r="D26" s="13">
        <v>41.69</v>
      </c>
      <c r="E26" s="13">
        <v>42.026209677419352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33</v>
      </c>
      <c r="C27" s="13">
        <f>IFERROR(0.2*(1-w),"")</f>
        <v>0.192</v>
      </c>
      <c r="D27" s="13">
        <v>0.2</v>
      </c>
      <c r="E27" s="13">
        <v>0.20161290322580647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IFERROR(0.02*(1-w),"")</f>
        <v>0.0192</v>
      </c>
      <c r="D28" s="13">
        <v>0.02</v>
      </c>
      <c r="E28" s="13">
        <v>0.020161290322580645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IFERROR(100.004*(1-w)+w*100,"")</f>
        <v>100.00383999999998</v>
      </c>
      <c r="D29" s="13">
        <v>100.00399999999999</v>
      </c>
      <c r="E29" s="13">
        <v>100.00403225806451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IFERROR(940*(1-w),"")</f>
        <v>902.4</v>
      </c>
      <c r="D31" s="14">
        <v>940</v>
      </c>
      <c r="E31" s="14">
        <v>947.58064516129036</v>
      </c>
      <c r="F31" s="14"/>
      <c r="G31" s="14"/>
      <c r="I31" s="5"/>
      <c r="J31" s="0" t="s">
        <v>40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IFERROR(18.5*(1-w)-w*2.443,"")</f>
        <v>17.66228</v>
      </c>
      <c r="D33" s="13">
        <v>18.5</v>
      </c>
      <c r="E33" s="13">
        <v>18.649193548387096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IFERROR(19.8093*(1-w),"")</f>
        <v>19.016928</v>
      </c>
      <c r="D34" s="13">
        <v>19.8093</v>
      </c>
      <c r="E34" s="13">
        <v>19.969052419354838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IFERROR(20.35362992*(1-w),"")</f>
        <v>19.5394847232</v>
      </c>
      <c r="D35" s="13">
        <v>20.353629920000003</v>
      </c>
      <c r="E35" s="13">
        <v>20.5177720967742</v>
      </c>
      <c r="F35" s="13"/>
      <c r="G35" s="13"/>
      <c r="I35" s="5"/>
      <c r="J35" s="0" t="s">
        <v>37</v>
      </c>
    </row>
    <row r="36" outlineLevel="1">
      <c r="A36" s="11" t="s">
        <v>54</v>
      </c>
      <c r="I36" s="5"/>
    </row>
    <row r="37" outlineLevel="2">
      <c r="A37" s="12" t="s">
        <v>55</v>
      </c>
      <c r="B37" s="0" t="s">
        <v>56</v>
      </c>
      <c r="C37" s="14">
        <v>890</v>
      </c>
      <c r="D37" s="14"/>
      <c r="E37" s="14"/>
      <c r="F37" s="14"/>
      <c r="G37" s="14"/>
      <c r="I37" s="5"/>
      <c r="J37" s="0" t="s">
        <v>40</v>
      </c>
    </row>
    <row r="38" outlineLevel="2">
      <c r="A38" s="12" t="s">
        <v>57</v>
      </c>
      <c r="B38" s="0" t="s">
        <v>56</v>
      </c>
      <c r="C38" s="14">
        <v>670</v>
      </c>
      <c r="D38" s="14"/>
      <c r="E38" s="14"/>
      <c r="F38" s="14"/>
      <c r="G38" s="14"/>
      <c r="I38" s="5"/>
      <c r="J38" s="0" t="s">
        <v>40</v>
      </c>
    </row>
    <row r="39">
      <c r="I39" s="5"/>
    </row>
    <row r="40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</mergeCells>
  <dataValidations count="1">
    <dataValidation type="decimal" sqref="C19" errorStyle="stop" promptTitle="Enter moisture content" errorTitle="Invalid moisture content" prompt="Value should be between 0 and 100.&#10;Original value: 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https://phyllis.nl/Biomass/View/1270</dc:description>
  <dcterms:created xsi:type="dcterms:W3CDTF">2026-03-19T07:13:57Z</dcterms:created>
  <dc:title>Phyllis2 #1270 wood, eucalyptus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