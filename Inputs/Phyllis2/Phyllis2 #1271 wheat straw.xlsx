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271 wheat straw" sheetId="1" r:id="rId1"/>
  </sheets>
  <definedNames>
    <definedName name="w" localSheetId="0">IF(ISBLANK('Phyllis2 #1271 wheat straw'!$C$19),#N/A,'Phyllis2 #1271 wheat straw'!$C$19/100)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<sst xmlns="http://schemas.openxmlformats.org/spreadsheetml/2006/main" count="69" uniqueCount="69">
  <si>
    <t>Phyllis2</t>
  </si>
  <si>
    <t>https://phyllis.nl/Biomass/View/1271</t>
  </si>
  <si>
    <t>wheat straw (#1271)</t>
  </si>
  <si>
    <t>ID-number</t>
  </si>
  <si>
    <t>#1271</t>
  </si>
  <si>
    <t>Material</t>
  </si>
  <si>
    <t>wheat straw</t>
  </si>
  <si>
    <t>Classification</t>
  </si>
  <si>
    <t>ECN Phyllis classification &gt; straw (stalk/cob/ear) &gt; wheat &gt; wheat straw</t>
  </si>
  <si>
    <t>NTA 8003 classification &gt; [200] biomassa uit land- en tuinbouw &gt; [220] stro &gt; [223] tarwestro</t>
  </si>
  <si>
    <t>Ash type</t>
  </si>
  <si>
    <t>550 degC</t>
  </si>
  <si>
    <t>Submitter organisation</t>
  </si>
  <si>
    <t>ECN (Netherlands)</t>
  </si>
  <si>
    <t>Submission date</t>
  </si>
  <si>
    <t>Literature</t>
  </si>
  <si>
    <t>E. Kurkela: Formation and removal of biomass-derived contaminants in fluidized-bed gasification processes, VTT Publications 287, Espoo, Finland, VTT, 47 p. (1996).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</si>
  <si>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</si>
  <si>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</si>
  <si>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</si>
  <si>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</si>
  <si>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</si>
  <si>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</si>
  <si>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</si>
  <si>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</si>
  <si>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</si>
  <si>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</si>
  <si>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</si>
  <si>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</si>
  <si>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</si>
  <si>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</si>
  <si>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</si>
  <si>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</si>
  <si>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</si>
  <si>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</si>
  <si>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</si>
  <si>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</si>
  <si>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</si>
  <si>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</si>
  <si>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</si>
  <si>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</si>
  <si>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</si>
  <si>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</si>
  <si>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</si>
  <si>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</si>
  <si>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</si>
  <si>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</si>
  <si>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</si>
  <si>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</si>
  <si>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</si>
  <si>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</si>
  <si>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</si>
  <si>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</si>
  <si>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</si>
  <si>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</si>
  <si>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Potassium (K)</t>
  </si>
  <si>
    <t>mg/kg (dry)</t>
  </si>
  <si>
    <t>Sodium (Na)</t>
  </si>
  <si>
    <t>Ash Properties</t>
  </si>
  <si>
    <t>Ash composition</t>
  </si>
  <si>
    <t>SiO2</t>
  </si>
  <si>
    <t>wt% (ash)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</si>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</sst>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27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35978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26</v>
      </c>
      <c r="L15" s="10"/>
    </row>
    <row r="16" s="1" customFormat="1">
      <c r="A16" s="10"/>
      <c r="B16" s="10"/>
      <c r="C16" s="10" t="s">
        <v>27</v>
      </c>
      <c r="D16" s="10" t="s">
        <v>28</v>
      </c>
      <c r="E16" s="10" t="s">
        <v>29</v>
      </c>
      <c r="F16" s="10"/>
      <c r="G16" s="10"/>
      <c r="H16" s="10"/>
      <c r="I16" s="10"/>
      <c r="J16" s="10"/>
      <c r="K16" s="10"/>
      <c r="L16" s="10"/>
    </row>
    <row r="17">
      <c r="A17" s="7" t="s">
        <v>30</v>
      </c>
      <c r="I17" s="5"/>
    </row>
    <row r="18" outlineLevel="1">
      <c r="A18" s="11" t="s">
        <v>31</v>
      </c>
      <c r="I18" s="5"/>
    </row>
    <row r="19" outlineLevel="2">
      <c r="A19" s="12" t="s">
        <v>32</v>
      </c>
      <c r="B19" s="0" t="s">
        <v>33</v>
      </c>
      <c r="C19" s="13">
        <v>6</v>
      </c>
      <c r="D19" s="13"/>
      <c r="E19" s="13"/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IFERROR(6.1*(1-w),"")</f>
        <v>5.7339999999999991</v>
      </c>
      <c r="D20" s="13">
        <v>6.1</v>
      </c>
      <c r="E20" s="13">
        <v/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IFERROR(75.8*(1-w),"")</f>
        <v>71.252</v>
      </c>
      <c r="D21" s="13">
        <v>75.8</v>
      </c>
      <c r="E21" s="13">
        <v>80.7241746538871</v>
      </c>
      <c r="F21" s="13"/>
      <c r="G21" s="13"/>
      <c r="I21" s="5"/>
    </row>
    <row r="22" outlineLevel="2">
      <c r="A22" s="12" t="s">
        <v>36</v>
      </c>
      <c r="B22" s="0" t="s">
        <v>33</v>
      </c>
      <c r="C22" s="13">
        <f>IFERROR(18.1*(1-w),"")</f>
        <v>17.014000000000006</v>
      </c>
      <c r="D22" s="13">
        <v>18.100000000000009</v>
      </c>
      <c r="E22" s="13">
        <v>19.275825346112892</v>
      </c>
      <c r="F22" s="13"/>
      <c r="G22" s="13"/>
      <c r="I22" s="5"/>
      <c r="J22" s="0" t="s">
        <v>37</v>
      </c>
    </row>
    <row r="23" outlineLevel="1">
      <c r="A23" s="11" t="s">
        <v>38</v>
      </c>
      <c r="I23" s="5"/>
    </row>
    <row r="24" outlineLevel="2">
      <c r="A24" s="12" t="s">
        <v>39</v>
      </c>
      <c r="B24" s="0" t="s">
        <v>33</v>
      </c>
      <c r="C24" s="13">
        <f>IFERROR(46.1*(1-w),"")</f>
        <v>43.333999999999996</v>
      </c>
      <c r="D24" s="13">
        <v>46.1</v>
      </c>
      <c r="E24" s="13">
        <v>49.094781682641106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33</v>
      </c>
      <c r="C25" s="13">
        <f>IFERROR(5.6*(1-w),"")</f>
        <v>5.2639999999999993</v>
      </c>
      <c r="D25" s="13">
        <v>5.6</v>
      </c>
      <c r="E25" s="13">
        <v>5.9637912673056439</v>
      </c>
      <c r="F25" s="13"/>
      <c r="G25" s="13"/>
      <c r="I25" s="5"/>
      <c r="J25" s="0" t="s">
        <v>40</v>
      </c>
    </row>
    <row r="26" outlineLevel="2">
      <c r="A26" s="12" t="s">
        <v>42</v>
      </c>
      <c r="B26" s="0" t="s">
        <v>33</v>
      </c>
      <c r="C26" s="13">
        <f>IFERROR(41.33*(1-w),"")</f>
        <v>38.850199999999994</v>
      </c>
      <c r="D26" s="13">
        <v>41.33</v>
      </c>
      <c r="E26" s="13">
        <v>44.014909478168256</v>
      </c>
      <c r="F26" s="13"/>
      <c r="G26" s="13"/>
      <c r="I26" s="5"/>
      <c r="J26" s="0" t="s">
        <v>37</v>
      </c>
    </row>
    <row r="27" outlineLevel="2">
      <c r="A27" s="12" t="s">
        <v>43</v>
      </c>
      <c r="B27" s="0" t="s">
        <v>33</v>
      </c>
      <c r="C27" s="13">
        <f>IFERROR(0.5*(1-w),"")</f>
        <v>0.47</v>
      </c>
      <c r="D27" s="13">
        <v>0.5</v>
      </c>
      <c r="E27" s="13">
        <v>0.53248136315228967</v>
      </c>
      <c r="F27" s="13"/>
      <c r="G27" s="13"/>
      <c r="I27" s="5"/>
      <c r="J27" s="0" t="s">
        <v>40</v>
      </c>
    </row>
    <row r="28" outlineLevel="2">
      <c r="A28" s="12" t="s">
        <v>44</v>
      </c>
      <c r="B28" s="0" t="s">
        <v>33</v>
      </c>
      <c r="C28" s="13">
        <f>IFERROR(0.08*(1-w),"")</f>
        <v>0.0752</v>
      </c>
      <c r="D28" s="13">
        <v>0.08</v>
      </c>
      <c r="E28" s="13">
        <v>0.085197018104366348</v>
      </c>
      <c r="F28" s="13"/>
      <c r="G28" s="13"/>
      <c r="I28" s="5"/>
      <c r="J28" s="0" t="s">
        <v>40</v>
      </c>
    </row>
    <row r="29" outlineLevel="2">
      <c r="A29" s="12" t="s">
        <v>45</v>
      </c>
      <c r="B29" s="0" t="s">
        <v>33</v>
      </c>
      <c r="C29" s="13">
        <f>IFERROR(99.999*(1-w)+w*100,"")</f>
        <v>99.999059999999986</v>
      </c>
      <c r="D29" s="13">
        <v>99.999</v>
      </c>
      <c r="E29" s="13">
        <v>99.9989350372737</v>
      </c>
      <c r="F29" s="13"/>
      <c r="G29" s="13"/>
      <c r="I29" s="5"/>
      <c r="J29" s="0" t="s">
        <v>37</v>
      </c>
    </row>
    <row r="30" outlineLevel="1">
      <c r="A30" s="11" t="s">
        <v>46</v>
      </c>
      <c r="I30" s="5"/>
    </row>
    <row r="31" outlineLevel="2">
      <c r="A31" s="12" t="s">
        <v>47</v>
      </c>
      <c r="B31" s="0" t="s">
        <v>48</v>
      </c>
      <c r="C31" s="14">
        <f>IFERROR(2890*(1-w),"")</f>
        <v>2716.6</v>
      </c>
      <c r="D31" s="14">
        <v>2890</v>
      </c>
      <c r="E31" s="14">
        <v>3077.742279020234</v>
      </c>
      <c r="F31" s="14"/>
      <c r="G31" s="14"/>
      <c r="I31" s="5"/>
      <c r="J31" s="0" t="s">
        <v>40</v>
      </c>
    </row>
    <row r="32" outlineLevel="1">
      <c r="A32" s="11" t="s">
        <v>49</v>
      </c>
      <c r="I32" s="5"/>
    </row>
    <row r="33" outlineLevel="2">
      <c r="A33" s="12" t="s">
        <v>50</v>
      </c>
      <c r="B33" s="0" t="s">
        <v>51</v>
      </c>
      <c r="C33" s="13">
        <f>IFERROR(17.2*(1-w)-w*2.443,"")</f>
        <v>16.02142</v>
      </c>
      <c r="D33" s="13">
        <v>17.2</v>
      </c>
      <c r="E33" s="13">
        <v>18.317358892438762</v>
      </c>
      <c r="F33" s="13"/>
      <c r="G33" s="13"/>
      <c r="I33" s="5"/>
    </row>
    <row r="34" outlineLevel="2">
      <c r="A34" s="12" t="s">
        <v>52</v>
      </c>
      <c r="B34" s="0" t="s">
        <v>51</v>
      </c>
      <c r="C34" s="13">
        <f>IFERROR(18.42202*(1-w),"")</f>
        <v>17.316698799999998</v>
      </c>
      <c r="D34" s="13">
        <v>18.42202</v>
      </c>
      <c r="E34" s="13">
        <v>19.618764643237487</v>
      </c>
      <c r="F34" s="13"/>
      <c r="G34" s="13"/>
      <c r="I34" s="5"/>
    </row>
    <row r="35" outlineLevel="2">
      <c r="A35" s="12" t="s">
        <v>53</v>
      </c>
      <c r="B35" s="0" t="s">
        <v>51</v>
      </c>
      <c r="C35" s="13">
        <f>IFERROR(18.02155113*(1-w),"")</f>
        <v>16.940258062199998</v>
      </c>
      <c r="D35" s="13">
        <v>18.02155113</v>
      </c>
      <c r="E35" s="13">
        <v>19.192280223642172</v>
      </c>
      <c r="F35" s="13"/>
      <c r="G35" s="13"/>
      <c r="I35" s="5"/>
      <c r="J35" s="0" t="s">
        <v>37</v>
      </c>
    </row>
    <row r="36" outlineLevel="1">
      <c r="A36" s="11" t="s">
        <v>54</v>
      </c>
      <c r="I36" s="5"/>
    </row>
    <row r="37" outlineLevel="2">
      <c r="A37" s="12" t="s">
        <v>55</v>
      </c>
      <c r="B37" s="0" t="s">
        <v>56</v>
      </c>
      <c r="C37" s="14">
        <v>10910</v>
      </c>
      <c r="D37" s="14"/>
      <c r="E37" s="14"/>
      <c r="F37" s="14"/>
      <c r="G37" s="14"/>
      <c r="I37" s="5"/>
      <c r="J37" s="0" t="s">
        <v>40</v>
      </c>
    </row>
    <row r="38" outlineLevel="2">
      <c r="A38" s="12" t="s">
        <v>57</v>
      </c>
      <c r="B38" s="0" t="s">
        <v>56</v>
      </c>
      <c r="C38" s="14">
        <v>230</v>
      </c>
      <c r="D38" s="14"/>
      <c r="E38" s="14"/>
      <c r="F38" s="14"/>
      <c r="G38" s="14"/>
      <c r="I38" s="5"/>
      <c r="J38" s="0" t="s">
        <v>40</v>
      </c>
    </row>
    <row r="39">
      <c r="A39" s="7" t="s">
        <v>58</v>
      </c>
      <c r="I39" s="5"/>
    </row>
    <row r="40" outlineLevel="1">
      <c r="A40" s="11" t="s">
        <v>59</v>
      </c>
      <c r="I40" s="5"/>
    </row>
    <row r="41" outlineLevel="2">
      <c r="A41" s="12" t="s">
        <v>60</v>
      </c>
      <c r="B41" s="0" t="s">
        <v>61</v>
      </c>
      <c r="C41" s="13">
        <v>58.2</v>
      </c>
      <c r="D41" s="13"/>
      <c r="E41" s="13"/>
      <c r="F41" s="13"/>
      <c r="G41" s="13"/>
      <c r="I41" s="5"/>
    </row>
    <row r="42" outlineLevel="2">
      <c r="A42" s="12" t="s">
        <v>62</v>
      </c>
      <c r="B42" s="0" t="s">
        <v>61</v>
      </c>
      <c r="C42" s="13">
        <v>0.7</v>
      </c>
      <c r="D42" s="13"/>
      <c r="E42" s="13"/>
      <c r="F42" s="13"/>
      <c r="G42" s="13"/>
      <c r="I42" s="5"/>
    </row>
    <row r="43" outlineLevel="2">
      <c r="A43" s="12" t="s">
        <v>63</v>
      </c>
      <c r="B43" s="0" t="s">
        <v>61</v>
      </c>
      <c r="C43" s="13">
        <v>0.8</v>
      </c>
      <c r="D43" s="13"/>
      <c r="E43" s="13"/>
      <c r="F43" s="13"/>
      <c r="G43" s="13"/>
      <c r="I43" s="5"/>
    </row>
    <row r="44" outlineLevel="2">
      <c r="A44" s="12" t="s">
        <v>64</v>
      </c>
      <c r="B44" s="0" t="s">
        <v>61</v>
      </c>
      <c r="C44" s="13">
        <v>8.1</v>
      </c>
      <c r="D44" s="13"/>
      <c r="E44" s="13"/>
      <c r="F44" s="13"/>
      <c r="G44" s="13"/>
      <c r="I44" s="5"/>
    </row>
    <row r="45" outlineLevel="2">
      <c r="A45" s="12" t="s">
        <v>65</v>
      </c>
      <c r="B45" s="0" t="s">
        <v>61</v>
      </c>
      <c r="C45" s="13">
        <v>2</v>
      </c>
      <c r="D45" s="13"/>
      <c r="E45" s="13"/>
      <c r="F45" s="13"/>
      <c r="G45" s="13"/>
      <c r="I45" s="5"/>
    </row>
    <row r="46" outlineLevel="2">
      <c r="A46" s="12" t="s">
        <v>66</v>
      </c>
      <c r="B46" s="0" t="s">
        <v>61</v>
      </c>
      <c r="C46" s="13">
        <v>0.5</v>
      </c>
      <c r="D46" s="13"/>
      <c r="E46" s="13"/>
      <c r="F46" s="13"/>
      <c r="G46" s="13"/>
      <c r="I46" s="5"/>
    </row>
    <row r="47" outlineLevel="2">
      <c r="A47" s="12" t="s">
        <v>67</v>
      </c>
      <c r="B47" s="0" t="s">
        <v>61</v>
      </c>
      <c r="C47" s="13">
        <v>20.2</v>
      </c>
      <c r="D47" s="13"/>
      <c r="E47" s="13"/>
      <c r="F47" s="13"/>
      <c r="G47" s="13"/>
      <c r="I47" s="5"/>
    </row>
    <row r="48" outlineLevel="2">
      <c r="A48" s="12" t="s">
        <v>68</v>
      </c>
      <c r="B48" s="0" t="s">
        <v>61</v>
      </c>
      <c r="C48" s="13">
        <v>0.03</v>
      </c>
      <c r="D48" s="13"/>
      <c r="E48" s="13"/>
      <c r="F48" s="13"/>
      <c r="G48" s="13"/>
      <c r="I48" s="5"/>
    </row>
    <row r="49">
      <c r="I49" s="5"/>
    </row>
    <row r="50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7:E37"/>
    <mergeCell ref="C38:E38"/>
    <mergeCell ref="C41:E41"/>
    <mergeCell ref="C42:E42"/>
    <mergeCell ref="C43:E43"/>
    <mergeCell ref="C44:E44"/>
    <mergeCell ref="C45:E45"/>
    <mergeCell ref="C46:E46"/>
    <mergeCell ref="C47:E47"/>
    <mergeCell ref="C48:E48"/>
  </mergeCells>
  <dataValidations count="1">
    <dataValidation type="decimal" sqref="C19" errorStyle="stop" promptTitle="Enter moisture content" errorTitle="Invalid moisture content" prompt="Value should be between 0 and 100.&#10;Original value: 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https://phyllis.nl/Biomass/View/1271</dc:description>
  <dcterms:created xsi:type="dcterms:W3CDTF">2026-03-17T06:15:54Z</dcterms:created>
  <dc:title>Phyllis2 #1271 wheat straw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