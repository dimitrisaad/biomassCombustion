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99 banagrass" sheetId="1" r:id="rId1"/>
  </sheets>
  <definedNames>
    <definedName name="w" localSheetId="0">IF(ISBLANK('Phyllis2 #1299 banagrass'!$C$18),#N/A,'Phyllis2 #1299 banagrass'!$C$18/100)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<sst xmlns="http://schemas.openxmlformats.org/spreadsheetml/2006/main" count="53" uniqueCount="53">
  <si>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</si>
  <si>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https://phyllis.nl/Biomass/View/1299</t>
  </si>
  <si>
    <t>banagrass (#1299)</t>
  </si>
  <si>
    <t>ID-number</t>
  </si>
  <si>
    <t>#1299</t>
  </si>
  <si>
    <t>Material</t>
  </si>
  <si>
    <t>banagrass</t>
  </si>
  <si>
    <t>Classification</t>
  </si>
  <si>
    <t>ECN Phyllis classification &gt; grass/plant &gt; other grass &gt; banagrass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</si>
  <si>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</si>
  <si>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</si>
  <si>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</si>
  <si>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</si>
  <si>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Literature</t>
  </si>
  <si>
    <t>S. Q. Turn, C. M. Kinoshita, W. E. Kaar and D. M. Ishimura: Measurements of gas phase carbon in steam explosion of biomass. Bioresource Technology 64 (1) pp. 71-75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</si>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</sst>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9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36028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58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IFERROR(5*(1-w),"")</f>
        <v>2.1</v>
      </c>
      <c r="D19" s="13">
        <v>5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IFERROR(43.6*(1-w),"")</f>
        <v>18.312</v>
      </c>
      <c r="D21" s="13">
        <v>43.6</v>
      </c>
      <c r="E21" s="13">
        <v>45.894736842105267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IFERROR(5.7*(1-w),"")</f>
        <v>2.394</v>
      </c>
      <c r="D22" s="13">
        <v>5.7</v>
      </c>
      <c r="E22" s="13">
        <v>6.0000000000000009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IFERROR(45*(1-w),"")</f>
        <v>18.900000000000002</v>
      </c>
      <c r="D23" s="13">
        <v>45</v>
      </c>
      <c r="E23" s="13">
        <v>47.368421052631582</v>
      </c>
      <c r="F23" s="13"/>
      <c r="G23" s="13"/>
      <c r="I23" s="5"/>
      <c r="J23" s="0" t="s">
        <v>35</v>
      </c>
    </row>
    <row r="24" outlineLevel="2">
      <c r="A24" s="12" t="s">
        <v>38</v>
      </c>
      <c r="B24" s="0" t="s">
        <v>31</v>
      </c>
      <c r="C24" s="13">
        <f>IFERROR(0.6*(1-w),"")</f>
        <v>0.252</v>
      </c>
      <c r="D24" s="13">
        <v>0.6</v>
      </c>
      <c r="E24" s="13">
        <v>0.631578947368421</v>
      </c>
      <c r="F24" s="13"/>
      <c r="G24" s="13"/>
      <c r="I24" s="5"/>
      <c r="J24" s="0" t="s">
        <v>35</v>
      </c>
    </row>
    <row r="25" outlineLevel="2">
      <c r="A25" s="12" t="s">
        <v>39</v>
      </c>
      <c r="B25" s="0" t="s">
        <v>31</v>
      </c>
      <c r="C25" s="13">
        <f>IFERROR(0.1*(1-w),"")</f>
        <v>0.04200000000000001</v>
      </c>
      <c r="D25" s="13">
        <v>0.1</v>
      </c>
      <c r="E25" s="13">
        <v>0.10526315789473685</v>
      </c>
      <c r="F25" s="13"/>
      <c r="G25" s="13"/>
      <c r="I25" s="5"/>
      <c r="J25" s="0" t="s">
        <v>35</v>
      </c>
    </row>
    <row r="26" outlineLevel="2">
      <c r="A26" s="12" t="s">
        <v>40</v>
      </c>
      <c r="B26" s="0" t="s">
        <v>31</v>
      </c>
      <c r="C26" s="13">
        <f>IFERROR(100*(1-w)+w*100,"")</f>
        <v>100</v>
      </c>
      <c r="D26" s="13">
        <v>100</v>
      </c>
      <c r="E26" s="13">
        <v>100</v>
      </c>
      <c r="F26" s="13"/>
      <c r="G26" s="13"/>
      <c r="I26" s="5"/>
      <c r="J26" s="0" t="s">
        <v>41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3">
        <f>IFERROR(16.865185*(1-w),"")</f>
        <v>7.0833777000000042</v>
      </c>
      <c r="D28" s="13">
        <v>16.865185000000007</v>
      </c>
      <c r="E28" s="13">
        <v>17.752826315789481</v>
      </c>
      <c r="F28" s="13"/>
      <c r="G28" s="13"/>
      <c r="I28" s="5"/>
      <c r="J28" s="0" t="s">
        <v>41</v>
      </c>
    </row>
    <row r="29" outlineLevel="1">
      <c r="A29" s="11" t="s">
        <v>45</v>
      </c>
      <c r="I29" s="5"/>
    </row>
    <row r="30" outlineLevel="2">
      <c r="A30" s="14" t="s">
        <v>46</v>
      </c>
      <c r="I30" s="5"/>
    </row>
    <row r="31" outlineLevel="3">
      <c r="A31" s="15" t="s">
        <v>47</v>
      </c>
      <c r="B31" s="0" t="s">
        <v>48</v>
      </c>
      <c r="C31" s="13">
        <v>50</v>
      </c>
      <c r="D31" s="13"/>
      <c r="E31" s="13"/>
      <c r="F31" s="13"/>
      <c r="G31" s="13"/>
      <c r="I31" s="5"/>
      <c r="J31" s="0" t="s">
        <v>35</v>
      </c>
    </row>
    <row r="32" outlineLevel="3">
      <c r="A32" s="15" t="s">
        <v>49</v>
      </c>
      <c r="B32" s="0" t="s">
        <v>48</v>
      </c>
      <c r="C32" s="13">
        <v>26</v>
      </c>
      <c r="D32" s="13"/>
      <c r="E32" s="13"/>
      <c r="F32" s="13"/>
      <c r="G32" s="13"/>
      <c r="I32" s="5"/>
      <c r="J32" s="0" t="s">
        <v>35</v>
      </c>
    </row>
    <row r="33" outlineLevel="3">
      <c r="A33" s="15" t="s">
        <v>50</v>
      </c>
      <c r="B33" s="0" t="s">
        <v>48</v>
      </c>
      <c r="C33" s="13">
        <v>8</v>
      </c>
      <c r="D33" s="13"/>
      <c r="E33" s="13"/>
      <c r="F33" s="13"/>
      <c r="G33" s="13"/>
      <c r="I33" s="5"/>
      <c r="J33" s="0" t="s">
        <v>35</v>
      </c>
    </row>
    <row r="34" outlineLevel="2">
      <c r="A34" s="14" t="s">
        <v>51</v>
      </c>
      <c r="I34" s="5"/>
    </row>
    <row r="35" outlineLevel="3">
      <c r="A35" s="15" t="s">
        <v>52</v>
      </c>
      <c r="B35" s="0" t="s">
        <v>48</v>
      </c>
      <c r="C35" s="13">
        <v>89</v>
      </c>
      <c r="D35" s="13"/>
      <c r="E35" s="13"/>
      <c r="F35" s="13"/>
      <c r="G35" s="13"/>
      <c r="I35" s="5"/>
      <c r="J35" s="0" t="s">
        <v>41</v>
      </c>
    </row>
    <row r="36">
      <c r="I36" s="5"/>
    </row>
    <row r="3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1:E31"/>
    <mergeCell ref="C32:E32"/>
    <mergeCell ref="C33:E33"/>
    <mergeCell ref="C35:E35"/>
  </mergeCells>
  <dataValidations count="1">
    <dataValidation type="decimal" sqref="C18" errorStyle="stop" promptTitle="Enter moisture content" errorTitle="Invalid moisture content" prompt="Value should be between 0 and 100.&#10;Original value: 5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https://phyllis.nl/Biomass/View/1299</dc:description>
  <dcterms:created xsi:type="dcterms:W3CDTF">2026-03-04T04:17:26Z</dcterms:created>
  <dc:title>Phyllis2 #1299 banagrass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