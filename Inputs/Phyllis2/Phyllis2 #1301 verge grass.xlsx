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01 verge grass" sheetId="1" r:id="rId1"/>
  </sheets>
  <definedNames>
    <definedName name="w" localSheetId="0">IF(ISBLANK('Phyllis2 #1301 verge grass'!$C$18),#N/A,'Phyllis2 #1301 verge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<sst xmlns="http://schemas.openxmlformats.org/spreadsheetml/2006/main" count="50" uniqueCount="50">
  <si>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</si>
  <si>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https://phyllis.nl/Biomass/View/1301</t>
  </si>
  <si>
    <t>verge grass (#1301)</t>
  </si>
  <si>
    <t>ID-number</t>
  </si>
  <si>
    <t>#1301</t>
  </si>
  <si>
    <t>Material</t>
  </si>
  <si>
    <t>verge grass</t>
  </si>
  <si>
    <t>Classification</t>
  </si>
  <si>
    <t>ECN Phyllis classification &gt; grass/plant &gt; verge grass &gt; verge grass</t>
  </si>
  <si>
    <t>NTA 8003 classification &gt; [200] biomassa uit land- en tuinbouw &gt; [210] gras &gt; [213] bermgras</t>
  </si>
  <si>
    <t>Submitter organisation</t>
  </si>
  <si>
    <t>ECN (Netherlands)</t>
  </si>
  <si>
    <t>Submission date</t>
  </si>
  <si>
    <t>Literature</t>
  </si>
  <si>
    <t>A. Faaij, A. v. Wijk, W. Turkenburg, A. Oudhuis and E. D. Olsson: Gasification of biomass wastes and residues for electricity production. Biomass and Bioenergy 12 (6) pp. 387-407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</si>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</sst>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36028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60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IFERROR(8.4*(1-w),"")</f>
        <v>3.3600000000000003</v>
      </c>
      <c r="D19" s="13">
        <v>8.4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IFERROR(44.6092*(1-w),"")</f>
        <v>17.843680000000003</v>
      </c>
      <c r="D21" s="13">
        <v>44.6092</v>
      </c>
      <c r="E21" s="13">
        <v>48.7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IFERROR(5.8624*(1-w),"")</f>
        <v>2.34496</v>
      </c>
      <c r="D22" s="13">
        <v>5.8624</v>
      </c>
      <c r="E22" s="13">
        <v>6.3999999999999995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IFERROR(38.9*(1-w),"")</f>
        <v>15.56</v>
      </c>
      <c r="D23" s="13">
        <v>38.9</v>
      </c>
      <c r="E23" s="13">
        <v>42.467248908296938</v>
      </c>
      <c r="F23" s="13"/>
      <c r="G23" s="13"/>
      <c r="I23" s="5"/>
      <c r="J23" s="0" t="s">
        <v>35</v>
      </c>
    </row>
    <row r="24" outlineLevel="2">
      <c r="A24" s="12" t="s">
        <v>38</v>
      </c>
      <c r="B24" s="0" t="s">
        <v>31</v>
      </c>
      <c r="C24" s="13">
        <f>IFERROR(1.7404*(1-w),"")</f>
        <v>0.69616</v>
      </c>
      <c r="D24" s="13">
        <v>1.7404</v>
      </c>
      <c r="E24" s="13">
        <v>1.9</v>
      </c>
      <c r="F24" s="13"/>
      <c r="G24" s="13"/>
      <c r="I24" s="5"/>
      <c r="J24" s="0" t="s">
        <v>35</v>
      </c>
    </row>
    <row r="25" outlineLevel="2">
      <c r="A25" s="12" t="s">
        <v>39</v>
      </c>
      <c r="B25" s="0" t="s">
        <v>31</v>
      </c>
      <c r="C25" s="13">
        <f>IFERROR(0.12824*(1-w),"")</f>
        <v>0.051296</v>
      </c>
      <c r="D25" s="13">
        <v>0.12824</v>
      </c>
      <c r="E25" s="13">
        <v>0.13999999999999999</v>
      </c>
      <c r="F25" s="13"/>
      <c r="G25" s="13"/>
      <c r="I25" s="5"/>
      <c r="J25" s="0" t="s">
        <v>35</v>
      </c>
    </row>
    <row r="26" outlineLevel="2">
      <c r="A26" s="12" t="s">
        <v>40</v>
      </c>
      <c r="B26" s="0" t="s">
        <v>31</v>
      </c>
      <c r="C26" s="13">
        <f>IFERROR(99.99748*(1-w)+w*100,"")</f>
        <v>99.998992000000015</v>
      </c>
      <c r="D26" s="13">
        <v>99.99748000000001</v>
      </c>
      <c r="E26" s="13">
        <v>99.997248908296939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IFERROR(3572.4*(1-w),"")</f>
        <v>1428.96</v>
      </c>
      <c r="D28" s="14">
        <v>3572.4</v>
      </c>
      <c r="E28" s="14">
        <v>3900</v>
      </c>
      <c r="F28" s="14"/>
      <c r="G28" s="14"/>
      <c r="I28" s="5"/>
      <c r="J28" s="0" t="s">
        <v>35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IFERROR(17.22072*(1-w)-w*2.443,"")</f>
        <v>5.422488</v>
      </c>
      <c r="D30" s="13">
        <v>17.22072</v>
      </c>
      <c r="E30" s="13">
        <v>18.799912663755457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IFERROR(18.5*(1-w),"")</f>
        <v>7.4</v>
      </c>
      <c r="D31" s="13">
        <v>18.5</v>
      </c>
      <c r="E31" s="13">
        <v>20.196506550218341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IFERROR(17.976054944*(1-w),"")</f>
        <v>7.1904219776</v>
      </c>
      <c r="D32" s="13">
        <v>17.976054943999998</v>
      </c>
      <c r="E32" s="13">
        <v>19.624514131004364</v>
      </c>
      <c r="F32" s="13"/>
      <c r="G32" s="13"/>
      <c r="I32" s="5"/>
      <c r="J32" s="0" t="s">
        <v>41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6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https://phyllis.nl/Biomass/View/1301</dc:description>
  <dcterms:created xsi:type="dcterms:W3CDTF">2026-03-04T04:45:59Z</dcterms:created>
  <dc:title>Phyllis2 #1301 verge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