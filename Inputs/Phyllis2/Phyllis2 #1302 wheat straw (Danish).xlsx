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02 wheat straw (Dan" sheetId="1" r:id="rId1"/>
  </sheets>
  <definedNames>
    <definedName name="w" localSheetId="0">IF(ISBLANK('Phyllis2 #1302 wheat straw (Dan'!$C$19),#N/A,'Phyllis2 #1302 wheat straw (Dan'!$C$19/100)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<sst xmlns="http://schemas.openxmlformats.org/spreadsheetml/2006/main" count="82" uniqueCount="82">
  <si>
    <t>Phyllis2</t>
  </si>
  <si>
    <t>https://phyllis.nl/Biomass/View/1302</t>
  </si>
  <si>
    <t>wheat straw (Danish) (#1302)</t>
  </si>
  <si>
    <t>ID-number</t>
  </si>
  <si>
    <t>#1302</t>
  </si>
  <si>
    <t>Material</t>
  </si>
  <si>
    <t>wheat straw (Danish)</t>
  </si>
  <si>
    <t>Classification</t>
  </si>
  <si>
    <t>ECN Phyllis classification &gt; straw (stalk/cob/ear) &gt; wheat &gt; wheat straw (Danish)</t>
  </si>
  <si>
    <t>NTA 8003 classification &gt; [200] biomassa uit land- en tuinbouw &gt; [220] stro &gt; [223] tarwestro</t>
  </si>
  <si>
    <t>Ash type</t>
  </si>
  <si>
    <t>550 deg C</t>
  </si>
  <si>
    <t>Submitter organisation</t>
  </si>
  <si>
    <t>ECN (Netherlands)</t>
  </si>
  <si>
    <t>Submission date</t>
  </si>
  <si>
    <t>Literature</t>
  </si>
  <si>
    <t>A. van der Drift and A. Olsen: Conversion of biomass, prediction and solution methods for ash agglomeration and related problems, final report (in preparation), EU Joule contract JOR-CT95-0079 (1999).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</si>
  <si>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</si>
  <si>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</si>
  <si>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</si>
  <si>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</si>
  <si>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</si>
  <si>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</si>
  <si>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</si>
  <si>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</si>
  <si>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</si>
  <si>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</si>
  <si>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</si>
  <si>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</si>
  <si>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</si>
  <si>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</si>
  <si>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</si>
  <si>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</si>
  <si>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</si>
  <si>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</si>
  <si>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</si>
  <si>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</si>
  <si>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</si>
  <si>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</si>
  <si>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</si>
  <si>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</si>
  <si>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</si>
  <si>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</si>
  <si>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</si>
  <si>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</si>
  <si>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</si>
  <si>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</si>
  <si>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</si>
  <si>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</si>
  <si>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</si>
  <si>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mg/kg (dry)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</si>
  <si>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</si>
  <si>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</si>
  <si>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</si>
  <si>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</si>
  <si>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</si>
  <si>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</si>
  <si>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Potassium (K)</t>
  </si>
  <si>
    <t>Sodium (Na)</t>
  </si>
  <si>
    <t>Ash melting behaviour</t>
  </si>
  <si>
    <t>American standard method, measured in oxidizing conditions</t>
  </si>
  <si>
    <t>IDT (initial deformation temperature)</t>
  </si>
  <si>
    <t>°C</t>
  </si>
  <si>
    <t>HT (hemispherical temperature)</t>
  </si>
  <si>
    <t>FT (fluid temperature)</t>
  </si>
  <si>
    <t>American standard method, measured in reducing conditions</t>
  </si>
  <si>
    <t>SOT (softening or spherical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</si>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</sst>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0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36028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11.1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IFERROR(7.1*(1-w),"")</f>
        <v>6.3119</v>
      </c>
      <c r="D20" s="13">
        <v>7.1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IFERROR(74.9*(1-w),"")</f>
        <v>66.5861</v>
      </c>
      <c r="D21" s="13">
        <v>74.9</v>
      </c>
      <c r="E21" s="13">
        <v>80.6243272335845</v>
      </c>
      <c r="F21" s="13"/>
      <c r="G21" s="13"/>
      <c r="I21" s="5"/>
    </row>
    <row r="22" outlineLevel="2">
      <c r="A22" s="12" t="s">
        <v>36</v>
      </c>
      <c r="B22" s="0" t="s">
        <v>33</v>
      </c>
      <c r="C22" s="13">
        <f>IFERROR(18*(1-w),"")</f>
        <v>16.002</v>
      </c>
      <c r="D22" s="13">
        <v>18</v>
      </c>
      <c r="E22" s="13">
        <v>19.375672766415498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33</v>
      </c>
      <c r="C24" s="13">
        <f>IFERROR(45.8*(1-w),"")</f>
        <v>40.7162</v>
      </c>
      <c r="D24" s="13">
        <v>45.8</v>
      </c>
      <c r="E24" s="13">
        <v>49.300322927879435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IFERROR(5.96*(1-w),"")</f>
        <v>5.29844</v>
      </c>
      <c r="D25" s="13">
        <v>5.96</v>
      </c>
      <c r="E25" s="13">
        <v>6.4155005382131316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33</v>
      </c>
      <c r="C26" s="13">
        <f>IFERROR(40.13*(1-w),"")</f>
        <v>35.67557</v>
      </c>
      <c r="D26" s="13">
        <v>40.13</v>
      </c>
      <c r="E26" s="13">
        <v>43.196986006458559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33</v>
      </c>
      <c r="C27" s="13">
        <f>IFERROR(0.44592*(1-w),"")</f>
        <v>0.39642288</v>
      </c>
      <c r="D27" s="13">
        <v>0.44592</v>
      </c>
      <c r="E27" s="13">
        <v>0.48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33</v>
      </c>
      <c r="C28" s="13">
        <f>IFERROR(0.16*(1-w),"")</f>
        <v>0.14224</v>
      </c>
      <c r="D28" s="13">
        <v>0.16</v>
      </c>
      <c r="E28" s="13">
        <v>0.17222820236813777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33</v>
      </c>
      <c r="C29" s="13">
        <f>IFERROR(99.99592*(1-w)+w*100,"")</f>
        <v>99.99637288</v>
      </c>
      <c r="D29" s="13">
        <v>99.99592</v>
      </c>
      <c r="E29" s="13">
        <v>99.995608180839611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IFERROR(4000*(1-w),"")</f>
        <v>3556</v>
      </c>
      <c r="D31" s="14">
        <v>4000</v>
      </c>
      <c r="E31" s="14">
        <v>4305.7050592034448</v>
      </c>
      <c r="F31" s="14"/>
      <c r="G31" s="14"/>
      <c r="I31" s="5"/>
      <c r="J31" s="0" t="s">
        <v>40</v>
      </c>
    </row>
    <row r="32" outlineLevel="2">
      <c r="A32" s="12" t="s">
        <v>49</v>
      </c>
      <c r="B32" s="0" t="s">
        <v>50</v>
      </c>
      <c r="C32" s="14"/>
      <c r="D32" s="14"/>
      <c r="E32" s="14"/>
      <c r="F32" s="14"/>
      <c r="G32" s="14">
        <v>10</v>
      </c>
      <c r="I32" s="5"/>
    </row>
    <row r="33" outlineLevel="1">
      <c r="A33" s="11" t="s">
        <v>51</v>
      </c>
      <c r="I33" s="5"/>
    </row>
    <row r="34" outlineLevel="2">
      <c r="A34" s="12" t="s">
        <v>52</v>
      </c>
      <c r="B34" s="0" t="s">
        <v>53</v>
      </c>
      <c r="C34" s="13">
        <f>IFERROR(17.18561*(1-w)-w*2.443,"")</f>
        <v>15.006834290000002</v>
      </c>
      <c r="D34" s="13">
        <v>17.18561</v>
      </c>
      <c r="E34" s="13">
        <v>18.499041980624327</v>
      </c>
      <c r="F34" s="13"/>
      <c r="G34" s="13"/>
      <c r="I34" s="5"/>
    </row>
    <row r="35" outlineLevel="2">
      <c r="A35" s="12" t="s">
        <v>54</v>
      </c>
      <c r="B35" s="0" t="s">
        <v>53</v>
      </c>
      <c r="C35" s="13">
        <f>IFERROR(18.4871*(1-w),"")</f>
        <v>16.435031900000002</v>
      </c>
      <c r="D35" s="13">
        <v>18.4871</v>
      </c>
      <c r="E35" s="13">
        <v>19.900000000000002</v>
      </c>
      <c r="F35" s="13"/>
      <c r="G35" s="13"/>
      <c r="I35" s="5"/>
    </row>
    <row r="36" outlineLevel="2">
      <c r="A36" s="12" t="s">
        <v>55</v>
      </c>
      <c r="B36" s="0" t="s">
        <v>53</v>
      </c>
      <c r="C36" s="13">
        <f>IFERROR(18.53786833*(1-w),"")</f>
        <v>16.480164945370003</v>
      </c>
      <c r="D36" s="13">
        <v>18.537868330000002</v>
      </c>
      <c r="E36" s="13">
        <v>19.954648363832078</v>
      </c>
      <c r="F36" s="13"/>
      <c r="G36" s="13"/>
      <c r="I36" s="5"/>
      <c r="J36" s="0" t="s">
        <v>37</v>
      </c>
    </row>
    <row r="37" outlineLevel="1">
      <c r="A37" s="11" t="s">
        <v>56</v>
      </c>
      <c r="I37" s="5"/>
    </row>
    <row r="38" outlineLevel="2">
      <c r="A38" s="12" t="s">
        <v>57</v>
      </c>
      <c r="B38" s="0" t="s">
        <v>50</v>
      </c>
      <c r="C38" s="14">
        <v>12400</v>
      </c>
      <c r="D38" s="14"/>
      <c r="E38" s="14"/>
      <c r="F38" s="14"/>
      <c r="G38" s="14"/>
      <c r="I38" s="5"/>
      <c r="J38" s="0" t="s">
        <v>40</v>
      </c>
    </row>
    <row r="39" outlineLevel="2">
      <c r="A39" s="12" t="s">
        <v>58</v>
      </c>
      <c r="B39" s="0" t="s">
        <v>50</v>
      </c>
      <c r="C39" s="14">
        <v>100</v>
      </c>
      <c r="D39" s="14"/>
      <c r="E39" s="14"/>
      <c r="F39" s="14"/>
      <c r="G39" s="14"/>
      <c r="I39" s="5"/>
      <c r="J39" s="0" t="s">
        <v>40</v>
      </c>
    </row>
    <row r="40" outlineLevel="1">
      <c r="A40" s="11" t="s">
        <v>59</v>
      </c>
      <c r="I40" s="5"/>
    </row>
    <row r="41" outlineLevel="2">
      <c r="A41" s="15" t="s">
        <v>60</v>
      </c>
      <c r="I41" s="5"/>
    </row>
    <row r="42" outlineLevel="3">
      <c r="A42" s="16" t="s">
        <v>61</v>
      </c>
      <c r="B42" s="0" t="s">
        <v>62</v>
      </c>
      <c r="C42" s="17">
        <v>850</v>
      </c>
      <c r="D42" s="17"/>
      <c r="E42" s="17"/>
      <c r="F42" s="17"/>
      <c r="G42" s="17"/>
      <c r="I42" s="5"/>
    </row>
    <row r="43" outlineLevel="3">
      <c r="A43" s="16" t="s">
        <v>63</v>
      </c>
      <c r="B43" s="0" t="s">
        <v>62</v>
      </c>
      <c r="C43" s="17">
        <v>1090</v>
      </c>
      <c r="D43" s="17"/>
      <c r="E43" s="17"/>
      <c r="F43" s="17"/>
      <c r="G43" s="17"/>
      <c r="I43" s="5"/>
    </row>
    <row r="44" outlineLevel="3">
      <c r="A44" s="16" t="s">
        <v>64</v>
      </c>
      <c r="B44" s="0" t="s">
        <v>62</v>
      </c>
      <c r="C44" s="17">
        <v>1200</v>
      </c>
      <c r="D44" s="17"/>
      <c r="E44" s="17"/>
      <c r="F44" s="17"/>
      <c r="G44" s="17"/>
      <c r="I44" s="5"/>
    </row>
    <row r="45" outlineLevel="2">
      <c r="A45" s="15" t="s">
        <v>65</v>
      </c>
      <c r="I45" s="5"/>
    </row>
    <row r="46" outlineLevel="3">
      <c r="A46" s="16" t="s">
        <v>61</v>
      </c>
      <c r="B46" s="0" t="s">
        <v>62</v>
      </c>
      <c r="C46" s="17">
        <v>931</v>
      </c>
      <c r="D46" s="17"/>
      <c r="E46" s="17"/>
      <c r="F46" s="17"/>
      <c r="G46" s="17"/>
      <c r="I46" s="5"/>
    </row>
    <row r="47" outlineLevel="3">
      <c r="A47" s="16" t="s">
        <v>66</v>
      </c>
      <c r="B47" s="0" t="s">
        <v>62</v>
      </c>
      <c r="C47" s="17">
        <v>945</v>
      </c>
      <c r="D47" s="17"/>
      <c r="E47" s="17"/>
      <c r="F47" s="17"/>
      <c r="G47" s="17"/>
      <c r="I47" s="5"/>
    </row>
    <row r="48" outlineLevel="3">
      <c r="A48" s="16" t="s">
        <v>63</v>
      </c>
      <c r="B48" s="0" t="s">
        <v>62</v>
      </c>
      <c r="C48" s="17">
        <v>1075</v>
      </c>
      <c r="D48" s="17"/>
      <c r="E48" s="17"/>
      <c r="F48" s="17"/>
      <c r="G48" s="17"/>
      <c r="I48" s="5"/>
    </row>
    <row r="49" outlineLevel="3">
      <c r="A49" s="16" t="s">
        <v>64</v>
      </c>
      <c r="B49" s="0" t="s">
        <v>62</v>
      </c>
      <c r="C49" s="17">
        <v>1351</v>
      </c>
      <c r="D49" s="17"/>
      <c r="E49" s="17"/>
      <c r="F49" s="17"/>
      <c r="G49" s="17"/>
      <c r="I49" s="5"/>
    </row>
    <row r="50">
      <c r="A50" s="7" t="s">
        <v>67</v>
      </c>
      <c r="I50" s="5"/>
    </row>
    <row r="51" outlineLevel="1">
      <c r="A51" s="11" t="s">
        <v>68</v>
      </c>
      <c r="I51" s="5"/>
    </row>
    <row r="52" outlineLevel="2">
      <c r="A52" s="12" t="s">
        <v>69</v>
      </c>
      <c r="B52" s="0" t="s">
        <v>70</v>
      </c>
      <c r="C52" s="13">
        <v>0.5</v>
      </c>
      <c r="D52" s="13"/>
      <c r="E52" s="13"/>
      <c r="F52" s="13"/>
      <c r="G52" s="13"/>
      <c r="I52" s="5"/>
    </row>
    <row r="53" outlineLevel="2">
      <c r="A53" s="12" t="s">
        <v>71</v>
      </c>
      <c r="B53" s="0" t="s">
        <v>70</v>
      </c>
      <c r="C53" s="13">
        <v>3.5</v>
      </c>
      <c r="D53" s="13"/>
      <c r="E53" s="13"/>
      <c r="F53" s="13"/>
      <c r="G53" s="13"/>
      <c r="I53" s="5"/>
    </row>
    <row r="54" outlineLevel="2">
      <c r="A54" s="12" t="s">
        <v>72</v>
      </c>
      <c r="B54" s="0" t="s">
        <v>70</v>
      </c>
      <c r="C54" s="13">
        <v>3.5</v>
      </c>
      <c r="D54" s="13"/>
      <c r="E54" s="13"/>
      <c r="F54" s="13"/>
      <c r="G54" s="13"/>
      <c r="I54" s="5"/>
    </row>
    <row r="55" outlineLevel="2">
      <c r="A55" s="12" t="s">
        <v>73</v>
      </c>
      <c r="B55" s="0" t="s">
        <v>70</v>
      </c>
      <c r="C55" s="13">
        <v>2.3</v>
      </c>
      <c r="D55" s="13"/>
      <c r="E55" s="13"/>
      <c r="F55" s="13"/>
      <c r="G55" s="13"/>
      <c r="I55" s="5"/>
    </row>
    <row r="56" outlineLevel="2">
      <c r="A56" s="12" t="s">
        <v>74</v>
      </c>
      <c r="B56" s="0" t="s">
        <v>70</v>
      </c>
      <c r="C56" s="13">
        <v>54</v>
      </c>
      <c r="D56" s="13"/>
      <c r="E56" s="13"/>
      <c r="F56" s="13"/>
      <c r="G56" s="13"/>
      <c r="I56" s="5"/>
    </row>
    <row r="57" outlineLevel="2">
      <c r="A57" s="12" t="s">
        <v>75</v>
      </c>
      <c r="B57" s="0" t="s">
        <v>70</v>
      </c>
      <c r="C57" s="13">
        <v>0.06</v>
      </c>
      <c r="D57" s="13"/>
      <c r="E57" s="13"/>
      <c r="F57" s="13"/>
      <c r="G57" s="13"/>
      <c r="I57" s="5"/>
    </row>
    <row r="58" outlineLevel="2">
      <c r="A58" s="12" t="s">
        <v>76</v>
      </c>
      <c r="B58" s="0" t="s">
        <v>70</v>
      </c>
      <c r="C58" s="13">
        <v>0.12</v>
      </c>
      <c r="D58" s="13"/>
      <c r="E58" s="13"/>
      <c r="F58" s="13"/>
      <c r="G58" s="13"/>
      <c r="I58" s="5"/>
    </row>
    <row r="59" outlineLevel="2">
      <c r="A59" s="12" t="s">
        <v>77</v>
      </c>
      <c r="B59" s="0" t="s">
        <v>70</v>
      </c>
      <c r="C59" s="13">
        <v>6.3</v>
      </c>
      <c r="D59" s="13"/>
      <c r="E59" s="13"/>
      <c r="F59" s="13"/>
      <c r="G59" s="13"/>
      <c r="I59" s="5"/>
    </row>
    <row r="60" outlineLevel="2">
      <c r="A60" s="12" t="s">
        <v>78</v>
      </c>
      <c r="B60" s="0" t="s">
        <v>70</v>
      </c>
      <c r="C60" s="13">
        <v>2</v>
      </c>
      <c r="D60" s="13"/>
      <c r="E60" s="13"/>
      <c r="F60" s="13"/>
      <c r="G60" s="13"/>
      <c r="I60" s="5"/>
    </row>
    <row r="61" outlineLevel="2">
      <c r="A61" s="12" t="s">
        <v>79</v>
      </c>
      <c r="B61" s="0" t="s">
        <v>70</v>
      </c>
      <c r="C61" s="13">
        <v>0.23</v>
      </c>
      <c r="D61" s="13"/>
      <c r="E61" s="13"/>
      <c r="F61" s="13"/>
      <c r="G61" s="13"/>
      <c r="I61" s="5"/>
    </row>
    <row r="62" outlineLevel="2">
      <c r="A62" s="12" t="s">
        <v>80</v>
      </c>
      <c r="B62" s="0" t="s">
        <v>70</v>
      </c>
      <c r="C62" s="13">
        <v>21.3</v>
      </c>
      <c r="D62" s="13"/>
      <c r="E62" s="13"/>
      <c r="F62" s="13"/>
      <c r="G62" s="13"/>
      <c r="I62" s="5"/>
    </row>
    <row r="63" outlineLevel="2">
      <c r="A63" s="12" t="s">
        <v>81</v>
      </c>
      <c r="B63" s="0" t="s">
        <v>70</v>
      </c>
      <c r="C63" s="13">
        <v>0.01</v>
      </c>
      <c r="D63" s="13"/>
      <c r="E63" s="13"/>
      <c r="F63" s="13"/>
      <c r="G63" s="13"/>
      <c r="I63" s="5"/>
    </row>
    <row r="64">
      <c r="I64" s="5"/>
    </row>
    <row r="6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2:E32"/>
    <mergeCell ref="C38:E38"/>
    <mergeCell ref="C39:E39"/>
    <mergeCell ref="C42:E42"/>
    <mergeCell ref="C43:E43"/>
    <mergeCell ref="C44:E44"/>
    <mergeCell ref="C46:E46"/>
    <mergeCell ref="C47:E47"/>
    <mergeCell ref="C48:E48"/>
    <mergeCell ref="C49:E49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</mergeCells>
  <dataValidations count="1">
    <dataValidation type="decimal" sqref="C19" errorStyle="stop" promptTitle="Enter moisture content" errorTitle="Invalid moisture content" prompt="Value should be between 0 and 100.&#10;Original value: 11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https://phyllis.nl/Biomass/View/1302</dc:description>
  <dcterms:created xsi:type="dcterms:W3CDTF">2026-03-17T06:17:22Z</dcterms:created>
  <dc:title>Phyllis2 #1302 wheat straw (Danish)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