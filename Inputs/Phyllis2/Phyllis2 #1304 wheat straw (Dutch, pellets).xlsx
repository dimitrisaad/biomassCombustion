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04 wheat straw (Dut" sheetId="1" r:id="rId1"/>
  </sheets>
  <definedNames>
    <definedName name="w" localSheetId="0">IF(ISBLANK('Phyllis2 #1304 wheat straw (Dut'!$C$20),#N/A,'Phyllis2 #1304 wheat straw (Dut'!$C$20/100)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<sst xmlns="http://schemas.openxmlformats.org/spreadsheetml/2006/main" count="54" uniqueCount="54">
  <si>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</si>
  <si>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https://phyllis.nl/Biomass/View/1304</t>
  </si>
  <si>
    <t>wheat straw (Dutch, pellets) (#1304)</t>
  </si>
  <si>
    <t>ID-number</t>
  </si>
  <si>
    <t>#1304</t>
  </si>
  <si>
    <t>Material</t>
  </si>
  <si>
    <t>wheat straw (Dutch, pellets)</t>
  </si>
  <si>
    <t>Classification</t>
  </si>
  <si>
    <t>ECN Phyllis classification &gt; straw (stalk/cob/ear) &gt; wheat &gt; wheat straw (Dutch, pellets)</t>
  </si>
  <si>
    <t>NTA 8003 classification &gt; [200] biomassa uit land- en tuinbouw &gt; [220] stro &gt; [223] tarwestro</t>
  </si>
  <si>
    <t>Ash type</t>
  </si>
  <si>
    <t>815 degC</t>
  </si>
  <si>
    <t>Submitter organisation</t>
  </si>
  <si>
    <t>ECN (Netherlands)</t>
  </si>
  <si>
    <t>Submission date</t>
  </si>
  <si>
    <t>Remarks</t>
  </si>
  <si>
    <t>tested in ECN CFB gasifier (BIVKIN) and BFB gasifier (WOB)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</si>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</sst>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0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36028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7.6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IFERROR(10.1*(1-w),"")</f>
        <v>9.3324</v>
      </c>
      <c r="D21" s="13">
        <v>10.1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IFERROR(68.8*(1-w),"")</f>
        <v>63.5712</v>
      </c>
      <c r="D22" s="13">
        <v>68.8</v>
      </c>
      <c r="E22" s="13">
        <v>76.529477196885423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IFERROR(21.1*(1-w),"")</f>
        <v>19.496400000000008</v>
      </c>
      <c r="D23" s="13">
        <v>21.100000000000009</v>
      </c>
      <c r="E23" s="13">
        <v>23.47052280311458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IFERROR(43.4*(1-w),"")</f>
        <v>40.1016</v>
      </c>
      <c r="D25" s="13">
        <v>43.4</v>
      </c>
      <c r="E25" s="13">
        <v>48.275862068965516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IFERROR(4.2*(1-w),"")</f>
        <v>3.8808000000000002</v>
      </c>
      <c r="D26" s="13">
        <v>4.2</v>
      </c>
      <c r="E26" s="13">
        <v>4.6718576195773078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IFERROR(40.35*(1-w),"")</f>
        <v>37.2834</v>
      </c>
      <c r="D27" s="13">
        <v>40.35</v>
      </c>
      <c r="E27" s="13">
        <v>44.883203559510569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IFERROR(0.64*(1-w),"")</f>
        <v>0.59136</v>
      </c>
      <c r="D28" s="13">
        <v>0.64</v>
      </c>
      <c r="E28" s="13">
        <v>0.71190211345939935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IFERROR(0.17*(1-w),"")</f>
        <v>0.15708000000000003</v>
      </c>
      <c r="D29" s="13">
        <v>0.17</v>
      </c>
      <c r="E29" s="13">
        <v>0.18909899888765297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IFERROR(100.0013*(1-w)+w*100,"")</f>
        <v>100.0012012</v>
      </c>
      <c r="D30" s="13">
        <v>100.0013</v>
      </c>
      <c r="E30" s="13">
        <v>100.00144605116797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IFERROR(11400*(1-w),"")</f>
        <v>10533.6</v>
      </c>
      <c r="D32" s="14">
        <v>11400</v>
      </c>
      <c r="E32" s="14">
        <v>12680.75639599555</v>
      </c>
      <c r="F32" s="14"/>
      <c r="G32" s="14"/>
      <c r="I32" s="5"/>
      <c r="J32" s="0" t="s">
        <v>41</v>
      </c>
    </row>
    <row r="33" outlineLevel="2">
      <c r="A33" s="12" t="s">
        <v>50</v>
      </c>
      <c r="B33" s="0" t="s">
        <v>49</v>
      </c>
      <c r="C33" s="14">
        <f>IFERROR(13*(1-w),"")</f>
        <v>12.012</v>
      </c>
      <c r="D33" s="14">
        <v>13</v>
      </c>
      <c r="E33" s="14">
        <v>14.460511679644048</v>
      </c>
      <c r="F33" s="14"/>
      <c r="G33" s="14"/>
      <c r="I33" s="5"/>
      <c r="J33" s="0" t="s">
        <v>41</v>
      </c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IFERROR(15.30573953*(1-w),"")</f>
        <v>14.142503325720003</v>
      </c>
      <c r="D35" s="13">
        <v>15.305739530000004</v>
      </c>
      <c r="E35" s="13">
        <v>17.025294249165743</v>
      </c>
      <c r="F35" s="13"/>
      <c r="G35" s="13"/>
      <c r="I35" s="5"/>
      <c r="J35" s="0" t="s">
        <v>38</v>
      </c>
    </row>
    <row r="36">
      <c r="I36" s="5"/>
    </row>
    <row r="37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7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https://phyllis.nl/Biomass/View/1304</dc:description>
  <dcterms:created xsi:type="dcterms:W3CDTF">2026-03-17T06:17:41Z</dcterms:created>
  <dc:title>Phyllis2 #1304 wheat straw (Dutch, pellets)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