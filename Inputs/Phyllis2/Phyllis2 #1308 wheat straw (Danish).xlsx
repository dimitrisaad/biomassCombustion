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308 wheat straw (Dan" sheetId="1" r:id="rId1"/>
  </sheets>
  <definedNames>
    <definedName name="w" localSheetId="0">IF(ISBLANK('Phyllis2 #1308 wheat straw (Dan'!$C$19),#N/A,'Phyllis2 #1308 wheat straw (Dan'!$C$19/100)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<sst xmlns="http://schemas.openxmlformats.org/spreadsheetml/2006/main" count="81" uniqueCount="81">
  <si>
    <t>Phyllis2</t>
  </si>
  <si>
    <t>https://phyllis.nl/Biomass/View/1308</t>
  </si>
  <si>
    <t>wheat straw (Danish) (#1308)</t>
  </si>
  <si>
    <t>ID-number</t>
  </si>
  <si>
    <t>#1308</t>
  </si>
  <si>
    <t>Material</t>
  </si>
  <si>
    <t>wheat straw (Danish)</t>
  </si>
  <si>
    <t>Classification</t>
  </si>
  <si>
    <t>ECN Phyllis classification &gt; straw (stalk/cob/ear) &gt; wheat &gt; wheat straw (Danish)</t>
  </si>
  <si>
    <t>NTA 8003 classification &gt; [200] biomassa uit land- en tuinbouw &gt; [220] stro &gt; [223] tarwestro</t>
  </si>
  <si>
    <t>Ash type</t>
  </si>
  <si>
    <t>450 degC</t>
  </si>
  <si>
    <t>Submitter organisation</t>
  </si>
  <si>
    <t>ECN (Netherlands)</t>
  </si>
  <si>
    <t>Submission date</t>
  </si>
  <si>
    <t>Literature</t>
  </si>
  <si>
    <t>A. van der Drift and A. Olsen: Conversion of biomass, prediction and solution methods for ash agglomeration and related problems, final report (in preparation), EU Joule contract JOR-CT95-0079 (1999).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</si>
  <si>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</si>
  <si>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</si>
  <si>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</si>
  <si>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</si>
  <si>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</si>
  <si>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</si>
  <si>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</si>
  <si>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</si>
  <si>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</si>
  <si>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</si>
  <si>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</si>
  <si>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</si>
  <si>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</si>
  <si>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</si>
  <si>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</si>
  <si>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</si>
  <si>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</si>
  <si>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</si>
  <si>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</si>
  <si>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</si>
  <si>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</si>
  <si>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</si>
  <si>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</si>
  <si>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</si>
  <si>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</si>
  <si>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</si>
  <si>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</si>
  <si>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</si>
  <si>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</si>
  <si>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</si>
  <si>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</si>
  <si>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</si>
  <si>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</si>
  <si>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</si>
  <si>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</si>
  <si>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</si>
  <si>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</si>
  <si>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</si>
  <si>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</si>
  <si>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Potassium (K)</t>
  </si>
  <si>
    <t>mg/kg (dry)</t>
  </si>
  <si>
    <t>Sodium (Na)</t>
  </si>
  <si>
    <t>Ash melting behaviour</t>
  </si>
  <si>
    <t>American standard method, measured in reducing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</si>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</sst>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30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4465370178223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36028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26</v>
      </c>
      <c r="L15" s="10"/>
    </row>
    <row r="16" s="1" customFormat="1">
      <c r="A16" s="10"/>
      <c r="B16" s="10"/>
      <c r="C16" s="10" t="s">
        <v>27</v>
      </c>
      <c r="D16" s="10" t="s">
        <v>28</v>
      </c>
      <c r="E16" s="10" t="s">
        <v>29</v>
      </c>
      <c r="F16" s="10"/>
      <c r="G16" s="10"/>
      <c r="H16" s="10"/>
      <c r="I16" s="10"/>
      <c r="J16" s="10"/>
      <c r="K16" s="10"/>
      <c r="L16" s="10"/>
    </row>
    <row r="17">
      <c r="A17" s="7" t="s">
        <v>30</v>
      </c>
      <c r="I17" s="5"/>
    </row>
    <row r="18" outlineLevel="1">
      <c r="A18" s="11" t="s">
        <v>31</v>
      </c>
      <c r="I18" s="5"/>
    </row>
    <row r="19" outlineLevel="2">
      <c r="A19" s="12" t="s">
        <v>32</v>
      </c>
      <c r="B19" s="0" t="s">
        <v>33</v>
      </c>
      <c r="C19" s="13">
        <v>11.1</v>
      </c>
      <c r="D19" s="13"/>
      <c r="E19" s="13"/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IFERROR(7.2*(1-w),"")</f>
        <v>6.4008</v>
      </c>
      <c r="D20" s="13">
        <v>7.2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IFERROR(74.9*(1-w),"")</f>
        <v>66.5861</v>
      </c>
      <c r="D21" s="13">
        <v>74.9</v>
      </c>
      <c r="E21" s="13">
        <v>80.71120689655173</v>
      </c>
      <c r="F21" s="13"/>
      <c r="G21" s="13"/>
      <c r="I21" s="5"/>
    </row>
    <row r="22" outlineLevel="2">
      <c r="A22" s="12" t="s">
        <v>36</v>
      </c>
      <c r="B22" s="0" t="s">
        <v>33</v>
      </c>
      <c r="C22" s="13">
        <f>IFERROR(17.9*(1-w),"")</f>
        <v>15.913099999999993</v>
      </c>
      <c r="D22" s="13">
        <v>17.899999999999991</v>
      </c>
      <c r="E22" s="13">
        <v>19.288793103448267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33</v>
      </c>
      <c r="C24" s="13">
        <f>IFERROR(45.8*(1-w),"")</f>
        <v>40.7162</v>
      </c>
      <c r="D24" s="13">
        <v>45.8</v>
      </c>
      <c r="E24" s="13">
        <v>49.353448275862071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33</v>
      </c>
      <c r="C25" s="13">
        <f>IFERROR(5.96*(1-w),"")</f>
        <v>5.29844</v>
      </c>
      <c r="D25" s="13">
        <v>5.96</v>
      </c>
      <c r="E25" s="13">
        <v>6.4224137931034484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33</v>
      </c>
      <c r="C26" s="13">
        <f>IFERROR(40.03*(1-w),"")</f>
        <v>35.58667</v>
      </c>
      <c r="D26" s="13">
        <v>40.03</v>
      </c>
      <c r="E26" s="13">
        <v>43.135775862068968</v>
      </c>
      <c r="F26" s="13"/>
      <c r="G26" s="13"/>
      <c r="I26" s="5"/>
      <c r="J26" s="0" t="s">
        <v>37</v>
      </c>
    </row>
    <row r="27" outlineLevel="2">
      <c r="A27" s="12" t="s">
        <v>43</v>
      </c>
      <c r="B27" s="0" t="s">
        <v>33</v>
      </c>
      <c r="C27" s="13">
        <f>IFERROR(0.45*(1-w),"")</f>
        <v>0.40005</v>
      </c>
      <c r="D27" s="13">
        <v>0.45</v>
      </c>
      <c r="E27" s="13">
        <v>0.48491379310344834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33</v>
      </c>
      <c r="C28" s="13">
        <f>IFERROR(0.16*(1-w),"")</f>
        <v>0.14224</v>
      </c>
      <c r="D28" s="13">
        <v>0.16</v>
      </c>
      <c r="E28" s="13">
        <v>0.17241379310344829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33</v>
      </c>
      <c r="C29" s="13">
        <f>IFERROR(100.001*(1-w)+w*100,"")</f>
        <v>100.00088899999999</v>
      </c>
      <c r="D29" s="13">
        <v>100.00099999999999</v>
      </c>
      <c r="E29" s="13">
        <v>100.00107758620689</v>
      </c>
      <c r="F29" s="13"/>
      <c r="G29" s="13"/>
      <c r="I29" s="5"/>
      <c r="J29" s="0" t="s">
        <v>37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4">
        <f>IFERROR(4000*(1-w),"")</f>
        <v>3556</v>
      </c>
      <c r="D31" s="14">
        <v>4000</v>
      </c>
      <c r="E31" s="14">
        <v>4310.3448275862074</v>
      </c>
      <c r="F31" s="14"/>
      <c r="G31" s="14"/>
      <c r="I31" s="5"/>
      <c r="J31" s="0" t="s">
        <v>40</v>
      </c>
    </row>
    <row r="32" outlineLevel="2">
      <c r="A32" s="12" t="s">
        <v>49</v>
      </c>
      <c r="B32" s="0" t="s">
        <v>48</v>
      </c>
      <c r="C32" s="14">
        <f>IFERROR(10*(1-w),"")</f>
        <v>8.89</v>
      </c>
      <c r="D32" s="14">
        <v>10</v>
      </c>
      <c r="E32" s="14">
        <v>10.775862068965518</v>
      </c>
      <c r="F32" s="14"/>
      <c r="G32" s="14"/>
      <c r="I32" s="5"/>
      <c r="J32" s="0" t="s">
        <v>40</v>
      </c>
    </row>
    <row r="33" outlineLevel="1">
      <c r="A33" s="11" t="s">
        <v>50</v>
      </c>
      <c r="I33" s="5"/>
    </row>
    <row r="34" outlineLevel="2">
      <c r="A34" s="12" t="s">
        <v>51</v>
      </c>
      <c r="B34" s="0" t="s">
        <v>52</v>
      </c>
      <c r="C34" s="13">
        <f>IFERROR(17.18643*(1-w)-w*2.443,"")</f>
        <v>15.007563270000002</v>
      </c>
      <c r="D34" s="13">
        <v>17.18643</v>
      </c>
      <c r="E34" s="13">
        <v>18.519859913793105</v>
      </c>
      <c r="F34" s="13"/>
      <c r="G34" s="13"/>
      <c r="I34" s="5"/>
    </row>
    <row r="35" outlineLevel="2">
      <c r="A35" s="12" t="s">
        <v>53</v>
      </c>
      <c r="B35" s="0" t="s">
        <v>52</v>
      </c>
      <c r="C35" s="13">
        <f>IFERROR(18.487*(1-w),"")</f>
        <v>16.434942999999997</v>
      </c>
      <c r="D35" s="13">
        <v>18.487</v>
      </c>
      <c r="E35" s="13">
        <v>19.921336206896552</v>
      </c>
      <c r="F35" s="13"/>
      <c r="G35" s="13"/>
      <c r="I35" s="5"/>
    </row>
    <row r="36" outlineLevel="2">
      <c r="A36" s="12" t="s">
        <v>54</v>
      </c>
      <c r="B36" s="0" t="s">
        <v>52</v>
      </c>
      <c r="C36" s="13">
        <f>IFERROR(18.54806752*(1-w),"")</f>
        <v>16.489232025279996</v>
      </c>
      <c r="D36" s="13">
        <v>18.548067519999996</v>
      </c>
      <c r="E36" s="13">
        <v>19.987141724137928</v>
      </c>
      <c r="F36" s="13"/>
      <c r="G36" s="13"/>
      <c r="I36" s="5"/>
      <c r="J36" s="0" t="s">
        <v>37</v>
      </c>
    </row>
    <row r="37" outlineLevel="1">
      <c r="A37" s="11" t="s">
        <v>55</v>
      </c>
      <c r="I37" s="5"/>
    </row>
    <row r="38" outlineLevel="2">
      <c r="A38" s="12" t="s">
        <v>56</v>
      </c>
      <c r="B38" s="0" t="s">
        <v>57</v>
      </c>
      <c r="C38" s="14">
        <v>12400</v>
      </c>
      <c r="D38" s="14"/>
      <c r="E38" s="14"/>
      <c r="F38" s="14"/>
      <c r="G38" s="14"/>
      <c r="I38" s="5"/>
      <c r="J38" s="0" t="s">
        <v>40</v>
      </c>
    </row>
    <row r="39" outlineLevel="2">
      <c r="A39" s="12" t="s">
        <v>58</v>
      </c>
      <c r="B39" s="0" t="s">
        <v>57</v>
      </c>
      <c r="C39" s="14">
        <v>100</v>
      </c>
      <c r="D39" s="14"/>
      <c r="E39" s="14"/>
      <c r="F39" s="14"/>
      <c r="G39" s="14"/>
      <c r="I39" s="5"/>
      <c r="J39" s="0" t="s">
        <v>40</v>
      </c>
    </row>
    <row r="40" outlineLevel="1">
      <c r="A40" s="11" t="s">
        <v>59</v>
      </c>
      <c r="I40" s="5"/>
    </row>
    <row r="41" outlineLevel="2">
      <c r="A41" s="15" t="s">
        <v>60</v>
      </c>
      <c r="I41" s="5"/>
    </row>
    <row r="42" outlineLevel="3">
      <c r="A42" s="16" t="s">
        <v>61</v>
      </c>
      <c r="B42" s="0" t="s">
        <v>62</v>
      </c>
      <c r="C42" s="17">
        <v>940</v>
      </c>
      <c r="D42" s="17"/>
      <c r="E42" s="17"/>
      <c r="F42" s="17"/>
      <c r="G42" s="17"/>
      <c r="I42" s="5"/>
    </row>
    <row r="43" outlineLevel="3">
      <c r="A43" s="16" t="s">
        <v>63</v>
      </c>
      <c r="B43" s="0" t="s">
        <v>62</v>
      </c>
      <c r="C43" s="17">
        <v>986</v>
      </c>
      <c r="D43" s="17"/>
      <c r="E43" s="17"/>
      <c r="F43" s="17"/>
      <c r="G43" s="17"/>
      <c r="I43" s="5"/>
    </row>
    <row r="44" outlineLevel="3">
      <c r="A44" s="16" t="s">
        <v>64</v>
      </c>
      <c r="B44" s="0" t="s">
        <v>62</v>
      </c>
      <c r="C44" s="17">
        <v>1147</v>
      </c>
      <c r="D44" s="17"/>
      <c r="E44" s="17"/>
      <c r="F44" s="17"/>
      <c r="G44" s="17"/>
      <c r="I44" s="5"/>
    </row>
    <row r="45" outlineLevel="3">
      <c r="A45" s="16" t="s">
        <v>65</v>
      </c>
      <c r="B45" s="0" t="s">
        <v>62</v>
      </c>
      <c r="C45" s="17">
        <v>1384</v>
      </c>
      <c r="D45" s="17"/>
      <c r="E45" s="17"/>
      <c r="F45" s="17"/>
      <c r="G45" s="17"/>
      <c r="I45" s="5"/>
    </row>
    <row r="46">
      <c r="A46" s="7" t="s">
        <v>66</v>
      </c>
      <c r="I46" s="5"/>
    </row>
    <row r="47" outlineLevel="1">
      <c r="A47" s="11" t="s">
        <v>67</v>
      </c>
      <c r="I47" s="5"/>
    </row>
    <row r="48" outlineLevel="2">
      <c r="A48" s="12" t="s">
        <v>68</v>
      </c>
      <c r="B48" s="0" t="s">
        <v>69</v>
      </c>
      <c r="C48" s="13">
        <v>0.6</v>
      </c>
      <c r="D48" s="13"/>
      <c r="E48" s="13"/>
      <c r="F48" s="13"/>
      <c r="G48" s="13"/>
      <c r="I48" s="5"/>
    </row>
    <row r="49" outlineLevel="2">
      <c r="A49" s="12" t="s">
        <v>70</v>
      </c>
      <c r="B49" s="0" t="s">
        <v>69</v>
      </c>
      <c r="C49" s="13">
        <v>3.9</v>
      </c>
      <c r="D49" s="13"/>
      <c r="E49" s="13"/>
      <c r="F49" s="13"/>
      <c r="G49" s="13"/>
      <c r="I49" s="5"/>
    </row>
    <row r="50" outlineLevel="2">
      <c r="A50" s="12" t="s">
        <v>71</v>
      </c>
      <c r="B50" s="0" t="s">
        <v>69</v>
      </c>
      <c r="C50" s="13">
        <v>2.9</v>
      </c>
      <c r="D50" s="13"/>
      <c r="E50" s="13"/>
      <c r="F50" s="13"/>
      <c r="G50" s="13"/>
      <c r="I50" s="5"/>
    </row>
    <row r="51" outlineLevel="2">
      <c r="A51" s="12" t="s">
        <v>72</v>
      </c>
      <c r="B51" s="0" t="s">
        <v>69</v>
      </c>
      <c r="C51" s="13">
        <v>2.6</v>
      </c>
      <c r="D51" s="13"/>
      <c r="E51" s="13"/>
      <c r="F51" s="13"/>
      <c r="G51" s="13"/>
      <c r="I51" s="5"/>
    </row>
    <row r="52" outlineLevel="2">
      <c r="A52" s="12" t="s">
        <v>73</v>
      </c>
      <c r="B52" s="0" t="s">
        <v>69</v>
      </c>
      <c r="C52" s="13">
        <v>55</v>
      </c>
      <c r="D52" s="13"/>
      <c r="E52" s="13"/>
      <c r="F52" s="13"/>
      <c r="G52" s="13"/>
      <c r="I52" s="5"/>
    </row>
    <row r="53" outlineLevel="2">
      <c r="A53" s="12" t="s">
        <v>74</v>
      </c>
      <c r="B53" s="0" t="s">
        <v>69</v>
      </c>
      <c r="C53" s="13">
        <v>0.9</v>
      </c>
      <c r="D53" s="13"/>
      <c r="E53" s="13"/>
      <c r="F53" s="13"/>
      <c r="G53" s="13"/>
      <c r="I53" s="5"/>
    </row>
    <row r="54" outlineLevel="2">
      <c r="A54" s="12" t="s">
        <v>75</v>
      </c>
      <c r="B54" s="0" t="s">
        <v>69</v>
      </c>
      <c r="C54" s="13">
        <v>0.1</v>
      </c>
      <c r="D54" s="13"/>
      <c r="E54" s="13"/>
      <c r="F54" s="13"/>
      <c r="G54" s="13"/>
      <c r="I54" s="5"/>
    </row>
    <row r="55" outlineLevel="2">
      <c r="A55" s="12" t="s">
        <v>76</v>
      </c>
      <c r="B55" s="0" t="s">
        <v>69</v>
      </c>
      <c r="C55" s="13">
        <v>6.5</v>
      </c>
      <c r="D55" s="13"/>
      <c r="E55" s="13"/>
      <c r="F55" s="13"/>
      <c r="G55" s="13"/>
      <c r="I55" s="5"/>
    </row>
    <row r="56" outlineLevel="2">
      <c r="A56" s="12" t="s">
        <v>77</v>
      </c>
      <c r="B56" s="0" t="s">
        <v>69</v>
      </c>
      <c r="C56" s="13">
        <v>2</v>
      </c>
      <c r="D56" s="13"/>
      <c r="E56" s="13"/>
      <c r="F56" s="13"/>
      <c r="G56" s="13"/>
      <c r="I56" s="5"/>
    </row>
    <row r="57" outlineLevel="2">
      <c r="A57" s="12" t="s">
        <v>78</v>
      </c>
      <c r="B57" s="0" t="s">
        <v>69</v>
      </c>
      <c r="C57" s="13">
        <v>0.2</v>
      </c>
      <c r="D57" s="13"/>
      <c r="E57" s="13"/>
      <c r="F57" s="13"/>
      <c r="G57" s="13"/>
      <c r="I57" s="5"/>
    </row>
    <row r="58" outlineLevel="2">
      <c r="A58" s="12" t="s">
        <v>79</v>
      </c>
      <c r="B58" s="0" t="s">
        <v>69</v>
      </c>
      <c r="C58" s="13">
        <v>19</v>
      </c>
      <c r="D58" s="13"/>
      <c r="E58" s="13"/>
      <c r="F58" s="13"/>
      <c r="G58" s="13"/>
      <c r="I58" s="5"/>
    </row>
    <row r="59" outlineLevel="2">
      <c r="A59" s="12" t="s">
        <v>80</v>
      </c>
      <c r="B59" s="0" t="s">
        <v>69</v>
      </c>
      <c r="C59" s="13">
        <v>0.01</v>
      </c>
      <c r="D59" s="13"/>
      <c r="E59" s="13"/>
      <c r="F59" s="13"/>
      <c r="G59" s="13"/>
      <c r="I59" s="5"/>
    </row>
    <row r="60">
      <c r="I60" s="5"/>
    </row>
    <row r="61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2:E42"/>
    <mergeCell ref="C43:E43"/>
    <mergeCell ref="C44:E44"/>
    <mergeCell ref="C45:E45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</mergeCells>
  <dataValidations count="1">
    <dataValidation type="decimal" sqref="C19" errorStyle="stop" promptTitle="Enter moisture content" errorTitle="Invalid moisture content" prompt="Value should be between 0 and 100.&#10;Original value: 11.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https://phyllis.nl/Biomass/View/1308</dc:description>
  <dcterms:created xsi:type="dcterms:W3CDTF">2026-03-17T06:17:24Z</dcterms:created>
  <dc:title>Phyllis2 #1308 wheat straw (Danish)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