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10 wheat straw (Dan" sheetId="1" r:id="rId1"/>
  </sheets>
  <definedNames>
    <definedName name="w" localSheetId="0">IF(ISBLANK('Phyllis2 #1310 wheat straw (Dan'!$C$19),#N/A,'Phyllis2 #1310 wheat straw (Dan'!$C$19/100)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<sst xmlns="http://schemas.openxmlformats.org/spreadsheetml/2006/main" count="81" uniqueCount="81">
  <si>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</si>
  <si>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https://phyllis.nl/Biomass/View/1310</t>
  </si>
  <si>
    <t>wheat straw (Danish) (#1310)</t>
  </si>
  <si>
    <t>ID-number</t>
  </si>
  <si>
    <t>#1310</t>
  </si>
  <si>
    <t>Material</t>
  </si>
  <si>
    <t>wheat straw (Danish)</t>
  </si>
  <si>
    <t>Classification</t>
  </si>
  <si>
    <t>ECN Phyllis classification &gt; straw (stalk/cob/ear) &gt; wheat &gt; wheat straw (Danish)</t>
  </si>
  <si>
    <t>NTA 8003 classification &gt; [200] biomassa uit land- en tuinbouw &gt; [220] stro &gt; [223] tarwestro</t>
  </si>
  <si>
    <t>Ash type</t>
  </si>
  <si>
    <t>650 degC</t>
  </si>
  <si>
    <t>Submitter organisation</t>
  </si>
  <si>
    <t>ECN (Netherlands)</t>
  </si>
  <si>
    <t>Submission date</t>
  </si>
  <si>
    <t>Literature</t>
  </si>
  <si>
    <t>A. van der Drift and A. Olsen: Conversion of biomass, prediction and solution methods for ash agglomeration and related problems, final report (in preparation), EU Joule contract JOR-CT95-0079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</si>
  <si>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</si>
  <si>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</si>
  <si>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</si>
  <si>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</si>
  <si>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</si>
  <si>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</si>
  <si>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</si>
  <si>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</si>
  <si>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</si>
  <si>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</si>
  <si>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</si>
  <si>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</si>
  <si>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</si>
  <si>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</si>
  <si>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</si>
  <si>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</si>
  <si>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</si>
  <si>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</si>
  <si>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</si>
  <si>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</si>
  <si>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</si>
  <si>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</si>
  <si>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</si>
  <si>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</si>
  <si>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</si>
  <si>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</si>
  <si>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</si>
  <si>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</si>
  <si>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</si>
  <si>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</si>
  <si>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</si>
  <si>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</si>
  <si>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</si>
  <si>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</si>
  <si>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</si>
  <si>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</si>
  <si>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</si>
  <si>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</si>
  <si>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</si>
  <si>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</si>
  <si>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</si>
  <si>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</si>
  <si>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</si>
  <si>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reducing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</si>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</sst>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1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446537017822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36028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11.1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IFERROR(6.7*(1-w),"")</f>
        <v>5.9563000000000006</v>
      </c>
      <c r="D20" s="13">
        <v>6.7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IFERROR(74.9*(1-w),"")</f>
        <v>66.5861</v>
      </c>
      <c r="D21" s="13">
        <v>74.9</v>
      </c>
      <c r="E21" s="13">
        <v>80.278670953912112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IFERROR(18.4*(1-w),"")</f>
        <v>16.357599999999994</v>
      </c>
      <c r="D22" s="13">
        <v>18.399999999999991</v>
      </c>
      <c r="E22" s="13">
        <v>19.721329046087877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IFERROR(45.8*(1-w),"")</f>
        <v>40.7162</v>
      </c>
      <c r="D24" s="13">
        <v>45.8</v>
      </c>
      <c r="E24" s="13">
        <v>49.088960342979632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IFERROR(5.96*(1-w),"")</f>
        <v>5.29844</v>
      </c>
      <c r="D25" s="13">
        <v>5.96</v>
      </c>
      <c r="E25" s="13">
        <v>6.387995712754555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IFERROR(40.53*(1-w),"")</f>
        <v>36.03117</v>
      </c>
      <c r="D26" s="13">
        <v>40.53</v>
      </c>
      <c r="E26" s="13">
        <v>43.440514469453376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33</v>
      </c>
      <c r="C27" s="13">
        <f>IFERROR(0.45*(1-w),"")</f>
        <v>0.40005</v>
      </c>
      <c r="D27" s="13">
        <v>0.45</v>
      </c>
      <c r="E27" s="13">
        <v>0.48231511254019294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IFERROR(0.16*(1-w),"")</f>
        <v>0.14224</v>
      </c>
      <c r="D28" s="13">
        <v>0.16</v>
      </c>
      <c r="E28" s="13">
        <v>0.17148981779206859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IFERROR(100.001*(1-w)+w*100,"")</f>
        <v>100.00088899999999</v>
      </c>
      <c r="D29" s="13">
        <v>100.00099999999999</v>
      </c>
      <c r="E29" s="13">
        <v>100.00107181136119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IFERROR(4000*(1-w),"")</f>
        <v>3556</v>
      </c>
      <c r="D31" s="14">
        <v>4000</v>
      </c>
      <c r="E31" s="14">
        <v>4287.2454448017143</v>
      </c>
      <c r="F31" s="14"/>
      <c r="G31" s="14"/>
      <c r="I31" s="5"/>
      <c r="J31" s="0" t="s">
        <v>40</v>
      </c>
    </row>
    <row r="32" outlineLevel="2">
      <c r="A32" s="12" t="s">
        <v>49</v>
      </c>
      <c r="B32" s="0" t="s">
        <v>48</v>
      </c>
      <c r="C32" s="14">
        <f>IFERROR(10*(1-w),"")</f>
        <v>8.89</v>
      </c>
      <c r="D32" s="14">
        <v>10</v>
      </c>
      <c r="E32" s="14">
        <v>10.718113612004286</v>
      </c>
      <c r="F32" s="14"/>
      <c r="G32" s="14"/>
      <c r="I32" s="5"/>
      <c r="J32" s="0" t="s">
        <v>40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IFERROR(17.18643*(1-w)-w*2.443,"")</f>
        <v>15.007563270000002</v>
      </c>
      <c r="D34" s="13">
        <v>17.18643</v>
      </c>
      <c r="E34" s="13">
        <v>18.420610932475885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IFERROR(18.487*(1-w),"")</f>
        <v>16.434942999999997</v>
      </c>
      <c r="D35" s="13">
        <v>18.487</v>
      </c>
      <c r="E35" s="13">
        <v>19.814576634512324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IFERROR(18.49465417*(1-w),"")</f>
        <v>16.441747557130004</v>
      </c>
      <c r="D36" s="13">
        <v>18.494654170000004</v>
      </c>
      <c r="E36" s="13">
        <v>19.822780460878889</v>
      </c>
      <c r="F36" s="13"/>
      <c r="G36" s="13"/>
      <c r="I36" s="5"/>
      <c r="J36" s="0" t="s">
        <v>37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12400</v>
      </c>
      <c r="D38" s="14"/>
      <c r="E38" s="14"/>
      <c r="F38" s="14"/>
      <c r="G38" s="14"/>
      <c r="I38" s="5"/>
      <c r="J38" s="0" t="s">
        <v>40</v>
      </c>
    </row>
    <row r="39" outlineLevel="2">
      <c r="A39" s="12" t="s">
        <v>58</v>
      </c>
      <c r="B39" s="0" t="s">
        <v>57</v>
      </c>
      <c r="C39" s="14">
        <v>100</v>
      </c>
      <c r="D39" s="14"/>
      <c r="E39" s="14"/>
      <c r="F39" s="14"/>
      <c r="G39" s="14"/>
      <c r="I39" s="5"/>
      <c r="J39" s="0" t="s">
        <v>40</v>
      </c>
    </row>
    <row r="40" outlineLevel="1">
      <c r="A40" s="11" t="s">
        <v>59</v>
      </c>
      <c r="I40" s="5"/>
    </row>
    <row r="41" outlineLevel="2">
      <c r="A41" s="15" t="s">
        <v>60</v>
      </c>
      <c r="I41" s="5"/>
    </row>
    <row r="42" outlineLevel="3">
      <c r="A42" s="16" t="s">
        <v>61</v>
      </c>
      <c r="B42" s="0" t="s">
        <v>62</v>
      </c>
      <c r="C42" s="17">
        <v>919</v>
      </c>
      <c r="D42" s="17"/>
      <c r="E42" s="17"/>
      <c r="F42" s="17"/>
      <c r="G42" s="17"/>
      <c r="I42" s="5"/>
    </row>
    <row r="43" outlineLevel="3">
      <c r="A43" s="16" t="s">
        <v>63</v>
      </c>
      <c r="B43" s="0" t="s">
        <v>62</v>
      </c>
      <c r="C43" s="17">
        <v>964</v>
      </c>
      <c r="D43" s="17"/>
      <c r="E43" s="17"/>
      <c r="F43" s="17"/>
      <c r="G43" s="17"/>
      <c r="I43" s="5"/>
    </row>
    <row r="44" outlineLevel="3">
      <c r="A44" s="16" t="s">
        <v>64</v>
      </c>
      <c r="B44" s="0" t="s">
        <v>62</v>
      </c>
      <c r="C44" s="17">
        <v>1088</v>
      </c>
      <c r="D44" s="17"/>
      <c r="E44" s="17"/>
      <c r="F44" s="17"/>
      <c r="G44" s="17"/>
      <c r="I44" s="5"/>
    </row>
    <row r="45" outlineLevel="3">
      <c r="A45" s="16" t="s">
        <v>65</v>
      </c>
      <c r="B45" s="0" t="s">
        <v>62</v>
      </c>
      <c r="C45" s="17">
        <v>1246</v>
      </c>
      <c r="D45" s="17"/>
      <c r="E45" s="17"/>
      <c r="F45" s="17"/>
      <c r="G45" s="17"/>
      <c r="I45" s="5"/>
    </row>
    <row r="46">
      <c r="A46" s="7" t="s">
        <v>66</v>
      </c>
      <c r="I46" s="5"/>
    </row>
    <row r="47" outlineLevel="1">
      <c r="A47" s="11" t="s">
        <v>67</v>
      </c>
      <c r="I47" s="5"/>
    </row>
    <row r="48" outlineLevel="2">
      <c r="A48" s="12" t="s">
        <v>68</v>
      </c>
      <c r="B48" s="0" t="s">
        <v>69</v>
      </c>
      <c r="C48" s="13">
        <v>0.1</v>
      </c>
      <c r="D48" s="13"/>
      <c r="E48" s="13"/>
      <c r="F48" s="13"/>
      <c r="G48" s="13"/>
      <c r="I48" s="5"/>
    </row>
    <row r="49" outlineLevel="2">
      <c r="A49" s="12" t="s">
        <v>70</v>
      </c>
      <c r="B49" s="0" t="s">
        <v>69</v>
      </c>
      <c r="C49" s="13">
        <v>5.6</v>
      </c>
      <c r="D49" s="13"/>
      <c r="E49" s="13"/>
      <c r="F49" s="13"/>
      <c r="G49" s="13"/>
      <c r="I49" s="5"/>
    </row>
    <row r="50" outlineLevel="2">
      <c r="A50" s="12" t="s">
        <v>71</v>
      </c>
      <c r="B50" s="0" t="s">
        <v>69</v>
      </c>
      <c r="C50" s="13">
        <v>2.4</v>
      </c>
      <c r="D50" s="13"/>
      <c r="E50" s="13"/>
      <c r="F50" s="13"/>
      <c r="G50" s="13"/>
      <c r="I50" s="5"/>
    </row>
    <row r="51" outlineLevel="2">
      <c r="A51" s="12" t="s">
        <v>72</v>
      </c>
      <c r="B51" s="0" t="s">
        <v>69</v>
      </c>
      <c r="C51" s="13">
        <v>2.4</v>
      </c>
      <c r="D51" s="13"/>
      <c r="E51" s="13"/>
      <c r="F51" s="13"/>
      <c r="G51" s="13"/>
      <c r="I51" s="5"/>
    </row>
    <row r="52" outlineLevel="2">
      <c r="A52" s="12" t="s">
        <v>73</v>
      </c>
      <c r="B52" s="0" t="s">
        <v>69</v>
      </c>
      <c r="C52" s="13">
        <v>54</v>
      </c>
      <c r="D52" s="13"/>
      <c r="E52" s="13"/>
      <c r="F52" s="13"/>
      <c r="G52" s="13"/>
      <c r="I52" s="5"/>
    </row>
    <row r="53" outlineLevel="2">
      <c r="A53" s="12" t="s">
        <v>74</v>
      </c>
      <c r="B53" s="0" t="s">
        <v>69</v>
      </c>
      <c r="C53" s="13">
        <v>0.08</v>
      </c>
      <c r="D53" s="13"/>
      <c r="E53" s="13"/>
      <c r="F53" s="13"/>
      <c r="G53" s="13"/>
      <c r="I53" s="5"/>
    </row>
    <row r="54" outlineLevel="2">
      <c r="A54" s="12" t="s">
        <v>75</v>
      </c>
      <c r="B54" s="0" t="s">
        <v>69</v>
      </c>
      <c r="C54" s="13">
        <v>0.14</v>
      </c>
      <c r="D54" s="13"/>
      <c r="E54" s="13"/>
      <c r="F54" s="13"/>
      <c r="G54" s="13"/>
      <c r="I54" s="5"/>
    </row>
    <row r="55" outlineLevel="2">
      <c r="A55" s="12" t="s">
        <v>76</v>
      </c>
      <c r="B55" s="0" t="s">
        <v>69</v>
      </c>
      <c r="C55" s="13">
        <v>6.4</v>
      </c>
      <c r="D55" s="13"/>
      <c r="E55" s="13"/>
      <c r="F55" s="13"/>
      <c r="G55" s="13"/>
      <c r="I55" s="5"/>
    </row>
    <row r="56" outlineLevel="2">
      <c r="A56" s="12" t="s">
        <v>77</v>
      </c>
      <c r="B56" s="0" t="s">
        <v>69</v>
      </c>
      <c r="C56" s="13">
        <v>2</v>
      </c>
      <c r="D56" s="13"/>
      <c r="E56" s="13"/>
      <c r="F56" s="13"/>
      <c r="G56" s="13"/>
      <c r="I56" s="5"/>
    </row>
    <row r="57" outlineLevel="2">
      <c r="A57" s="12" t="s">
        <v>78</v>
      </c>
      <c r="B57" s="0" t="s">
        <v>69</v>
      </c>
      <c r="C57" s="13">
        <v>0.4</v>
      </c>
      <c r="D57" s="13"/>
      <c r="E57" s="13"/>
      <c r="F57" s="13"/>
      <c r="G57" s="13"/>
      <c r="I57" s="5"/>
    </row>
    <row r="58" outlineLevel="2">
      <c r="A58" s="12" t="s">
        <v>79</v>
      </c>
      <c r="B58" s="0" t="s">
        <v>69</v>
      </c>
      <c r="C58" s="13">
        <v>22</v>
      </c>
      <c r="D58" s="13"/>
      <c r="E58" s="13"/>
      <c r="F58" s="13"/>
      <c r="G58" s="13"/>
      <c r="I58" s="5"/>
    </row>
    <row r="59" outlineLevel="2">
      <c r="A59" s="12" t="s">
        <v>80</v>
      </c>
      <c r="B59" s="0" t="s">
        <v>69</v>
      </c>
      <c r="C59" s="13">
        <v>0.01</v>
      </c>
      <c r="D59" s="13"/>
      <c r="E59" s="13"/>
      <c r="F59" s="13"/>
      <c r="G59" s="13"/>
      <c r="I59" s="5"/>
    </row>
    <row r="60">
      <c r="I60" s="5"/>
    </row>
    <row r="6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2:E42"/>
    <mergeCell ref="C43:E43"/>
    <mergeCell ref="C44:E44"/>
    <mergeCell ref="C45:E45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</mergeCells>
  <dataValidations count="1">
    <dataValidation type="decimal" sqref="C19" errorStyle="stop" promptTitle="Enter moisture content" errorTitle="Invalid moisture content" prompt="Value should be between 0 and 100.&#10;Original value: 11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https://phyllis.nl/Biomass/View/1310</dc:description>
  <dcterms:created xsi:type="dcterms:W3CDTF">2026-03-17T06:17:26Z</dcterms:created>
  <dc:title>Phyllis2 #1310 wheat straw (Danish)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