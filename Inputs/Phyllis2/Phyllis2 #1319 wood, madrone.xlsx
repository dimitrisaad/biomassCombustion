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19 wood, madrone" sheetId="1" r:id="rId1"/>
  </sheets>
  <definedNames>
    <definedName name="w" localSheetId="0">IF(ISBLANK('Phyllis2 #1319 wood, madrone'!$C$18),#N/A,'Phyllis2 #1319 wood, madrone'!$C$18/100)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<sst xmlns="http://schemas.openxmlformats.org/spreadsheetml/2006/main" count="53" uniqueCount="53">
  <si>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</si>
  <si>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https://phyllis.nl/Biomass/View/1319</t>
  </si>
  <si>
    <t>wood, madrone (#1319)</t>
  </si>
  <si>
    <t>ID-number</t>
  </si>
  <si>
    <t>#1319</t>
  </si>
  <si>
    <t>Material</t>
  </si>
  <si>
    <t>wood, madrone</t>
  </si>
  <si>
    <t>Classification</t>
  </si>
  <si>
    <t>ECN Phyllis classification &gt; untreated wood &gt; other hard wood &gt; wood, madrone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</si>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</sst>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IFERROR(0.57*(1-w),"")</f>
        <v/>
      </c>
      <c r="D19" s="13">
        <v>0.57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IFERROR(82.99*(1-w),"")</f>
        <v/>
      </c>
      <c r="D20" s="13">
        <v>82.99</v>
      </c>
      <c r="E20" s="13">
        <v>83.465754802373525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IFERROR(16.44*(1-w),"")</f>
        <v/>
      </c>
      <c r="D21" s="13">
        <v>16.440000000000012</v>
      </c>
      <c r="E21" s="13">
        <v>16.534245197626483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IFERROR(48*(1-w),"")</f>
        <v/>
      </c>
      <c r="D23" s="13">
        <v>48</v>
      </c>
      <c r="E23" s="13">
        <v>48.275168460223277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IFERROR(5.96*(1-w),"")</f>
        <v/>
      </c>
      <c r="D24" s="13">
        <v>5.96</v>
      </c>
      <c r="E24" s="13">
        <v>5.9941667504777234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IFERROR(44.95*(1-w),"")</f>
        <v/>
      </c>
      <c r="D25" s="13">
        <v>44.95</v>
      </c>
      <c r="E25" s="13">
        <v>45.207683797646588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IFERROR(0.06*(1-w),"")</f>
        <v/>
      </c>
      <c r="D26" s="13">
        <v>0.06</v>
      </c>
      <c r="E26" s="13">
        <v>0.06034396057527909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0.020114653525093031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IFERROR(99.57*(1-w)+w*100,"")</f>
        <v/>
      </c>
      <c r="D28" s="13">
        <v>99.57</v>
      </c>
      <c r="E28" s="13">
        <v>99.5675349492105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IFERROR(100*(1-w),"")</f>
        <v/>
      </c>
      <c r="D30" s="14">
        <v>100</v>
      </c>
      <c r="E30" s="14">
        <v>100.57326762546515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IFERROR(18.10943*(1-w)-w*2.443,"")</f>
        <v/>
      </c>
      <c r="D32" s="13">
        <v>18.10943</v>
      </c>
      <c r="E32" s="13">
        <v>18.213245499346275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IFERROR(19.41*(1-w),"")</f>
        <v/>
      </c>
      <c r="D33" s="13">
        <v>19.41</v>
      </c>
      <c r="E33" s="13">
        <v>19.521271246102788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IFERROR(18.8386207097*(1-w),"")</f>
        <v/>
      </c>
      <c r="D34" s="13">
        <v>18.838620709700002</v>
      </c>
      <c r="E34" s="13">
        <v>18.946616423312886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https://phyllis.nl/Biomass/View/1319</dc:description>
  <dcterms:created xsi:type="dcterms:W3CDTF">2026-03-19T07:14:45Z</dcterms:created>
  <dc:title>Phyllis2 #1319 wood, madrone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