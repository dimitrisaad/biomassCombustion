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32 wood, pine" sheetId="1" r:id="rId1"/>
  </sheets>
  <definedNames>
    <definedName name="w" localSheetId="0">IF(ISBLANK('Phyllis2 #132 wood, pine'!$C$17),#N/A,'Phyllis2 #132 wood, pine'!$C$17/100)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<sst xmlns="http://schemas.openxmlformats.org/spreadsheetml/2006/main" count="51" uniqueCount="51">
  <si>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</si>
  <si>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https://phyllis.nl/Biomass/View/132</t>
  </si>
  <si>
    <t>wood, pine (#132)</t>
  </si>
  <si>
    <t>ID-number</t>
  </si>
  <si>
    <t>#132</t>
  </si>
  <si>
    <t>Material</t>
  </si>
  <si>
    <t>wood, pine</t>
  </si>
  <si>
    <t>Classification</t>
  </si>
  <si>
    <t>ECN Phyllis classification &gt; untreated wood &gt; fir/pine/spruce &gt; wood, pine</t>
  </si>
  <si>
    <t>NTA 8003 classification &gt; [100] hout &gt; [110] vers hout &gt; [130] naaldhout &gt; [131] naaldhout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</si>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</sst>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3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6.28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IFERROR(0.25*(1-w),"")</f>
        <v>0.2343</v>
      </c>
      <c r="D18" s="11">
        <v>0.25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IFERROR(83.93*(1-w),"")</f>
        <v>78.659196000000009</v>
      </c>
      <c r="D19" s="11">
        <v>83.93</v>
      </c>
      <c r="E19" s="11">
        <v>84.140350877192986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IFERROR(15.82*(1-w),"")</f>
        <v>14.826503999999995</v>
      </c>
      <c r="D20" s="11">
        <v>15.819999999999993</v>
      </c>
      <c r="E20" s="11">
        <v>15.85964912280701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IFERROR(52.54*(1-w),"")</f>
        <v>49.240488</v>
      </c>
      <c r="D22" s="11">
        <v>52.54</v>
      </c>
      <c r="E22" s="11">
        <v>52.671679197994983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IFERROR(6.04*(1-w),"")</f>
        <v>5.660688</v>
      </c>
      <c r="D23" s="11">
        <v>6.04</v>
      </c>
      <c r="E23" s="11">
        <v>6.0551378446115285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IFERROR(40.55*(1-w),"")</f>
        <v>38.00346</v>
      </c>
      <c r="D24" s="11">
        <v>40.55</v>
      </c>
      <c r="E24" s="11">
        <v>40.6516290726817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IFERROR(0.04*(1-w),"")</f>
        <v>0.037488</v>
      </c>
      <c r="D25" s="11">
        <v>0.04</v>
      </c>
      <c r="E25" s="11">
        <v>0.040100250626566414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IFERROR(0.57*(1-w),"")</f>
        <v>0.534204</v>
      </c>
      <c r="D26" s="11">
        <v>0.57</v>
      </c>
      <c r="E26" s="11">
        <v>0.5714285714285714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</v>
      </c>
      <c r="D27" s="11">
        <v>100</v>
      </c>
      <c r="E27" s="11">
        <v>100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IFERROR(100*(1-w),"")</f>
        <v>93.72</v>
      </c>
      <c r="D29" s="12">
        <v>100</v>
      </c>
      <c r="E29" s="12">
        <v>100.25062656641603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IFERROR(18.91756*(1-w)-w*2.443,"")</f>
        <v>17.576116832</v>
      </c>
      <c r="D31" s="11">
        <v>18.91756</v>
      </c>
      <c r="E31" s="11">
        <v>18.964972431077694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IFERROR(20.23559*(1-w),"")</f>
        <v>18.964794947999998</v>
      </c>
      <c r="D32" s="11">
        <v>20.23559</v>
      </c>
      <c r="E32" s="11">
        <v>20.286305764411026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IFERROR(21.0655065625*(1-w),"")</f>
        <v>19.742592750375003</v>
      </c>
      <c r="D33" s="11">
        <v>21.0655065625</v>
      </c>
      <c r="E33" s="11">
        <v>21.11830231829574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6.2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https://phyllis.nl/Biomass/View/132</dc:description>
  <dcterms:created xsi:type="dcterms:W3CDTF">2026-03-19T04:23:45Z</dcterms:created>
  <dc:title>Phyllis2 #132 wood,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