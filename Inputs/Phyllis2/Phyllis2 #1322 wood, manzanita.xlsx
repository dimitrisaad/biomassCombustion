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22 wood, manzanita" sheetId="1" r:id="rId1"/>
  </sheets>
  <definedNames>
    <definedName name="w" localSheetId="0">IF(ISBLANK('Phyllis2 #1322 wood, manzanita'!$C$18),#N/A,'Phyllis2 #1322 wood, manzanita'!$C$18/100)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<sst xmlns="http://schemas.openxmlformats.org/spreadsheetml/2006/main" count="53" uniqueCount="53">
  <si>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</si>
  <si>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https://phyllis.nl/Biomass/View/1322</t>
  </si>
  <si>
    <t>wood, manzanita (#1322)</t>
  </si>
  <si>
    <t>ID-number</t>
  </si>
  <si>
    <t>#1322</t>
  </si>
  <si>
    <t>Material</t>
  </si>
  <si>
    <t>wood, manzanita</t>
  </si>
  <si>
    <t>Classification</t>
  </si>
  <si>
    <t>ECN Phyllis classification &gt; untreated wood &gt; other hard wood &gt; wood, manzanita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</si>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</sst>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2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36035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IFERROR(0.82*(1-w),"")</f>
        <v/>
      </c>
      <c r="D19" s="13">
        <v>0.82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IFERROR(81.29*(1-w),"")</f>
        <v/>
      </c>
      <c r="D20" s="13">
        <v>81.29</v>
      </c>
      <c r="E20" s="13">
        <v>81.962089130873167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IFERROR(17.89*(1-w),"")</f>
        <v/>
      </c>
      <c r="D21" s="13">
        <v>17.89</v>
      </c>
      <c r="E21" s="13">
        <v>18.03791086912684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IFERROR(48.18*(1-w),"")</f>
        <v/>
      </c>
      <c r="D23" s="13">
        <v>48.18</v>
      </c>
      <c r="E23" s="13">
        <v>48.5783424077435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IFERROR(5.94*(1-w),"")</f>
        <v/>
      </c>
      <c r="D24" s="13">
        <v>5.94</v>
      </c>
      <c r="E24" s="13">
        <v>5.9891107078039933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IFERROR(44.68*(1-w),"")</f>
        <v/>
      </c>
      <c r="D25" s="13">
        <v>44.68</v>
      </c>
      <c r="E25" s="13">
        <v>45.0494051220004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IFERROR(0.17*(1-w),"")</f>
        <v/>
      </c>
      <c r="D26" s="13">
        <v>0.17</v>
      </c>
      <c r="E26" s="13">
        <v>0.17140552530752168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IFERROR(0.02*(1-w),"")</f>
        <v/>
      </c>
      <c r="D27" s="13">
        <v>0.02</v>
      </c>
      <c r="E27" s="13">
        <v>0.020165355918531962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IFERROR(99.82*(1-w)+w*100,"")</f>
        <v/>
      </c>
      <c r="D28" s="13">
        <v>99.82</v>
      </c>
      <c r="E28" s="13">
        <v>99.8185117967332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IFERROR(100*(1-w),"")</f>
        <v/>
      </c>
      <c r="D30" s="14">
        <v>100</v>
      </c>
      <c r="E30" s="14">
        <v>100.8267795926598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IFERROR(18.00379*(1-w)-w*2.443,"")</f>
        <v/>
      </c>
      <c r="D32" s="13">
        <v>18.00379</v>
      </c>
      <c r="E32" s="13">
        <v>18.152641661625324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IFERROR(19.3*(1-w),"")</f>
        <v/>
      </c>
      <c r="D33" s="13">
        <v>19.3</v>
      </c>
      <c r="E33" s="13">
        <v>19.459568461383345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IFERROR(18.8889888772*(1-w),"")</f>
        <v/>
      </c>
      <c r="D34" s="13">
        <v>18.888988877200006</v>
      </c>
      <c r="E34" s="13">
        <v>19.045159182496477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https://phyllis.nl/Biomass/View/1322</dc:description>
  <dcterms:created xsi:type="dcterms:W3CDTF">2026-03-19T07:14:56Z</dcterms:created>
  <dc:title>Phyllis2 #1322 wood, manzanita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