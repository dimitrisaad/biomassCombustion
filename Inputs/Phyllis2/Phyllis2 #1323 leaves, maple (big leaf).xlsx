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323 leaves, maple (b" sheetId="1" r:id="rId1"/>
  </sheets>
  <definedNames>
    <definedName name="w" localSheetId="0">IF(ISBLANK('Phyllis2 #1323 leaves, maple (b'!$C$18),#N/A,'Phyllis2 #1323 leaves, maple (b'!$C$18/100)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<sst xmlns="http://schemas.openxmlformats.org/spreadsheetml/2006/main" count="50" uniqueCount="50">
  <si>
    <t>Phyllis2</t>
  </si>
  <si>
    <t>https://phyllis.nl/Biomass/View/1323</t>
  </si>
  <si>
    <t>leaves, maple (big leaf) (#1323)</t>
  </si>
  <si>
    <t>ID-number</t>
  </si>
  <si>
    <t>#1323</t>
  </si>
  <si>
    <t>Material</t>
  </si>
  <si>
    <t>leaves, maple (big leaf)</t>
  </si>
  <si>
    <t>Classification</t>
  </si>
  <si>
    <t>ECN Phyllis classification &gt; untreated wood &gt; leaves</t>
  </si>
  <si>
    <t>NTA 8003 classification &gt; [100] hout</t>
  </si>
  <si>
    <t>Submitter organisation</t>
  </si>
  <si>
    <t>ECN (Netherlands)</t>
  </si>
  <si>
    <t>Submission date</t>
  </si>
  <si>
    <t>Literature</t>
  </si>
  <si>
    <t>O. Kitani and C. W. Hall: Biomass Handbook, Gordon and Breach science publishers, New York (1989).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</si>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</sst>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323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36035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/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33</v>
      </c>
      <c r="C19" s="13">
        <f>IFERROR(0.6*(1-w),"")</f>
        <v/>
      </c>
      <c r="D19" s="13">
        <v>0.6</v>
      </c>
      <c r="E19" s="13">
        <v/>
      </c>
      <c r="F19" s="13"/>
      <c r="G19" s="13"/>
      <c r="I19" s="5"/>
    </row>
    <row r="20" outlineLevel="2">
      <c r="A20" s="12" t="s">
        <v>34</v>
      </c>
      <c r="B20" s="0" t="s">
        <v>33</v>
      </c>
      <c r="C20" s="13">
        <f>IFERROR(87.9*(1-w),"")</f>
        <v/>
      </c>
      <c r="D20" s="13">
        <v>87.9</v>
      </c>
      <c r="E20" s="13">
        <v>88.430583501006041</v>
      </c>
      <c r="F20" s="13"/>
      <c r="G20" s="13"/>
      <c r="I20" s="5"/>
    </row>
    <row r="21" outlineLevel="2">
      <c r="A21" s="12" t="s">
        <v>35</v>
      </c>
      <c r="B21" s="0" t="s">
        <v>33</v>
      </c>
      <c r="C21" s="13">
        <f>IFERROR(11.5*(1-w),"")</f>
        <v/>
      </c>
      <c r="D21" s="13">
        <v>11.5</v>
      </c>
      <c r="E21" s="13">
        <v>11.569416498993963</v>
      </c>
      <c r="F21" s="13"/>
      <c r="G21" s="13"/>
      <c r="I21" s="5"/>
      <c r="J21" s="0" t="s">
        <v>36</v>
      </c>
    </row>
    <row r="22" outlineLevel="1">
      <c r="A22" s="11" t="s">
        <v>37</v>
      </c>
      <c r="I22" s="5"/>
    </row>
    <row r="23" outlineLevel="2">
      <c r="A23" s="12" t="s">
        <v>38</v>
      </c>
      <c r="B23" s="0" t="s">
        <v>33</v>
      </c>
      <c r="C23" s="13">
        <f>IFERROR(49.89*(1-w),"")</f>
        <v/>
      </c>
      <c r="D23" s="13">
        <v>49.89</v>
      </c>
      <c r="E23" s="13">
        <v>50.191146881287729</v>
      </c>
      <c r="F23" s="13"/>
      <c r="G23" s="13"/>
      <c r="I23" s="5"/>
      <c r="J23" s="0" t="s">
        <v>39</v>
      </c>
    </row>
    <row r="24" outlineLevel="2">
      <c r="A24" s="12" t="s">
        <v>40</v>
      </c>
      <c r="B24" s="0" t="s">
        <v>33</v>
      </c>
      <c r="C24" s="13">
        <f>IFERROR(6.09*(1-w),"")</f>
        <v/>
      </c>
      <c r="D24" s="13">
        <v>6.09</v>
      </c>
      <c r="E24" s="13">
        <v>6.126760563380282</v>
      </c>
      <c r="F24" s="13"/>
      <c r="G24" s="13"/>
      <c r="I24" s="5"/>
      <c r="J24" s="0" t="s">
        <v>39</v>
      </c>
    </row>
    <row r="25" outlineLevel="2">
      <c r="A25" s="12" t="s">
        <v>41</v>
      </c>
      <c r="B25" s="0" t="s">
        <v>33</v>
      </c>
      <c r="C25" s="13">
        <f>IFERROR(43.27*(1-w),"")</f>
        <v/>
      </c>
      <c r="D25" s="13">
        <v>43.27</v>
      </c>
      <c r="E25" s="13">
        <v>43.531187122736419</v>
      </c>
      <c r="F25" s="13"/>
      <c r="G25" s="13"/>
      <c r="I25" s="5"/>
      <c r="J25" s="0" t="s">
        <v>39</v>
      </c>
    </row>
    <row r="26" outlineLevel="2">
      <c r="A26" s="12" t="s">
        <v>42</v>
      </c>
      <c r="B26" s="0" t="s">
        <v>33</v>
      </c>
      <c r="C26" s="13">
        <f>IFERROR(0.14*(1-w),"")</f>
        <v/>
      </c>
      <c r="D26" s="13">
        <v>0.14</v>
      </c>
      <c r="E26" s="13">
        <v>0.14084507042253522</v>
      </c>
      <c r="F26" s="13"/>
      <c r="G26" s="13"/>
      <c r="I26" s="5"/>
      <c r="J26" s="0" t="s">
        <v>39</v>
      </c>
    </row>
    <row r="27" outlineLevel="2">
      <c r="A27" s="12" t="s">
        <v>43</v>
      </c>
      <c r="B27" s="0" t="s">
        <v>33</v>
      </c>
      <c r="C27" s="13">
        <f>IFERROR(0.03*(1-w),"")</f>
        <v/>
      </c>
      <c r="D27" s="13">
        <v>0.03</v>
      </c>
      <c r="E27" s="13">
        <v>0.030181086519114688</v>
      </c>
      <c r="F27" s="13"/>
      <c r="G27" s="13"/>
      <c r="I27" s="5"/>
      <c r="J27" s="0" t="s">
        <v>39</v>
      </c>
    </row>
    <row r="28" outlineLevel="2">
      <c r="A28" s="12" t="s">
        <v>44</v>
      </c>
      <c r="B28" s="0" t="s">
        <v>33</v>
      </c>
      <c r="C28" s="13">
        <f>IFERROR(100.02*(1-w)+w*100,"")</f>
        <v/>
      </c>
      <c r="D28" s="13">
        <v>100.02</v>
      </c>
      <c r="E28" s="13">
        <v>100.02012072434609</v>
      </c>
      <c r="F28" s="13"/>
      <c r="G28" s="13"/>
      <c r="I28" s="5"/>
      <c r="J28" s="0" t="s">
        <v>36</v>
      </c>
    </row>
    <row r="29" outlineLevel="1">
      <c r="A29" s="11" t="s">
        <v>45</v>
      </c>
      <c r="I29" s="5"/>
    </row>
    <row r="30" outlineLevel="2">
      <c r="A30" s="12" t="s">
        <v>46</v>
      </c>
      <c r="B30" s="0" t="s">
        <v>47</v>
      </c>
      <c r="C30" s="13">
        <f>IFERROR(17.53106*(1-w)-w*2.443,"")</f>
        <v/>
      </c>
      <c r="D30" s="13">
        <v>17.53106</v>
      </c>
      <c r="E30" s="13">
        <v>17.636881287726357</v>
      </c>
      <c r="F30" s="13"/>
      <c r="G30" s="13"/>
      <c r="I30" s="5"/>
    </row>
    <row r="31" outlineLevel="2">
      <c r="A31" s="12" t="s">
        <v>48</v>
      </c>
      <c r="B31" s="0" t="s">
        <v>47</v>
      </c>
      <c r="C31" s="13">
        <f>IFERROR(18.86*(1-w),"")</f>
        <v/>
      </c>
      <c r="D31" s="13">
        <v>18.86</v>
      </c>
      <c r="E31" s="13">
        <v>18.9738430583501</v>
      </c>
      <c r="F31" s="13"/>
      <c r="G31" s="13"/>
      <c r="I31" s="5"/>
    </row>
    <row r="32" outlineLevel="2">
      <c r="A32" s="12" t="s">
        <v>49</v>
      </c>
      <c r="B32" s="0" t="s">
        <v>47</v>
      </c>
      <c r="C32" s="13">
        <f>IFERROR(19.84720308*(1-w),"")</f>
        <v/>
      </c>
      <c r="D32" s="13">
        <v>19.847203080000003</v>
      </c>
      <c r="E32" s="13">
        <v>19.967005110663987</v>
      </c>
      <c r="F32" s="13"/>
      <c r="G32" s="13"/>
      <c r="I32" s="5"/>
      <c r="J32" s="0" t="s">
        <v>36</v>
      </c>
    </row>
    <row r="33">
      <c r="I33" s="5"/>
    </row>
    <row r="34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https://phyllis.nl/Biomass/View/1323</dc:description>
  <dcterms:created xsi:type="dcterms:W3CDTF">2026-03-19T07:08:39Z</dcterms:created>
  <dc:title>Phyllis2 #1323 leaves, maple (big leaf)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