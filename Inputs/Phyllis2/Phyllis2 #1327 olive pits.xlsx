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27 olive pits" sheetId="1" r:id="rId1"/>
  </sheets>
  <definedNames>
    <definedName name="w" localSheetId="0">IF(ISBLANK('Phyllis2 #1327 olive pits'!$C$18),#N/A,'Phyllis2 #1327 olive pits'!$C$18/100)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<sst xmlns="http://schemas.openxmlformats.org/spreadsheetml/2006/main" count="50" uniqueCount="50">
  <si>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</si>
  <si>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https://phyllis.nl/Biomass/View/1327</t>
  </si>
  <si>
    <t>olive pits (#1327)</t>
  </si>
  <si>
    <t>ID-number</t>
  </si>
  <si>
    <t>#1327</t>
  </si>
  <si>
    <t>Material</t>
  </si>
  <si>
    <t>olive pits</t>
  </si>
  <si>
    <t>Classification</t>
  </si>
  <si>
    <t>ECN Phyllis classification &gt; husk/shell/pit &gt; olive &gt; olive pits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</si>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</sst>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IFERROR(3.16*(1-w),"")</f>
        <v/>
      </c>
      <c r="D19" s="13">
        <v>3.16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IFERROR(78.64*(1-w),"")</f>
        <v/>
      </c>
      <c r="D20" s="13">
        <v>78.64</v>
      </c>
      <c r="E20" s="13">
        <v>81.206113176373393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IFERROR(18.2*(1-w),"")</f>
        <v/>
      </c>
      <c r="D21" s="13">
        <v>18.200000000000003</v>
      </c>
      <c r="E21" s="13">
        <v>18.793886823626604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IFERROR(48.81*(1-w),"")</f>
        <v/>
      </c>
      <c r="D23" s="13">
        <v>48.81</v>
      </c>
      <c r="E23" s="13">
        <v>50.402726146220573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IFERROR(6.23*(1-w),"")</f>
        <v/>
      </c>
      <c r="D24" s="13">
        <v>6.23</v>
      </c>
      <c r="E24" s="13">
        <v>6.4332920280875676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IFERROR(43.48*(1-w),"")</f>
        <v/>
      </c>
      <c r="D25" s="13">
        <v>43.48</v>
      </c>
      <c r="E25" s="13">
        <v>44.898802147872772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IFERROR(0.36*(1-w),"")</f>
        <v/>
      </c>
      <c r="D26" s="13">
        <v>0.36</v>
      </c>
      <c r="E26" s="13">
        <v>0.37174721189591076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0.020652622883106153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IFERROR(102.06*(1-w)+w*100,"")</f>
        <v/>
      </c>
      <c r="D28" s="13">
        <v>102.06</v>
      </c>
      <c r="E28" s="13">
        <v>102.12722015695994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IFERROR(20.03051*(1-w)-w*2.443,"")</f>
        <v/>
      </c>
      <c r="D30" s="13">
        <v>20.03051</v>
      </c>
      <c r="E30" s="13">
        <v>20.68412845931433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IFERROR(21.39*(1-w),"")</f>
        <v/>
      </c>
      <c r="D31" s="13">
        <v>21.39</v>
      </c>
      <c r="E31" s="13">
        <v>22.08798017348203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IFERROR(19.5740217968*(1-w),"")</f>
        <v/>
      </c>
      <c r="D32" s="13">
        <v>19.574021796800004</v>
      </c>
      <c r="E32" s="13">
        <v>20.212744523750519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https://phyllis.nl/Biomass/View/1327</dc:description>
  <dcterms:created xsi:type="dcterms:W3CDTF">2026-03-17T05:42:03Z</dcterms:created>
  <dc:title>Phyllis2 #1327 olive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