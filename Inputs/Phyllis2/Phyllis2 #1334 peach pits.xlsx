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34 peach pits" sheetId="1" r:id="rId1"/>
  </sheets>
  <definedNames>
    <definedName name="w" localSheetId="0">IF(ISBLANK('Phyllis2 #1334 peach pits'!$C$18),#N/A,'Phyllis2 #1334 peach pits'!$C$18/100)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<sst xmlns="http://schemas.openxmlformats.org/spreadsheetml/2006/main" count="50" uniqueCount="50">
  <si>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</si>
  <si>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https://phyllis.nl/Biomass/View/1334</t>
  </si>
  <si>
    <t>peach pits (#1334)</t>
  </si>
  <si>
    <t>ID-number</t>
  </si>
  <si>
    <t>#1334</t>
  </si>
  <si>
    <t>Material</t>
  </si>
  <si>
    <t>peach pits</t>
  </si>
  <si>
    <t>Classification</t>
  </si>
  <si>
    <t>ECN Phyllis classification &gt; husk/shell/pit &gt; others &gt; peach pits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</si>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</sst>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IFERROR(1.03*(1-w),"")</f>
        <v/>
      </c>
      <c r="D19" s="13">
        <v>1.03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IFERROR(79.12*(1-w),"")</f>
        <v/>
      </c>
      <c r="D20" s="13">
        <v>79.12</v>
      </c>
      <c r="E20" s="13">
        <v>79.943417197130444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IFERROR(19.85*(1-w),"")</f>
        <v/>
      </c>
      <c r="D21" s="13">
        <v>19.849999999999994</v>
      </c>
      <c r="E21" s="13">
        <v>20.056582802869549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IFERROR(53*(1-w),"")</f>
        <v/>
      </c>
      <c r="D23" s="13">
        <v>53</v>
      </c>
      <c r="E23" s="13">
        <v>53.551581287258763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IFERROR(5.9*(1-w),"")</f>
        <v/>
      </c>
      <c r="D24" s="13">
        <v>5.9</v>
      </c>
      <c r="E24" s="13">
        <v>5.96140244518541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IFERROR(39.14*(1-w),"")</f>
        <v/>
      </c>
      <c r="D25" s="13">
        <v>39.14</v>
      </c>
      <c r="E25" s="13">
        <v>39.54733757704355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IFERROR(0.32*(1-w),"")</f>
        <v/>
      </c>
      <c r="D26" s="13">
        <v>0.32</v>
      </c>
      <c r="E26" s="13">
        <v>0.323330302111751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IFERROR(0.05*(1-w),"")</f>
        <v/>
      </c>
      <c r="D27" s="13">
        <v>0.05</v>
      </c>
      <c r="E27" s="13">
        <v>0.050520359704961104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IFERROR(99.44*(1-w)+w*100,"")</f>
        <v/>
      </c>
      <c r="D28" s="13">
        <v>99.439999999999984</v>
      </c>
      <c r="E28" s="13">
        <v>99.434171971304409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IFERROR(19.53252*(1-w)-w*2.443,"")</f>
        <v/>
      </c>
      <c r="D30" s="13">
        <v>19.53252</v>
      </c>
      <c r="E30" s="13">
        <v>19.735798726886937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IFERROR(20.82*(1-w),"")</f>
        <v/>
      </c>
      <c r="D31" s="13">
        <v>20.82</v>
      </c>
      <c r="E31" s="13">
        <v>21.0366777811458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IFERROR(21.1254333177*(1-w),"")</f>
        <v/>
      </c>
      <c r="D32" s="13">
        <v>21.125433317699997</v>
      </c>
      <c r="E32" s="13">
        <v>21.345289802667473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https://phyllis.nl/Biomass/View/1334</dc:description>
  <dcterms:created xsi:type="dcterms:W3CDTF">2026-03-17T05:43:32Z</dcterms:created>
  <dc:title>Phyllis2 #1334 peach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