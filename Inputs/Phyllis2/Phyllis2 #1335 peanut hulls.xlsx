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35 peanut hulls" sheetId="1" r:id="rId1"/>
  </sheets>
  <definedNames>
    <definedName name="w" localSheetId="0">IF(ISBLANK('Phyllis2 #1335 peanut hulls'!$C$18),#N/A,'Phyllis2 #1335 peanut hulls'!$C$18/100)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<sst xmlns="http://schemas.openxmlformats.org/spreadsheetml/2006/main" count="50" uniqueCount="50">
  <si>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</si>
  <si>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https://phyllis.nl/Biomass/View/1335</t>
  </si>
  <si>
    <t>peanut hulls (#1335)</t>
  </si>
  <si>
    <t>ID-number</t>
  </si>
  <si>
    <t>#1335</t>
  </si>
  <si>
    <t>Material</t>
  </si>
  <si>
    <t>peanut hulls</t>
  </si>
  <si>
    <t>Classification</t>
  </si>
  <si>
    <t>ECN Phyllis classification &gt; husk/shell/pit &gt; peanut &gt; peanut hulls</t>
  </si>
  <si>
    <t>NTA 8003 classification &gt; [200] biomassa uit land- en tuinbouw &gt; [230] restproducten (doppen) &gt; [233] pindadoppen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</si>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</sst>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IFERROR(5.89*(1-w),"")</f>
        <v/>
      </c>
      <c r="D19" s="13">
        <v>5.89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IFERROR(73.02*(1-w),"")</f>
        <v/>
      </c>
      <c r="D20" s="13">
        <v>73.02</v>
      </c>
      <c r="E20" s="13">
        <v>77.590054191903079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IFERROR(21.09*(1-w),"")</f>
        <v/>
      </c>
      <c r="D21" s="13">
        <v>21.090000000000003</v>
      </c>
      <c r="E21" s="13">
        <v>22.409945808096911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IFERROR(45.77*(1-w),"")</f>
        <v/>
      </c>
      <c r="D23" s="13">
        <v>45.77</v>
      </c>
      <c r="E23" s="13">
        <v>48.634576559345447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IFERROR(5.46*(1-w),"")</f>
        <v/>
      </c>
      <c r="D24" s="13">
        <v>5.46</v>
      </c>
      <c r="E24" s="13">
        <v>5.8017213898629256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IFERROR(39.56*(1-w),"")</f>
        <v/>
      </c>
      <c r="D25" s="13">
        <v>39.56</v>
      </c>
      <c r="E25" s="13">
        <v>42.035915418127722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IFERROR(1.63*(1-w),"")</f>
        <v/>
      </c>
      <c r="D26" s="13">
        <v>1.63</v>
      </c>
      <c r="E26" s="13">
        <v>1.7320157262777598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IFERROR(0.12*(1-w),"")</f>
        <v/>
      </c>
      <c r="D27" s="13">
        <v>0.12</v>
      </c>
      <c r="E27" s="13">
        <v>0.12751036021676759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IFERROR(98.43*(1-w)+w*100,"")</f>
        <v/>
      </c>
      <c r="D28" s="13">
        <v>98.43</v>
      </c>
      <c r="E28" s="13">
        <v>98.331739453830622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IFERROR(17.44854*(1-w)-w*2.443,"")</f>
        <v/>
      </c>
      <c r="D30" s="13">
        <v>17.44854</v>
      </c>
      <c r="E30" s="13">
        <v>18.540580172138988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IFERROR(18.64*(1-w),"")</f>
        <v/>
      </c>
      <c r="D31" s="13">
        <v>18.64</v>
      </c>
      <c r="E31" s="13">
        <v>19.806609287004569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IFERROR(17.8063128913*(1-w),"")</f>
        <v/>
      </c>
      <c r="D32" s="13">
        <v>17.806312891300003</v>
      </c>
      <c r="E32" s="13">
        <v>18.9207447575178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https://phyllis.nl/Biomass/View/1335</dc:description>
  <dcterms:created xsi:type="dcterms:W3CDTF">2026-03-17T05:46:31Z</dcterms:created>
  <dc:title>Phyllis2 #1335 peanut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