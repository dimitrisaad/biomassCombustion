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37 pistachio shells" sheetId="1" r:id="rId1"/>
  </sheets>
  <definedNames>
    <definedName name="w" localSheetId="0">IF(ISBLANK('Phyllis2 #1337 pistachio shells'!$C$18),#N/A,'Phyllis2 #1337 pistachio shells'!$C$18/100)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<sst xmlns="http://schemas.openxmlformats.org/spreadsheetml/2006/main" count="53" uniqueCount="53">
  <si>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</si>
  <si>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https://phyllis.nl/Biomass/View/1337</t>
  </si>
  <si>
    <t>pistachio shells (#1337)</t>
  </si>
  <si>
    <t>ID-number</t>
  </si>
  <si>
    <t>#1337</t>
  </si>
  <si>
    <t>Material</t>
  </si>
  <si>
    <t>pistachio shells</t>
  </si>
  <si>
    <t>Classification</t>
  </si>
  <si>
    <t>ECN Phyllis classification &gt; husk/shell/pit &gt; others &gt; pistachio shells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</si>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</sst>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3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36035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IFERROR(1.13*(1-w),"")</f>
        <v/>
      </c>
      <c r="D19" s="13">
        <v>1.13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IFERROR(82.03*(1-w),"")</f>
        <v/>
      </c>
      <c r="D20" s="13">
        <v>82.03</v>
      </c>
      <c r="E20" s="13">
        <v>82.967533124304637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IFERROR(16.84*(1-w),"")</f>
        <v/>
      </c>
      <c r="D21" s="13">
        <v>16.840000000000003</v>
      </c>
      <c r="E21" s="13">
        <v>17.032466875695359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IFERROR(48.79*(1-w),"")</f>
        <v/>
      </c>
      <c r="D23" s="13">
        <v>48.79</v>
      </c>
      <c r="E23" s="13">
        <v>49.347628198644685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IFERROR(5.91*(1-w),"")</f>
        <v/>
      </c>
      <c r="D24" s="13">
        <v>5.91</v>
      </c>
      <c r="E24" s="13">
        <v>5.9775462728835844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IFERROR(43.41*(1-w),"")</f>
        <v/>
      </c>
      <c r="D25" s="13">
        <v>43.41</v>
      </c>
      <c r="E25" s="13">
        <v>43.906139374936778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IFERROR(0.56*(1-w),"")</f>
        <v/>
      </c>
      <c r="D26" s="13">
        <v>0.56</v>
      </c>
      <c r="E26" s="13">
        <v>0.56640032365732784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0.010114291493880854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IFERROR(99.85*(1-w)+w*100,"")</f>
        <v/>
      </c>
      <c r="D28" s="13">
        <v>99.850000000000009</v>
      </c>
      <c r="E28" s="13">
        <v>99.848285627591792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IFERROR(400*(1-w),"")</f>
        <v/>
      </c>
      <c r="D30" s="14">
        <v>400</v>
      </c>
      <c r="E30" s="14">
        <v>404.57165975523412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IFERROR(17.97034*(1-w)-w*2.443,"")</f>
        <v/>
      </c>
      <c r="D32" s="13">
        <v>17.97034</v>
      </c>
      <c r="E32" s="13">
        <v>18.175725700414684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IFERROR(19.26*(1-w),"")</f>
        <v/>
      </c>
      <c r="D33" s="13">
        <v>19.26</v>
      </c>
      <c r="E33" s="13">
        <v>19.480125417214524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IFERROR(19.1576023657*(1-w),"")</f>
        <v/>
      </c>
      <c r="D34" s="13">
        <v>19.1576023657</v>
      </c>
      <c r="E34" s="13">
        <v>19.376557465055122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https://phyllis.nl/Biomass/View/1337</dc:description>
  <dcterms:created xsi:type="dcterms:W3CDTF">2026-03-17T05:43:44Z</dcterms:created>
  <dc:title>Phyllis2 #1337 pistachio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