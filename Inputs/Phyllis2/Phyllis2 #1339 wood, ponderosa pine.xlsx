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339 wood, ponderosa " sheetId="1" r:id="rId1"/>
  </sheets>
  <definedNames>
    <definedName name="w" localSheetId="0">IF(ISBLANK('Phyllis2 #1339 wood, ponderosa '!$C$18),#N/A,'Phyllis2 #1339 wood, ponderosa 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<sst xmlns="http://schemas.openxmlformats.org/spreadsheetml/2006/main" count="53" uniqueCount="53">
  <si>
    <t>Phyllis2</t>
  </si>
  <si>
    <t>https://phyllis.nl/Biomass/View/1339</t>
  </si>
  <si>
    <t>wood, ponderosa pine (#1339)</t>
  </si>
  <si>
    <t>ID-number</t>
  </si>
  <si>
    <t>#1339</t>
  </si>
  <si>
    <t>Material</t>
  </si>
  <si>
    <t>wood, ponderosa pine</t>
  </si>
  <si>
    <t>Classification</t>
  </si>
  <si>
    <t>ECN Phyllis classification &gt; untreated wood &gt; fir/pine/spruce &gt; wood, ponderosa pine</t>
  </si>
  <si>
    <t>NTA 8003 classification &gt; [100] hout &gt; [110] vers hout &gt; [130] naaldhout &gt; [131] naaldhout</t>
  </si>
  <si>
    <t>Submitter organisation</t>
  </si>
  <si>
    <t>ECN (Netherlands)</t>
  </si>
  <si>
    <t>Submission date</t>
  </si>
  <si>
    <t>Literature</t>
  </si>
  <si>
    <t>O. Kitani and C. W. Hall: Biomass Handbook, Gordon and Breach science publishers, New York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</si>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</sst>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33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36035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IFERROR(0.29*(1-w),"")</f>
        <v/>
      </c>
      <c r="D19" s="13">
        <v>0.29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IFERROR(82.54*(1-w),"")</f>
        <v/>
      </c>
      <c r="D20" s="13">
        <v>82.54</v>
      </c>
      <c r="E20" s="13">
        <v>82.780062180322943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IFERROR(17.17*(1-w),"")</f>
        <v/>
      </c>
      <c r="D21" s="13">
        <v>17.169999999999987</v>
      </c>
      <c r="E21" s="13">
        <v>17.21993781967705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IFERROR(49.25*(1-w),"")</f>
        <v/>
      </c>
      <c r="D23" s="13">
        <v>49.25</v>
      </c>
      <c r="E23" s="13">
        <v>49.393240397151743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IFERROR(5.99*(1-w),"")</f>
        <v/>
      </c>
      <c r="D24" s="13">
        <v>5.99</v>
      </c>
      <c r="E24" s="13">
        <v>6.0074215224150036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IFERROR(44.36*(1-w),"")</f>
        <v/>
      </c>
      <c r="D25" s="13">
        <v>44.36</v>
      </c>
      <c r="E25" s="13">
        <v>44.489018152642664</v>
      </c>
      <c r="F25" s="13"/>
      <c r="G25" s="13"/>
      <c r="I25" s="5"/>
      <c r="J25" s="0" t="s">
        <v>39</v>
      </c>
    </row>
    <row r="26" outlineLevel="2">
      <c r="A26" s="12" t="s">
        <v>42</v>
      </c>
      <c r="B26" s="0" t="s">
        <v>33</v>
      </c>
      <c r="C26" s="13">
        <f>IFERROR(0.06*(1-w),"")</f>
        <v/>
      </c>
      <c r="D26" s="13">
        <v>0.06</v>
      </c>
      <c r="E26" s="13">
        <v>0.060174506067596029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IFERROR(0.03*(1-w),"")</f>
        <v/>
      </c>
      <c r="D27" s="13">
        <v>0.03</v>
      </c>
      <c r="E27" s="13">
        <v>0.030087253033798014</v>
      </c>
      <c r="F27" s="13"/>
      <c r="G27" s="13"/>
      <c r="I27" s="5"/>
      <c r="J27" s="0" t="s">
        <v>39</v>
      </c>
    </row>
    <row r="28" outlineLevel="2">
      <c r="A28" s="12" t="s">
        <v>44</v>
      </c>
      <c r="B28" s="0" t="s">
        <v>33</v>
      </c>
      <c r="C28" s="13">
        <f>IFERROR(99.99*(1-w)+w*100,"")</f>
        <v/>
      </c>
      <c r="D28" s="13">
        <v>99.990000000000009</v>
      </c>
      <c r="E28" s="13">
        <v>99.9899709156554</v>
      </c>
      <c r="F28" s="13"/>
      <c r="G28" s="13"/>
      <c r="I28" s="5"/>
      <c r="J28" s="0" t="s">
        <v>36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4">
        <f>IFERROR(100*(1-w),"")</f>
        <v/>
      </c>
      <c r="D30" s="14">
        <v>100</v>
      </c>
      <c r="E30" s="14">
        <v>100.29084344599339</v>
      </c>
      <c r="F30" s="14"/>
      <c r="G30" s="14"/>
      <c r="I30" s="5"/>
      <c r="J30" s="0" t="s">
        <v>39</v>
      </c>
    </row>
    <row r="31" outlineLevel="1">
      <c r="A31" s="11" t="s">
        <v>48</v>
      </c>
      <c r="I31" s="5"/>
    </row>
    <row r="32" outlineLevel="2">
      <c r="A32" s="12" t="s">
        <v>49</v>
      </c>
      <c r="B32" s="0" t="s">
        <v>50</v>
      </c>
      <c r="C32" s="13">
        <f>IFERROR(18.71288*(1-w)-w*2.443,"")</f>
        <v/>
      </c>
      <c r="D32" s="13">
        <v>18.71288</v>
      </c>
      <c r="E32" s="13">
        <v>18.767305185036605</v>
      </c>
      <c r="F32" s="13"/>
      <c r="G32" s="13"/>
      <c r="I32" s="5"/>
    </row>
    <row r="33" outlineLevel="2">
      <c r="A33" s="12" t="s">
        <v>51</v>
      </c>
      <c r="B33" s="0" t="s">
        <v>50</v>
      </c>
      <c r="C33" s="13">
        <f>IFERROR(20.02*(1-w),"")</f>
        <v/>
      </c>
      <c r="D33" s="13">
        <v>20.02</v>
      </c>
      <c r="E33" s="13">
        <v>20.078226857887874</v>
      </c>
      <c r="F33" s="13"/>
      <c r="G33" s="13"/>
      <c r="I33" s="5"/>
    </row>
    <row r="34" outlineLevel="2">
      <c r="A34" s="12" t="s">
        <v>52</v>
      </c>
      <c r="B34" s="0" t="s">
        <v>50</v>
      </c>
      <c r="C34" s="13">
        <f>IFERROR(19.3802638673*(1-w),"")</f>
        <v/>
      </c>
      <c r="D34" s="13">
        <v>19.380263867300005</v>
      </c>
      <c r="E34" s="13">
        <v>19.436630094574269</v>
      </c>
      <c r="F34" s="13"/>
      <c r="G34" s="13"/>
      <c r="I34" s="5"/>
      <c r="J34" s="0" t="s">
        <v>36</v>
      </c>
    </row>
    <row r="35">
      <c r="I35" s="5"/>
    </row>
    <row r="3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https://phyllis.nl/Biomass/View/1339</dc:description>
  <dcterms:created xsi:type="dcterms:W3CDTF">2026-03-19T04:25:16Z</dcterms:created>
  <dc:title>Phyllis2 #1339 wood, ponderosa pine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