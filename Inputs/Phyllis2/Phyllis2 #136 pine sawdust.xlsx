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6 pine sawdust" sheetId="1" r:id="rId1"/>
  </sheets>
  <definedNames>
    <definedName name="w" localSheetId="0">IF(ISBLANK('Phyllis2 #136 pine sawdust'!$C$17),#N/A,'Phyllis2 #136 pine sawdust'!$C$17/100)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<sst xmlns="http://schemas.openxmlformats.org/spreadsheetml/2006/main" count="51" uniqueCount="51">
  <si>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</si>
  <si>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https://phyllis.nl/Biomass/View/136</t>
  </si>
  <si>
    <t>pine sawdust (#136)</t>
  </si>
  <si>
    <t>ID-number</t>
  </si>
  <si>
    <t>#136</t>
  </si>
  <si>
    <t>Material</t>
  </si>
  <si>
    <t>pine sawdust</t>
  </si>
  <si>
    <t>Classification</t>
  </si>
  <si>
    <t>ECN Phyllis classification &gt; untreated wood &gt; fir/pine/spruce &gt; pine sawdust</t>
  </si>
  <si>
    <t>NTA 8003 classification &gt; [100] hout &gt; [110] vers hout &gt; [115] zaagsel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</si>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</sst>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13.67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IFERROR(1.33*(1-w),"")</f>
        <v>1.148189</v>
      </c>
      <c r="D18" s="11">
        <v>1.33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IFERROR(80.45*(1-w),"")</f>
        <v>69.452485</v>
      </c>
      <c r="D19" s="11">
        <v>80.45</v>
      </c>
      <c r="E19" s="11">
        <v>81.534407621364139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IFERROR(18.22*(1-w),"")</f>
        <v>15.729325999999999</v>
      </c>
      <c r="D20" s="11">
        <v>18.22</v>
      </c>
      <c r="E20" s="11">
        <v>18.465592378635854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IFERROR(53.1*(1-w),"")</f>
        <v>45.841229999999996</v>
      </c>
      <c r="D22" s="11">
        <v>53.1</v>
      </c>
      <c r="E22" s="11">
        <v>53.815749467923382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IFERROR(6.04*(1-w),"")</f>
        <v>5.214332</v>
      </c>
      <c r="D23" s="11">
        <v>6.04</v>
      </c>
      <c r="E23" s="11">
        <v>6.1214148170669906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IFERROR(39.31*(1-w),"")</f>
        <v>33.936323</v>
      </c>
      <c r="D24" s="11">
        <v>39.31</v>
      </c>
      <c r="E24" s="11">
        <v>39.839870274652888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IFERROR(0.17*(1-w),"")</f>
        <v>0.146761</v>
      </c>
      <c r="D25" s="11">
        <v>0.17</v>
      </c>
      <c r="E25" s="11">
        <v>0.17229147663930275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IFERROR(0.02*(1-w),"")</f>
        <v>0.017266</v>
      </c>
      <c r="D26" s="11">
        <v>0.02</v>
      </c>
      <c r="E26" s="11">
        <v>0.020269585486976792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258.99</v>
      </c>
      <c r="D29" s="12">
        <v>300</v>
      </c>
      <c r="E29" s="12">
        <v>304.04378230465187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IFERROR(19.45044*(1-w)-w*2.443,"")</f>
        <v>16.457606752</v>
      </c>
      <c r="D31" s="11">
        <v>19.45044</v>
      </c>
      <c r="E31" s="11">
        <v>19.712617816965643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IFERROR(20.76847*(1-w),"")</f>
        <v>17.929420151</v>
      </c>
      <c r="D32" s="11">
        <v>20.76847</v>
      </c>
      <c r="E32" s="11">
        <v>21.048413904935643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IFERROR(21.3356736417*(1-w),"")</f>
        <v>18.419087054879615</v>
      </c>
      <c r="D33" s="11">
        <v>21.335673641700005</v>
      </c>
      <c r="E33" s="11">
        <v>21.623263040133782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3.6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https://phyllis.nl/Biomass/View/136</dc:description>
  <dcterms:created xsi:type="dcterms:W3CDTF">2026-03-19T04:21:42Z</dcterms:created>
  <dc:title>Phyllis2 #136 pine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