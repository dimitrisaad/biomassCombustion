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64 shuttering wood" sheetId="1" r:id="rId1"/>
  </sheets>
  <definedNames>
    <definedName name="w" localSheetId="0">IF(ISBLANK('Phyllis2 #1364 shuttering wood'!$C$18),#N/A,'Phyllis2 #1364 shuttering wood'!$C$18/100)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<sst xmlns="http://schemas.openxmlformats.org/spreadsheetml/2006/main" count="88" uniqueCount="88">
  <si>
    <t>Phyllis2</t>
  </si>
  <si>
    <t>https://phyllis.nl/Biomass/View/1364</t>
  </si>
  <si>
    <t>shuttering wood (#1364)</t>
  </si>
  <si>
    <t>ID-number</t>
  </si>
  <si>
    <t>#1364</t>
  </si>
  <si>
    <t>Material</t>
  </si>
  <si>
    <t>shuttering wood</t>
  </si>
  <si>
    <t>Classification</t>
  </si>
  <si>
    <t>ECN Phyllis classification &gt; treated wood &gt; demolition wood</t>
  </si>
  <si>
    <t>NTA 8003 classification &gt; [100] hout &gt; [150] verwerkt hout</t>
  </si>
  <si>
    <t>Submitter organisation</t>
  </si>
  <si>
    <t>ECN (Netherlands)</t>
  </si>
  <si>
    <t>Submission date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</si>
  <si>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</si>
  <si>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</si>
  <si>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</si>
  <si>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</si>
  <si>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</si>
  <si>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</si>
  <si>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</si>
  <si>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</si>
  <si>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</si>
  <si>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</si>
  <si>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</si>
  <si>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</si>
  <si>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</si>
  <si>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</si>
  <si>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</si>
  <si>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</si>
  <si>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</si>
  <si>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</si>
  <si>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</si>
  <si>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</si>
  <si>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</si>
  <si>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</si>
  <si>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</si>
  <si>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</si>
  <si>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</si>
  <si>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</si>
  <si>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</si>
  <si>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</si>
  <si>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</si>
  <si>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</si>
  <si>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</si>
  <si>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</si>
  <si>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</si>
  <si>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</si>
  <si>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</si>
  <si>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</si>
  <si>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</si>
  <si>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</si>
  <si>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</si>
  <si>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</si>
  <si>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</si>
  <si>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</si>
  <si>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</si>
  <si>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</si>
  <si>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</si>
  <si>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</si>
  <si>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</si>
  <si>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</si>
  <si>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</si>
  <si>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</si>
  <si>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</si>
  <si>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</si>
  <si>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</si>
  <si>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</si>
  <si>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</si>
  <si>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</si>
  <si>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</si>
  <si>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</si>
  <si>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</si>
  <si>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</si>
  <si>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</si>
  <si>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</si>
  <si>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</si>
  <si>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</si>
  <si>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</si>
  <si>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</si>
  <si>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</si>
  <si>
    <t>Ash Properties</t>
  </si>
  <si>
    <t>Ash composition</t>
  </si>
  <si>
    <t>Pb</t>
  </si>
  <si>
    <t>mg/kg (ash)</t>
  </si>
  <si>
    <t>Cd</t>
  </si>
  <si>
    <t>Cu</t>
  </si>
  <si>
    <t>Mn</t>
  </si>
  <si>
    <t>Cr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</si>
</sst>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6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36179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33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IFERROR(9.36*(1-w),"")</f>
        <v>6.2711999999999986</v>
      </c>
      <c r="D19" s="13">
        <v>9.36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IFERROR(72.6*(1-w),"")</f>
        <v>48.641999999999989</v>
      </c>
      <c r="D20" s="13">
        <v>72.6</v>
      </c>
      <c r="E20" s="13">
        <v>80.097087378640765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IFERROR(18.04*(1-w),"")</f>
        <v>12.086800000000004</v>
      </c>
      <c r="D21" s="13">
        <v>18.040000000000006</v>
      </c>
      <c r="E21" s="13">
        <v>19.902912621359231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IFERROR(45.45*(1-w),"")</f>
        <v>30.4515</v>
      </c>
      <c r="D23" s="13">
        <v>45.45</v>
      </c>
      <c r="E23" s="13">
        <v>50.143424536628423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IFERROR(5.51*(1-w),"")</f>
        <v>3.6916999999999995</v>
      </c>
      <c r="D24" s="13">
        <v>5.51</v>
      </c>
      <c r="E24" s="13">
        <v>6.0789938217122685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IFERROR(37.85*(1-w),"")</f>
        <v>25.359499999999997</v>
      </c>
      <c r="D25" s="13">
        <v>37.85</v>
      </c>
      <c r="E25" s="13">
        <v>41.758605472197708</v>
      </c>
      <c r="F25" s="13"/>
      <c r="G25" s="13"/>
      <c r="I25" s="5"/>
      <c r="J25" s="0" t="s">
        <v>38</v>
      </c>
    </row>
    <row r="26" outlineLevel="2">
      <c r="A26" s="12" t="s">
        <v>41</v>
      </c>
      <c r="B26" s="0" t="s">
        <v>31</v>
      </c>
      <c r="C26" s="13">
        <f>IFERROR(1.79*(1-w),"")</f>
        <v>1.1992999999999998</v>
      </c>
      <c r="D26" s="13">
        <v>1.79</v>
      </c>
      <c r="E26" s="13">
        <v>1.974845542806708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IFERROR(0.03*(1-w),"")</f>
        <v>0.020099999999999996</v>
      </c>
      <c r="D27" s="13">
        <v>0.03</v>
      </c>
      <c r="E27" s="13">
        <v>0.033097969991173877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IFERROR(100.0013*(1-w)+w*100,"")</f>
        <v>100.000871</v>
      </c>
      <c r="D28" s="13">
        <v>100.00130000000001</v>
      </c>
      <c r="E28" s="13">
        <v>100.0014342453663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4">
        <f>IFERROR(113*(1-w),"")</f>
        <v>75.71</v>
      </c>
      <c r="D30" s="14">
        <v>113</v>
      </c>
      <c r="E30" s="14">
        <v>124.66902030008826</v>
      </c>
      <c r="F30" s="14"/>
      <c r="G30" s="14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IFERROR(17.41762*(1-w)-w*2.443,"")</f>
        <v>10.863615399999997</v>
      </c>
      <c r="D32" s="13">
        <v>17.41762</v>
      </c>
      <c r="E32" s="13">
        <v>19.216262135922332</v>
      </c>
      <c r="F32" s="13"/>
      <c r="G32" s="13"/>
      <c r="I32" s="5"/>
    </row>
    <row r="33" outlineLevel="2">
      <c r="A33" s="12" t="s">
        <v>50</v>
      </c>
      <c r="B33" s="0" t="s">
        <v>49</v>
      </c>
      <c r="C33" s="13">
        <f>IFERROR(18.62*(1-w),"")</f>
        <v>12.475399999999999</v>
      </c>
      <c r="D33" s="13">
        <v>18.62</v>
      </c>
      <c r="E33" s="13">
        <v>20.542806707855252</v>
      </c>
      <c r="F33" s="13"/>
      <c r="G33" s="13"/>
      <c r="I33" s="5"/>
    </row>
    <row r="34" outlineLevel="2">
      <c r="A34" s="12" t="s">
        <v>51</v>
      </c>
      <c r="B34" s="0" t="s">
        <v>49</v>
      </c>
      <c r="C34" s="13">
        <f>IFERROR(17.8981242688*(1-w),"")</f>
        <v>11.991743260096001</v>
      </c>
      <c r="D34" s="13">
        <v>17.898124268800004</v>
      </c>
      <c r="E34" s="13">
        <v>19.746385998234778</v>
      </c>
      <c r="F34" s="13"/>
      <c r="G34" s="13"/>
      <c r="I34" s="5"/>
      <c r="J34" s="0" t="s">
        <v>35</v>
      </c>
    </row>
    <row r="35" outlineLevel="1">
      <c r="A35" s="11" t="s">
        <v>52</v>
      </c>
      <c r="I35" s="5"/>
    </row>
    <row r="36" outlineLevel="2">
      <c r="A36" s="12" t="s">
        <v>53</v>
      </c>
      <c r="B36" s="0" t="s">
        <v>54</v>
      </c>
      <c r="C36" s="14">
        <v>985</v>
      </c>
      <c r="D36" s="14"/>
      <c r="E36" s="14"/>
      <c r="F36" s="14"/>
      <c r="G36" s="14"/>
      <c r="I36" s="5"/>
      <c r="J36" s="0" t="s">
        <v>38</v>
      </c>
    </row>
    <row r="37" outlineLevel="2">
      <c r="A37" s="12" t="s">
        <v>55</v>
      </c>
      <c r="B37" s="0" t="s">
        <v>54</v>
      </c>
      <c r="C37" s="14">
        <v>1.3</v>
      </c>
      <c r="D37" s="14"/>
      <c r="E37" s="14"/>
      <c r="F37" s="14"/>
      <c r="G37" s="14"/>
      <c r="I37" s="5"/>
      <c r="J37" s="0" t="s">
        <v>38</v>
      </c>
    </row>
    <row r="38" outlineLevel="2">
      <c r="A38" s="12" t="s">
        <v>56</v>
      </c>
      <c r="B38" s="0" t="s">
        <v>54</v>
      </c>
      <c r="C38" s="14">
        <v>9.6</v>
      </c>
      <c r="D38" s="14"/>
      <c r="E38" s="14"/>
      <c r="F38" s="14"/>
      <c r="G38" s="14"/>
      <c r="I38" s="5"/>
      <c r="J38" s="0" t="s">
        <v>38</v>
      </c>
    </row>
    <row r="39" outlineLevel="2">
      <c r="A39" s="12" t="s">
        <v>57</v>
      </c>
      <c r="B39" s="0" t="s">
        <v>54</v>
      </c>
      <c r="C39" s="14">
        <v>99.3</v>
      </c>
      <c r="D39" s="14"/>
      <c r="E39" s="14"/>
      <c r="F39" s="14"/>
      <c r="G39" s="14"/>
      <c r="I39" s="5"/>
      <c r="J39" s="0" t="s">
        <v>38</v>
      </c>
    </row>
    <row r="40" outlineLevel="2">
      <c r="A40" s="12" t="s">
        <v>58</v>
      </c>
      <c r="B40" s="0" t="s">
        <v>54</v>
      </c>
      <c r="C40" s="14">
        <v>4940</v>
      </c>
      <c r="D40" s="14"/>
      <c r="E40" s="14"/>
      <c r="F40" s="14"/>
      <c r="G40" s="14"/>
      <c r="I40" s="5"/>
      <c r="J40" s="0" t="s">
        <v>38</v>
      </c>
    </row>
    <row r="41" outlineLevel="2">
      <c r="A41" s="12" t="s">
        <v>59</v>
      </c>
      <c r="B41" s="0" t="s">
        <v>54</v>
      </c>
      <c r="C41" s="14">
        <v>0.2</v>
      </c>
      <c r="D41" s="14"/>
      <c r="E41" s="14"/>
      <c r="F41" s="14"/>
      <c r="G41" s="14"/>
      <c r="I41" s="5"/>
      <c r="J41" s="0" t="s">
        <v>38</v>
      </c>
    </row>
    <row r="42" outlineLevel="2">
      <c r="A42" s="12" t="s">
        <v>60</v>
      </c>
      <c r="B42" s="0" t="s">
        <v>54</v>
      </c>
      <c r="C42" s="14">
        <v>0.8</v>
      </c>
      <c r="D42" s="14"/>
      <c r="E42" s="14"/>
      <c r="F42" s="14"/>
      <c r="G42" s="14"/>
      <c r="I42" s="5"/>
      <c r="J42" s="0" t="s">
        <v>38</v>
      </c>
    </row>
    <row r="43" outlineLevel="2">
      <c r="A43" s="12" t="s">
        <v>61</v>
      </c>
      <c r="B43" s="0" t="s">
        <v>54</v>
      </c>
      <c r="C43" s="14">
        <v>21</v>
      </c>
      <c r="D43" s="14"/>
      <c r="E43" s="14"/>
      <c r="F43" s="14"/>
      <c r="G43" s="14"/>
      <c r="I43" s="5"/>
      <c r="J43" s="0" t="s">
        <v>38</v>
      </c>
    </row>
    <row r="44" outlineLevel="2">
      <c r="A44" s="12" t="s">
        <v>62</v>
      </c>
      <c r="B44" s="0" t="s">
        <v>54</v>
      </c>
      <c r="C44" s="14">
        <v>4.8</v>
      </c>
      <c r="D44" s="14"/>
      <c r="E44" s="14"/>
      <c r="F44" s="14"/>
      <c r="G44" s="14"/>
      <c r="I44" s="5"/>
      <c r="J44" s="0" t="s">
        <v>38</v>
      </c>
    </row>
    <row r="45" outlineLevel="2">
      <c r="A45" s="12" t="s">
        <v>63</v>
      </c>
      <c r="B45" s="0" t="s">
        <v>54</v>
      </c>
      <c r="C45" s="14">
        <v>1047</v>
      </c>
      <c r="D45" s="14"/>
      <c r="E45" s="14"/>
      <c r="F45" s="14"/>
      <c r="G45" s="14"/>
      <c r="I45" s="5"/>
      <c r="J45" s="0" t="s">
        <v>38</v>
      </c>
    </row>
    <row r="46" outlineLevel="2">
      <c r="A46" s="12" t="s">
        <v>64</v>
      </c>
      <c r="B46" s="0" t="s">
        <v>54</v>
      </c>
      <c r="C46" s="14">
        <v>808</v>
      </c>
      <c r="D46" s="14"/>
      <c r="E46" s="14"/>
      <c r="F46" s="14"/>
      <c r="G46" s="14"/>
      <c r="I46" s="5"/>
      <c r="J46" s="0" t="s">
        <v>38</v>
      </c>
    </row>
    <row r="47" outlineLevel="2">
      <c r="A47" s="12" t="s">
        <v>65</v>
      </c>
      <c r="B47" s="0" t="s">
        <v>54</v>
      </c>
      <c r="C47" s="14">
        <v>373</v>
      </c>
      <c r="D47" s="14"/>
      <c r="E47" s="14"/>
      <c r="F47" s="14"/>
      <c r="G47" s="14"/>
      <c r="I47" s="5"/>
      <c r="J47" s="0" t="s">
        <v>38</v>
      </c>
    </row>
    <row r="48" outlineLevel="2">
      <c r="A48" s="12" t="s">
        <v>66</v>
      </c>
      <c r="B48" s="0" t="s">
        <v>54</v>
      </c>
      <c r="C48" s="14">
        <v>93.1</v>
      </c>
      <c r="D48" s="14"/>
      <c r="E48" s="14"/>
      <c r="F48" s="14"/>
      <c r="G48" s="14"/>
      <c r="I48" s="5"/>
      <c r="J48" s="0" t="s">
        <v>38</v>
      </c>
    </row>
    <row r="49" outlineLevel="2">
      <c r="A49" s="12" t="s">
        <v>67</v>
      </c>
      <c r="B49" s="0" t="s">
        <v>54</v>
      </c>
      <c r="C49" s="14">
        <v>1.2</v>
      </c>
      <c r="D49" s="14"/>
      <c r="E49" s="14"/>
      <c r="F49" s="14"/>
      <c r="G49" s="14"/>
      <c r="I49" s="5"/>
      <c r="J49" s="0" t="s">
        <v>38</v>
      </c>
    </row>
    <row r="50" outlineLevel="2">
      <c r="A50" s="12" t="s">
        <v>68</v>
      </c>
      <c r="B50" s="0" t="s">
        <v>54</v>
      </c>
      <c r="C50" s="14">
        <v>544</v>
      </c>
      <c r="D50" s="14"/>
      <c r="E50" s="14"/>
      <c r="F50" s="14"/>
      <c r="G50" s="14"/>
      <c r="I50" s="5"/>
      <c r="J50" s="0" t="s">
        <v>38</v>
      </c>
    </row>
    <row r="51" outlineLevel="2">
      <c r="A51" s="12" t="s">
        <v>69</v>
      </c>
      <c r="B51" s="0" t="s">
        <v>54</v>
      </c>
      <c r="C51" s="14">
        <v>6.9</v>
      </c>
      <c r="D51" s="14"/>
      <c r="E51" s="14"/>
      <c r="F51" s="14"/>
      <c r="G51" s="14"/>
      <c r="I51" s="5"/>
      <c r="J51" s="0" t="s">
        <v>38</v>
      </c>
    </row>
    <row r="52" outlineLevel="2">
      <c r="A52" s="12" t="s">
        <v>70</v>
      </c>
      <c r="B52" s="0" t="s">
        <v>54</v>
      </c>
      <c r="C52" s="14">
        <v>115</v>
      </c>
      <c r="D52" s="14"/>
      <c r="E52" s="14"/>
      <c r="F52" s="14"/>
      <c r="G52" s="14"/>
      <c r="I52" s="5"/>
      <c r="J52" s="0" t="s">
        <v>38</v>
      </c>
    </row>
    <row r="53" outlineLevel="2">
      <c r="A53" s="12" t="s">
        <v>71</v>
      </c>
      <c r="B53" s="0" t="s">
        <v>54</v>
      </c>
      <c r="C53" s="14">
        <v>190</v>
      </c>
      <c r="D53" s="14"/>
      <c r="E53" s="14"/>
      <c r="F53" s="14"/>
      <c r="G53" s="14"/>
      <c r="I53" s="5"/>
      <c r="J53" s="0" t="s">
        <v>38</v>
      </c>
    </row>
    <row r="54" outlineLevel="2">
      <c r="A54" s="12" t="s">
        <v>72</v>
      </c>
      <c r="B54" s="0" t="s">
        <v>54</v>
      </c>
      <c r="C54" s="14">
        <v>1.5</v>
      </c>
      <c r="D54" s="14"/>
      <c r="E54" s="14"/>
      <c r="F54" s="14"/>
      <c r="G54" s="14"/>
      <c r="I54" s="5"/>
      <c r="J54" s="0" t="s">
        <v>38</v>
      </c>
    </row>
    <row r="55" outlineLevel="2">
      <c r="A55" s="12" t="s">
        <v>73</v>
      </c>
      <c r="B55" s="0" t="s">
        <v>54</v>
      </c>
      <c r="C55" s="14">
        <v>0.3</v>
      </c>
      <c r="D55" s="14"/>
      <c r="E55" s="14"/>
      <c r="F55" s="14"/>
      <c r="G55" s="14"/>
      <c r="I55" s="5"/>
      <c r="J55" s="0" t="s">
        <v>38</v>
      </c>
    </row>
    <row r="56" outlineLevel="2">
      <c r="A56" s="12" t="s">
        <v>74</v>
      </c>
      <c r="B56" s="0" t="s">
        <v>54</v>
      </c>
      <c r="C56" s="14">
        <v>3612</v>
      </c>
      <c r="D56" s="14"/>
      <c r="E56" s="14"/>
      <c r="F56" s="14"/>
      <c r="G56" s="14"/>
      <c r="I56" s="5"/>
      <c r="J56" s="0" t="s">
        <v>38</v>
      </c>
    </row>
    <row r="57" outlineLevel="2">
      <c r="A57" s="12" t="s">
        <v>75</v>
      </c>
      <c r="B57" s="0" t="s">
        <v>54</v>
      </c>
      <c r="C57" s="14">
        <v>2.5</v>
      </c>
      <c r="D57" s="14"/>
      <c r="E57" s="14"/>
      <c r="F57" s="14"/>
      <c r="G57" s="14"/>
      <c r="I57" s="5"/>
      <c r="J57" s="0" t="s">
        <v>38</v>
      </c>
    </row>
    <row r="58" outlineLevel="2">
      <c r="A58" s="12" t="s">
        <v>76</v>
      </c>
      <c r="B58" s="0" t="s">
        <v>54</v>
      </c>
      <c r="C58" s="14">
        <v>19.5</v>
      </c>
      <c r="D58" s="14"/>
      <c r="E58" s="14"/>
      <c r="F58" s="14"/>
      <c r="G58" s="14"/>
      <c r="I58" s="5"/>
      <c r="J58" s="0" t="s">
        <v>38</v>
      </c>
    </row>
    <row r="59" outlineLevel="2">
      <c r="A59" s="12" t="s">
        <v>77</v>
      </c>
      <c r="B59" s="0" t="s">
        <v>54</v>
      </c>
      <c r="C59" s="14">
        <v>133.5</v>
      </c>
      <c r="D59" s="14"/>
      <c r="E59" s="14"/>
      <c r="F59" s="14"/>
      <c r="G59" s="14"/>
      <c r="I59" s="5"/>
      <c r="J59" s="0" t="s">
        <v>38</v>
      </c>
    </row>
    <row r="60" outlineLevel="2">
      <c r="A60" s="12" t="s">
        <v>78</v>
      </c>
      <c r="B60" s="0" t="s">
        <v>54</v>
      </c>
      <c r="C60" s="14">
        <v>1.6</v>
      </c>
      <c r="D60" s="14"/>
      <c r="E60" s="14"/>
      <c r="F60" s="14"/>
      <c r="G60" s="14"/>
      <c r="I60" s="5"/>
      <c r="J60" s="0" t="s">
        <v>38</v>
      </c>
    </row>
    <row r="61" outlineLevel="2">
      <c r="A61" s="12" t="s">
        <v>79</v>
      </c>
      <c r="B61" s="0" t="s">
        <v>54</v>
      </c>
      <c r="C61" s="14">
        <v>114.5</v>
      </c>
      <c r="D61" s="14"/>
      <c r="E61" s="14"/>
      <c r="F61" s="14"/>
      <c r="G61" s="14"/>
      <c r="I61" s="5"/>
      <c r="J61" s="0" t="s">
        <v>38</v>
      </c>
    </row>
    <row r="62">
      <c r="A62" s="7" t="s">
        <v>80</v>
      </c>
      <c r="I62" s="5"/>
    </row>
    <row r="63" outlineLevel="1">
      <c r="A63" s="11" t="s">
        <v>81</v>
      </c>
      <c r="I63" s="5"/>
    </row>
    <row r="64" outlineLevel="2">
      <c r="A64" s="12" t="s">
        <v>82</v>
      </c>
      <c r="B64" s="0" t="s">
        <v>83</v>
      </c>
      <c r="C64" s="14">
        <v>324</v>
      </c>
      <c r="D64" s="14"/>
      <c r="E64" s="14"/>
      <c r="F64" s="14"/>
      <c r="G64" s="14"/>
      <c r="I64" s="5"/>
    </row>
    <row r="65" outlineLevel="2">
      <c r="A65" s="12" t="s">
        <v>84</v>
      </c>
      <c r="B65" s="0" t="s">
        <v>83</v>
      </c>
      <c r="C65" s="14">
        <v>0.3</v>
      </c>
      <c r="D65" s="14"/>
      <c r="E65" s="14"/>
      <c r="F65" s="14"/>
      <c r="G65" s="14"/>
      <c r="I65" s="5"/>
    </row>
    <row r="66" outlineLevel="2">
      <c r="A66" s="12" t="s">
        <v>85</v>
      </c>
      <c r="B66" s="0" t="s">
        <v>83</v>
      </c>
      <c r="C66" s="14">
        <v>42.2</v>
      </c>
      <c r="D66" s="14"/>
      <c r="E66" s="14"/>
      <c r="F66" s="14"/>
      <c r="G66" s="14"/>
      <c r="I66" s="5"/>
    </row>
    <row r="67" outlineLevel="2">
      <c r="A67" s="12" t="s">
        <v>86</v>
      </c>
      <c r="B67" s="0" t="s">
        <v>83</v>
      </c>
      <c r="C67" s="14">
        <v>680</v>
      </c>
      <c r="D67" s="14"/>
      <c r="E67" s="14"/>
      <c r="F67" s="14"/>
      <c r="G67" s="14"/>
      <c r="I67" s="5"/>
    </row>
    <row r="68" outlineLevel="2">
      <c r="A68" s="12" t="s">
        <v>87</v>
      </c>
      <c r="B68" s="0" t="s">
        <v>83</v>
      </c>
      <c r="C68" s="14">
        <v>360</v>
      </c>
      <c r="D68" s="14"/>
      <c r="E68" s="14"/>
      <c r="F68" s="14"/>
      <c r="G68" s="14"/>
      <c r="I68" s="5"/>
    </row>
    <row r="69">
      <c r="I69" s="5"/>
    </row>
    <row r="70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4:E64"/>
    <mergeCell ref="C65:E65"/>
    <mergeCell ref="C66:E66"/>
    <mergeCell ref="C67:E67"/>
    <mergeCell ref="C68:E68"/>
  </mergeCells>
  <dataValidations count="1">
    <dataValidation type="decimal" sqref="C18" errorStyle="stop" promptTitle="Enter moisture content" errorTitle="Invalid moisture content" prompt="Value should be between 0 and 100.&#10;Original value: 3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https://phyllis.nl/Biomass/View/1364</dc:description>
  <dcterms:created xsi:type="dcterms:W3CDTF">2026-03-19T04:03:09Z</dcterms:created>
  <dc:title>Phyllis2 #1364 shuttering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