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65 wood, beech" sheetId="1" r:id="rId1"/>
  </sheets>
  <definedNames>
    <definedName name="w" localSheetId="0">IF(ISBLANK('Phyllis2 #1365 wood, beech'!$C$20),#N/A,'Phyllis2 #1365 wood, beech'!$C$20/100)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<sst xmlns="http://schemas.openxmlformats.org/spreadsheetml/2006/main" count="55" uniqueCount="55">
  <si>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</si>
  <si>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https://phyllis.nl/Biomass/View/1365</t>
  </si>
  <si>
    <t>wood, beech (#1365)</t>
  </si>
  <si>
    <t>ID-number</t>
  </si>
  <si>
    <t>#1365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</si>
  <si>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</si>
  <si>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</si>
  <si>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</si>
  <si>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</si>
  <si>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</si>
  <si>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Ash type</t>
  </si>
  <si>
    <t>ash content: 550degC</t>
  </si>
  <si>
    <t>Submitter organisation</t>
  </si>
  <si>
    <t>ECN (Netherlands)</t>
  </si>
  <si>
    <t>Submission date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</si>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</sst>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36179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15.2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IFERROR(0.6*(1-w),"")</f>
        <v>0.50879999999999992</v>
      </c>
      <c r="D21" s="13">
        <v>0.6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IFERROR(84.87*(1-w),"")</f>
        <v>71.969760000000008</v>
      </c>
      <c r="D22" s="13">
        <v>84.87</v>
      </c>
      <c r="E22" s="13">
        <v>85.382293762575458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IFERROR(14.53*(1-w),"")</f>
        <v>12.32144</v>
      </c>
      <c r="D23" s="13">
        <v>14.530000000000001</v>
      </c>
      <c r="E23" s="13">
        <v>14.617706237424548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IFERROR(49.38*(1-w),"")</f>
        <v>41.87424</v>
      </c>
      <c r="D25" s="13">
        <v>49.38</v>
      </c>
      <c r="E25" s="13">
        <v>49.678068410462778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IFERROR(6.17*(1-w),"")</f>
        <v>5.2321599999999995</v>
      </c>
      <c r="D26" s="13">
        <v>6.17</v>
      </c>
      <c r="E26" s="13">
        <v>6.2072434607645874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IFERROR(43.55*(1-w),"")</f>
        <v>36.9304</v>
      </c>
      <c r="D27" s="13">
        <v>43.55</v>
      </c>
      <c r="E27" s="13">
        <v>43.812877263581484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IFERROR(0.28*(1-w),"")</f>
        <v>0.23744</v>
      </c>
      <c r="D28" s="13">
        <v>0.28</v>
      </c>
      <c r="E28" s="13">
        <v>0.28169014084507044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IFERROR(0.01*(1-w),"")</f>
        <v>0.00848</v>
      </c>
      <c r="D29" s="13">
        <v>0.01</v>
      </c>
      <c r="E29" s="13">
        <v>0.010060362173038229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IFERROR(100.0013*(1-w)+w*100,"")</f>
        <v>100.00110240000001</v>
      </c>
      <c r="D30" s="13">
        <v>100.0013</v>
      </c>
      <c r="E30" s="13">
        <v>100.0013078470825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IFERROR(113*(1-w),"")</f>
        <v>95.824</v>
      </c>
      <c r="D32" s="14">
        <v>113</v>
      </c>
      <c r="E32" s="14">
        <v>113.68209255533199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IFERROR(17.9686*(1-w)-w*2.443,"")</f>
        <v>14.866036799999998</v>
      </c>
      <c r="D34" s="13">
        <v>17.9686</v>
      </c>
      <c r="E34" s="13">
        <v>18.077062374245472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IFERROR(19.315*(1-w),"")</f>
        <v>16.37912</v>
      </c>
      <c r="D35" s="13">
        <v>19.315</v>
      </c>
      <c r="E35" s="13">
        <v>19.431589537223342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IFERROR(19.72728108*(1-w),"")</f>
        <v>16.72873435584</v>
      </c>
      <c r="D36" s="13">
        <v>19.72728108</v>
      </c>
      <c r="E36" s="13">
        <v>19.846359235412475</v>
      </c>
      <c r="F36" s="13"/>
      <c r="G36" s="13"/>
      <c r="I36" s="5"/>
      <c r="J36" s="0" t="s">
        <v>38</v>
      </c>
    </row>
    <row r="37">
      <c r="I37" s="5"/>
    </row>
    <row r="38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15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https://phyllis.nl/Biomass/View/1365</dc:description>
  <dcterms:created xsi:type="dcterms:W3CDTF">2026-03-19T04:19:38Z</dcterms:created>
  <dc:title>Phyllis2 #1365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