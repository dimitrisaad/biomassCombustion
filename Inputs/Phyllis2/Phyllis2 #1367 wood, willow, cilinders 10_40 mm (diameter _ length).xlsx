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67 wood, willow, ci" sheetId="1" r:id="rId1"/>
  </sheets>
  <definedNames>
    <definedName name="w" localSheetId="0">IF(ISBLANK('Phyllis2 #1367 wood, willow, ci'!$C$20),#N/A,'Phyllis2 #1367 wood, willow, ci'!$C$20/100)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<sst xmlns="http://schemas.openxmlformats.org/spreadsheetml/2006/main" count="54" uniqueCount="54">
  <si>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</si>
  <si>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https://phyllis.nl/Biomass/View/1367</t>
  </si>
  <si>
    <t>wood, willow, cilinders 10*40 mm (diameter * length) (#1367)</t>
  </si>
  <si>
    <t>ID-number</t>
  </si>
  <si>
    <t>#1367</t>
  </si>
  <si>
    <t>Material</t>
  </si>
  <si>
    <t>wood, willow, cilinders 10*40 mm (diameter * length)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</si>
  <si>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</si>
  <si>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</si>
  <si>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</si>
  <si>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</si>
  <si>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550degC</t>
  </si>
  <si>
    <t>Submitter organisation</t>
  </si>
  <si>
    <t>ECN (Netherlands)</t>
  </si>
  <si>
    <t>Submission date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</si>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</sst>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36145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IFERROR(2.1*(1-w),"")</f>
        <v>1.8774000000000002</v>
      </c>
      <c r="D21" s="13">
        <v>2.1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IFERROR(79.3*(1-w),"")</f>
        <v>70.8942</v>
      </c>
      <c r="D22" s="13">
        <v>79.3</v>
      </c>
      <c r="E22" s="13">
        <v>81.001021450459646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IFERROR(18.6*(1-w),"")</f>
        <v>16.628400000000006</v>
      </c>
      <c r="D23" s="13">
        <v>18.600000000000009</v>
      </c>
      <c r="E23" s="13">
        <v>18.998978549540357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IFERROR(48.01*(1-w),"")</f>
        <v>42.92094</v>
      </c>
      <c r="D25" s="13">
        <v>48.01</v>
      </c>
      <c r="E25" s="13">
        <v>49.039836567926457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IFERROR(5.85*(1-w),"")</f>
        <v>5.2299</v>
      </c>
      <c r="D26" s="13">
        <v>5.85</v>
      </c>
      <c r="E26" s="13">
        <v>5.9754851889683351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IFERROR(43.45*(1-w),"")</f>
        <v>38.844300000000004</v>
      </c>
      <c r="D27" s="13">
        <v>43.45</v>
      </c>
      <c r="E27" s="13">
        <v>44.382022471910119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IFERROR(0.57*(1-w),"")</f>
        <v>0.50957999999999992</v>
      </c>
      <c r="D28" s="13">
        <v>0.57</v>
      </c>
      <c r="E28" s="13">
        <v>0.58222676200204282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IFERROR(100.005*(1-w)+w*100,"")</f>
        <v>100.00447</v>
      </c>
      <c r="D29" s="13">
        <v>100.005</v>
      </c>
      <c r="E29" s="13">
        <v>100.00510725229827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IFERROR(250*(1-w),"")</f>
        <v>223.5</v>
      </c>
      <c r="D31" s="14">
        <v>250</v>
      </c>
      <c r="E31" s="14">
        <v>255.36261491317671</v>
      </c>
      <c r="F31" s="14"/>
      <c r="G31" s="14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IFERROR(16.65343*(1-w)-w*2.443,"")</f>
        <v>14.629208420000001</v>
      </c>
      <c r="D33" s="13">
        <v>16.65343</v>
      </c>
      <c r="E33" s="13">
        <v>17.010653728294177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IFERROR(17.93*(1-w),"")</f>
        <v>16.02942</v>
      </c>
      <c r="D34" s="13">
        <v>17.93</v>
      </c>
      <c r="E34" s="13">
        <v>18.314606741573034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IFERROR(18.79125473*(1-w),"")</f>
        <v>16.799381728620006</v>
      </c>
      <c r="D35" s="13">
        <v>18.791254730000006</v>
      </c>
      <c r="E35" s="13">
        <v>19.194335781409606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0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https://phyllis.nl/Biomass/View/1367</dc:description>
  <dcterms:created xsi:type="dcterms:W3CDTF">2026-03-19T07:31:33Z</dcterms:created>
  <dc:title>Phyllis2 #1367 wood, willow, cilinders 10*40 mm (diameter * length)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