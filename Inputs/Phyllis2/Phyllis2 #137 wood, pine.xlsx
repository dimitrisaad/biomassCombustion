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37 wood, pine" sheetId="1" r:id="rId1"/>
  </sheets>
  <definedNames>
    <definedName name="w" localSheetId="0">IF(ISBLANK('Phyllis2 #137 wood, pine'!$C$17),#N/A,'Phyllis2 #137 wood, pine'!$C$17/100)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<sst xmlns="http://schemas.openxmlformats.org/spreadsheetml/2006/main" count="51" uniqueCount="51">
  <si>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</si>
  <si>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https://phyllis.nl/Biomass/View/137</t>
  </si>
  <si>
    <t>wood, pine (#137)</t>
  </si>
  <si>
    <t>ID-number</t>
  </si>
  <si>
    <t>#137</t>
  </si>
  <si>
    <t>Material</t>
  </si>
  <si>
    <t>wood, pine</t>
  </si>
  <si>
    <t>Classification</t>
  </si>
  <si>
    <t>ECN Phyllis classification &gt; untreated wood &gt; fir/pine/spruce &gt; wood, pine</t>
  </si>
  <si>
    <t>NTA 8003 classification &gt; [100] hout &gt; [110] vers hout &gt; [130] naaldhout &gt; [131] naaldhout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</si>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</sst>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3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9.78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IFERROR(0.47*(1-w),"")</f>
        <v>0.42403399999999997</v>
      </c>
      <c r="D18" s="11">
        <v>0.47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IFERROR(83.18*(1-w),"")</f>
        <v>75.044996000000012</v>
      </c>
      <c r="D19" s="11">
        <v>83.18</v>
      </c>
      <c r="E19" s="11">
        <v>83.572792122978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IFERROR(16.35*(1-w),"")</f>
        <v>14.750969999999995</v>
      </c>
      <c r="D20" s="11">
        <v>16.349999999999994</v>
      </c>
      <c r="E20" s="11">
        <v>16.427207877022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IFERROR(51.57*(1-w),"")</f>
        <v>46.526454</v>
      </c>
      <c r="D22" s="11">
        <v>51.57</v>
      </c>
      <c r="E22" s="11">
        <v>51.813523560735462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IFERROR(6.12*(1-w),"")</f>
        <v>5.521464</v>
      </c>
      <c r="D23" s="11">
        <v>6.12</v>
      </c>
      <c r="E23" s="11">
        <v>6.1488998291972274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IFERROR(41.56*(1-w),"")</f>
        <v>37.495432</v>
      </c>
      <c r="D24" s="11">
        <v>41.56</v>
      </c>
      <c r="E24" s="11">
        <v>41.7562543956596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IFERROR(0.18*(1-w),"")</f>
        <v>0.16239599999999998</v>
      </c>
      <c r="D25" s="11">
        <v>0.18</v>
      </c>
      <c r="E25" s="11">
        <v>0.18084999497638904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IFERROR(0.08*(1-w),"")</f>
        <v>0.072176</v>
      </c>
      <c r="D26" s="11">
        <v>0.08</v>
      </c>
      <c r="E26" s="11">
        <v>0.0803777755450618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</v>
      </c>
      <c r="D27" s="11">
        <v>100</v>
      </c>
      <c r="E27" s="11">
        <v>100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IFERROR(200*(1-w),"")</f>
        <v>180.44</v>
      </c>
      <c r="D29" s="12">
        <v>200</v>
      </c>
      <c r="E29" s="12">
        <v>200.94443886265449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IFERROR(19.29569*(1-w)-w*2.443,"")</f>
        <v>17.169646118</v>
      </c>
      <c r="D31" s="11">
        <v>19.29569</v>
      </c>
      <c r="E31" s="11">
        <v>19.386807997588669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IFERROR(20.63118*(1-w),"")</f>
        <v>18.613450596</v>
      </c>
      <c r="D32" s="11">
        <v>20.63118</v>
      </c>
      <c r="E32" s="11">
        <v>20.7286044408721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IFERROR(20.6655407977*(1-w),"")</f>
        <v>18.644450907684945</v>
      </c>
      <c r="D33" s="11">
        <v>20.665540797700004</v>
      </c>
      <c r="E33" s="11">
        <v>20.763127496935603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9.7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https://phyllis.nl/Biomass/View/137</dc:description>
  <dcterms:created xsi:type="dcterms:W3CDTF">2026-03-19T04:23:59Z</dcterms:created>
  <dc:title>Phyllis2 #137 wood,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