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71 wood, cilinders " sheetId="1" r:id="rId1"/>
  </sheets>
  <definedNames>
    <definedName name="w" localSheetId="0">IF(ISBLANK('Phyllis2 #1371 wood, cilinders '!$C$20),#N/A,'Phyllis2 #1371 wood, cilinders 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<sst xmlns="http://schemas.openxmlformats.org/spreadsheetml/2006/main" count="54" uniqueCount="54">
  <si>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</si>
  <si>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https://phyllis.nl/Biomass/View/1371</t>
  </si>
  <si>
    <t>wood, cilinders 10*10 mm (diameter * length) (#1371)</t>
  </si>
  <si>
    <t>ID-number</t>
  </si>
  <si>
    <t>#1371</t>
  </si>
  <si>
    <t>Material</t>
  </si>
  <si>
    <t>wood, cilinders 10*10 mm (diameter * length)</t>
  </si>
  <si>
    <t>Classification</t>
  </si>
  <si>
    <t>ECN Phyllis classification &gt; untreated wood &gt; willow</t>
  </si>
  <si>
    <t>NTA 8003 classification &gt; [100] hout &gt; [110] vers hout &gt; [120] loofhout &gt; [122] zacht loofhout</t>
  </si>
  <si>
    <t>Ash type</t>
  </si>
  <si>
    <t>550degC</t>
  </si>
  <si>
    <t>Submitter organisation</t>
  </si>
  <si>
    <t>ECN (Netherlands)</t>
  </si>
  <si>
    <t>Submission date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</si>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</sst>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36145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IFERROR(1.96*(1-w),"")</f>
        <v>1.666</v>
      </c>
      <c r="D21" s="13">
        <v>1.96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IFERROR(79.5*(1-w),"")</f>
        <v>67.575</v>
      </c>
      <c r="D22" s="13">
        <v>79.5</v>
      </c>
      <c r="E22" s="13">
        <v>81.089351285189721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IFERROR(18.54*(1-w),"")</f>
        <v>15.759000000000006</v>
      </c>
      <c r="D23" s="13">
        <v>18.540000000000006</v>
      </c>
      <c r="E23" s="13">
        <v>18.910648714810286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IFERROR(48.4*(1-w),"")</f>
        <v>41.14</v>
      </c>
      <c r="D25" s="13">
        <v>48.4</v>
      </c>
      <c r="E25" s="13">
        <v>49.367605059159523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IFERROR(5.95*(1-w),"")</f>
        <v>5.0575</v>
      </c>
      <c r="D26" s="13">
        <v>5.95</v>
      </c>
      <c r="E26" s="13">
        <v>6.0689514483884128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IFERROR(43.25*(1-w),"")</f>
        <v>36.762499999999996</v>
      </c>
      <c r="D27" s="13">
        <v>43.25</v>
      </c>
      <c r="E27" s="13">
        <v>44.114647082823332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IFERROR(0.42*(1-w),"")</f>
        <v>0.357</v>
      </c>
      <c r="D28" s="13">
        <v>0.42</v>
      </c>
      <c r="E28" s="13">
        <v>0.42839657282741733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IFERROR(99.995*(1-w)+w*100,"")</f>
        <v>99.995749999999987</v>
      </c>
      <c r="D29" s="13">
        <v>99.99499999999999</v>
      </c>
      <c r="E29" s="13">
        <v>99.994900040799664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IFERROR(150*(1-w),"")</f>
        <v>127.5</v>
      </c>
      <c r="D31" s="14">
        <v>150</v>
      </c>
      <c r="E31" s="14">
        <v>152.99877600979192</v>
      </c>
      <c r="F31" s="14"/>
      <c r="G31" s="14"/>
      <c r="I31" s="5"/>
      <c r="J31" s="0" t="s">
        <v>41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IFERROR(18.01983*(1-w)-w*2.443,"")</f>
        <v>14.950405499999999</v>
      </c>
      <c r="D33" s="13">
        <v>18.01983</v>
      </c>
      <c r="E33" s="13">
        <v>18.380079559363523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IFERROR(19.1*(1-w),"")</f>
        <v>16.235</v>
      </c>
      <c r="D34" s="13">
        <v>19.1</v>
      </c>
      <c r="E34" s="13">
        <v>19.481844145246839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IFERROR(19.1004997648*(1-w),"")</f>
        <v>16.23542480008</v>
      </c>
      <c r="D35" s="13">
        <v>19.100499764800002</v>
      </c>
      <c r="E35" s="13">
        <v>19.482353901264791</v>
      </c>
      <c r="F35" s="13"/>
      <c r="G35" s="13"/>
      <c r="I35" s="5"/>
      <c r="J35" s="0" t="s">
        <v>38</v>
      </c>
    </row>
    <row r="36">
      <c r="I36" s="5"/>
    </row>
    <row r="3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https://phyllis.nl/Biomass/View/1371</dc:description>
  <dcterms:created xsi:type="dcterms:W3CDTF">2026-03-19T07:31:19Z</dcterms:created>
  <dc:title>Phyllis2 #1371 wood, cilinders 10*10 mm (diameter * length)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