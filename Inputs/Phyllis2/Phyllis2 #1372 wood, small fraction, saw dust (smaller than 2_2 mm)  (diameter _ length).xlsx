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72 wood, small frac" sheetId="1" r:id="rId1"/>
  </sheets>
  <definedNames>
    <definedName name="w" localSheetId="0">IF(ISBLANK('Phyllis2 #1372 wood, small frac'!$C$20),#N/A,'Phyllis2 #1372 wood, small frac'!$C$20/100)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<sst xmlns="http://schemas.openxmlformats.org/spreadsheetml/2006/main" count="54" uniqueCount="54">
  <si>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</si>
  <si>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https://phyllis.nl/Biomass/View/1372</t>
  </si>
  <si>
    <t xml:space="preserve">wood, small fraction, saw dust (smaller than 2*2 mm)  (diameter * length) (#1372)</t>
  </si>
  <si>
    <t>ID-number</t>
  </si>
  <si>
    <t>#1372</t>
  </si>
  <si>
    <t>Material</t>
  </si>
  <si>
    <t xml:space="preserve">wood, small fraction, saw dust (smaller than 2*2 mm)  (diameter * length)</t>
  </si>
  <si>
    <t>Classification</t>
  </si>
  <si>
    <t>ECN Phyllis classification &gt; untreated wood &gt; willow</t>
  </si>
  <si>
    <t>NTA 8003 classification &gt; [100] hout &gt; [110] vers hout &gt; [115] zaagsel</t>
  </si>
  <si>
    <t>Ash type</t>
  </si>
  <si>
    <t>550degC</t>
  </si>
  <si>
    <t>Submitter organisation</t>
  </si>
  <si>
    <t>ECN (Netherlands)</t>
  </si>
  <si>
    <t>Submission date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</si>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</sst>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36145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10.5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IFERROR(2.8*(1-w),"")</f>
        <v>2.506</v>
      </c>
      <c r="D21" s="13">
        <v>2.8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IFERROR(78.3*(1-w),"")</f>
        <v>70.0785</v>
      </c>
      <c r="D22" s="13">
        <v>78.3</v>
      </c>
      <c r="E22" s="13">
        <v>80.555555555555557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IFERROR(18.9*(1-w),"")</f>
        <v>16.915500000000005</v>
      </c>
      <c r="D23" s="13">
        <v>18.900000000000006</v>
      </c>
      <c r="E23" s="13">
        <v>19.44444444444445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IFERROR(47.54*(1-w),"")</f>
        <v>42.5483</v>
      </c>
      <c r="D25" s="13">
        <v>47.54</v>
      </c>
      <c r="E25" s="13">
        <v>48.909465020576135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IFERROR(5.8*(1-w),"")</f>
        <v>5.191</v>
      </c>
      <c r="D26" s="13">
        <v>5.8</v>
      </c>
      <c r="E26" s="13">
        <v>5.9670781893004117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IFERROR(43.23*(1-w),"")</f>
        <v>38.69085</v>
      </c>
      <c r="D27" s="13">
        <v>43.23</v>
      </c>
      <c r="E27" s="13">
        <v>44.4753086419753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IFERROR(0.61*(1-w),"")</f>
        <v>0.54595</v>
      </c>
      <c r="D28" s="13">
        <v>0.61</v>
      </c>
      <c r="E28" s="13">
        <v>0.62757201646090532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IFERROR(99.996*(1-w)+w*100,"")</f>
        <v>99.99642</v>
      </c>
      <c r="D29" s="13">
        <v>99.996</v>
      </c>
      <c r="E29" s="13">
        <v>99.995884773662553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IFERROR(160*(1-w),"")</f>
        <v>143.2</v>
      </c>
      <c r="D31" s="14">
        <v>160</v>
      </c>
      <c r="E31" s="14">
        <v>164.6090534979424</v>
      </c>
      <c r="F31" s="14"/>
      <c r="G31" s="14"/>
      <c r="I31" s="5"/>
      <c r="J31" s="0" t="s">
        <v>41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IFERROR(17.48434*(1-w)-w*2.443,"")</f>
        <v>15.3919693</v>
      </c>
      <c r="D33" s="13">
        <v>17.48434</v>
      </c>
      <c r="E33" s="13">
        <v>17.988004115226339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IFERROR(18.75*(1-w),"")</f>
        <v>16.78125</v>
      </c>
      <c r="D34" s="13">
        <v>18.75</v>
      </c>
      <c r="E34" s="13">
        <v>19.290123456790123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IFERROR(18.57629952*(1-w),"")</f>
        <v>16.625788070400006</v>
      </c>
      <c r="D35" s="13">
        <v>18.576299520000006</v>
      </c>
      <c r="E35" s="13">
        <v>19.111419259259264</v>
      </c>
      <c r="F35" s="13"/>
      <c r="G35" s="13"/>
      <c r="I35" s="5"/>
      <c r="J35" s="0" t="s">
        <v>38</v>
      </c>
    </row>
    <row r="36">
      <c r="I36" s="5"/>
    </row>
    <row r="3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https://phyllis.nl/Biomass/View/1372</dc:description>
  <dcterms:created xsi:type="dcterms:W3CDTF">2026-03-19T07:31:21Z</dcterms:created>
  <dc:title>Phyllis2 #1372 wood, small fraction, saw dust (smaller than 2*2 mm)  (diameter * length)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