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09 bark" sheetId="1" r:id="rId1"/>
  </sheets>
  <definedNames>
    <definedName name="w" localSheetId="0">IF(ISBLANK('Phyllis2 #1409 bark'!$C$18),#N/A,'Phyllis2 #1409 bark'!$C$18/100)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<sst xmlns="http://schemas.openxmlformats.org/spreadsheetml/2006/main" count="57" uniqueCount="57">
  <si>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</si>
  <si>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https://phyllis.nl/Biomass/View/1409</t>
  </si>
  <si>
    <t>bark (#1409)</t>
  </si>
  <si>
    <t>ID-number</t>
  </si>
  <si>
    <t>#1409</t>
  </si>
  <si>
    <t>Material</t>
  </si>
  <si>
    <t>bark</t>
  </si>
  <si>
    <t>Classification</t>
  </si>
  <si>
    <t>ECN Phyllis classification &gt; untreated wood &gt; bark &gt; bark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</si>
  <si>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</si>
  <si>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</si>
  <si>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</si>
  <si>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</si>
  <si>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</si>
  <si>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B. Skrifvars, R. Zevenhoven, M. Frankenhaeuser and M. Hupa: Sintering of ashes from PDF co-combustion with peat, wood and bark. In: Finnish-Swedish Flame Days 1996, September 3-4, Naantali, Finland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</si>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</sst>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36231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10.9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IFERROR(2.3*(1-w),"")</f>
        <v>2.0492999999999997</v>
      </c>
      <c r="D19" s="13">
        <v>2.3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IFERROR(78.1*(1-w),"")</f>
        <v>69.587099999999992</v>
      </c>
      <c r="D20" s="13">
        <v>78.1</v>
      </c>
      <c r="E20" s="13">
        <v>79.938587512794271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IFERROR(19.6*(1-w),"")</f>
        <v>17.463600000000007</v>
      </c>
      <c r="D21" s="13">
        <v>19.600000000000009</v>
      </c>
      <c r="E21" s="13">
        <v>20.06141248720574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IFERROR(55.1*(1-w),"")</f>
        <v>49.094100000000005</v>
      </c>
      <c r="D23" s="13">
        <v>55.1</v>
      </c>
      <c r="E23" s="13">
        <v>56.3971340839304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IFERROR(6.3*(1-w),"")</f>
        <v>5.6133</v>
      </c>
      <c r="D24" s="13">
        <v>6.3</v>
      </c>
      <c r="E24" s="13">
        <v>6.4483111566018421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IFERROR(35.81*(1-w),"")</f>
        <v>31.906710000000004</v>
      </c>
      <c r="D25" s="13">
        <v>35.81</v>
      </c>
      <c r="E25" s="13">
        <v>36.653019447287619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IFERROR(0.44*(1-w),"")</f>
        <v>0.39204</v>
      </c>
      <c r="D26" s="13">
        <v>0.44</v>
      </c>
      <c r="E26" s="13">
        <v>0.45035823950870013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IFERROR(0.05*(1-w),"")</f>
        <v>0.044550000000000006</v>
      </c>
      <c r="D27" s="13">
        <v>0.05</v>
      </c>
      <c r="E27" s="13">
        <v>0.0511770726714432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IFERROR(100*(1-w)+w*100,"")</f>
        <v>100</v>
      </c>
      <c r="D28" s="13">
        <v>100</v>
      </c>
      <c r="E28" s="13">
        <v>100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IFERROR(21.3*(1-w)-w*2.443,"")</f>
        <v>18.712013000000002</v>
      </c>
      <c r="D30" s="13">
        <v>21.3</v>
      </c>
      <c r="E30" s="13">
        <v>21.801432958034802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IFERROR(22.67477*(1-w),"")</f>
        <v>20.20322007</v>
      </c>
      <c r="D31" s="13">
        <v>22.67477</v>
      </c>
      <c r="E31" s="13">
        <v>23.2085670419652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IFERROR(22.73674937*(1-w),"")</f>
        <v>20.258443688670003</v>
      </c>
      <c r="D32" s="13">
        <v>22.736749370000002</v>
      </c>
      <c r="E32" s="13">
        <v>23.272005496417606</v>
      </c>
      <c r="F32" s="13"/>
      <c r="G32" s="13"/>
      <c r="I32" s="5"/>
      <c r="J32" s="0" t="s">
        <v>35</v>
      </c>
    </row>
    <row r="33">
      <c r="A33" s="7" t="s">
        <v>49</v>
      </c>
      <c r="I33" s="5"/>
    </row>
    <row r="34" outlineLevel="1">
      <c r="A34" s="11" t="s">
        <v>50</v>
      </c>
      <c r="I34" s="5"/>
    </row>
    <row r="35" outlineLevel="2">
      <c r="A35" s="12" t="s">
        <v>51</v>
      </c>
      <c r="B35" s="0" t="s">
        <v>52</v>
      </c>
      <c r="C35" s="13">
        <v>14.8</v>
      </c>
      <c r="D35" s="13"/>
      <c r="E35" s="13"/>
      <c r="F35" s="13"/>
      <c r="G35" s="13"/>
      <c r="I35" s="5"/>
    </row>
    <row r="36" outlineLevel="2">
      <c r="A36" s="12" t="s">
        <v>53</v>
      </c>
      <c r="B36" s="0" t="s">
        <v>52</v>
      </c>
      <c r="C36" s="13">
        <v>5.2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52</v>
      </c>
      <c r="C37" s="13">
        <v>3.66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52</v>
      </c>
      <c r="C38" s="13">
        <v>34.8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52</v>
      </c>
      <c r="C39" s="13">
        <v>3.57</v>
      </c>
      <c r="D39" s="13"/>
      <c r="E39" s="13"/>
      <c r="F39" s="13"/>
      <c r="G39" s="13"/>
      <c r="I39" s="5"/>
    </row>
    <row r="40">
      <c r="I40" s="5"/>
    </row>
    <row r="4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</mergeCells>
  <dataValidations count="1">
    <dataValidation type="decimal" sqref="C18" errorStyle="stop" promptTitle="Enter moisture content" errorTitle="Invalid moisture content" prompt="Value should be between 0 and 100.&#10;Original value: 10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https://phyllis.nl/Biomass/View/1409</dc:description>
  <dcterms:created xsi:type="dcterms:W3CDTF">2026-03-19T04:14:54Z</dcterms:created>
  <dc:title>Phyllis2 #1409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