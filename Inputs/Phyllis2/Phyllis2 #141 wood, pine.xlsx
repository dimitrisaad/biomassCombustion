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41 wood, pine" sheetId="1" r:id="rId1"/>
  </sheets>
  <definedNames>
    <definedName name="w" localSheetId="0">IF(ISBLANK('Phyllis2 #141 wood, pine'!$C$17),#N/A,'Phyllis2 #141 wood, pine'!$C$17/100)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<sst xmlns="http://schemas.openxmlformats.org/spreadsheetml/2006/main" count="51" uniqueCount="51">
  <si>
    <t>Phyllis2</t>
  </si>
  <si>
    <t>https://phyllis.nl/Biomass/View/141</t>
  </si>
  <si>
    <t>wood, pine (#141)</t>
  </si>
  <si>
    <t>ID-number</t>
  </si>
  <si>
    <t>#141</t>
  </si>
  <si>
    <t>Material</t>
  </si>
  <si>
    <t>wood, pine</t>
  </si>
  <si>
    <t>Classification</t>
  </si>
  <si>
    <t>ECN Phyllis classification &gt; untreated wood &gt; fir/pine/spruce &gt; wood, pine</t>
  </si>
  <si>
    <t>NTA 8003 classification &gt; [100] hout &gt; [110] vers hout &gt; [130] naaldhout &gt; [131] naaldhout</t>
  </si>
  <si>
    <t>Submitter organisation</t>
  </si>
  <si>
    <t>ECN (Netherlands)</t>
  </si>
  <si>
    <t>Literature</t>
  </si>
  <si>
    <t>H. F. Feldmann, M. A. Paisley, H. R. Appelbaum and D. R. Taylor: Conversion of forest residues to a methane-rich gas in a high-throughput gasifier, Battelle, Columbus, OH (USA), DE88013138, 108 p. (1988).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</si>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</sst>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4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3"/>
    </row>
    <row r="16" outlineLevel="1">
      <c r="A16" s="9" t="s">
        <v>28</v>
      </c>
      <c r="I16" s="13"/>
    </row>
    <row r="17" outlineLevel="2">
      <c r="A17" s="10" t="s">
        <v>29</v>
      </c>
      <c r="B17" s="0" t="s">
        <v>30</v>
      </c>
      <c r="C17" s="11">
        <v>12.41</v>
      </c>
      <c r="D17" s="11"/>
      <c r="E17" s="11"/>
      <c r="F17" s="11"/>
      <c r="G17" s="11"/>
      <c r="I17" s="13"/>
    </row>
    <row r="18" outlineLevel="2">
      <c r="A18" s="10" t="s">
        <v>31</v>
      </c>
      <c r="B18" s="0" t="s">
        <v>30</v>
      </c>
      <c r="C18" s="11">
        <f>IFERROR(0.33*(1-w),"")</f>
        <v>0.289047</v>
      </c>
      <c r="D18" s="11">
        <v>0.33</v>
      </c>
      <c r="E18" s="11">
        <v/>
      </c>
      <c r="F18" s="11"/>
      <c r="G18" s="11"/>
      <c r="I18" s="13"/>
    </row>
    <row r="19" outlineLevel="2">
      <c r="A19" s="10" t="s">
        <v>32</v>
      </c>
      <c r="B19" s="0" t="s">
        <v>30</v>
      </c>
      <c r="C19" s="11">
        <f>IFERROR(83.89*(1-w),"")</f>
        <v>73.479251</v>
      </c>
      <c r="D19" s="11">
        <v>83.89</v>
      </c>
      <c r="E19" s="11">
        <v>84.167753586836554</v>
      </c>
      <c r="F19" s="11"/>
      <c r="G19" s="11"/>
      <c r="I19" s="13"/>
    </row>
    <row r="20" outlineLevel="2">
      <c r="A20" s="10" t="s">
        <v>33</v>
      </c>
      <c r="B20" s="0" t="s">
        <v>30</v>
      </c>
      <c r="C20" s="11">
        <f>IFERROR(15.78*(1-w),"")</f>
        <v>13.821702000000002</v>
      </c>
      <c r="D20" s="11">
        <v>15.780000000000001</v>
      </c>
      <c r="E20" s="11">
        <v>15.832246413163441</v>
      </c>
      <c r="F20" s="11"/>
      <c r="G20" s="11"/>
      <c r="I20" s="13"/>
      <c r="J20" s="0" t="s">
        <v>34</v>
      </c>
    </row>
    <row r="21" outlineLevel="1">
      <c r="A21" s="9" t="s">
        <v>35</v>
      </c>
      <c r="I21" s="13"/>
    </row>
    <row r="22" outlineLevel="2">
      <c r="A22" s="10" t="s">
        <v>36</v>
      </c>
      <c r="B22" s="0" t="s">
        <v>30</v>
      </c>
      <c r="C22" s="11">
        <f>IFERROR(52.37*(1-w),"")</f>
        <v>45.870883</v>
      </c>
      <c r="D22" s="11">
        <v>52.37</v>
      </c>
      <c r="E22" s="11">
        <v>52.543393197551914</v>
      </c>
      <c r="F22" s="11"/>
      <c r="G22" s="11"/>
      <c r="I22" s="13"/>
      <c r="J22" s="0" t="s">
        <v>37</v>
      </c>
    </row>
    <row r="23" outlineLevel="2">
      <c r="A23" s="10" t="s">
        <v>38</v>
      </c>
      <c r="B23" s="0" t="s">
        <v>30</v>
      </c>
      <c r="C23" s="11">
        <f>IFERROR(6.04*(1-w),"")</f>
        <v>5.290436</v>
      </c>
      <c r="D23" s="11">
        <v>6.04</v>
      </c>
      <c r="E23" s="11">
        <v>6.0599979933781478</v>
      </c>
      <c r="F23" s="11"/>
      <c r="G23" s="11"/>
      <c r="I23" s="13"/>
      <c r="J23" s="0" t="s">
        <v>37</v>
      </c>
    </row>
    <row r="24" outlineLevel="2">
      <c r="A24" s="10" t="s">
        <v>39</v>
      </c>
      <c r="B24" s="0" t="s">
        <v>30</v>
      </c>
      <c r="C24" s="11">
        <f>IFERROR(40.97*(1-w),"")</f>
        <v>35.885623</v>
      </c>
      <c r="D24" s="11">
        <v>40.97</v>
      </c>
      <c r="E24" s="11">
        <v>41.105648640513692</v>
      </c>
      <c r="F24" s="11"/>
      <c r="G24" s="11"/>
      <c r="I24" s="13"/>
      <c r="J24" s="0" t="s">
        <v>34</v>
      </c>
    </row>
    <row r="25" outlineLevel="2">
      <c r="A25" s="10" t="s">
        <v>40</v>
      </c>
      <c r="B25" s="0" t="s">
        <v>30</v>
      </c>
      <c r="C25" s="11">
        <f>IFERROR(0.02*(1-w),"")</f>
        <v>0.017518000000000002</v>
      </c>
      <c r="D25" s="11">
        <v>0.02</v>
      </c>
      <c r="E25" s="11">
        <v>0.020066218521119696</v>
      </c>
      <c r="F25" s="11"/>
      <c r="G25" s="11"/>
      <c r="I25" s="13"/>
      <c r="J25" s="0" t="s">
        <v>37</v>
      </c>
    </row>
    <row r="26" outlineLevel="2">
      <c r="A26" s="10" t="s">
        <v>41</v>
      </c>
      <c r="B26" s="0" t="s">
        <v>30</v>
      </c>
      <c r="C26" s="11">
        <f>IFERROR(0.25*(1-w),"")</f>
        <v>0.218975</v>
      </c>
      <c r="D26" s="11">
        <v>0.25</v>
      </c>
      <c r="E26" s="11">
        <v>0.25082773151399618</v>
      </c>
      <c r="F26" s="11"/>
      <c r="G26" s="11"/>
      <c r="I26" s="13"/>
      <c r="J26" s="0" t="s">
        <v>37</v>
      </c>
    </row>
    <row r="27" outlineLevel="2">
      <c r="A27" s="10" t="s">
        <v>42</v>
      </c>
      <c r="B27" s="0" t="s">
        <v>30</v>
      </c>
      <c r="C27" s="11">
        <f>IFERROR(100*(1-w)+w*100,"")</f>
        <v>99.999999999999986</v>
      </c>
      <c r="D27" s="11">
        <v>99.999999999999986</v>
      </c>
      <c r="E27" s="11">
        <v>99.999999999999986</v>
      </c>
      <c r="F27" s="11"/>
      <c r="G27" s="11"/>
      <c r="I27" s="13"/>
      <c r="J27" s="0" t="s">
        <v>34</v>
      </c>
    </row>
    <row r="28" outlineLevel="1">
      <c r="A28" s="9" t="s">
        <v>43</v>
      </c>
      <c r="I28" s="13"/>
    </row>
    <row r="29" outlineLevel="2">
      <c r="A29" s="10" t="s">
        <v>44</v>
      </c>
      <c r="B29" s="0" t="s">
        <v>45</v>
      </c>
      <c r="C29" s="12">
        <f>IFERROR(200*(1-w),"")</f>
        <v>175.18</v>
      </c>
      <c r="D29" s="12">
        <v>200</v>
      </c>
      <c r="E29" s="12">
        <v>200.66218521119694</v>
      </c>
      <c r="F29" s="12"/>
      <c r="G29" s="12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1">
        <f>IFERROR(19.01762*(1-w)-w*2.443,"")</f>
        <v>16.354357058</v>
      </c>
      <c r="D31" s="11">
        <v>19.01762</v>
      </c>
      <c r="E31" s="11">
        <v>19.080585933580817</v>
      </c>
      <c r="F31" s="11"/>
      <c r="G31" s="11"/>
      <c r="I31" s="13"/>
    </row>
    <row r="32" outlineLevel="2">
      <c r="A32" s="10" t="s">
        <v>49</v>
      </c>
      <c r="B32" s="0" t="s">
        <v>48</v>
      </c>
      <c r="C32" s="11">
        <f>IFERROR(20.33565*(1-w),"")</f>
        <v>17.811995835</v>
      </c>
      <c r="D32" s="11">
        <v>20.33565</v>
      </c>
      <c r="E32" s="11">
        <v>20.402979833450388</v>
      </c>
      <c r="F32" s="11"/>
      <c r="G32" s="11"/>
      <c r="I32" s="13"/>
    </row>
    <row r="33" outlineLevel="2">
      <c r="A33" s="10" t="s">
        <v>50</v>
      </c>
      <c r="B33" s="0" t="s">
        <v>48</v>
      </c>
      <c r="C33" s="11">
        <f>IFERROR(20.9363676617*(1-w),"")</f>
        <v>18.33816443488303</v>
      </c>
      <c r="D33" s="11">
        <v>20.9363676617</v>
      </c>
      <c r="E33" s="11">
        <v>21.0056864269088</v>
      </c>
      <c r="F33" s="11"/>
      <c r="G33" s="11"/>
      <c r="I33" s="13"/>
      <c r="J33" s="0" t="s">
        <v>34</v>
      </c>
    </row>
    <row r="34">
      <c r="I34" s="13"/>
    </row>
    <row r="35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&#10;Original value: 12.41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https://phyllis.nl/Biomass/View/141</dc:description>
  <dcterms:created xsi:type="dcterms:W3CDTF">2026-03-19T04:24:10Z</dcterms:created>
  <dc:title>Phyllis2 #141 wood, pine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