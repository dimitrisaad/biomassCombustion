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13 prune pits" sheetId="1" r:id="rId1"/>
  </sheets>
  <definedNames>
    <definedName name="w" localSheetId="0">IF(ISBLANK('Phyllis2 #1413 prune pits'!$C$18),#N/A,'Phyllis2 #1413 prune pits'!$C$18/100)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<sst xmlns="http://schemas.openxmlformats.org/spreadsheetml/2006/main" count="49" uniqueCount="49">
  <si>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</si>
  <si>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https://phyllis.nl/Biomass/View/1413</t>
  </si>
  <si>
    <t>prune pits (#1413)</t>
  </si>
  <si>
    <t>ID-number</t>
  </si>
  <si>
    <t>#1413</t>
  </si>
  <si>
    <t>Material</t>
  </si>
  <si>
    <t>prune pits</t>
  </si>
  <si>
    <t>Classification</t>
  </si>
  <si>
    <t>ECN Phyllis classification &gt; husk/shell/pit &gt; others &gt; prune pits</t>
  </si>
  <si>
    <t>NTA 8003 classification &gt; [500] biomassa uit de industrie &gt; [520] schillen/vliezen/pitten &gt; [529] overige schillen/vliezen/pitten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</si>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</sst>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1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36243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IFERROR(0.5*(1-w),"")</f>
        <v/>
      </c>
      <c r="D19" s="13">
        <v>0.5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IFERROR(76.99*(1-w),"")</f>
        <v/>
      </c>
      <c r="D20" s="13">
        <v>76.99</v>
      </c>
      <c r="E20" s="13">
        <v>77.37688442211055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IFERROR(22.51*(1-w),"")</f>
        <v/>
      </c>
      <c r="D21" s="13">
        <v>22.510000000000005</v>
      </c>
      <c r="E21" s="13">
        <v>22.623115577889454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IFERROR(49.73*(1-w),"")</f>
        <v/>
      </c>
      <c r="D23" s="13">
        <v>49.73</v>
      </c>
      <c r="E23" s="13">
        <v>49.979899497487438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IFERROR(5.9*(1-w),"")</f>
        <v/>
      </c>
      <c r="D24" s="13">
        <v>5.9</v>
      </c>
      <c r="E24" s="13">
        <v>5.9296482412060305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IFERROR(43.57*(1-w),"")</f>
        <v/>
      </c>
      <c r="D25" s="13">
        <v>43.57</v>
      </c>
      <c r="E25" s="13">
        <v>43.788944723618094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IFERROR(0.32*(1-w),"")</f>
        <v/>
      </c>
      <c r="D26" s="13">
        <v>0.32</v>
      </c>
      <c r="E26" s="13">
        <v>0.32160804020100503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IFERROR(100.02*(1-w)+w*100,"")</f>
        <v/>
      </c>
      <c r="D27" s="13">
        <v>100.01999999999998</v>
      </c>
      <c r="E27" s="13">
        <v>100.02010050251255</v>
      </c>
      <c r="F27" s="13"/>
      <c r="G27" s="13"/>
      <c r="I27" s="5"/>
      <c r="J27" s="0" t="s">
        <v>36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IFERROR(21.99252*(1-w)-w*2.443,"")</f>
        <v/>
      </c>
      <c r="D29" s="13">
        <v>21.99252</v>
      </c>
      <c r="E29" s="13">
        <v>22.103035175879395</v>
      </c>
      <c r="F29" s="13"/>
      <c r="G29" s="13"/>
      <c r="I29" s="5"/>
    </row>
    <row r="30" outlineLevel="2">
      <c r="A30" s="12" t="s">
        <v>47</v>
      </c>
      <c r="B30" s="0" t="s">
        <v>46</v>
      </c>
      <c r="C30" s="13">
        <f>IFERROR(23.28*(1-w),"")</f>
        <v/>
      </c>
      <c r="D30" s="13">
        <v>23.28</v>
      </c>
      <c r="E30" s="13">
        <v>23.396984924623116</v>
      </c>
      <c r="F30" s="13"/>
      <c r="G30" s="13"/>
      <c r="I30" s="5"/>
    </row>
    <row r="31" outlineLevel="2">
      <c r="A31" s="12" t="s">
        <v>48</v>
      </c>
      <c r="B31" s="0" t="s">
        <v>46</v>
      </c>
      <c r="C31" s="13">
        <f>IFERROR(19.48331825*(1-w),"")</f>
        <v/>
      </c>
      <c r="D31" s="13">
        <v>19.48331825</v>
      </c>
      <c r="E31" s="13">
        <v>19.581224371859296</v>
      </c>
      <c r="F31" s="13"/>
      <c r="G31" s="13"/>
      <c r="I31" s="5"/>
      <c r="J31" s="0" t="s">
        <v>36</v>
      </c>
    </row>
    <row r="32">
      <c r="I32" s="5"/>
    </row>
    <row r="33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https://phyllis.nl/Biomass/View/1413</dc:description>
  <dcterms:created xsi:type="dcterms:W3CDTF">2026-03-17T05:43:51Z</dcterms:created>
  <dc:title>Phyllis2 #1413 prune pits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