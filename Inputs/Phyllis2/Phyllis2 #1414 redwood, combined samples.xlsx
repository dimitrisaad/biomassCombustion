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14 redwood, combine" sheetId="1" r:id="rId1"/>
  </sheets>
  <definedNames>
    <definedName name="w" localSheetId="0">IF(ISBLANK('Phyllis2 #1414 redwood, combine'!$C$18),#N/A,'Phyllis2 #1414 redwood, combine'!$C$18/100)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<sst xmlns="http://schemas.openxmlformats.org/spreadsheetml/2006/main" count="53" uniqueCount="53">
  <si>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</si>
  <si>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https://phyllis.nl/Biomass/View/1414</t>
  </si>
  <si>
    <t>redwood, combined samples (#1414)</t>
  </si>
  <si>
    <t>ID-number</t>
  </si>
  <si>
    <t>#1414</t>
  </si>
  <si>
    <t>Material</t>
  </si>
  <si>
    <t>redwood, combined samples</t>
  </si>
  <si>
    <t>Classification</t>
  </si>
  <si>
    <t>ECN Phyllis classification &gt; untreated wood &gt; other soft wood</t>
  </si>
  <si>
    <t>NTA 8003 classification &gt; [100] hout &gt; [110] vers hout &gt; [130] naaldhout &gt; [131] naaldhout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</si>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</sst>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1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36243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IFERROR(0.36*(1-w),"")</f>
        <v/>
      </c>
      <c r="D19" s="13">
        <v>0.36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IFERROR(79.72*(1-w),"")</f>
        <v/>
      </c>
      <c r="D20" s="13">
        <v>79.72</v>
      </c>
      <c r="E20" s="13">
        <v>80.0080289040546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IFERROR(19.92*(1-w),"")</f>
        <v/>
      </c>
      <c r="D21" s="13">
        <v>19.92</v>
      </c>
      <c r="E21" s="13">
        <v>19.991971095945406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IFERROR(50.64*(1-w),"")</f>
        <v/>
      </c>
      <c r="D23" s="13">
        <v>50.64</v>
      </c>
      <c r="E23" s="13">
        <v>50.822962665596151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IFERROR(5.98*(1-w),"")</f>
        <v/>
      </c>
      <c r="D24" s="13">
        <v>5.98</v>
      </c>
      <c r="E24" s="13">
        <v>6.00160578081092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IFERROR(42.88*(1-w),"")</f>
        <v/>
      </c>
      <c r="D25" s="13">
        <v>42.88</v>
      </c>
      <c r="E25" s="13">
        <v>43.0349257326375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IFERROR(0.05*(1-w),"")</f>
        <v/>
      </c>
      <c r="D26" s="13">
        <v>0.05</v>
      </c>
      <c r="E26" s="13">
        <v>0.050180650341228428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IFERROR(0.03*(1-w),"")</f>
        <v/>
      </c>
      <c r="D27" s="13">
        <v>0.03</v>
      </c>
      <c r="E27" s="13">
        <v>0.030108390204737052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IFERROR(99.96*(1-w)+w*100,"")</f>
        <v/>
      </c>
      <c r="D28" s="13">
        <v>99.96</v>
      </c>
      <c r="E28" s="13">
        <v>99.959855479727011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IFERROR(200*(1-w),"")</f>
        <v/>
      </c>
      <c r="D30" s="14">
        <v>200</v>
      </c>
      <c r="E30" s="14">
        <v>200.72260136491369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IFERROR(19.41506*(1-w)-w*2.443,"")</f>
        <v/>
      </c>
      <c r="D32" s="13">
        <v>19.41506</v>
      </c>
      <c r="E32" s="13">
        <v>19.485206744279406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IFERROR(20.72*(1-w),"")</f>
        <v/>
      </c>
      <c r="D33" s="13">
        <v>20.72</v>
      </c>
      <c r="E33" s="13">
        <v>20.794861501405059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IFERROR(20.0187698288*(1-w),"")</f>
        <v/>
      </c>
      <c r="D34" s="13">
        <v>20.018769828800007</v>
      </c>
      <c r="E34" s="13">
        <v>20.091097780810927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https://phyllis.nl/Biomass/View/1414</dc:description>
  <dcterms:created xsi:type="dcterms:W3CDTF">2026-03-19T07:19:04Z</dcterms:created>
  <dc:title>Phyllis2 #1414 redwood, combined samples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