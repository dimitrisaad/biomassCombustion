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21 rice hulls, wild" sheetId="1" r:id="rId1"/>
  </sheets>
  <definedNames>
    <definedName name="w" localSheetId="0">IF(ISBLANK('Phyllis2 #1421 rice hulls, wild'!$C$18),#N/A,'Phyllis2 #1421 rice hulls, wild'!$C$18/100)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<sst xmlns="http://schemas.openxmlformats.org/spreadsheetml/2006/main" count="53" uniqueCount="53">
  <si>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</si>
  <si>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https://phyllis.nl/Biomass/View/1421</t>
  </si>
  <si>
    <t>rice hulls, wild (#1421)</t>
  </si>
  <si>
    <t>ID-number</t>
  </si>
  <si>
    <t>#1421</t>
  </si>
  <si>
    <t>Material</t>
  </si>
  <si>
    <t>rice hulls, wild</t>
  </si>
  <si>
    <t>Classification</t>
  </si>
  <si>
    <t>ECN Phyllis classification &gt; husk/shell/pit &gt; rice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</si>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</sst>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IFERROR(4.91*(1-w),"")</f>
        <v/>
      </c>
      <c r="D19" s="13">
        <v>4.91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IFERROR(80.57*(1-w),"")</f>
        <v/>
      </c>
      <c r="D20" s="13">
        <v>80.57</v>
      </c>
      <c r="E20" s="13">
        <v>84.73025554737616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IFERROR(14.52*(1-w),"")</f>
        <v/>
      </c>
      <c r="D21" s="13">
        <v>14.52000000000001</v>
      </c>
      <c r="E21" s="13">
        <v>15.269744452623842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IFERROR(47.12*(1-w),"")</f>
        <v/>
      </c>
      <c r="D23" s="13">
        <v>47.12</v>
      </c>
      <c r="E23" s="13">
        <v>49.553055000525816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IFERROR(6.06*(1-w),"")</f>
        <v/>
      </c>
      <c r="D24" s="13">
        <v>6.06</v>
      </c>
      <c r="E24" s="13">
        <v>6.3729098748554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IFERROR(40.05*(1-w),"")</f>
        <v/>
      </c>
      <c r="D25" s="13">
        <v>40.05</v>
      </c>
      <c r="E25" s="13">
        <v>42.117993479861184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IFERROR(1.21*(1-w),"")</f>
        <v/>
      </c>
      <c r="D26" s="13">
        <v>1.21</v>
      </c>
      <c r="E26" s="13">
        <v>1.2724787043853192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IFERROR(0.42*(1-w),"")</f>
        <v/>
      </c>
      <c r="D27" s="13">
        <v>0.42</v>
      </c>
      <c r="E27" s="13">
        <v>0.44168682300978018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IFERROR(99.81*(1-w)+w*100,"")</f>
        <v/>
      </c>
      <c r="D28" s="13">
        <v>99.809999999999988</v>
      </c>
      <c r="E28" s="13">
        <v>99.80018929435272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IFERROR(400*(1-w),"")</f>
        <v/>
      </c>
      <c r="D30" s="14">
        <v>400</v>
      </c>
      <c r="E30" s="14">
        <v>420.65411715217164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IFERROR(17.8176*(1-w)-w*2.443,"")</f>
        <v/>
      </c>
      <c r="D32" s="13">
        <v>17.8176</v>
      </c>
      <c r="E32" s="13">
        <v>18.737616994426332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IFERROR(19.14*(1-w),"")</f>
        <v/>
      </c>
      <c r="D33" s="13">
        <v>19.14</v>
      </c>
      <c r="E33" s="13">
        <v>20.128299505731412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IFERROR(19.0854175393*(1-w),"")</f>
        <v/>
      </c>
      <c r="D34" s="13">
        <v>19.0854175393</v>
      </c>
      <c r="E34" s="13">
        <v>20.070898663687036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https://phyllis.nl/Biomass/View/1421</dc:description>
  <dcterms:created xsi:type="dcterms:W3CDTF">2026-03-17T05:47:55Z</dcterms:created>
  <dc:title>Phyllis2 #1421 rice hulls, wild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