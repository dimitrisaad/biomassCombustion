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22 rice straw, fres" sheetId="1" r:id="rId1"/>
  </sheets>
  <definedNames>
    <definedName name="w" localSheetId="0">IF(ISBLANK('Phyllis2 #1422 rice straw, fres'!$C$18),#N/A,'Phyllis2 #1422 rice straw, fres'!$C$18/100)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<sst xmlns="http://schemas.openxmlformats.org/spreadsheetml/2006/main" count="53" uniqueCount="53">
  <si>
    <t>Phyllis2</t>
  </si>
  <si>
    <t>https://phyllis.nl/Biomass/View/1422</t>
  </si>
  <si>
    <t>rice straw, fresh (#1422)</t>
  </si>
  <si>
    <t>ID-number</t>
  </si>
  <si>
    <t>#1422</t>
  </si>
  <si>
    <t>Material</t>
  </si>
  <si>
    <t>rice straw, fresh</t>
  </si>
  <si>
    <t>Classification</t>
  </si>
  <si>
    <t>ECN Phyllis classification &gt; straw (stalk/cob/ear) &gt; rice</t>
  </si>
  <si>
    <t>NTA 8003 classification &gt; [200] biomassa uit land- en tuinbouw &gt; [220] stro &gt; [224] rijsthalm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</si>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</sst>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2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36243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IFERROR(13.42*(1-w),"")</f>
        <v/>
      </c>
      <c r="D19" s="13">
        <v>13.42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IFERROR(69.33*(1-w),"")</f>
        <v/>
      </c>
      <c r="D20" s="13">
        <v>69.33</v>
      </c>
      <c r="E20" s="13">
        <v>80.076230076230075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IFERROR(17.25*(1-w),"")</f>
        <v/>
      </c>
      <c r="D21" s="13">
        <v>17.25</v>
      </c>
      <c r="E21" s="13">
        <v>19.923769923769925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IFERROR(41.78*(1-w),"")</f>
        <v/>
      </c>
      <c r="D23" s="13">
        <v>41.78</v>
      </c>
      <c r="E23" s="13">
        <v>48.255948255948255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IFERROR(4.63*(1-w),"")</f>
        <v/>
      </c>
      <c r="D24" s="13">
        <v>4.63</v>
      </c>
      <c r="E24" s="13">
        <v>5.3476553476553477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IFERROR(36.57*(1-w),"")</f>
        <v/>
      </c>
      <c r="D25" s="13">
        <v>36.57</v>
      </c>
      <c r="E25" s="13">
        <v>42.238392238392237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IFERROR(0.7*(1-w),"")</f>
        <v/>
      </c>
      <c r="D26" s="13">
        <v>0.7</v>
      </c>
      <c r="E26" s="13">
        <v>0.80850080850080841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IFERROR(0.08*(1-w),"")</f>
        <v/>
      </c>
      <c r="D27" s="13">
        <v>0.08</v>
      </c>
      <c r="E27" s="13">
        <v>0.0924000924000924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IFERROR(97.52*(1-w)+w*100,"")</f>
        <v/>
      </c>
      <c r="D28" s="13">
        <v>97.52000000000001</v>
      </c>
      <c r="E28" s="13">
        <v>97.135597135597138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IFERROR(3400*(1-w),"")</f>
        <v/>
      </c>
      <c r="D30" s="14">
        <v>3400</v>
      </c>
      <c r="E30" s="14">
        <v>3927.0039270039269</v>
      </c>
      <c r="F30" s="14"/>
      <c r="G30" s="14"/>
      <c r="I30" s="5"/>
      <c r="J30" s="0" t="s">
        <v>39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IFERROR(15.26965*(1-w)-w*2.443,"")</f>
        <v/>
      </c>
      <c r="D32" s="13">
        <v>15.26965</v>
      </c>
      <c r="E32" s="13">
        <v>17.636463386463387</v>
      </c>
      <c r="F32" s="13"/>
      <c r="G32" s="13"/>
      <c r="I32" s="5"/>
    </row>
    <row r="33" outlineLevel="2">
      <c r="A33" s="12" t="s">
        <v>51</v>
      </c>
      <c r="B33" s="0" t="s">
        <v>50</v>
      </c>
      <c r="C33" s="13">
        <f>IFERROR(16.28*(1-w),"")</f>
        <v/>
      </c>
      <c r="D33" s="13">
        <v>16.28</v>
      </c>
      <c r="E33" s="13">
        <v>18.803418803418804</v>
      </c>
      <c r="F33" s="13"/>
      <c r="G33" s="13"/>
      <c r="I33" s="5"/>
    </row>
    <row r="34" outlineLevel="2">
      <c r="A34" s="12" t="s">
        <v>52</v>
      </c>
      <c r="B34" s="0" t="s">
        <v>50</v>
      </c>
      <c r="C34" s="13">
        <f>IFERROR(15.7231567492*(1-w),"")</f>
        <v/>
      </c>
      <c r="D34" s="13">
        <v>15.723156749200003</v>
      </c>
      <c r="E34" s="13">
        <v>18.160264205590209</v>
      </c>
      <c r="F34" s="13"/>
      <c r="G34" s="13"/>
      <c r="I34" s="5"/>
      <c r="J34" s="0" t="s">
        <v>36</v>
      </c>
    </row>
    <row r="35">
      <c r="I35" s="5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https://phyllis.nl/Biomass/View/1422</dc:description>
  <dcterms:created xsi:type="dcterms:W3CDTF">2026-03-17T06:10:30Z</dcterms:created>
  <dc:title>Phyllis2 #1422 rice straw, fresh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