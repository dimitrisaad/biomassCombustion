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25 safflower straw" sheetId="1" r:id="rId1"/>
  </sheets>
  <definedNames>
    <definedName name="w" localSheetId="0">IF(ISBLANK('Phyllis2 #1425 safflower straw'!$C$18),#N/A,'Phyllis2 #1425 safflower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<sst xmlns="http://schemas.openxmlformats.org/spreadsheetml/2006/main" count="49" uniqueCount="49">
  <si>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</si>
  <si>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https://phyllis.nl/Biomass/View/1425</t>
  </si>
  <si>
    <t>safflower straw (#1425)</t>
  </si>
  <si>
    <t>ID-number</t>
  </si>
  <si>
    <t>#1425</t>
  </si>
  <si>
    <t>Material</t>
  </si>
  <si>
    <t>safflower straw</t>
  </si>
  <si>
    <t>Classification</t>
  </si>
  <si>
    <t>ECN Phyllis classification &gt; straw (stalk/cob/ear) &gt; others &gt; safflower straw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</si>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</sst>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IFERROR(4.65*(1-w),"")</f>
        <v/>
      </c>
      <c r="D19" s="13">
        <v>4.65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IFERROR(77.05*(1-w),"")</f>
        <v/>
      </c>
      <c r="D20" s="13">
        <v>77.05</v>
      </c>
      <c r="E20" s="13">
        <v>80.80755112742527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IFERROR(18.3*(1-w),"")</f>
        <v/>
      </c>
      <c r="D21" s="13">
        <v>18.299999999999997</v>
      </c>
      <c r="E21" s="13">
        <v>19.192448872574722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IFERROR(41.71*(1-w),"")</f>
        <v/>
      </c>
      <c r="D23" s="13">
        <v>41.71</v>
      </c>
      <c r="E23" s="13">
        <v>43.744100681699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IFERROR(5.54*(1-w),"")</f>
        <v/>
      </c>
      <c r="D24" s="13">
        <v>5.54</v>
      </c>
      <c r="E24" s="13">
        <v>5.8101730466701627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IFERROR(46.58*(1-w),"")</f>
        <v/>
      </c>
      <c r="D25" s="13">
        <v>46.58</v>
      </c>
      <c r="E25" s="13">
        <v>48.851599370739379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IFERROR(0.62*(1-w),"")</f>
        <v/>
      </c>
      <c r="D26" s="13">
        <v>0.62</v>
      </c>
      <c r="E26" s="13">
        <v>0.65023597273203981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IFERROR(99.1*(1-w)+w*100,"")</f>
        <v/>
      </c>
      <c r="D27" s="13">
        <v>99.100000000000009</v>
      </c>
      <c r="E27" s="13">
        <v>99.0561090718406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IFERROR(18.02108*(1-w)-w*2.443,"")</f>
        <v/>
      </c>
      <c r="D29" s="13">
        <v>18.02108</v>
      </c>
      <c r="E29" s="13">
        <v>18.899926586261145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IFERROR(19.23*(1-w),"")</f>
        <v/>
      </c>
      <c r="D30" s="13">
        <v>19.23</v>
      </c>
      <c r="E30" s="13">
        <v>20.167802831672784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IFERROR(15.8151532425*(1-w),"")</f>
        <v/>
      </c>
      <c r="D31" s="13">
        <v>15.815153242500001</v>
      </c>
      <c r="E31" s="13">
        <v>16.586421858940746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https://phyllis.nl/Biomass/View/1425</dc:description>
  <dcterms:created xsi:type="dcterms:W3CDTF">2026-03-17T06:07:41Z</dcterms:created>
  <dc:title>Phyllis2 #1425 safflower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