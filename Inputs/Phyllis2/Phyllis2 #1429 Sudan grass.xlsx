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29 Sudan grass" sheetId="1" r:id="rId1"/>
  </sheets>
  <definedNames>
    <definedName name="w" localSheetId="0">IF(ISBLANK('Phyllis2 #1429 Sudan grass'!$C$18),#N/A,'Phyllis2 #1429 Sudan 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<sst xmlns="http://schemas.openxmlformats.org/spreadsheetml/2006/main" count="53" uniqueCount="53">
  <si>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</si>
  <si>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https://phyllis.nl/Biomass/View/1429</t>
  </si>
  <si>
    <t>Sudan grass (#1429)</t>
  </si>
  <si>
    <t>ID-number</t>
  </si>
  <si>
    <t>#1429</t>
  </si>
  <si>
    <t>Material</t>
  </si>
  <si>
    <t>Sudan grass</t>
  </si>
  <si>
    <t>Classification</t>
  </si>
  <si>
    <t>ECN Phyllis classification &gt; grass/plant &gt; other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</si>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</sst>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36259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IFERROR(8.65*(1-w),"")</f>
        <v/>
      </c>
      <c r="D19" s="13">
        <v>8.65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IFERROR(72.75*(1-w),"")</f>
        <v/>
      </c>
      <c r="D20" s="13">
        <v>72.75</v>
      </c>
      <c r="E20" s="13">
        <v>79.638752052545158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IFERROR(18.6*(1-w),"")</f>
        <v/>
      </c>
      <c r="D21" s="13">
        <v>18.599999999999994</v>
      </c>
      <c r="E21" s="13">
        <v>20.361247947454839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IFERROR(44.58*(1-w),"")</f>
        <v/>
      </c>
      <c r="D23" s="13">
        <v>44.58</v>
      </c>
      <c r="E23" s="13">
        <v>48.801313628899834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IFERROR(5.35*(1-w),"")</f>
        <v/>
      </c>
      <c r="D24" s="13">
        <v>5.35</v>
      </c>
      <c r="E24" s="13">
        <v>5.8565955117679254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IFERROR(39.18*(1-w),"")</f>
        <v/>
      </c>
      <c r="D25" s="13">
        <v>39.18</v>
      </c>
      <c r="E25" s="13">
        <v>42.889983579638752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IFERROR(1.21*(1-w),"")</f>
        <v/>
      </c>
      <c r="D26" s="13">
        <v>1.21</v>
      </c>
      <c r="E26" s="13">
        <v>1.324575807334428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IFERROR(0.08*(1-w),"")</f>
        <v/>
      </c>
      <c r="D27" s="13">
        <v>0.08</v>
      </c>
      <c r="E27" s="13">
        <v>0.087575259989053092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IFERROR(99.18*(1-w)+w*100,"")</f>
        <v/>
      </c>
      <c r="D28" s="13">
        <v>99.179999999999993</v>
      </c>
      <c r="E28" s="13">
        <v>99.1023535851122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IFERROR(1300*(1-w),"")</f>
        <v/>
      </c>
      <c r="D30" s="14">
        <v>1300</v>
      </c>
      <c r="E30" s="14">
        <v>1423.0979748221127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IFERROR(16.22254*(1-w)-w*2.443,"")</f>
        <v/>
      </c>
      <c r="D32" s="13">
        <v>16.22254</v>
      </c>
      <c r="E32" s="13">
        <v>17.758664477285166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IFERROR(17.39*(1-w),"")</f>
        <v/>
      </c>
      <c r="D33" s="13">
        <v>17.39</v>
      </c>
      <c r="E33" s="13">
        <v>19.036672140120416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IFERROR(17.3122708425*(1-w),"")</f>
        <v/>
      </c>
      <c r="D34" s="13">
        <v>17.3122708425</v>
      </c>
      <c r="E34" s="13">
        <v>18.951582750410509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https://phyllis.nl/Biomass/View/1429</dc:description>
  <dcterms:created xsi:type="dcterms:W3CDTF">2026-03-04T04:27:13Z</dcterms:created>
  <dc:title>Phyllis2 #1429 Sudan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