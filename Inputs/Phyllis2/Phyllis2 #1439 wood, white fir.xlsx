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439 wood, white fir" sheetId="1" r:id="rId1"/>
  </sheets>
  <definedNames>
    <definedName name="w" localSheetId="0">IF(ISBLANK('Phyllis2 #1439 wood, white fir'!$C$18),#N/A,'Phyllis2 #1439 wood, white fir'!$C$18/100)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<sst xmlns="http://schemas.openxmlformats.org/spreadsheetml/2006/main" count="53" uniqueCount="53">
  <si>
    <t>Phyllis2</t>
  </si>
  <si>
    <t>https://phyllis.nl/Biomass/View/1439</t>
  </si>
  <si>
    <t>wood, white fir (#1439)</t>
  </si>
  <si>
    <t>ID-number</t>
  </si>
  <si>
    <t>#1439</t>
  </si>
  <si>
    <t>Material</t>
  </si>
  <si>
    <t>wood, white fir</t>
  </si>
  <si>
    <t>Classification</t>
  </si>
  <si>
    <t>ECN Phyllis classification &gt; untreated wood &gt; fir/pine/spruce &gt; wood, white fir</t>
  </si>
  <si>
    <t>NTA 8003 classification &gt; [100] hout &gt; [110] vers hout &gt; [130] naaldhout &gt; [131] naaldhout</t>
  </si>
  <si>
    <t>Submitter organisation</t>
  </si>
  <si>
    <t>ECN (Netherlands)</t>
  </si>
  <si>
    <t>Submission date</t>
  </si>
  <si>
    <t>Literature</t>
  </si>
  <si>
    <t>O. Kitani and C. W. Hall: Biomass Handbook, Gordon and Breach science publishers, New York (1989).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</si>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</sst>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43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36259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IFERROR(0.25*(1-w),"")</f>
        <v/>
      </c>
      <c r="D19" s="13">
        <v>0.25</v>
      </c>
      <c r="E19" s="13">
        <v/>
      </c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IFERROR(83.17*(1-w),"")</f>
        <v/>
      </c>
      <c r="D20" s="13">
        <v>83.17</v>
      </c>
      <c r="E20" s="13">
        <v>83.378446115288213</v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IFERROR(16.58*(1-w),"")</f>
        <v/>
      </c>
      <c r="D21" s="13">
        <v>16.58</v>
      </c>
      <c r="E21" s="13">
        <v>16.621553884711776</v>
      </c>
      <c r="F21" s="13"/>
      <c r="G21" s="13"/>
      <c r="I21" s="5"/>
      <c r="J21" s="0" t="s">
        <v>36</v>
      </c>
    </row>
    <row r="22" outlineLevel="1">
      <c r="A22" s="11" t="s">
        <v>37</v>
      </c>
      <c r="I22" s="5"/>
    </row>
    <row r="23" outlineLevel="2">
      <c r="A23" s="12" t="s">
        <v>38</v>
      </c>
      <c r="B23" s="0" t="s">
        <v>33</v>
      </c>
      <c r="C23" s="13">
        <f>IFERROR(49*(1-w),"")</f>
        <v/>
      </c>
      <c r="D23" s="13">
        <v>49</v>
      </c>
      <c r="E23" s="13">
        <v>49.122807017543856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33</v>
      </c>
      <c r="C24" s="13">
        <f>IFERROR(5.98*(1-w),"")</f>
        <v/>
      </c>
      <c r="D24" s="13">
        <v>5.98</v>
      </c>
      <c r="E24" s="13">
        <v>5.9949874686716793</v>
      </c>
      <c r="F24" s="13"/>
      <c r="G24" s="13"/>
      <c r="I24" s="5"/>
      <c r="J24" s="0" t="s">
        <v>39</v>
      </c>
    </row>
    <row r="25" outlineLevel="2">
      <c r="A25" s="12" t="s">
        <v>41</v>
      </c>
      <c r="B25" s="0" t="s">
        <v>33</v>
      </c>
      <c r="C25" s="13">
        <f>IFERROR(44.75*(1-w),"")</f>
        <v/>
      </c>
      <c r="D25" s="13">
        <v>44.75</v>
      </c>
      <c r="E25" s="13">
        <v>44.862155388471173</v>
      </c>
      <c r="F25" s="13"/>
      <c r="G25" s="13"/>
      <c r="I25" s="5"/>
      <c r="J25" s="0" t="s">
        <v>39</v>
      </c>
    </row>
    <row r="26" outlineLevel="2">
      <c r="A26" s="12" t="s">
        <v>42</v>
      </c>
      <c r="B26" s="0" t="s">
        <v>33</v>
      </c>
      <c r="C26" s="13">
        <f>IFERROR(0.05*(1-w),"")</f>
        <v/>
      </c>
      <c r="D26" s="13">
        <v>0.05</v>
      </c>
      <c r="E26" s="13">
        <v>0.050125313283208017</v>
      </c>
      <c r="F26" s="13"/>
      <c r="G26" s="13"/>
      <c r="I26" s="5"/>
      <c r="J26" s="0" t="s">
        <v>39</v>
      </c>
    </row>
    <row r="27" outlineLevel="2">
      <c r="A27" s="12" t="s">
        <v>43</v>
      </c>
      <c r="B27" s="0" t="s">
        <v>33</v>
      </c>
      <c r="C27" s="13">
        <f>IFERROR(0.01*(1-w),"")</f>
        <v/>
      </c>
      <c r="D27" s="13">
        <v>0.01</v>
      </c>
      <c r="E27" s="13">
        <v>0.010025062656641603</v>
      </c>
      <c r="F27" s="13"/>
      <c r="G27" s="13"/>
      <c r="I27" s="5"/>
      <c r="J27" s="0" t="s">
        <v>39</v>
      </c>
    </row>
    <row r="28" outlineLevel="2">
      <c r="A28" s="12" t="s">
        <v>44</v>
      </c>
      <c r="B28" s="0" t="s">
        <v>33</v>
      </c>
      <c r="C28" s="13">
        <f>IFERROR(100.05*(1-w)+w*100,"")</f>
        <v/>
      </c>
      <c r="D28" s="13">
        <v>100.05000000000001</v>
      </c>
      <c r="E28" s="13">
        <v>100.05012531328322</v>
      </c>
      <c r="F28" s="13"/>
      <c r="G28" s="13"/>
      <c r="I28" s="5"/>
      <c r="J28" s="0" t="s">
        <v>36</v>
      </c>
    </row>
    <row r="29" outlineLevel="1">
      <c r="A29" s="11" t="s">
        <v>45</v>
      </c>
      <c r="I29" s="5"/>
    </row>
    <row r="30" outlineLevel="2">
      <c r="A30" s="12" t="s">
        <v>46</v>
      </c>
      <c r="B30" s="0" t="s">
        <v>47</v>
      </c>
      <c r="C30" s="14">
        <f>IFERROR(100*(1-w),"")</f>
        <v/>
      </c>
      <c r="D30" s="14">
        <v>100</v>
      </c>
      <c r="E30" s="14">
        <v>100.25062656641603</v>
      </c>
      <c r="F30" s="14"/>
      <c r="G30" s="14"/>
      <c r="I30" s="5"/>
      <c r="J30" s="0" t="s">
        <v>39</v>
      </c>
    </row>
    <row r="31" outlineLevel="1">
      <c r="A31" s="11" t="s">
        <v>48</v>
      </c>
      <c r="I31" s="5"/>
    </row>
    <row r="32" outlineLevel="2">
      <c r="A32" s="12" t="s">
        <v>49</v>
      </c>
      <c r="B32" s="0" t="s">
        <v>50</v>
      </c>
      <c r="C32" s="13">
        <f>IFERROR(18.64506*(1-w)-w*2.443,"")</f>
        <v/>
      </c>
      <c r="D32" s="13">
        <v>18.64506</v>
      </c>
      <c r="E32" s="13">
        <v>18.69178947368421</v>
      </c>
      <c r="F32" s="13"/>
      <c r="G32" s="13"/>
      <c r="I32" s="5"/>
    </row>
    <row r="33" outlineLevel="2">
      <c r="A33" s="12" t="s">
        <v>51</v>
      </c>
      <c r="B33" s="0" t="s">
        <v>50</v>
      </c>
      <c r="C33" s="13">
        <f>IFERROR(19.95*(1-w),"")</f>
        <v/>
      </c>
      <c r="D33" s="13">
        <v>19.95</v>
      </c>
      <c r="E33" s="13">
        <v>19.999999999999996</v>
      </c>
      <c r="F33" s="13"/>
      <c r="G33" s="13"/>
      <c r="I33" s="5"/>
    </row>
    <row r="34" outlineLevel="2">
      <c r="A34" s="12" t="s">
        <v>52</v>
      </c>
      <c r="B34" s="0" t="s">
        <v>50</v>
      </c>
      <c r="C34" s="13">
        <f>IFERROR(19.2354305625*(1-w),"")</f>
        <v/>
      </c>
      <c r="D34" s="13">
        <v>19.2354305625</v>
      </c>
      <c r="E34" s="13">
        <v>19.283639661654135</v>
      </c>
      <c r="F34" s="13"/>
      <c r="G34" s="13"/>
      <c r="I34" s="5"/>
      <c r="J34" s="0" t="s">
        <v>36</v>
      </c>
    </row>
    <row r="35">
      <c r="I35" s="5"/>
    </row>
    <row r="36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https://phyllis.nl/Biomass/View/1439</dc:description>
  <dcterms:created xsi:type="dcterms:W3CDTF">2026-03-19T07:05:00Z</dcterms:created>
  <dc:title>Phyllis2 #1439 wood, white fir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