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40 wood, oak, white" sheetId="1" r:id="rId1"/>
  </sheets>
  <definedNames>
    <definedName name="w" localSheetId="0">IF(ISBLANK('Phyllis2 #1440 wood, oak, white'!$C$18),#N/A,'Phyllis2 #1440 wood, oak, white'!$C$18/100)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<sst xmlns="http://schemas.openxmlformats.org/spreadsheetml/2006/main" count="53" uniqueCount="53">
  <si>
    <t>Phyllis2</t>
  </si>
  <si>
    <t>https://phyllis.nl/Biomass/View/1440</t>
  </si>
  <si>
    <t>wood, oak, white (#1440)</t>
  </si>
  <si>
    <t>ID-number</t>
  </si>
  <si>
    <t>#1440</t>
  </si>
  <si>
    <t>Material</t>
  </si>
  <si>
    <t>wood, oak, white</t>
  </si>
  <si>
    <t>Classification</t>
  </si>
  <si>
    <t>ECN Phyllis classification &gt; untreated wood &gt; oak &gt; wood, oak, white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</si>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</sst>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4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36259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IFERROR(1.52*(1-w),"")</f>
        <v/>
      </c>
      <c r="D19" s="13">
        <v>1.52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IFERROR(81.28*(1-w),"")</f>
        <v/>
      </c>
      <c r="D20" s="13">
        <v>81.28</v>
      </c>
      <c r="E20" s="13">
        <v>82.534524776604385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IFERROR(17.2*(1-w),"")</f>
        <v/>
      </c>
      <c r="D21" s="13">
        <v>17.200000000000003</v>
      </c>
      <c r="E21" s="13">
        <v>17.465475223395615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IFERROR(49.48*(1-w),"")</f>
        <v/>
      </c>
      <c r="D23" s="13">
        <v>49.48</v>
      </c>
      <c r="E23" s="13">
        <v>50.243704305442726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IFERROR(5.38*(1-w),"")</f>
        <v/>
      </c>
      <c r="D24" s="13">
        <v>5.38</v>
      </c>
      <c r="E24" s="13">
        <v>5.4630381803411856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IFERROR(43.13*(1-w),"")</f>
        <v/>
      </c>
      <c r="D25" s="13">
        <v>43.13</v>
      </c>
      <c r="E25" s="13">
        <v>43.795694557270515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IFERROR(0.35*(1-w),"")</f>
        <v/>
      </c>
      <c r="D26" s="13">
        <v>0.35</v>
      </c>
      <c r="E26" s="13">
        <v>0.35540211210398048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IFERROR(0.01*(1-w),"")</f>
        <v/>
      </c>
      <c r="D27" s="13">
        <v>0.01</v>
      </c>
      <c r="E27" s="13">
        <v>0.010154346060113728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IFERROR(99.91*(1-w)+w*100,"")</f>
        <v/>
      </c>
      <c r="D28" s="13">
        <v>99.910000000000011</v>
      </c>
      <c r="E28" s="13">
        <v>99.908610885458984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IFERROR(400*(1-w),"")</f>
        <v/>
      </c>
      <c r="D30" s="14">
        <v>400</v>
      </c>
      <c r="E30" s="14">
        <v>406.17384240454913</v>
      </c>
      <c r="F30" s="14"/>
      <c r="G30" s="14"/>
      <c r="I30" s="5"/>
      <c r="J30" s="0" t="s">
        <v>39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IFERROR(18.24599*(1-w)-w*2.443,"")</f>
        <v/>
      </c>
      <c r="D32" s="13">
        <v>18.24599</v>
      </c>
      <c r="E32" s="13">
        <v>18.527609666937447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IFERROR(19.42*(1-w),"")</f>
        <v/>
      </c>
      <c r="D33" s="13">
        <v>19.42</v>
      </c>
      <c r="E33" s="13">
        <v>19.719740048740864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IFERROR(18.7452234912*(1-w),"")</f>
        <v/>
      </c>
      <c r="D34" s="13">
        <v>18.7452234912</v>
      </c>
      <c r="E34" s="13">
        <v>19.034548630381803</v>
      </c>
      <c r="F34" s="13"/>
      <c r="G34" s="13"/>
      <c r="I34" s="5"/>
      <c r="J34" s="0" t="s">
        <v>36</v>
      </c>
    </row>
    <row r="35">
      <c r="I35" s="5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https://phyllis.nl/Biomass/View/1440</dc:description>
  <dcterms:created xsi:type="dcterms:W3CDTF">2026-03-19T07:10:48Z</dcterms:created>
  <dc:title>Phyllis2 #1440 wood, oak, white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