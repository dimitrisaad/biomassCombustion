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50 microalgae, Spir" sheetId="1" r:id="rId1"/>
  </sheets>
  <definedNames>
    <definedName name="w" localSheetId="0">IF(ISBLANK('Phyllis2 #1450 microalgae, Spir'!$C$20),#N/A,'Phyllis2 #1450 microalgae, Spir'!$C$20/100)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<sst xmlns="http://schemas.openxmlformats.org/spreadsheetml/2006/main" count="50" uniqueCount="50">
  <si>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</si>
  <si>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https://phyllis.nl/Biomass/View/1450</t>
  </si>
  <si>
    <t>microalgae, Spirulina (#1450)</t>
  </si>
  <si>
    <t>ID-number</t>
  </si>
  <si>
    <t>#1450</t>
  </si>
  <si>
    <t>Material</t>
  </si>
  <si>
    <t>microalgae, Spirulina</t>
  </si>
  <si>
    <t>Classification</t>
  </si>
  <si>
    <t>ECN Phyllis classification &gt; Marine biomass (algae) &gt; Microalgae</t>
  </si>
  <si>
    <t>NTA 8003 classification &gt; [200] biomassa uit land- en tuinbouw</t>
  </si>
  <si>
    <t>Ash type</t>
  </si>
  <si>
    <t>JIS8812</t>
  </si>
  <si>
    <t>Submitter organisation</t>
  </si>
  <si>
    <t>ECN (Netherlands)</t>
  </si>
  <si>
    <t>Submission date</t>
  </si>
  <si>
    <t>Remarks</t>
  </si>
  <si>
    <t>used as fuel (as slurry) for oxygen-blown lab-scale gasification facility</t>
  </si>
  <si>
    <t>Literature</t>
  </si>
  <si>
    <t>A. Hirano, K. Hon-Nami, S. Kunito, M. Hada and Y. Ogushi: Temperature effect on continuous gasification of microalgal biomass. Theoretical yield of methanol production and its energy balance. Catal. Today 45 (1-4) pp. 399-404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</si>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</sst>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5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36314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6.7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IFERROR(7.7*(1-w),"")</f>
        <v>7.1841000000000008</v>
      </c>
      <c r="D21" s="13">
        <v>7.7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IFERROR(43.94427*(1-w),"")</f>
        <v>41.000003910000004</v>
      </c>
      <c r="D23" s="13">
        <v>43.94427</v>
      </c>
      <c r="E23" s="13">
        <v>47.610260021668473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IFERROR(6.859593*(1-w),"")</f>
        <v>6.400000269</v>
      </c>
      <c r="D24" s="13">
        <v>6.859593</v>
      </c>
      <c r="E24" s="13">
        <v>7.4318450704225354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IFERROR(34.53*(1-w),"")</f>
        <v>32.21649</v>
      </c>
      <c r="D25" s="13">
        <v>34.53</v>
      </c>
      <c r="E25" s="13">
        <v>37.410617551462622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IFERROR(6.538049*(1-w),"")</f>
        <v>6.099999717</v>
      </c>
      <c r="D26" s="13">
        <v>6.538049</v>
      </c>
      <c r="E26" s="13">
        <v>7.0834767063921991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34</v>
      </c>
      <c r="C27" s="13">
        <f>IFERROR(0.4287246*(1-w),"")</f>
        <v>0.40000005180000003</v>
      </c>
      <c r="D27" s="13">
        <v>0.4287246</v>
      </c>
      <c r="E27" s="13">
        <v>0.46449035752979412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IFERROR(100.0006366*(1-w)+w*100,"")</f>
        <v>100.00059394780001</v>
      </c>
      <c r="D28" s="13">
        <v>100.0006366</v>
      </c>
      <c r="E28" s="13">
        <v>100.00068970747563</v>
      </c>
      <c r="F28" s="13"/>
      <c r="G28" s="13"/>
      <c r="I28" s="5"/>
      <c r="J28" s="0" t="s">
        <v>41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IFERROR(18.32113*(1-w)-w*2.443,"")</f>
        <v>16.92993329</v>
      </c>
      <c r="D30" s="13">
        <v>18.32113</v>
      </c>
      <c r="E30" s="13">
        <v>19.849544962080174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IFERROR(19.81801*(1-w),"")</f>
        <v>18.490203330000003</v>
      </c>
      <c r="D31" s="13">
        <v>19.81801</v>
      </c>
      <c r="E31" s="13">
        <v>21.471300108342362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IFERROR(19.04588401356*(1-w),"")</f>
        <v>17.769809784651482</v>
      </c>
      <c r="D32" s="13">
        <v>19.045884013560002</v>
      </c>
      <c r="E32" s="13">
        <v>20.634760578071507</v>
      </c>
      <c r="F32" s="13"/>
      <c r="G32" s="13"/>
      <c r="I32" s="5"/>
      <c r="J32" s="0" t="s">
        <v>41</v>
      </c>
    </row>
    <row r="33">
      <c r="I33" s="5"/>
    </row>
    <row r="34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6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https://phyllis.nl/Biomass/View/1450</dc:description>
  <dcterms:created xsi:type="dcterms:W3CDTF">2026-03-17T05:59:43Z</dcterms:created>
  <dc:title>Phyllis2 #1450 microalgae, Spirulina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