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55 groundnut shells" sheetId="1" r:id="rId1"/>
  </sheets>
  <definedNames>
    <definedName name="w" localSheetId="0">IF(ISBLANK('Phyllis2 #1455 groundnut shells'!$C$19),#N/A,'Phyllis2 #1455 groundnut shells'!$C$19/100)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<sst xmlns="http://schemas.openxmlformats.org/spreadsheetml/2006/main" count="54" uniqueCount="54">
  <si>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</si>
  <si>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https://phyllis.nl/Biomass/View/1455</t>
  </si>
  <si>
    <t>groundnut shells (#1455)</t>
  </si>
  <si>
    <t>ID-number</t>
  </si>
  <si>
    <t>#1455</t>
  </si>
  <si>
    <t>Material</t>
  </si>
  <si>
    <t>groundnut shells</t>
  </si>
  <si>
    <t>Classification</t>
  </si>
  <si>
    <t>ECN Phyllis classification &gt; husk/shell/pit &gt; peanut &gt; groundnut shells</t>
  </si>
  <si>
    <t>NTA 8003 classification &gt; [200] biomassa uit land- en tuinbouw &gt; [230] restproducten (doppen) &gt; [233] pindadoppen</t>
  </si>
  <si>
    <t>Submitter organisation</t>
  </si>
  <si>
    <t>ECN (Netherlands)</t>
  </si>
  <si>
    <t>Submission date</t>
  </si>
  <si>
    <t>Remarks</t>
  </si>
  <si>
    <t>devolatilisation occurs between 300 and 720°C, maximum rate at 505°C</t>
  </si>
  <si>
    <t>Literature</t>
  </si>
  <si>
    <t>P. D. Grover: Thermochemical characteristics of biomass residues for gasification, Indian Institute of Technology, Delhi, India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</si>
  <si>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</si>
  <si>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</si>
  <si>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</si>
  <si>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</si>
  <si>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</si>
  <si>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</si>
  <si>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</si>
  <si>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</si>
  <si>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</si>
  <si>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</si>
  <si>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</si>
  <si>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</si>
  <si>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</si>
  <si>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</si>
  <si>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</si>
  <si>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</si>
  <si>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</si>
  <si>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</si>
  <si>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</si>
  <si>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</si>
  <si>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</si>
  <si>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</si>
  <si>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</si>
  <si>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</si>
  <si>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</si>
  <si>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</si>
  <si>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</si>
  <si>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</si>
  <si>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</si>
  <si>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</si>
  <si>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</si>
  <si>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</si>
  <si>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</si>
  <si>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</si>
  <si>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</si>
  <si>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</si>
  <si>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FT (fluid temperature)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</si>
</sst>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5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36329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IFERROR(6.9*(1-w),"")</f>
        <v/>
      </c>
      <c r="D20" s="13">
        <v>6.9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IFERROR(68.1*(1-w),"")</f>
        <v/>
      </c>
      <c r="D21" s="13">
        <v>68.1</v>
      </c>
      <c r="E21" s="13">
        <v>73.1471535982814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IFERROR(25*(1-w),"")</f>
        <v/>
      </c>
      <c r="D22" s="13">
        <v>25</v>
      </c>
      <c r="E22" s="13">
        <v>26.85284640171858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IFERROR(44.78*(1-w),"")</f>
        <v/>
      </c>
      <c r="D24" s="13">
        <v>44.78</v>
      </c>
      <c r="E24" s="13">
        <v>48.098818474758325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IFERROR(6.08*(1-w),"")</f>
        <v/>
      </c>
      <c r="D25" s="13">
        <v>6.08</v>
      </c>
      <c r="E25" s="13">
        <v>6.5306122448979593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IFERROR(42.24*(1-w),"")</f>
        <v/>
      </c>
      <c r="D26" s="13">
        <v>42.24</v>
      </c>
      <c r="E26" s="13">
        <v>45.370569280343716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IFERROR(100*(1-w)+w*100,"")</f>
        <v/>
      </c>
      <c r="D27" s="13">
        <v>100</v>
      </c>
      <c r="E27" s="13">
        <v>99.999999999999986</v>
      </c>
      <c r="F27" s="13"/>
      <c r="G27" s="13"/>
      <c r="I27" s="5"/>
      <c r="J27" s="0" t="s">
        <v>37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IFERROR(15.87324*(1-w)-w*2.443,"")</f>
        <v/>
      </c>
      <c r="D29" s="13">
        <v>15.87324</v>
      </c>
      <c r="E29" s="13">
        <v>17.049667024704618</v>
      </c>
      <c r="F29" s="13"/>
      <c r="G29" s="13"/>
      <c r="I29" s="5"/>
    </row>
    <row r="30" outlineLevel="2">
      <c r="A30" s="12" t="s">
        <v>47</v>
      </c>
      <c r="B30" s="0" t="s">
        <v>46</v>
      </c>
      <c r="C30" s="13">
        <f>IFERROR(17.2*(1-w),"")</f>
        <v/>
      </c>
      <c r="D30" s="13">
        <v>17.2</v>
      </c>
      <c r="E30" s="13">
        <v>18.474758324382382</v>
      </c>
      <c r="F30" s="13"/>
      <c r="G30" s="13"/>
      <c r="I30" s="5"/>
    </row>
    <row r="31" outlineLevel="2">
      <c r="A31" s="12" t="s">
        <v>48</v>
      </c>
      <c r="B31" s="0" t="s">
        <v>46</v>
      </c>
      <c r="C31" s="13">
        <f>IFERROR(18.14065433*(1-w),"")</f>
        <v/>
      </c>
      <c r="D31" s="13">
        <v>18.140654330000004</v>
      </c>
      <c r="E31" s="13">
        <v>19.485128174006448</v>
      </c>
      <c r="F31" s="13"/>
      <c r="G31" s="13"/>
      <c r="I31" s="5"/>
      <c r="J31" s="0" t="s">
        <v>37</v>
      </c>
    </row>
    <row r="32" outlineLevel="1">
      <c r="A32" s="11" t="s">
        <v>49</v>
      </c>
      <c r="I32" s="5"/>
    </row>
    <row r="33" outlineLevel="2">
      <c r="A33" s="14" t="s">
        <v>50</v>
      </c>
      <c r="I33" s="5"/>
    </row>
    <row r="34" outlineLevel="3">
      <c r="A34" s="15" t="s">
        <v>51</v>
      </c>
      <c r="B34" s="0" t="s">
        <v>52</v>
      </c>
      <c r="C34" s="16">
        <v>1190</v>
      </c>
      <c r="D34" s="16"/>
      <c r="E34" s="16"/>
      <c r="F34" s="16"/>
      <c r="G34" s="16"/>
      <c r="I34" s="5"/>
    </row>
    <row r="35" outlineLevel="3">
      <c r="A35" s="15" t="s">
        <v>53</v>
      </c>
      <c r="B35" s="0" t="s">
        <v>52</v>
      </c>
      <c r="C35" s="16">
        <v>1230</v>
      </c>
      <c r="D35" s="16"/>
      <c r="E35" s="16"/>
      <c r="F35" s="16"/>
      <c r="G35" s="16"/>
      <c r="I35" s="5"/>
    </row>
    <row r="36">
      <c r="I36" s="5"/>
    </row>
    <row r="3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4:E34"/>
    <mergeCell ref="C35:E35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https://phyllis.nl/Biomass/View/1455</dc:description>
  <dcterms:created xsi:type="dcterms:W3CDTF">2026-03-17T05:46:20Z</dcterms:created>
  <dc:title>Phyllis2 #1455 groundnut shells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