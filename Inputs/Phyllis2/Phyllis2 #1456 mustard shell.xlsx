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6 mustard shell" sheetId="1" r:id="rId1"/>
  </sheets>
  <definedNames>
    <definedName name="w" localSheetId="0">IF(ISBLANK('Phyllis2 #1456 mustard shell'!$C$19),#N/A,'Phyllis2 #1456 mustard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<sst xmlns="http://schemas.openxmlformats.org/spreadsheetml/2006/main" count="54" uniqueCount="54">
  <si>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</si>
  <si>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https://phyllis.nl/Biomass/View/1456</t>
  </si>
  <si>
    <t>mustard shell (#1456)</t>
  </si>
  <si>
    <t>ID-number</t>
  </si>
  <si>
    <t>#1456</t>
  </si>
  <si>
    <t>Material</t>
  </si>
  <si>
    <t>mustard shell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</si>
  <si>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</si>
  <si>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</si>
  <si>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</si>
  <si>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</si>
  <si>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</si>
  <si>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</si>
  <si>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Remarks</t>
  </si>
  <si>
    <t>devolatilisation occurs between 300 and 550°C, maximum rate at 370°C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</si>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</sst>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IFERROR(15.4*(1-w),"")</f>
        <v/>
      </c>
      <c r="D20" s="13">
        <v>15.4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IFERROR(70.1*(1-w),"")</f>
        <v/>
      </c>
      <c r="D21" s="13">
        <v>70.1</v>
      </c>
      <c r="E21" s="13">
        <v>82.860520094562645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IFERROR(14.5*(1-w),"")</f>
        <v/>
      </c>
      <c r="D22" s="13">
        <v>14.5</v>
      </c>
      <c r="E22" s="13">
        <v>17.139479905437351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IFERROR(46.2*(1-w),"")</f>
        <v/>
      </c>
      <c r="D24" s="13">
        <v>46.2</v>
      </c>
      <c r="E24" s="13">
        <v>54.60992907801419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IFERROR(6.21*(1-w),"")</f>
        <v/>
      </c>
      <c r="D25" s="13">
        <v>6.21</v>
      </c>
      <c r="E25" s="13">
        <v>7.3404255319148941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IFERROR(32.19*(1-w),"")</f>
        <v/>
      </c>
      <c r="D26" s="13">
        <v>32.19</v>
      </c>
      <c r="E26" s="13">
        <v>38.049645390070921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IFERROR(16.25487*(1-w)-w*2.443,"")</f>
        <v/>
      </c>
      <c r="D29" s="13">
        <v>16.25487</v>
      </c>
      <c r="E29" s="13">
        <v>19.213794326241135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IFERROR(17.61*(1-w),"")</f>
        <v/>
      </c>
      <c r="D30" s="13">
        <v>17.61</v>
      </c>
      <c r="E30" s="13">
        <v>20.815602836879432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IFERROR(19.90168548*(1-w),"")</f>
        <v/>
      </c>
      <c r="D31" s="13">
        <v>19.901685480000005</v>
      </c>
      <c r="E31" s="13">
        <v>23.524450921985821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1370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1420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https://phyllis.nl/Biomass/View/1456</dc:description>
  <dcterms:created xsi:type="dcterms:W3CDTF">2026-03-17T05:45:07Z</dcterms:created>
  <dc:title>Phyllis2 #1456 mustard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