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6 pine sawdust" sheetId="1" r:id="rId1"/>
  </sheets>
  <definedNames>
    <definedName name="w" localSheetId="0">IF(ISBLANK('Phyllis2 #146 pine sawdust'!$C$17),#N/A,'Phyllis2 #146 pine sawdust'!$C$17/100)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<sst xmlns="http://schemas.openxmlformats.org/spreadsheetml/2006/main" count="51" uniqueCount="51">
  <si>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</si>
  <si>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https://phyllis.nl/Biomass/View/146</t>
  </si>
  <si>
    <t>pine sawdust (#146)</t>
  </si>
  <si>
    <t>ID-number</t>
  </si>
  <si>
    <t>#146</t>
  </si>
  <si>
    <t>Material</t>
  </si>
  <si>
    <t>pine sawdust</t>
  </si>
  <si>
    <t>Classification</t>
  </si>
  <si>
    <t>ECN Phyllis classification &gt; untreated wood &gt; fir/pine/spruce &gt; pine sawdust</t>
  </si>
  <si>
    <t>NTA 8003 classification &gt; [100] hout &gt; [110] vers hout &gt; [115] zaagsel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</si>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</sst>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40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IFERROR(0.65*(1-w),"")</f>
        <v>0.39</v>
      </c>
      <c r="D18" s="11">
        <v>0.65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IFERROR(81.92*(1-w),"")</f>
        <v>49.152</v>
      </c>
      <c r="D19" s="11">
        <v>81.92</v>
      </c>
      <c r="E19" s="11">
        <v>82.455963764469047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IFERROR(17.43*(1-w),"")</f>
        <v>10.457999999999995</v>
      </c>
      <c r="D20" s="11">
        <v>17.429999999999993</v>
      </c>
      <c r="E20" s="11">
        <v>17.544036235530942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IFERROR(53.92*(1-w),"")</f>
        <v>32.352</v>
      </c>
      <c r="D22" s="11">
        <v>53.92</v>
      </c>
      <c r="E22" s="11">
        <v>54.272773024660289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IFERROR(6.53*(1-w),"")</f>
        <v>3.918</v>
      </c>
      <c r="D23" s="11">
        <v>6.53</v>
      </c>
      <c r="E23" s="11">
        <v>6.5727226975339708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IFERROR(38.61*(1-w),"")</f>
        <v>23.166</v>
      </c>
      <c r="D24" s="11">
        <v>38.61</v>
      </c>
      <c r="E24" s="11">
        <v>38.862606945143433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IFERROR(0.21*(1-w),"")</f>
        <v>0.126</v>
      </c>
      <c r="D25" s="11">
        <v>0.21</v>
      </c>
      <c r="E25" s="11">
        <v>0.21137393054856565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IFERROR(0.04*(1-w),"")</f>
        <v>0.024</v>
      </c>
      <c r="D26" s="11">
        <v>0.04</v>
      </c>
      <c r="E26" s="11">
        <v>0.040261701056869652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100.00000000000001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IFERROR(400*(1-w),"")</f>
        <v>240</v>
      </c>
      <c r="D29" s="12">
        <v>400</v>
      </c>
      <c r="E29" s="12">
        <v>402.61701056869651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IFERROR(19.54364*(1-w)-w*2.443,"")</f>
        <v>10.748984</v>
      </c>
      <c r="D31" s="11">
        <v>19.54364</v>
      </c>
      <c r="E31" s="11">
        <v>19.671504781077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IFERROR(20.9686*(1-w),"")</f>
        <v>12.581159999999999</v>
      </c>
      <c r="D32" s="11">
        <v>20.9686</v>
      </c>
      <c r="E32" s="11">
        <v>21.105787619526922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IFERROR(22.3538436425*(1-w),"")</f>
        <v>13.412306185500004</v>
      </c>
      <c r="D33" s="11">
        <v>22.353843642500006</v>
      </c>
      <c r="E33" s="11">
        <v>22.500094255158537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4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https://phyllis.nl/Biomass/View/146</dc:description>
  <dcterms:created xsi:type="dcterms:W3CDTF">2026-03-19T04:21:44Z</dcterms:created>
  <dc:title>Phyllis2 #146 pine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