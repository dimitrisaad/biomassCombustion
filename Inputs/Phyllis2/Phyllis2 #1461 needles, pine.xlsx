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61 needles, pine" sheetId="1" r:id="rId1"/>
  </sheets>
  <definedNames>
    <definedName name="w" localSheetId="0">IF(ISBLANK('Phyllis2 #1461 needles, pine'!$C$18),#N/A,'Phyllis2 #1461 needles, pine'!$C$18/100)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<sst xmlns="http://schemas.openxmlformats.org/spreadsheetml/2006/main" count="53" uniqueCount="53">
  <si>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</si>
  <si>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https://phyllis.nl/Biomass/View/1461</t>
  </si>
  <si>
    <t>needles, pine (#1461)</t>
  </si>
  <si>
    <t>ID-number</t>
  </si>
  <si>
    <t>#1461</t>
  </si>
  <si>
    <t>Material</t>
  </si>
  <si>
    <t>needles, pine</t>
  </si>
  <si>
    <t>Classification</t>
  </si>
  <si>
    <t>ECN Phyllis classification &gt; untreated wood &gt; needles &gt; needles, pine</t>
  </si>
  <si>
    <t>NTA 8003 classification &gt; [100] hout</t>
  </si>
  <si>
    <t>Submitter organisation</t>
  </si>
  <si>
    <t>ECN (Netherlands)</t>
  </si>
  <si>
    <t>Submission date</t>
  </si>
  <si>
    <t>Literature</t>
  </si>
  <si>
    <t>P. D. Grover: Thermochemical characteristics of biomass residues for gasification, Indian Institute of Technology, Delhi, India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</si>
  <si>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</si>
  <si>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</si>
  <si>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</si>
  <si>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</si>
  <si>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</si>
  <si>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</si>
  <si>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</si>
  <si>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</si>
  <si>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</si>
  <si>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</si>
  <si>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</si>
  <si>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</si>
  <si>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</si>
  <si>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</si>
  <si>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</si>
  <si>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</si>
  <si>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</si>
  <si>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</si>
  <si>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</si>
  <si>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</si>
  <si>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</si>
  <si>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</si>
  <si>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</si>
  <si>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</si>
  <si>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</si>
  <si>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</si>
  <si>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</si>
  <si>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</si>
  <si>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</si>
  <si>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</si>
  <si>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</si>
  <si>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</si>
  <si>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</si>
  <si>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</si>
  <si>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</si>
  <si>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</si>
  <si>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</si>
  <si>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FT (fluid temperature)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</si>
</sst>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6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36329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IFERROR(1.5*(1-w),"")</f>
        <v/>
      </c>
      <c r="D19" s="13">
        <v>1.5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IFERROR(72.4*(1-w),"")</f>
        <v/>
      </c>
      <c r="D20" s="13">
        <v>72.4</v>
      </c>
      <c r="E20" s="13">
        <v>73.502538071066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IFERROR(26.1*(1-w),"")</f>
        <v/>
      </c>
      <c r="D21" s="13">
        <v>26.099999999999994</v>
      </c>
      <c r="E21" s="13">
        <v>26.497461928934005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IFERROR(48.21*(1-w),"")</f>
        <v/>
      </c>
      <c r="D23" s="13">
        <v>48.21</v>
      </c>
      <c r="E23" s="13">
        <v>48.944162436548226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IFERROR(6.57*(1-w),"")</f>
        <v/>
      </c>
      <c r="D24" s="13">
        <v>6.57</v>
      </c>
      <c r="E24" s="13">
        <v>6.6700507614213205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IFERROR(43.72*(1-w),"")</f>
        <v/>
      </c>
      <c r="D25" s="13">
        <v>43.72</v>
      </c>
      <c r="E25" s="13">
        <v>44.385786802030459</v>
      </c>
      <c r="F25" s="13"/>
      <c r="G25" s="13"/>
      <c r="I25" s="5"/>
      <c r="J25" s="0" t="s">
        <v>36</v>
      </c>
    </row>
    <row r="26" outlineLevel="2">
      <c r="A26" s="12" t="s">
        <v>42</v>
      </c>
      <c r="B26" s="0" t="s">
        <v>33</v>
      </c>
      <c r="C26" s="13">
        <f>IFERROR(100*(1-w)+w*100,"")</f>
        <v/>
      </c>
      <c r="D26" s="13">
        <v>100</v>
      </c>
      <c r="E26" s="13">
        <v>100</v>
      </c>
      <c r="F26" s="13"/>
      <c r="G26" s="13"/>
      <c r="I26" s="5"/>
      <c r="J26" s="0" t="s">
        <v>36</v>
      </c>
    </row>
    <row r="27" outlineLevel="1">
      <c r="A27" s="11" t="s">
        <v>43</v>
      </c>
      <c r="I27" s="5"/>
    </row>
    <row r="28" outlineLevel="2">
      <c r="A28" s="12" t="s">
        <v>44</v>
      </c>
      <c r="B28" s="0" t="s">
        <v>45</v>
      </c>
      <c r="C28" s="13">
        <f>IFERROR(18.68631*(1-w)-w*2.443,"")</f>
        <v/>
      </c>
      <c r="D28" s="13">
        <v>18.68631</v>
      </c>
      <c r="E28" s="13">
        <v>18.9708730964467</v>
      </c>
      <c r="F28" s="13"/>
      <c r="G28" s="13"/>
      <c r="I28" s="5"/>
    </row>
    <row r="29" outlineLevel="2">
      <c r="A29" s="12" t="s">
        <v>46</v>
      </c>
      <c r="B29" s="0" t="s">
        <v>45</v>
      </c>
      <c r="C29" s="13">
        <f>IFERROR(20.12*(1-w),"")</f>
        <v/>
      </c>
      <c r="D29" s="13">
        <v>20.12</v>
      </c>
      <c r="E29" s="13">
        <v>20.426395939086294</v>
      </c>
      <c r="F29" s="13"/>
      <c r="G29" s="13"/>
      <c r="I29" s="5"/>
    </row>
    <row r="30" outlineLevel="2">
      <c r="A30" s="12" t="s">
        <v>47</v>
      </c>
      <c r="B30" s="0" t="s">
        <v>45</v>
      </c>
      <c r="C30" s="13">
        <f>IFERROR(19.85614425*(1-w),"")</f>
        <v/>
      </c>
      <c r="D30" s="13">
        <v>19.85614425</v>
      </c>
      <c r="E30" s="13">
        <v>20.158522081218273</v>
      </c>
      <c r="F30" s="13"/>
      <c r="G30" s="13"/>
      <c r="I30" s="5"/>
      <c r="J30" s="0" t="s">
        <v>36</v>
      </c>
    </row>
    <row r="31" outlineLevel="1">
      <c r="A31" s="11" t="s">
        <v>48</v>
      </c>
      <c r="I31" s="5"/>
    </row>
    <row r="32" outlineLevel="2">
      <c r="A32" s="14" t="s">
        <v>49</v>
      </c>
      <c r="I32" s="5"/>
    </row>
    <row r="33" outlineLevel="3">
      <c r="A33" s="15" t="s">
        <v>50</v>
      </c>
      <c r="B33" s="0" t="s">
        <v>51</v>
      </c>
      <c r="C33" s="16">
        <v>1270</v>
      </c>
      <c r="D33" s="16"/>
      <c r="E33" s="16"/>
      <c r="F33" s="16"/>
      <c r="G33" s="16"/>
      <c r="I33" s="5"/>
    </row>
    <row r="34" outlineLevel="3">
      <c r="A34" s="15" t="s">
        <v>52</v>
      </c>
      <c r="B34" s="0" t="s">
        <v>51</v>
      </c>
      <c r="C34" s="16">
        <v>1370</v>
      </c>
      <c r="D34" s="16"/>
      <c r="E34" s="16"/>
      <c r="F34" s="16"/>
      <c r="G34" s="16"/>
      <c r="I34" s="5"/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3:E33"/>
    <mergeCell ref="C34:E34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https://phyllis.nl/Biomass/View/1461</dc:description>
  <dcterms:created xsi:type="dcterms:W3CDTF">2026-03-19T07:09:23Z</dcterms:created>
  <dc:title>Phyllis2 #1461 needles,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