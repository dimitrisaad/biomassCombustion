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471 brown kelp, gian" sheetId="1" r:id="rId1"/>
  </sheets>
  <definedNames>
    <definedName name="w" localSheetId="0">IF(ISBLANK('Phyllis2 #1471 brown kelp, gian'!$C$19),#N/A,'Phyllis2 #1471 brown kelp, gian'!$C$19/100)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<sst xmlns="http://schemas.openxmlformats.org/spreadsheetml/2006/main" count="51" uniqueCount="51">
  <si>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</si>
  <si>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https://phyllis.nl/Biomass/View/1471</t>
  </si>
  <si>
    <t>brown kelp, giant (#1471)</t>
  </si>
  <si>
    <t>ID-number</t>
  </si>
  <si>
    <t>#1471</t>
  </si>
  <si>
    <t>Material</t>
  </si>
  <si>
    <t>brown kelp, giant</t>
  </si>
  <si>
    <t>Classification</t>
  </si>
  <si>
    <t>ECN Phyllis classification &gt; grass/plant &gt; other plants &gt; brown kelp, giant</t>
  </si>
  <si>
    <t>NTA 8003 classification &gt; [200] biomassa uit land- en tuinbouw</t>
  </si>
  <si>
    <t>Submitter organisation</t>
  </si>
  <si>
    <t>ECN (Netherlands)</t>
  </si>
  <si>
    <t>Submission date</t>
  </si>
  <si>
    <t>Remarks</t>
  </si>
  <si>
    <t>soquel point</t>
  </si>
  <si>
    <t>Literature</t>
  </si>
  <si>
    <t>S. Gaur and T. B. Reed: Thermal data for natural and synthetic fuels, Marcel Dekker, New York, 259 p. (1998).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</si>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</sst>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47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36335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IFERROR(42.1*(1-w),"")</f>
        <v/>
      </c>
      <c r="D20" s="13">
        <v>42.1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IFERROR(57.9*(1-w),"")</f>
        <v/>
      </c>
      <c r="D21" s="13">
        <v>57.9</v>
      </c>
      <c r="E21" s="13">
        <v>100</v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IFERROR(0*(1-w),"")</f>
        <v/>
      </c>
      <c r="D22" s="13">
        <v>0</v>
      </c>
      <c r="E22" s="13">
        <v>0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34</v>
      </c>
      <c r="C24" s="13">
        <f>IFERROR(27.8*(1-w),"")</f>
        <v/>
      </c>
      <c r="D24" s="13">
        <v>27.8</v>
      </c>
      <c r="E24" s="13">
        <v>48.013816925734027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34</v>
      </c>
      <c r="C25" s="13">
        <f>IFERROR(3.77*(1-w),"")</f>
        <v/>
      </c>
      <c r="D25" s="13">
        <v>3.77</v>
      </c>
      <c r="E25" s="13">
        <v>6.5112262521588953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34</v>
      </c>
      <c r="C26" s="13">
        <f>IFERROR(23.69*(1-w),"")</f>
        <v/>
      </c>
      <c r="D26" s="13">
        <v>23.69</v>
      </c>
      <c r="E26" s="13">
        <v>40.915371329879108</v>
      </c>
      <c r="F26" s="13"/>
      <c r="G26" s="13"/>
      <c r="I26" s="5"/>
      <c r="J26" s="0" t="s">
        <v>40</v>
      </c>
    </row>
    <row r="27" outlineLevel="2">
      <c r="A27" s="12" t="s">
        <v>43</v>
      </c>
      <c r="B27" s="0" t="s">
        <v>34</v>
      </c>
      <c r="C27" s="13">
        <f>IFERROR(4.63*(1-w),"")</f>
        <v/>
      </c>
      <c r="D27" s="13">
        <v>4.63</v>
      </c>
      <c r="E27" s="13">
        <v>7.9965457685664942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34</v>
      </c>
      <c r="C28" s="13">
        <f>IFERROR(1.05*(1-w),"")</f>
        <v/>
      </c>
      <c r="D28" s="13">
        <v>1.05</v>
      </c>
      <c r="E28" s="13">
        <v>1.8134715025906738</v>
      </c>
      <c r="F28" s="13"/>
      <c r="G28" s="13"/>
      <c r="I28" s="5"/>
      <c r="J28" s="0" t="s">
        <v>40</v>
      </c>
    </row>
    <row r="29" outlineLevel="2">
      <c r="A29" s="12" t="s">
        <v>45</v>
      </c>
      <c r="B29" s="0" t="s">
        <v>34</v>
      </c>
      <c r="C29" s="13">
        <f>IFERROR(103.04*(1-w)+w*100,"")</f>
        <v/>
      </c>
      <c r="D29" s="13">
        <v>103.04</v>
      </c>
      <c r="E29" s="13">
        <v>105.2504317789292</v>
      </c>
      <c r="F29" s="13"/>
      <c r="G29" s="13"/>
      <c r="I29" s="5"/>
      <c r="J29" s="0" t="s">
        <v>37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3">
        <f>IFERROR(9.927321*(1-w)-w*2.443,"")</f>
        <v/>
      </c>
      <c r="D31" s="13">
        <v>9.927321</v>
      </c>
      <c r="E31" s="13">
        <v>17.145632124352332</v>
      </c>
      <c r="F31" s="13"/>
      <c r="G31" s="13"/>
      <c r="I31" s="5"/>
    </row>
    <row r="32" outlineLevel="2">
      <c r="A32" s="12" t="s">
        <v>49</v>
      </c>
      <c r="B32" s="0" t="s">
        <v>48</v>
      </c>
      <c r="C32" s="13">
        <f>IFERROR(10.75*(1-w),"")</f>
        <v/>
      </c>
      <c r="D32" s="13">
        <v>10.75</v>
      </c>
      <c r="E32" s="13">
        <v>18.566493955094991</v>
      </c>
      <c r="F32" s="13"/>
      <c r="G32" s="13"/>
      <c r="I32" s="5"/>
    </row>
    <row r="33" outlineLevel="2">
      <c r="A33" s="12" t="s">
        <v>50</v>
      </c>
      <c r="B33" s="0" t="s">
        <v>48</v>
      </c>
      <c r="C33" s="13">
        <f>IFERROR(10.76441873*(1-w),"")</f>
        <v/>
      </c>
      <c r="D33" s="13">
        <v>10.76441873</v>
      </c>
      <c r="E33" s="13">
        <v>18.59139677029361</v>
      </c>
      <c r="F33" s="13"/>
      <c r="G33" s="13"/>
      <c r="I33" s="5"/>
      <c r="J33" s="0" t="s">
        <v>37</v>
      </c>
    </row>
    <row r="34">
      <c r="I34" s="5"/>
    </row>
    <row r="35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https://phyllis.nl/Biomass/View/1471</dc:description>
  <dcterms:created xsi:type="dcterms:W3CDTF">2026-03-04T04:29:17Z</dcterms:created>
  <dc:title>Phyllis2 #1471 brown kelp, giant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