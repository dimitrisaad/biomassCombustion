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74 water hyacinth" sheetId="1" r:id="rId1"/>
  </sheets>
  <definedNames>
    <definedName name="w" localSheetId="0">IF(ISBLANK('Phyllis2 #1474 water hyacinth'!$C$18),#N/A,'Phyllis2 #1474 water hyacinth'!$C$18/100)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<sst xmlns="http://schemas.openxmlformats.org/spreadsheetml/2006/main" count="47" uniqueCount="47">
  <si>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</si>
  <si>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https://phyllis.nl/Biomass/View/1474</t>
  </si>
  <si>
    <t>water hyacinth (#1474)</t>
  </si>
  <si>
    <t>ID-number</t>
  </si>
  <si>
    <t>#1474</t>
  </si>
  <si>
    <t>Material</t>
  </si>
  <si>
    <t>water hyacinth</t>
  </si>
  <si>
    <t>Classification</t>
  </si>
  <si>
    <t>ECN Phyllis classification &gt; grass/plant &gt; other plants &gt; water hyacinth</t>
  </si>
  <si>
    <t>NTA 8003 classification &gt; [200] biomassa uit land- en tuinbouw</t>
  </si>
  <si>
    <t>Submitter organisation</t>
  </si>
  <si>
    <t>ECN (Netherlands)</t>
  </si>
  <si>
    <t>Submission date</t>
  </si>
  <si>
    <t>Literature</t>
  </si>
  <si>
    <t>S. Gaur and T. B. Reed: Thermal data for natural and synthetic fuels, Marcel Dekker, New York, 259 p.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</si>
  <si>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</si>
  <si>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</si>
  <si>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</si>
  <si>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</si>
  <si>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</si>
  <si>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</si>
  <si>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</si>
  <si>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</si>
  <si>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</si>
  <si>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</si>
  <si>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</si>
  <si>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</si>
  <si>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</si>
  <si>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</si>
  <si>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</si>
  <si>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</si>
  <si>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</si>
  <si>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</si>
  <si>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</si>
  <si>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</si>
  <si>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</si>
  <si>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</si>
  <si>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</si>
  <si>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</si>
  <si>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</si>
  <si>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</si>
  <si>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Calculated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</si>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</sst>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7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36335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IFERROR(15.3*(1-w),"")</f>
        <v/>
      </c>
      <c r="D19" s="13">
        <v>15.3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IFERROR(43*(1-w),"")</f>
        <v/>
      </c>
      <c r="D21" s="13">
        <v>43</v>
      </c>
      <c r="E21" s="13">
        <v>50.767414403778041</v>
      </c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33</v>
      </c>
      <c r="C22" s="13">
        <f>IFERROR(5.8*(1-w),"")</f>
        <v/>
      </c>
      <c r="D22" s="13">
        <v>5.8</v>
      </c>
      <c r="E22" s="13">
        <v>6.8476977567886657</v>
      </c>
      <c r="F22" s="13"/>
      <c r="G22" s="13"/>
      <c r="I22" s="5"/>
      <c r="J22" s="0" t="s">
        <v>36</v>
      </c>
    </row>
    <row r="23" outlineLevel="2">
      <c r="A23" s="12" t="s">
        <v>38</v>
      </c>
      <c r="B23" s="0" t="s">
        <v>33</v>
      </c>
      <c r="C23" s="13">
        <f>IFERROR(29.5*(1-w),"")</f>
        <v/>
      </c>
      <c r="D23" s="13">
        <v>29.5</v>
      </c>
      <c r="E23" s="13">
        <v>34.828807556080285</v>
      </c>
      <c r="F23" s="13"/>
      <c r="G23" s="13"/>
      <c r="I23" s="5"/>
      <c r="J23" s="0" t="s">
        <v>36</v>
      </c>
    </row>
    <row r="24" outlineLevel="2">
      <c r="A24" s="12" t="s">
        <v>39</v>
      </c>
      <c r="B24" s="0" t="s">
        <v>33</v>
      </c>
      <c r="C24" s="13">
        <f>IFERROR(5.6*(1-w),"")</f>
        <v/>
      </c>
      <c r="D24" s="13">
        <v>5.6</v>
      </c>
      <c r="E24" s="13">
        <v>6.6115702479338845</v>
      </c>
      <c r="F24" s="13"/>
      <c r="G24" s="13"/>
      <c r="I24" s="5"/>
      <c r="J24" s="0" t="s">
        <v>36</v>
      </c>
    </row>
    <row r="25" outlineLevel="2">
      <c r="A25" s="12" t="s">
        <v>40</v>
      </c>
      <c r="B25" s="0" t="s">
        <v>33</v>
      </c>
      <c r="C25" s="13">
        <f>IFERROR(99.2*(1-w)+w*100,"")</f>
        <v/>
      </c>
      <c r="D25" s="13">
        <v>99.199999999999989</v>
      </c>
      <c r="E25" s="13">
        <v>99.055489964580872</v>
      </c>
      <c r="F25" s="13"/>
      <c r="G25" s="13"/>
      <c r="I25" s="5"/>
      <c r="J25" s="0" t="s">
        <v>41</v>
      </c>
    </row>
    <row r="26" outlineLevel="1">
      <c r="A26" s="11" t="s">
        <v>42</v>
      </c>
      <c r="I26" s="5"/>
    </row>
    <row r="27" outlineLevel="2">
      <c r="A27" s="12" t="s">
        <v>43</v>
      </c>
      <c r="B27" s="0" t="s">
        <v>44</v>
      </c>
      <c r="C27" s="13">
        <f>IFERROR(16.71434*(1-w)-w*2.443,"")</f>
        <v/>
      </c>
      <c r="D27" s="13">
        <v>16.71434</v>
      </c>
      <c r="E27" s="13">
        <v>19.73357733175915</v>
      </c>
      <c r="F27" s="13"/>
      <c r="G27" s="13"/>
      <c r="I27" s="5"/>
    </row>
    <row r="28" outlineLevel="2">
      <c r="A28" s="12" t="s">
        <v>45</v>
      </c>
      <c r="B28" s="0" t="s">
        <v>44</v>
      </c>
      <c r="C28" s="13">
        <f>IFERROR(17.98*(1-w),"")</f>
        <v/>
      </c>
      <c r="D28" s="13">
        <v>17.98</v>
      </c>
      <c r="E28" s="13">
        <v>21.227863046044867</v>
      </c>
      <c r="F28" s="13"/>
      <c r="G28" s="13"/>
      <c r="I28" s="5"/>
    </row>
    <row r="29" outlineLevel="2">
      <c r="A29" s="12" t="s">
        <v>46</v>
      </c>
      <c r="B29" s="0" t="s">
        <v>44</v>
      </c>
      <c r="C29" s="13">
        <f>IFERROR(17.92032577*(1-w),"")</f>
        <v/>
      </c>
      <c r="D29" s="13">
        <v>17.92032577</v>
      </c>
      <c r="E29" s="13">
        <v>21.157409409681232</v>
      </c>
      <c r="F29" s="13"/>
      <c r="G29" s="13"/>
      <c r="I29" s="5"/>
      <c r="J29" s="0" t="s">
        <v>41</v>
      </c>
    </row>
    <row r="30">
      <c r="I30" s="5"/>
    </row>
    <row r="31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https://phyllis.nl/Biomass/View/1474</dc:description>
  <dcterms:created xsi:type="dcterms:W3CDTF">2026-03-04T04:31:53Z</dcterms:created>
  <dc:title>Phyllis2 #1474 water hyacinth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