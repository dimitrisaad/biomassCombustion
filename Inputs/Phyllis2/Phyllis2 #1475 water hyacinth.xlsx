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75 water hyacinth" sheetId="1" r:id="rId1"/>
  </sheets>
  <definedNames>
    <definedName name="w" localSheetId="0">IF(ISBLANK('Phyllis2 #1475 water hyacinth'!$C$19),#N/A,'Phyllis2 #1475 water hyacinth'!$C$19/100)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<sst xmlns="http://schemas.openxmlformats.org/spreadsheetml/2006/main" count="51" uniqueCount="51">
  <si>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</si>
  <si>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https://phyllis.nl/Biomass/View/1475</t>
  </si>
  <si>
    <t>water hyacinth (#1475)</t>
  </si>
  <si>
    <t>ID-number</t>
  </si>
  <si>
    <t>#1475</t>
  </si>
  <si>
    <t>Material</t>
  </si>
  <si>
    <t>water hyacinth</t>
  </si>
  <si>
    <t>Classification</t>
  </si>
  <si>
    <t>ECN Phyllis classification &gt; grass/plant &gt; other plants &gt; water hyacinth</t>
  </si>
  <si>
    <t>NTA 8003 classification &gt; [200] biomassa uit land- en tuinbouw</t>
  </si>
  <si>
    <t>Submitter organisation</t>
  </si>
  <si>
    <t>ECN (Netherlands)</t>
  </si>
  <si>
    <t>Submission date</t>
  </si>
  <si>
    <t>Remarks</t>
  </si>
  <si>
    <t>Florida</t>
  </si>
  <si>
    <t>Literature</t>
  </si>
  <si>
    <t>S. Gaur and T. B. Reed: Thermal data for natural and synthetic fuels, Marcel Dekker, New York, 259 p. (1998).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</si>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</sst>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7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36335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IFERROR(19.6*(1-w),"")</f>
        <v/>
      </c>
      <c r="D20" s="13">
        <v>19.6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IFERROR(80.4*(1-w),"")</f>
        <v/>
      </c>
      <c r="D21" s="13">
        <v>80.4</v>
      </c>
      <c r="E21" s="13">
        <v>100</v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IFERROR(0*(1-w),"")</f>
        <v/>
      </c>
      <c r="D22" s="13">
        <v>0</v>
      </c>
      <c r="E22" s="13">
        <v>0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34</v>
      </c>
      <c r="C24" s="13">
        <f>IFERROR(40.3*(1-w),"")</f>
        <v/>
      </c>
      <c r="D24" s="13">
        <v>40.3</v>
      </c>
      <c r="E24" s="13">
        <v>50.124378109452728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IFERROR(4.6*(1-w),"")</f>
        <v/>
      </c>
      <c r="D25" s="13">
        <v>4.6</v>
      </c>
      <c r="E25" s="13">
        <v>5.72139303482587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34</v>
      </c>
      <c r="C26" s="13">
        <f>IFERROR(33.99*(1-w),"")</f>
        <v/>
      </c>
      <c r="D26" s="13">
        <v>33.99</v>
      </c>
      <c r="E26" s="13">
        <v>42.276119402985074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34</v>
      </c>
      <c r="C27" s="13">
        <f>IFERROR(1.51*(1-w),"")</f>
        <v/>
      </c>
      <c r="D27" s="13">
        <v>1.51</v>
      </c>
      <c r="E27" s="13">
        <v>1.8781094527363182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34</v>
      </c>
      <c r="C28" s="13">
        <f>IFERROR(0*(1-w),"")</f>
        <v/>
      </c>
      <c r="D28" s="13">
        <v>0</v>
      </c>
      <c r="E28" s="13">
        <v>0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34</v>
      </c>
      <c r="C29" s="13">
        <f>IFERROR(100*(1-w)+w*100,"")</f>
        <v/>
      </c>
      <c r="D29" s="13">
        <v>100</v>
      </c>
      <c r="E29" s="13">
        <v>100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3">
        <f>IFERROR(13.8562*(1-w)-w*2.443,"")</f>
        <v/>
      </c>
      <c r="D31" s="13">
        <v>13.8562</v>
      </c>
      <c r="E31" s="13">
        <v>17.234079601990047</v>
      </c>
      <c r="F31" s="13"/>
      <c r="G31" s="13"/>
      <c r="I31" s="5"/>
    </row>
    <row r="32" outlineLevel="2">
      <c r="A32" s="12" t="s">
        <v>49</v>
      </c>
      <c r="B32" s="0" t="s">
        <v>48</v>
      </c>
      <c r="C32" s="13">
        <f>IFERROR(14.86*(1-w),"")</f>
        <v/>
      </c>
      <c r="D32" s="13">
        <v>14.86</v>
      </c>
      <c r="E32" s="13">
        <v>18.482587064676615</v>
      </c>
      <c r="F32" s="13"/>
      <c r="G32" s="13"/>
      <c r="I32" s="5"/>
    </row>
    <row r="33" outlineLevel="2">
      <c r="A33" s="12" t="s">
        <v>50</v>
      </c>
      <c r="B33" s="0" t="s">
        <v>48</v>
      </c>
      <c r="C33" s="13">
        <f>IFERROR(15.32239648*(1-w),"")</f>
        <v/>
      </c>
      <c r="D33" s="13">
        <v>15.322396479999998</v>
      </c>
      <c r="E33" s="13">
        <v>19.057707064676613</v>
      </c>
      <c r="F33" s="13"/>
      <c r="G33" s="13"/>
      <c r="I33" s="5"/>
      <c r="J33" s="0" t="s">
        <v>37</v>
      </c>
    </row>
    <row r="34">
      <c r="I34" s="5"/>
    </row>
    <row r="35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https://phyllis.nl/Biomass/View/1475</dc:description>
  <dcterms:created xsi:type="dcterms:W3CDTF">2026-03-04T04:31:57Z</dcterms:created>
  <dc:title>Phyllis2 #1475 water hyacinth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