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8 wood, pine" sheetId="1" r:id="rId1"/>
  </sheets>
  <definedNames>
    <definedName name="w" localSheetId="0">IF(ISBLANK('Phyllis2 #148 wood, pine'!$C$17),#N/A,'Phyllis2 #148 wood, pine'!$C$17/100)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<sst xmlns="http://schemas.openxmlformats.org/spreadsheetml/2006/main" count="51" uniqueCount="51">
  <si>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</si>
  <si>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https://phyllis.nl/Biomass/View/148</t>
  </si>
  <si>
    <t>wood, pine (#148)</t>
  </si>
  <si>
    <t>ID-number</t>
  </si>
  <si>
    <t>#148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</si>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</sst>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5.53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IFERROR(0.78*(1-w),"")</f>
        <v>0.736866</v>
      </c>
      <c r="D18" s="11">
        <v>0.78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IFERROR(82.51*(1-w),"")</f>
        <v>77.947197</v>
      </c>
      <c r="D19" s="11">
        <v>82.51</v>
      </c>
      <c r="E19" s="11">
        <v>83.15863737149769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IFERROR(16.71*(1-w),"")</f>
        <v>15.785936999999993</v>
      </c>
      <c r="D20" s="11">
        <v>16.709999999999994</v>
      </c>
      <c r="E20" s="11">
        <v>16.841362628502313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IFERROR(50.9*(1-w),"")</f>
        <v>48.085229999999996</v>
      </c>
      <c r="D22" s="11">
        <v>50.9</v>
      </c>
      <c r="E22" s="11">
        <v>51.300141100584561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IFERROR(6.25*(1-w),"")</f>
        <v>5.904375</v>
      </c>
      <c r="D23" s="11">
        <v>6.25</v>
      </c>
      <c r="E23" s="11">
        <v>6.2991332392662773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IFERROR(41.75*(1-w),"")</f>
        <v>39.441225</v>
      </c>
      <c r="D24" s="11">
        <v>41.75</v>
      </c>
      <c r="E24" s="11">
        <v>42.078210038298728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IFERROR(0.15*(1-w),"")</f>
        <v>0.141705</v>
      </c>
      <c r="D25" s="11">
        <v>0.15</v>
      </c>
      <c r="E25" s="11">
        <v>0.15117919774239064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IFERROR(0.14*(1-w),"")</f>
        <v>0.13225800000000001</v>
      </c>
      <c r="D26" s="11">
        <v>0.14</v>
      </c>
      <c r="E26" s="11">
        <v>0.14110058455956462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100.00000000000001</v>
      </c>
      <c r="D27" s="11">
        <v>100.00000000000001</v>
      </c>
      <c r="E27" s="11">
        <v>100.00000000000001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283.40999999999997</v>
      </c>
      <c r="D29" s="12">
        <v>300</v>
      </c>
      <c r="E29" s="12">
        <v>302.35839548478128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IFERROR(19.04626*(1-w)-w*2.443,"")</f>
        <v>17.857903922</v>
      </c>
      <c r="D31" s="11">
        <v>19.04626</v>
      </c>
      <c r="E31" s="11">
        <v>19.195988711953238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IFERROR(20.41012*(1-w),"")</f>
        <v>19.281440363999998</v>
      </c>
      <c r="D32" s="11">
        <v>20.41012</v>
      </c>
      <c r="E32" s="11">
        <v>20.570570449506146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IFERROR(20.5891630852*(1-w),"")</f>
        <v>19.450582366588446</v>
      </c>
      <c r="D33" s="11">
        <v>20.589163085200006</v>
      </c>
      <c r="E33" s="11">
        <v>20.751021049385212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5.5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https://phyllis.nl/Biomass/View/148</dc:description>
  <dcterms:created xsi:type="dcterms:W3CDTF">2026-03-19T04:24:18Z</dcterms:created>
  <dc:title>Phyllis2 #148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