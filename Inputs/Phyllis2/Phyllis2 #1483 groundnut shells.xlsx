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83 groundnut shells" sheetId="1" r:id="rId1"/>
  </sheets>
  <definedNames>
    <definedName name="w" localSheetId="0">IF(ISBLANK('Phyllis2 #1483 groundnut shells'!$C$18),#N/A,'Phyllis2 #1483 groundnut shells'!$C$18/100)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<sst xmlns="http://schemas.openxmlformats.org/spreadsheetml/2006/main" count="49" uniqueCount="49">
  <si>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</si>
  <si>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https://phyllis.nl/Biomass/View/1483</t>
  </si>
  <si>
    <t>groundnut shells (#1483)</t>
  </si>
  <si>
    <t>ID-number</t>
  </si>
  <si>
    <t>#1483</t>
  </si>
  <si>
    <t>Material</t>
  </si>
  <si>
    <t>groundnut shells</t>
  </si>
  <si>
    <t>Classification</t>
  </si>
  <si>
    <t>ECN Phyllis classification &gt; husk/shell/pit &gt; peanut &gt; groundnut shells</t>
  </si>
  <si>
    <t>NTA 8003 classification &gt; [200] biomassa uit land- en tuinbouw &gt; [230] restproducten (doppen) &gt; [233] pindadoppen</t>
  </si>
  <si>
    <t>Submitter organisation</t>
  </si>
  <si>
    <t>ECN (Netherlands)</t>
  </si>
  <si>
    <t>Submission date</t>
  </si>
  <si>
    <t>Literature</t>
  </si>
  <si>
    <t>S. Gaur and T. B. Reed: Thermal data for natural and synthetic fuels, Marcel Dekker, New York, 259 p.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</si>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</sst>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8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36341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IFERROR(5.7*(1-w),"")</f>
        <v/>
      </c>
      <c r="D19" s="13">
        <v>5.7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IFERROR(72.7*(1-w),"")</f>
        <v/>
      </c>
      <c r="D20" s="13">
        <v>72.7</v>
      </c>
      <c r="E20" s="13">
        <v>77.094379639448576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IFERROR(21.6*(1-w),"")</f>
        <v/>
      </c>
      <c r="D21" s="13">
        <v>21.599999999999994</v>
      </c>
      <c r="E21" s="13">
        <v>22.905620360551428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IFERROR(48.59*(1-w),"")</f>
        <v/>
      </c>
      <c r="D23" s="13">
        <v>48.59</v>
      </c>
      <c r="E23" s="13">
        <v>51.5270413573701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IFERROR(5.64*(1-w),"")</f>
        <v/>
      </c>
      <c r="D24" s="13">
        <v>5.64</v>
      </c>
      <c r="E24" s="13">
        <v>5.9809119830328736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IFERROR(39.49*(1-w),"")</f>
        <v/>
      </c>
      <c r="D25" s="13">
        <v>39.49</v>
      </c>
      <c r="E25" s="13">
        <v>41.876988335100748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IFERROR(0.58*(1-w),"")</f>
        <v/>
      </c>
      <c r="D26" s="13">
        <v>0.58</v>
      </c>
      <c r="E26" s="13">
        <v>0.61505832449628839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IFERROR(100*(1-w)+w*100,"")</f>
        <v/>
      </c>
      <c r="D27" s="13">
        <v>100</v>
      </c>
      <c r="E27" s="13">
        <v>100</v>
      </c>
      <c r="F27" s="13"/>
      <c r="G27" s="13"/>
      <c r="I27" s="5"/>
      <c r="J27" s="0" t="s">
        <v>36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IFERROR(18.61926*(1-w)-w*2.443,"")</f>
        <v/>
      </c>
      <c r="D29" s="13">
        <v>18.61926</v>
      </c>
      <c r="E29" s="13">
        <v>19.74470837751856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IFERROR(19.85*(1-w),"")</f>
        <v/>
      </c>
      <c r="D30" s="13">
        <v>19.85</v>
      </c>
      <c r="E30" s="13">
        <v>21.049840933191945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IFERROR(19.13463097*(1-w),"")</f>
        <v/>
      </c>
      <c r="D31" s="13">
        <v>19.13463097</v>
      </c>
      <c r="E31" s="13">
        <v>20.291231145281021</v>
      </c>
      <c r="F31" s="13"/>
      <c r="G31" s="13"/>
      <c r="I31" s="5"/>
      <c r="J31" s="0" t="s">
        <v>36</v>
      </c>
    </row>
    <row r="32">
      <c r="I32" s="5"/>
    </row>
    <row r="3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https://phyllis.nl/Biomass/View/1483</dc:description>
  <dcterms:created xsi:type="dcterms:W3CDTF">2026-03-17T05:46:22Z</dcterms:created>
  <dc:title>Phyllis2 #1483 groundnut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