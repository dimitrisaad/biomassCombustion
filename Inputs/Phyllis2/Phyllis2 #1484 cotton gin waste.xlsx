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84 cotton gin waste" sheetId="1" r:id="rId1"/>
  </sheets>
  <definedNames>
    <definedName name="w" localSheetId="0">IF(ISBLANK('Phyllis2 #1484 cotton gin waste'!$C$18),#N/A,'Phyllis2 #1484 cotton gin waste'!$C$18/100)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<sst xmlns="http://schemas.openxmlformats.org/spreadsheetml/2006/main" count="49" uniqueCount="49">
  <si>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</si>
  <si>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https://phyllis.nl/Biomass/View/1484</t>
  </si>
  <si>
    <t>cotton gin waste (#1484)</t>
  </si>
  <si>
    <t>ID-number</t>
  </si>
  <si>
    <t>#1484</t>
  </si>
  <si>
    <t>Material</t>
  </si>
  <si>
    <t>cotton gin waste</t>
  </si>
  <si>
    <t>Classification</t>
  </si>
  <si>
    <t>ECN Phyllis classification &gt; grass/plant &gt; cotton &gt; cotton gin waste</t>
  </si>
  <si>
    <t>NTA 8003 classification &gt; [200] biomassa uit land- en tuinbouw &gt; [220] stro &gt; [229] overig stro</t>
  </si>
  <si>
    <t>Submitter organisation</t>
  </si>
  <si>
    <t>ECN (Netherlands)</t>
  </si>
  <si>
    <t>Submission date</t>
  </si>
  <si>
    <t>Literature</t>
  </si>
  <si>
    <t>S. Gaur and T. B. Reed: Thermal data for natural and synthetic fuels, Marcel Dekker, New York, 259 p.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</si>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</sst>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8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36341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IFERROR(1.61*(1-w),"")</f>
        <v/>
      </c>
      <c r="D19" s="13">
        <v>1.61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IFERROR(83.41*(1-w),"")</f>
        <v/>
      </c>
      <c r="D20" s="13">
        <v>83.41</v>
      </c>
      <c r="E20" s="13">
        <v>84.774875495477175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IFERROR(14.98*(1-w),"")</f>
        <v/>
      </c>
      <c r="D21" s="13">
        <v>14.980000000000004</v>
      </c>
      <c r="E21" s="13">
        <v>15.225124504522821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IFERROR(42.66*(1-w),"")</f>
        <v/>
      </c>
      <c r="D23" s="13">
        <v>42.66</v>
      </c>
      <c r="E23" s="13">
        <v>43.35806484398821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IFERROR(6.05*(1-w),"")</f>
        <v/>
      </c>
      <c r="D24" s="13">
        <v>6.05</v>
      </c>
      <c r="E24" s="13">
        <v>6.1489988820002033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IFERROR(49.5*(1-w),"")</f>
        <v/>
      </c>
      <c r="D25" s="13">
        <v>49.5</v>
      </c>
      <c r="E25" s="13">
        <v>50.309990852728937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IFERROR(0.18*(1-w),"")</f>
        <v/>
      </c>
      <c r="D26" s="13">
        <v>0.18</v>
      </c>
      <c r="E26" s="13">
        <v>0.18294542128265068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IFERROR(100*(1-w)+w*100,"")</f>
        <v/>
      </c>
      <c r="D27" s="13">
        <v>100</v>
      </c>
      <c r="E27" s="13">
        <v>100</v>
      </c>
      <c r="F27" s="13"/>
      <c r="G27" s="13"/>
      <c r="I27" s="5"/>
      <c r="J27" s="0" t="s">
        <v>36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IFERROR(16.15979*(1-w)-w*2.443,"")</f>
        <v/>
      </c>
      <c r="D29" s="13">
        <v>16.15979</v>
      </c>
      <c r="E29" s="13">
        <v>16.424219941050922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IFERROR(17.48*(1-w),"")</f>
        <v/>
      </c>
      <c r="D30" s="13">
        <v>17.48</v>
      </c>
      <c r="E30" s="13">
        <v>17.76603313344852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IFERROR(16.5593235913*(1-w),"")</f>
        <v/>
      </c>
      <c r="D31" s="13">
        <v>16.5593235913</v>
      </c>
      <c r="E31" s="13">
        <v>16.830291280922857</v>
      </c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https://phyllis.nl/Biomass/View/1484</dc:description>
  <dcterms:created xsi:type="dcterms:W3CDTF">2026-03-04T04:01:02Z</dcterms:created>
  <dc:title>Phyllis2 #1484 cotton gin waste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