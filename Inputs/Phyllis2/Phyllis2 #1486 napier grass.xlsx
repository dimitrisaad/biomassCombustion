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6 napier grass" sheetId="1" r:id="rId1"/>
  </sheets>
  <definedNames>
    <definedName name="w" localSheetId="0">IF(ISBLANK('Phyllis2 #1486 napier grass'!$C$18),#N/A,'Phyllis2 #1486 napier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<sst xmlns="http://schemas.openxmlformats.org/spreadsheetml/2006/main" count="47" uniqueCount="47">
  <si>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</si>
  <si>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https://phyllis.nl/Biomass/View/1486</t>
  </si>
  <si>
    <t>napier grass (#1486)</t>
  </si>
  <si>
    <t>ID-number</t>
  </si>
  <si>
    <t>#1486</t>
  </si>
  <si>
    <t>Material</t>
  </si>
  <si>
    <t>napier grass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</si>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</sst>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36341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IFERROR(5.7*(1-w),"")</f>
        <v/>
      </c>
      <c r="D19" s="13">
        <v>5.7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IFERROR(45.2*(1-w),"")</f>
        <v/>
      </c>
      <c r="D21" s="13">
        <v>45.2</v>
      </c>
      <c r="E21" s="13">
        <v>47.932131495228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IFERROR(6*(1-w),"")</f>
        <v/>
      </c>
      <c r="D22" s="13">
        <v>6</v>
      </c>
      <c r="E22" s="13">
        <v>6.3626723223753983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IFERROR(43.1*(1-w),"")</f>
        <v/>
      </c>
      <c r="D23" s="13">
        <v>43.1</v>
      </c>
      <c r="E23" s="13">
        <v>45.705196182396612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IFERROR(0*(1-w),"")</f>
        <v/>
      </c>
      <c r="D24" s="13">
        <v>0</v>
      </c>
      <c r="E24" s="13">
        <v>0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100.00000000000001</v>
      </c>
      <c r="E25" s="13">
        <v>100.00000000000001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IFERROR(17.0007*(1-w)-w*2.443,"")</f>
        <v/>
      </c>
      <c r="D27" s="13">
        <v>17.0007</v>
      </c>
      <c r="E27" s="13">
        <v>18.028313891834571</v>
      </c>
      <c r="F27" s="13"/>
      <c r="G27" s="13"/>
      <c r="I27" s="5"/>
    </row>
    <row r="28" outlineLevel="2">
      <c r="A28" s="12" t="s">
        <v>45</v>
      </c>
      <c r="B28" s="0" t="s">
        <v>44</v>
      </c>
      <c r="C28" s="13">
        <f>IFERROR(18.31*(1-w),"")</f>
        <v/>
      </c>
      <c r="D28" s="13">
        <v>18.31</v>
      </c>
      <c r="E28" s="13">
        <v>19.416755037115589</v>
      </c>
      <c r="F28" s="13"/>
      <c r="G28" s="13"/>
      <c r="I28" s="5"/>
    </row>
    <row r="29" outlineLevel="2">
      <c r="A29" s="12" t="s">
        <v>46</v>
      </c>
      <c r="B29" s="0" t="s">
        <v>44</v>
      </c>
      <c r="C29" s="13">
        <f>IFERROR(18.09096097*(1-w),"")</f>
        <v/>
      </c>
      <c r="D29" s="13">
        <v>18.090960970000005</v>
      </c>
      <c r="E29" s="13">
        <v>19.184476108165434</v>
      </c>
      <c r="F29" s="13"/>
      <c r="G29" s="13"/>
      <c r="I29" s="5"/>
      <c r="J29" s="0" t="s">
        <v>39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https://phyllis.nl/Biomass/View/1486</dc:description>
  <dcterms:created xsi:type="dcterms:W3CDTF">2026-03-04T04:27:00Z</dcterms:created>
  <dc:title>Phyllis2 #1486 napier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