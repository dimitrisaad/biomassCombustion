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9 peach pits" sheetId="1" r:id="rId1"/>
  </sheets>
  <definedNames>
    <definedName name="w" localSheetId="0">IF(ISBLANK('Phyllis2 #1489 peach pits'!$C$18),#N/A,'Phyllis2 #1489 peach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<sst xmlns="http://schemas.openxmlformats.org/spreadsheetml/2006/main" count="50" uniqueCount="50">
  <si>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</si>
  <si>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https://phyllis.nl/Biomass/View/1489</t>
  </si>
  <si>
    <t>peach pits (#1489)</t>
  </si>
  <si>
    <t>ID-number</t>
  </si>
  <si>
    <t>#1489</t>
  </si>
  <si>
    <t>Material</t>
  </si>
  <si>
    <t>peach pits</t>
  </si>
  <si>
    <t>Classification</t>
  </si>
  <si>
    <t>ECN Phyllis classification &gt; husk/shell/pit &gt; others &gt; peach pits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</si>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</sst>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IFERROR(1.1*(1-w),"")</f>
        <v/>
      </c>
      <c r="D19" s="13">
        <v>1.1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IFERROR(79.1*(1-w),"")</f>
        <v/>
      </c>
      <c r="D20" s="13">
        <v>79.1</v>
      </c>
      <c r="E20" s="13">
        <v>79.97977755308392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IFERROR(19.8*(1-w),"")</f>
        <v/>
      </c>
      <c r="D21" s="13">
        <v>19.800000000000011</v>
      </c>
      <c r="E21" s="13">
        <v>20.020222446916087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IFERROR(49.14*(1-w),"")</f>
        <v/>
      </c>
      <c r="D23" s="13">
        <v>49.14</v>
      </c>
      <c r="E23" s="13">
        <v>49.686552072800808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IFERROR(6.34*(1-w),"")</f>
        <v/>
      </c>
      <c r="D24" s="13">
        <v>6.34</v>
      </c>
      <c r="E24" s="13">
        <v>6.41051567239636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IFERROR(42.92*(1-w),"")</f>
        <v/>
      </c>
      <c r="D25" s="13">
        <v>42.92</v>
      </c>
      <c r="E25" s="13">
        <v>43.397371081900914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IFERROR(0.48*(1-w),"")</f>
        <v/>
      </c>
      <c r="D26" s="13">
        <v>0.48</v>
      </c>
      <c r="E26" s="13">
        <v>0.48533872598584427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0.020222446916076844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IFERROR(18.0365*(1-w)-w*2.443,"")</f>
        <v/>
      </c>
      <c r="D30" s="13">
        <v>18.0365</v>
      </c>
      <c r="E30" s="13">
        <v>18.237108190091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IFERROR(19.42*(1-w),"")</f>
        <v/>
      </c>
      <c r="D31" s="13">
        <v>19.42</v>
      </c>
      <c r="E31" s="13">
        <v>19.635995955510619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IFERROR(19.91494713*(1-w),"")</f>
        <v/>
      </c>
      <c r="D32" s="13">
        <v>19.91494713</v>
      </c>
      <c r="E32" s="13">
        <v>20.136448058645097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https://phyllis.nl/Biomass/View/1489</dc:description>
  <dcterms:created xsi:type="dcterms:W3CDTF">2026-03-17T05:43:34Z</dcterms:created>
  <dc:title>Phyllis2 #1489 peach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