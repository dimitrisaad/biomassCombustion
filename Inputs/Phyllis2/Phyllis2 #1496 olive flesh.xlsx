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96 olive flesh" sheetId="1" r:id="rId1"/>
  </sheets>
  <definedNames>
    <definedName name="w" localSheetId="0">IF(ISBLANK('Phyllis2 #1496 olive flesh'!$C$20),#N/A,'Phyllis2 #1496 olive flesh'!$C$20/100)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<sst xmlns="http://schemas.openxmlformats.org/spreadsheetml/2006/main" count="73" uniqueCount="73">
  <si>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</si>
  <si>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https://phyllis.nl/Biomass/View/1496</t>
  </si>
  <si>
    <t>olive flesh (#1496)</t>
  </si>
  <si>
    <t>ID-number</t>
  </si>
  <si>
    <t>#1496</t>
  </si>
  <si>
    <t>Material</t>
  </si>
  <si>
    <t>olive flesh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</si>
  <si>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</si>
  <si>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</si>
  <si>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</si>
  <si>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Ash type</t>
  </si>
  <si>
    <t>550 degC</t>
  </si>
  <si>
    <t>Submitter organisation</t>
  </si>
  <si>
    <t>ECN (Netherlands)</t>
  </si>
  <si>
    <t>Submission date</t>
  </si>
  <si>
    <t>Remarks</t>
  </si>
  <si>
    <t>same data in: Energy &amp; Fuels 19 (2005) 825-832</t>
  </si>
  <si>
    <t>Literature</t>
  </si>
  <si>
    <t>M. Öhman: A new method to quantify fluidized bed agglomeration in the combustion of biomass fuels. Licantiate thesis.Thesis, Umea University, 23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</si>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</sst>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36342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14.4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IFERROR(9.9*(1-w),"")</f>
        <v>8.4744</v>
      </c>
      <c r="D21" s="13">
        <v>9.9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IFERROR(50.2*(1-w),"")</f>
        <v>42.9712</v>
      </c>
      <c r="D23" s="13">
        <v>50.2</v>
      </c>
      <c r="E23" s="13">
        <v>55.715871254162046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IFERROR(6.3*(1-w),"")</f>
        <v>5.3927999999999994</v>
      </c>
      <c r="D24" s="13">
        <v>6.3</v>
      </c>
      <c r="E24" s="13">
        <v>6.9922308546059933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IFERROR(32.1*(1-w),"")</f>
        <v>27.4776</v>
      </c>
      <c r="D25" s="13">
        <v>32.1</v>
      </c>
      <c r="E25" s="13">
        <v>35.627081021087683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34</v>
      </c>
      <c r="C26" s="13">
        <f>IFERROR(1.4*(1-w),"")</f>
        <v>1.1984</v>
      </c>
      <c r="D26" s="13">
        <v>1.4</v>
      </c>
      <c r="E26" s="13">
        <v>1.5538290788013318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34</v>
      </c>
      <c r="C27" s="13">
        <f>IFERROR(0.14*(1-w),"")</f>
        <v>0.11984000000000002</v>
      </c>
      <c r="D27" s="13">
        <v>0.14</v>
      </c>
      <c r="E27" s="13">
        <v>0.1553829078801332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34</v>
      </c>
      <c r="C28" s="13">
        <f>IFERROR(100.19*(1-w)+w*100,"")</f>
        <v>100.16264000000001</v>
      </c>
      <c r="D28" s="13">
        <v>100.19000000000001</v>
      </c>
      <c r="E28" s="13">
        <v>100.21087680355161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IFERROR(1500*(1-w),"")</f>
        <v>1284</v>
      </c>
      <c r="D30" s="14">
        <v>1500</v>
      </c>
      <c r="E30" s="14">
        <v>1664.8168701442842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IFERROR(19.10223*(1-w)-w*2.443,"")</f>
        <v>15.999716879999998</v>
      </c>
      <c r="D32" s="13">
        <v>19.10223</v>
      </c>
      <c r="E32" s="13">
        <v>21.201143174250831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IFERROR(20.477*(1-w),"")</f>
        <v>17.528312</v>
      </c>
      <c r="D33" s="13">
        <v>20.477</v>
      </c>
      <c r="E33" s="13">
        <v>22.726970033296336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IFERROR(21.29992953*(1-w),"")</f>
        <v>18.23273967768</v>
      </c>
      <c r="D34" s="13">
        <v>21.299929530000004</v>
      </c>
      <c r="E34" s="13">
        <v>23.64032134295228</v>
      </c>
      <c r="F34" s="13"/>
      <c r="G34" s="13"/>
      <c r="I34" s="5"/>
      <c r="J34" s="0" t="s">
        <v>44</v>
      </c>
    </row>
    <row r="35" outlineLevel="1">
      <c r="A35" s="11" t="s">
        <v>53</v>
      </c>
      <c r="I35" s="5"/>
    </row>
    <row r="36" outlineLevel="2">
      <c r="A36" s="15" t="s">
        <v>54</v>
      </c>
      <c r="I36" s="5"/>
    </row>
    <row r="37" outlineLevel="3">
      <c r="A37" s="16" t="s">
        <v>55</v>
      </c>
      <c r="B37" s="0" t="s">
        <v>56</v>
      </c>
      <c r="C37" s="17">
        <v>1100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56</v>
      </c>
      <c r="C38" s="17">
        <v>1170</v>
      </c>
      <c r="D38" s="17"/>
      <c r="E38" s="17"/>
      <c r="F38" s="17"/>
      <c r="G38" s="17"/>
      <c r="I38" s="5"/>
    </row>
    <row r="39" outlineLevel="3">
      <c r="A39" s="16" t="s">
        <v>58</v>
      </c>
      <c r="B39" s="0" t="s">
        <v>56</v>
      </c>
      <c r="C39" s="17">
        <v>1190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56</v>
      </c>
      <c r="C40" s="17">
        <v>1200</v>
      </c>
      <c r="D40" s="17"/>
      <c r="E40" s="17"/>
      <c r="F40" s="17"/>
      <c r="G40" s="17"/>
      <c r="I40" s="5"/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3.5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1.5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4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36.2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4.25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3.6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18.2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63</v>
      </c>
      <c r="C50" s="13">
        <v>12.4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63</v>
      </c>
      <c r="C51" s="13">
        <v>1.7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63</v>
      </c>
      <c r="C52" s="13">
        <v>18.2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0" errorStyle="stop" promptTitle="Enter moisture content" errorTitle="Invalid moisture content" prompt="Value should be between 0 and 100.&#10;Original value: 14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https://phyllis.nl/Biomass/View/1496</dc:description>
  <dcterms:created xsi:type="dcterms:W3CDTF">2026-03-17T05:42:58Z</dcterms:created>
  <dc:title>Phyllis2 #1496 olive flesh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