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59 wood, pine, yello" sheetId="1" r:id="rId1"/>
  </sheets>
  <definedNames>
    <definedName name="w" localSheetId="0">IF(ISBLANK('Phyllis2 #159 wood, pine, yello'!$C$17),#N/A,'Phyllis2 #159 wood, pine, yello'!$C$17/100)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<sst xmlns="http://schemas.openxmlformats.org/spreadsheetml/2006/main" count="45" uniqueCount="45">
  <si>
    <t>Phyllis2</t>
  </si>
  <si>
    <t>https://phyllis.nl/Biomass/View/159</t>
  </si>
  <si>
    <t>wood, pine, yellow (#159)</t>
  </si>
  <si>
    <t>ID-number</t>
  </si>
  <si>
    <t>#159</t>
  </si>
  <si>
    <t>Material</t>
  </si>
  <si>
    <t>wood, pine, yellow</t>
  </si>
  <si>
    <t>Classification</t>
  </si>
  <si>
    <t>ECN Phyllis classification &gt; untreated wood &gt; fir/pine/spruce</t>
  </si>
  <si>
    <t>NTA 8003 classification &gt; [100] hout &gt; [110] vers hout &gt; [130] naaldhout &gt; [131] naaldhout</t>
  </si>
  <si>
    <t>Submitter organisation</t>
  </si>
  <si>
    <t>ECN (Netherlands)</t>
  </si>
  <si>
    <t>Literature</t>
  </si>
  <si>
    <t>S. Gaur and T.B. Reed; An Atlas of Thermal Data For Biomass and Other Fuels. NREL/TP-433-7965, June 1995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</si>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</sst>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5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2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IFERROR(1.31*(1-w),"")</f>
        <v/>
      </c>
      <c r="D18" s="11">
        <v>1.31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IFERROR(52.6*(1-w),"")</f>
        <v/>
      </c>
      <c r="D20" s="11">
        <v>52.6</v>
      </c>
      <c r="E20" s="11">
        <v>53.29820650521836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IFERROR(7.02*(1-w),"")</f>
        <v/>
      </c>
      <c r="D21" s="11">
        <v>7.02</v>
      </c>
      <c r="E21" s="11">
        <v>7.1131826932819937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IFERROR(40.07*(1-w),"")</f>
        <v/>
      </c>
      <c r="D22" s="11">
        <v>40.07</v>
      </c>
      <c r="E22" s="11">
        <v>40.60188468943155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IFERROR(101*(1-w)+w*100,"")</f>
        <v/>
      </c>
      <c r="D23" s="11">
        <v>101</v>
      </c>
      <c r="E23" s="11">
        <v>101.0132738879319</v>
      </c>
      <c r="F23" s="11"/>
      <c r="G23" s="11"/>
      <c r="I23" s="12"/>
      <c r="J23" s="0" t="s">
        <v>38</v>
      </c>
    </row>
    <row r="24" outlineLevel="1">
      <c r="A24" s="9" t="s">
        <v>40</v>
      </c>
      <c r="I24" s="12"/>
    </row>
    <row r="25" outlineLevel="2">
      <c r="A25" s="10" t="s">
        <v>41</v>
      </c>
      <c r="B25" s="0" t="s">
        <v>42</v>
      </c>
      <c r="C25" s="11">
        <f>IFERROR(20.76812*(1-w)-w*2.443,"")</f>
        <v/>
      </c>
      <c r="D25" s="11">
        <v>20.76812</v>
      </c>
      <c r="E25" s="11">
        <v>21.043793697436417</v>
      </c>
      <c r="F25" s="11"/>
      <c r="G25" s="11"/>
      <c r="I25" s="12"/>
    </row>
    <row r="26" outlineLevel="2">
      <c r="A26" s="10" t="s">
        <v>43</v>
      </c>
      <c r="B26" s="0" t="s">
        <v>42</v>
      </c>
      <c r="C26" s="11">
        <f>IFERROR(22.3*(1-w),"")</f>
        <v/>
      </c>
      <c r="D26" s="11">
        <v>22.3</v>
      </c>
      <c r="E26" s="11">
        <v>22.59600770088155</v>
      </c>
      <c r="F26" s="11"/>
      <c r="G26" s="11"/>
      <c r="I26" s="12"/>
    </row>
    <row r="27" outlineLevel="2">
      <c r="A27" s="10" t="s">
        <v>44</v>
      </c>
      <c r="B27" s="0" t="s">
        <v>42</v>
      </c>
      <c r="C27" s="11">
        <f>IFERROR(22.3888595633*(1-w),"")</f>
        <v/>
      </c>
      <c r="D27" s="11">
        <v>22.388859563300002</v>
      </c>
      <c r="E27" s="11">
        <v>22.686046776066473</v>
      </c>
      <c r="F27" s="11"/>
      <c r="G27" s="11"/>
      <c r="I27" s="12"/>
      <c r="J27" s="0" t="s">
        <v>38</v>
      </c>
    </row>
    <row r="28">
      <c r="I28" s="12"/>
    </row>
    <row r="29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https://phyllis.nl/Biomass/View/159</dc:description>
  <dcterms:created xsi:type="dcterms:W3CDTF">2026-03-19T07:08:07Z</dcterms:created>
  <dc:title>Phyllis2 #159 wood, pine, yellow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