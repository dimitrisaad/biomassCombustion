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5 wood, spruce" sheetId="1" r:id="rId1"/>
  </sheets>
  <definedNames>
    <definedName name="w" localSheetId="0">IF(ISBLANK('Phyllis2 #165 wood, spruce'!$C$18),#N/A,'Phyllis2 #165 wood,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<sst xmlns="http://schemas.openxmlformats.org/spreadsheetml/2006/main" count="48" uniqueCount="48">
  <si>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</si>
  <si>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https://phyllis.nl/Biomass/View/165</t>
  </si>
  <si>
    <t>wood, spruce (#165)</t>
  </si>
  <si>
    <t>ID-number</t>
  </si>
  <si>
    <t>#165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</si>
  <si>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</si>
  <si>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</si>
  <si>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</si>
  <si>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</si>
  <si>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[132] naaldhout met schors</t>
  </si>
  <si>
    <t>Submitter organisation</t>
  </si>
  <si>
    <t>ECN (Netherlands)</t>
  </si>
  <si>
    <t>Remarks</t>
  </si>
  <si>
    <t>wood chips, bark, needles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</si>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</sst>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IFERROR(0.55*(1-w),"")</f>
        <v/>
      </c>
      <c r="D19" s="11">
        <v>0.55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IFERROR(49.22629*(1-w),"")</f>
        <v/>
      </c>
      <c r="D21" s="11">
        <v>49.22629</v>
      </c>
      <c r="E21" s="11">
        <v>49.498531925590747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IFERROR(5.82197*(1-w),"")</f>
        <v/>
      </c>
      <c r="D22" s="11">
        <v>5.82197</v>
      </c>
      <c r="E22" s="11">
        <v>5.8541679235796886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IFERROR(44.27917*(1-w),"")</f>
        <v/>
      </c>
      <c r="D23" s="11">
        <v>44.27917</v>
      </c>
      <c r="E23" s="11">
        <v>44.524052287581696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IFERROR(0.07660487*(1-w),"")</f>
        <v/>
      </c>
      <c r="D24" s="11">
        <v>0.07660487</v>
      </c>
      <c r="E24" s="11">
        <v>0.077028526897938668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IFERROR(0.04596292*(1-w),"")</f>
        <v/>
      </c>
      <c r="D25" s="11">
        <v>0.04596292</v>
      </c>
      <c r="E25" s="11">
        <v>0.046217114127702359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33</v>
      </c>
      <c r="C26" s="11">
        <f>IFERROR(99.99999779*(1-w)+w*100,"")</f>
        <v/>
      </c>
      <c r="D26" s="11">
        <v>99.999997789999981</v>
      </c>
      <c r="E26" s="11">
        <v>99.99999777777775</v>
      </c>
      <c r="F26" s="11"/>
      <c r="G26" s="11"/>
      <c r="I26" s="12"/>
      <c r="J26" s="0" t="s">
        <v>39</v>
      </c>
    </row>
    <row r="27" outlineLevel="1">
      <c r="A27" s="9" t="s">
        <v>43</v>
      </c>
      <c r="I27" s="12"/>
    </row>
    <row r="28" outlineLevel="2">
      <c r="A28" s="10" t="s">
        <v>44</v>
      </c>
      <c r="B28" s="0" t="s">
        <v>45</v>
      </c>
      <c r="C28" s="11">
        <f>IFERROR(17.20762*(1-w)-w*2.443,"")</f>
        <v/>
      </c>
      <c r="D28" s="11">
        <v>17.20762</v>
      </c>
      <c r="E28" s="11">
        <v>17.302785319255904</v>
      </c>
      <c r="F28" s="11"/>
      <c r="G28" s="11"/>
      <c r="I28" s="12"/>
    </row>
    <row r="29" outlineLevel="2">
      <c r="A29" s="10" t="s">
        <v>46</v>
      </c>
      <c r="B29" s="0" t="s">
        <v>45</v>
      </c>
      <c r="C29" s="11">
        <f>IFERROR(18.47*(1-w),"")</f>
        <v/>
      </c>
      <c r="D29" s="11">
        <v>18.47</v>
      </c>
      <c r="E29" s="11">
        <v>18.572146807440923</v>
      </c>
      <c r="F29" s="11"/>
      <c r="G29" s="11"/>
      <c r="I29" s="12"/>
    </row>
    <row r="30" outlineLevel="2">
      <c r="A30" s="10" t="s">
        <v>47</v>
      </c>
      <c r="B30" s="0" t="s">
        <v>45</v>
      </c>
      <c r="C30" s="11">
        <f>IFERROR(19.154900584412*(1-w),"")</f>
        <v/>
      </c>
      <c r="D30" s="11">
        <v>19.154900584412008</v>
      </c>
      <c r="E30" s="11">
        <v>19.260835177890403</v>
      </c>
      <c r="F30" s="11"/>
      <c r="G30" s="11"/>
      <c r="I30" s="12"/>
      <c r="J30" s="0" t="s">
        <v>39</v>
      </c>
    </row>
    <row r="31">
      <c r="I31" s="12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https://phyllis.nl/Biomass/View/165</dc:description>
  <dcterms:created xsi:type="dcterms:W3CDTF">2026-03-19T07:03:32Z</dcterms:created>
  <dc:title>Phyllis2 #165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