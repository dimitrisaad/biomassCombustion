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64 wood, forest res" sheetId="1" r:id="rId1"/>
  </sheets>
  <definedNames>
    <definedName name="w" localSheetId="0">IF(ISBLANK('Phyllis2 #1664 wood, forest res'!$C$18),#N/A,'Phyllis2 #1664 wood, forest res'!$C$18/100)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<sst xmlns="http://schemas.openxmlformats.org/spreadsheetml/2006/main" count="46" uniqueCount="46">
  <si>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</si>
  <si>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https://phyllis.nl/Biomass/View/1664</t>
  </si>
  <si>
    <t>wood, forest residue (#1664)</t>
  </si>
  <si>
    <t>ID-number</t>
  </si>
  <si>
    <t>#1664</t>
  </si>
  <si>
    <t>Material</t>
  </si>
  <si>
    <t>wood, forest residue</t>
  </si>
  <si>
    <t>Classification</t>
  </si>
  <si>
    <t>ECN Phyllis classification &gt; untreated wood &gt; others &gt; wood, forest residue</t>
  </si>
  <si>
    <t>NTA 8003 classification &gt; [100] hout &gt; [110] vers hout &gt; [119] overig vers hout</t>
  </si>
  <si>
    <t>Submitter organisation</t>
  </si>
  <si>
    <t>ECN (Netherlands)</t>
  </si>
  <si>
    <t>Submission date</t>
  </si>
  <si>
    <t>Literature</t>
  </si>
  <si>
    <t>J. Reina, E. Velo and L. Puigjaner: Thermogravimetric study of the pyrolysis of waste wood. Thermochim. Acta 320 (1-2) pp. 161-167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</si>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</sst>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36357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7.38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IFERROR(2.15*(1-w),"")</f>
        <v>1.99133</v>
      </c>
      <c r="D19" s="13">
        <v>2.15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IFERROR(78.37*(1-w),"")</f>
        <v>72.586294000000009</v>
      </c>
      <c r="D20" s="13">
        <v>78.37</v>
      </c>
      <c r="E20" s="13">
        <v>80.091977516607059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IFERROR(19.48*(1-w),"")</f>
        <v>18.04237599999999</v>
      </c>
      <c r="D21" s="13">
        <v>19.47999999999999</v>
      </c>
      <c r="E21" s="13">
        <v>19.908022483392937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IFERROR(49.83805*(1-w),"")</f>
        <v>46.160001910000005</v>
      </c>
      <c r="D23" s="13">
        <v>49.83805</v>
      </c>
      <c r="E23" s="13">
        <v>50.933111905978542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IFERROR(6.229756*(1-w),"")</f>
        <v>5.7700000072</v>
      </c>
      <c r="D24" s="13">
        <v>6.229756</v>
      </c>
      <c r="E24" s="13">
        <v>6.3666387327542155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IFERROR(40.8875*(1-w),"")</f>
        <v>37.870002500000005</v>
      </c>
      <c r="D25" s="13">
        <v>40.8875</v>
      </c>
      <c r="E25" s="13">
        <v>41.785896780786921</v>
      </c>
      <c r="F25" s="13"/>
      <c r="G25" s="13"/>
      <c r="I25" s="5"/>
      <c r="J25" s="0" t="s">
        <v>38</v>
      </c>
    </row>
    <row r="26" outlineLevel="2">
      <c r="A26" s="12" t="s">
        <v>41</v>
      </c>
      <c r="B26" s="0" t="s">
        <v>31</v>
      </c>
      <c r="C26" s="13">
        <f>IFERROR(0.8637443*(1-w),"")</f>
        <v>0.79999997066000006</v>
      </c>
      <c r="D26" s="13">
        <v>0.8637443</v>
      </c>
      <c r="E26" s="13">
        <v>0.88272284108329069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IFERROR(99.9690503*(1-w)+w*100,"")</f>
        <v>99.97133438786</v>
      </c>
      <c r="D27" s="13">
        <v>99.9690503</v>
      </c>
      <c r="E27" s="13">
        <v>99.968370260602967</v>
      </c>
      <c r="F27" s="13"/>
      <c r="G27" s="13"/>
      <c r="I27" s="5"/>
      <c r="J27" s="0" t="s">
        <v>35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3">
        <f>IFERROR(20.1881754085*(1-w),"")</f>
        <v>18.698288063352706</v>
      </c>
      <c r="D29" s="13">
        <v>20.188175408500005</v>
      </c>
      <c r="E29" s="13">
        <v>20.631758210015334</v>
      </c>
      <c r="F29" s="13"/>
      <c r="G29" s="13"/>
      <c r="I29" s="5"/>
      <c r="J29" s="0" t="s">
        <v>35</v>
      </c>
    </row>
    <row r="30">
      <c r="I30" s="5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3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https://phyllis.nl/Biomass/View/1664</dc:description>
  <dcterms:created xsi:type="dcterms:W3CDTF">2026-03-19T07:21:18Z</dcterms:created>
  <dc:title>Phyllis2 #1664 wood, forest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