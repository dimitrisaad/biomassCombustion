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665 wood, furniture" sheetId="1" r:id="rId1"/>
  </sheets>
  <definedNames>
    <definedName name="w" localSheetId="0">IF(ISBLANK('Phyllis2 #1665 wood, furniture'!$C$18),#N/A,'Phyllis2 #1665 wood, furniture'!$C$18/100)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<sst xmlns="http://schemas.openxmlformats.org/spreadsheetml/2006/main" count="46" uniqueCount="46">
  <si>
    <t>Phyllis2</t>
  </si>
  <si>
    <t>https://phyllis.nl/Biomass/View/1665</t>
  </si>
  <si>
    <t>wood, furniture (#1665)</t>
  </si>
  <si>
    <t>ID-number</t>
  </si>
  <si>
    <t>#1665</t>
  </si>
  <si>
    <t>Material</t>
  </si>
  <si>
    <t>wood, furniture</t>
  </si>
  <si>
    <t>Classification</t>
  </si>
  <si>
    <t>ECN Phyllis classification &gt; treated wood &gt; others</t>
  </si>
  <si>
    <t>NTA 8003 classification &gt; [100] hout &gt; [150] verwerkt hout</t>
  </si>
  <si>
    <t>Submitter organisation</t>
  </si>
  <si>
    <t>ECN (Netherlands)</t>
  </si>
  <si>
    <t>Submission date</t>
  </si>
  <si>
    <t>Literature</t>
  </si>
  <si>
    <t>J. Reina, E. Velo and L. Puigjaner: Thermogravimetric study of the pyrolysis of waste wood. Thermochim. Acta 320 (1-2) pp. 161-167 (1998).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</si>
  <si>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</si>
  <si>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</si>
  <si>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</si>
  <si>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</si>
  <si>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</si>
  <si>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</si>
  <si>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</si>
  <si>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</si>
  <si>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</si>
  <si>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</si>
  <si>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</si>
  <si>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</si>
  <si>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</si>
  <si>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</si>
  <si>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</si>
  <si>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</si>
  <si>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</si>
  <si>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</si>
  <si>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</si>
  <si>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</si>
  <si>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</si>
  <si>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</si>
  <si>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</si>
  <si>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</si>
  <si>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</si>
  <si>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</si>
  <si>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</si>
  <si>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</si>
  <si>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</si>
  <si>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HHVMilne</t>
  </si>
  <si>
    <t>MJ/kg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</si>
</sst>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66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36357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3.79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IFERROR(1.25*(1-w),"")</f>
        <v>1.2026249999999998</v>
      </c>
      <c r="D19" s="13">
        <v>1.25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31</v>
      </c>
      <c r="C20" s="13">
        <f>IFERROR(80.4*(1-w),"")</f>
        <v>77.35284</v>
      </c>
      <c r="D20" s="13">
        <v>80.4</v>
      </c>
      <c r="E20" s="13">
        <v>81.417721518987349</v>
      </c>
      <c r="F20" s="13"/>
      <c r="G20" s="13"/>
      <c r="I20" s="5"/>
    </row>
    <row r="21" outlineLevel="2">
      <c r="A21" s="12" t="s">
        <v>34</v>
      </c>
      <c r="B21" s="0" t="s">
        <v>31</v>
      </c>
      <c r="C21" s="13">
        <f>IFERROR(18.35*(1-w),"")</f>
        <v>17.654534999999992</v>
      </c>
      <c r="D21" s="13">
        <v>18.349999999999994</v>
      </c>
      <c r="E21" s="13">
        <v>18.582278481012651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2" t="s">
        <v>37</v>
      </c>
      <c r="B23" s="0" t="s">
        <v>31</v>
      </c>
      <c r="C23" s="13">
        <f>IFERROR(46.34653*(1-w),"")</f>
        <v>44.589996513</v>
      </c>
      <c r="D23" s="13">
        <v>46.34653</v>
      </c>
      <c r="E23" s="13">
        <v>46.933194936708858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IFERROR(6.568964*(1-w),"")</f>
        <v>6.3200002644</v>
      </c>
      <c r="D24" s="13">
        <v>6.568964</v>
      </c>
      <c r="E24" s="13">
        <v>6.6521154430379745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31</v>
      </c>
      <c r="C25" s="13">
        <f>IFERROR(44.5172*(1-w),"")</f>
        <v>42.82999812</v>
      </c>
      <c r="D25" s="13">
        <v>44.5172</v>
      </c>
      <c r="E25" s="13">
        <v>45.080708860759493</v>
      </c>
      <c r="F25" s="13"/>
      <c r="G25" s="13"/>
      <c r="I25" s="5"/>
      <c r="J25" s="0" t="s">
        <v>38</v>
      </c>
    </row>
    <row r="26" outlineLevel="2">
      <c r="A26" s="12" t="s">
        <v>41</v>
      </c>
      <c r="B26" s="0" t="s">
        <v>31</v>
      </c>
      <c r="C26" s="13">
        <f>IFERROR(1.631847*(1-w),"")</f>
        <v>1.5699999987</v>
      </c>
      <c r="D26" s="13">
        <v>1.631847</v>
      </c>
      <c r="E26" s="13">
        <v>1.6525032911392405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31</v>
      </c>
      <c r="C27" s="13">
        <f>IFERROR(100.314541*(1-w)+w*100,"")</f>
        <v>100.3026198961</v>
      </c>
      <c r="D27" s="13">
        <v>100.31454099999999</v>
      </c>
      <c r="E27" s="13">
        <v>100.31852253164556</v>
      </c>
      <c r="F27" s="13"/>
      <c r="G27" s="13"/>
      <c r="I27" s="5"/>
      <c r="J27" s="0" t="s">
        <v>35</v>
      </c>
    </row>
    <row r="28" outlineLevel="1">
      <c r="A28" s="11" t="s">
        <v>43</v>
      </c>
      <c r="I28" s="5"/>
    </row>
    <row r="29" outlineLevel="2">
      <c r="A29" s="12" t="s">
        <v>44</v>
      </c>
      <c r="B29" s="0" t="s">
        <v>45</v>
      </c>
      <c r="C29" s="13">
        <f>IFERROR(18.9315655605*(1-w),"")</f>
        <v>18.214059225757055</v>
      </c>
      <c r="D29" s="13">
        <v>18.931565560500005</v>
      </c>
      <c r="E29" s="13">
        <v>19.171205630886078</v>
      </c>
      <c r="F29" s="13"/>
      <c r="G29" s="13"/>
      <c r="I29" s="5"/>
      <c r="J29" s="0" t="s">
        <v>35</v>
      </c>
    </row>
    <row r="30">
      <c r="I30" s="5"/>
    </row>
    <row r="31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3.7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https://phyllis.nl/Biomass/View/1665</dc:description>
  <dcterms:created xsi:type="dcterms:W3CDTF">2026-03-19T04:07:55Z</dcterms:created>
  <dc:title>Phyllis2 #1665 wood, furniture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