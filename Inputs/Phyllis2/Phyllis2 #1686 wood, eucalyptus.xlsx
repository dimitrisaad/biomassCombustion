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86 wood, eucalyptus" sheetId="1" r:id="rId1"/>
  </sheets>
  <definedNames>
    <definedName name="w" localSheetId="0">IF(ISBLANK('Phyllis2 #1686 wood, eucalyptus'!$C$18),#N/A,'Phyllis2 #1686 wood, eucalyptus'!$C$18/100)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<sst xmlns="http://schemas.openxmlformats.org/spreadsheetml/2006/main" count="47" uniqueCount="47">
  <si>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</si>
  <si>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https://phyllis.nl/Biomass/View/1686</t>
  </si>
  <si>
    <t>wood, eucalyptus (#1686)</t>
  </si>
  <si>
    <t>ID-number</t>
  </si>
  <si>
    <t>#1686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</si>
  <si>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</si>
  <si>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</si>
  <si>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</si>
  <si>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</si>
  <si>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</si>
  <si>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</si>
  <si>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</si>
  <si>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</si>
  <si>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</si>
  <si>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I. Gulyurtlu, E. Penha and I. Cabrita: Co-combustion of forestry biomass with tyres in a circulating fluidised bed combustor. In: Developments in thermochemical biomass conversion (Eds. A. V. Bridgwater and D. G. B. Boocock), pp. 1346-1357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</si>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</sst>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36404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4.5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IFERROR(1.43*(1-w),"")</f>
        <v>1.3656499999999998</v>
      </c>
      <c r="D19" s="13">
        <v>1.43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IFERROR(47.32985*(1-w),"")</f>
        <v>45.20000675</v>
      </c>
      <c r="D21" s="13">
        <v>47.32985</v>
      </c>
      <c r="E21" s="13">
        <v>48.016485746170233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IFERROR(5.759162*(1-w),"")</f>
        <v>5.49999971</v>
      </c>
      <c r="D22" s="13">
        <v>5.759162</v>
      </c>
      <c r="E22" s="13">
        <v>5.8427127929390279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IFERROR(45.41361*(1-w),"")</f>
        <v>43.369997549999994</v>
      </c>
      <c r="D23" s="13">
        <v>45.41361</v>
      </c>
      <c r="E23" s="13">
        <v>46.072445977477933</v>
      </c>
      <c r="F23" s="13"/>
      <c r="G23" s="13"/>
      <c r="I23" s="5"/>
      <c r="J23" s="0" t="s">
        <v>35</v>
      </c>
    </row>
    <row r="24" outlineLevel="2">
      <c r="A24" s="12" t="s">
        <v>38</v>
      </c>
      <c r="B24" s="0" t="s">
        <v>31</v>
      </c>
      <c r="C24" s="13">
        <f>IFERROR(0.06282722*(1-w),"")</f>
        <v>0.0599999951</v>
      </c>
      <c r="D24" s="13">
        <v>0.06282722</v>
      </c>
      <c r="E24" s="13">
        <v>0.0637386831693213</v>
      </c>
      <c r="F24" s="13"/>
      <c r="G24" s="13"/>
      <c r="I24" s="5"/>
      <c r="J24" s="0" t="s">
        <v>35</v>
      </c>
    </row>
    <row r="25" outlineLevel="2">
      <c r="A25" s="12" t="s">
        <v>39</v>
      </c>
      <c r="B25" s="0" t="s">
        <v>31</v>
      </c>
      <c r="C25" s="13">
        <f>IFERROR(0*(1-w),"")</f>
        <v>0</v>
      </c>
      <c r="D25" s="13">
        <v>0</v>
      </c>
      <c r="E25" s="13">
        <v>0</v>
      </c>
      <c r="F25" s="13"/>
      <c r="G25" s="13"/>
      <c r="I25" s="5"/>
      <c r="J25" s="0" t="s">
        <v>35</v>
      </c>
    </row>
    <row r="26" outlineLevel="2">
      <c r="A26" s="12" t="s">
        <v>40</v>
      </c>
      <c r="B26" s="0" t="s">
        <v>31</v>
      </c>
      <c r="C26" s="13">
        <f>IFERROR(99.99544922*(1-w)+w*100,"")</f>
        <v>99.995654005100008</v>
      </c>
      <c r="D26" s="13">
        <v>99.995449220000012</v>
      </c>
      <c r="E26" s="13">
        <v>99.995383199756517</v>
      </c>
      <c r="F26" s="13"/>
      <c r="G26" s="13"/>
      <c r="I26" s="5"/>
      <c r="J26" s="0" t="s">
        <v>41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IFERROR(17.17257*(1-w)-w*2.443,"")</f>
        <v>16.28986935</v>
      </c>
      <c r="D28" s="13">
        <v>17.17257</v>
      </c>
      <c r="E28" s="13">
        <v>17.421700314497311</v>
      </c>
      <c r="F28" s="13"/>
      <c r="G28" s="13"/>
      <c r="I28" s="5"/>
    </row>
    <row r="29" outlineLevel="2">
      <c r="A29" s="12" t="s">
        <v>45</v>
      </c>
      <c r="B29" s="0" t="s">
        <v>44</v>
      </c>
      <c r="C29" s="13">
        <f>IFERROR(18.42932*(1-w),"")</f>
        <v>17.6000006</v>
      </c>
      <c r="D29" s="13">
        <v>18.42932</v>
      </c>
      <c r="E29" s="13">
        <v>18.696682560616821</v>
      </c>
      <c r="F29" s="13"/>
      <c r="G29" s="13"/>
      <c r="I29" s="5"/>
    </row>
    <row r="30" outlineLevel="2">
      <c r="A30" s="12" t="s">
        <v>46</v>
      </c>
      <c r="B30" s="0" t="s">
        <v>44</v>
      </c>
      <c r="C30" s="13">
        <f>IFERROR(18.2743524173*(1-w),"")</f>
        <v>17.452006558521504</v>
      </c>
      <c r="D30" s="13">
        <v>18.274352417300005</v>
      </c>
      <c r="E30" s="13">
        <v>18.539466792431778</v>
      </c>
      <c r="F30" s="13"/>
      <c r="G30" s="13"/>
      <c r="I30" s="5"/>
      <c r="J30" s="0" t="s">
        <v>41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4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https://phyllis.nl/Biomass/View/1686</dc:description>
  <dcterms:created xsi:type="dcterms:W3CDTF">2026-03-19T07:14:04Z</dcterms:created>
  <dc:title>Phyllis2 #1686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