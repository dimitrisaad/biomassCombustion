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9 wood, spruce" sheetId="1" r:id="rId1"/>
  </sheets>
  <definedNames>
    <definedName name="w" localSheetId="0">IF(ISBLANK('Phyllis2 #169 wood, spruce'!$C$18),#N/A,'Phyllis2 #169 wood,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<sst xmlns="http://schemas.openxmlformats.org/spreadsheetml/2006/main" count="47" uniqueCount="47">
  <si>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</si>
  <si>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https://phyllis.nl/Biomass/View/169</t>
  </si>
  <si>
    <t>wood, spruce (#169)</t>
  </si>
  <si>
    <t>ID-number</t>
  </si>
  <si>
    <t>#169</t>
  </si>
  <si>
    <t>Material</t>
  </si>
  <si>
    <t>wood, spruce</t>
  </si>
  <si>
    <t>Classification</t>
  </si>
  <si>
    <t>ECN Phyllis classification &gt; untreated wood &gt; fir/pine/spruce &gt; wood, spruce</t>
  </si>
  <si>
    <t>NTA 8003 classification &gt; [100] hout &gt; [110] vers hout &gt; [130] naaldhout &gt; [132] naaldhout met schors</t>
  </si>
  <si>
    <t>Submitter organisation</t>
  </si>
  <si>
    <t>ECN (Netherlands)</t>
  </si>
  <si>
    <t>Remarks</t>
  </si>
  <si>
    <t>thinning residues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</si>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</sst>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IFERROR(0.43*(1-w),"")</f>
        <v/>
      </c>
      <c r="D19" s="11">
        <v>0.43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IFERROR(48.77845*(1-w),"")</f>
        <v/>
      </c>
      <c r="D21" s="11">
        <v>48.77845</v>
      </c>
      <c r="E21" s="11">
        <v>48.98910314351712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IFERROR(5.88726*(1-w),"")</f>
        <v/>
      </c>
      <c r="D22" s="11">
        <v>5.88726</v>
      </c>
      <c r="E22" s="11">
        <v>5.91268454353721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IFERROR(44.86853*(1-w),"")</f>
        <v/>
      </c>
      <c r="D23" s="11">
        <v>44.86853</v>
      </c>
      <c r="E23" s="11">
        <v>45.062297880887819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IFERROR(0.03575259*(1-w),"")</f>
        <v/>
      </c>
      <c r="D24" s="11">
        <v>0.03575259</v>
      </c>
      <c r="E24" s="11">
        <v>0.035906990057246159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IFERROR(99.99999259*(1-w)+w*100,"")</f>
        <v/>
      </c>
      <c r="D25" s="11">
        <v>99.99999259</v>
      </c>
      <c r="E25" s="11">
        <v>99.999992557999391</v>
      </c>
      <c r="F25" s="11"/>
      <c r="G25" s="11"/>
      <c r="I25" s="12"/>
      <c r="J25" s="0" t="s">
        <v>39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IFERROR(17.65057*(1-w)-w*2.443,"")</f>
        <v/>
      </c>
      <c r="D27" s="11">
        <v>17.65057</v>
      </c>
      <c r="E27" s="11">
        <v>17.726795219443606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IFERROR(18.937*(1-w),"")</f>
        <v/>
      </c>
      <c r="D28" s="11">
        <v>18.937</v>
      </c>
      <c r="E28" s="11">
        <v>19.018780757256202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IFERROR(19.0213445489*(1-w),"")</f>
        <v/>
      </c>
      <c r="D29" s="11">
        <v>19.021344548900004</v>
      </c>
      <c r="E29" s="11">
        <v>19.103489553982126</v>
      </c>
      <c r="F29" s="11"/>
      <c r="G29" s="11"/>
      <c r="I29" s="12"/>
      <c r="J29" s="0" t="s">
        <v>39</v>
      </c>
    </row>
    <row r="30">
      <c r="I30" s="12"/>
    </row>
    <row r="3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https://phyllis.nl/Biomass/View/169</dc:description>
  <dcterms:created xsi:type="dcterms:W3CDTF">2026-03-19T07:03:46Z</dcterms:created>
  <dc:title>Phyllis2 #169 wood,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