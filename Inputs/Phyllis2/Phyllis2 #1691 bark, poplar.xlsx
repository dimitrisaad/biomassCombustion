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691 bark, poplar" sheetId="1" r:id="rId1"/>
  </sheets>
  <definedNames>
    <definedName name="w" localSheetId="0">IF(ISBLANK('Phyllis2 #1691 bark, poplar'!$C$19),#N/A,'Phyllis2 #1691 bark, poplar'!$C$19/100)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<sst xmlns="http://schemas.openxmlformats.org/spreadsheetml/2006/main" count="48" uniqueCount="48">
  <si>
    <t>Phyllis2</t>
  </si>
  <si>
    <t>https://phyllis.nl/Biomass/View/1691</t>
  </si>
  <si>
    <t>bark, poplar (#1691)</t>
  </si>
  <si>
    <t>ID-number</t>
  </si>
  <si>
    <t>#1691</t>
  </si>
  <si>
    <t>Material</t>
  </si>
  <si>
    <t>bark, poplar</t>
  </si>
  <si>
    <t>Classification</t>
  </si>
  <si>
    <t>ECN Phyllis classification &gt; untreated wood &gt; bark &gt; bark, poplar</t>
  </si>
  <si>
    <t>NTA 8003 classification &gt; [100] hout &gt; [110] vers hout &gt; [112] schors</t>
  </si>
  <si>
    <t>Submitter organisation</t>
  </si>
  <si>
    <t>ECN (Netherlands)</t>
  </si>
  <si>
    <t>Submission date</t>
  </si>
  <si>
    <t>Remarks</t>
  </si>
  <si>
    <t>used for making char</t>
  </si>
  <si>
    <t>Literature</t>
  </si>
  <si>
    <t>A. Bahrton et al.: Preparation of activated carbons using poplar wood and bark as precursors. In: Fourth biomass conference of the Americas, 29 Aug - 2 Sep 1999, Oakland, CA (Eds. R.P. Overend and E. Chornet), pp. 549-554, Pergamon (1999).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</si>
  <si>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</si>
  <si>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</si>
  <si>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</si>
  <si>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</si>
  <si>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</si>
  <si>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</si>
  <si>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</si>
  <si>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</si>
  <si>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</si>
  <si>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</si>
  <si>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</si>
  <si>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</si>
  <si>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</si>
  <si>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</si>
  <si>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</si>
  <si>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</si>
  <si>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</si>
  <si>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</si>
  <si>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</si>
  <si>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</si>
  <si>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</si>
  <si>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</si>
  <si>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</si>
  <si>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</si>
  <si>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</si>
  <si>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</si>
  <si>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</si>
  <si>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Total (with halides)</t>
  </si>
  <si>
    <t>Heating value</t>
  </si>
  <si>
    <t>HHVMilne</t>
  </si>
  <si>
    <t>MJ/kg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</si>
</sst>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69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36448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IFERROR(1.1*(1-w),"")</f>
        <v/>
      </c>
      <c r="D20" s="13">
        <v>1.1</v>
      </c>
      <c r="E20" s="13">
        <v/>
      </c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IFERROR(67*(1-w),"")</f>
        <v/>
      </c>
      <c r="D21" s="13">
        <v>67</v>
      </c>
      <c r="E21" s="13">
        <v>67.74519716885743</v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IFERROR(31.9*(1-w),"")</f>
        <v/>
      </c>
      <c r="D22" s="13">
        <v>31.900000000000006</v>
      </c>
      <c r="E22" s="13">
        <v>32.254802831142577</v>
      </c>
      <c r="F22" s="13"/>
      <c r="G22" s="13"/>
      <c r="I22" s="5"/>
      <c r="J22" s="0" t="s">
        <v>37</v>
      </c>
    </row>
    <row r="23" outlineLevel="1">
      <c r="A23" s="11" t="s">
        <v>38</v>
      </c>
      <c r="I23" s="5"/>
    </row>
    <row r="24" outlineLevel="2">
      <c r="A24" s="12" t="s">
        <v>39</v>
      </c>
      <c r="B24" s="0" t="s">
        <v>34</v>
      </c>
      <c r="C24" s="13">
        <f>IFERROR(47.2742*(1-w),"")</f>
        <v/>
      </c>
      <c r="D24" s="13">
        <v>47.2742</v>
      </c>
      <c r="E24" s="13">
        <v>47.800000000000004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34</v>
      </c>
      <c r="C25" s="13">
        <f>IFERROR(5.7362*(1-w),"")</f>
        <v/>
      </c>
      <c r="D25" s="13">
        <v>5.7362</v>
      </c>
      <c r="E25" s="13">
        <v>5.8</v>
      </c>
      <c r="F25" s="13"/>
      <c r="G25" s="13"/>
      <c r="I25" s="5"/>
      <c r="J25" s="0" t="s">
        <v>40</v>
      </c>
    </row>
    <row r="26" outlineLevel="2">
      <c r="A26" s="12" t="s">
        <v>42</v>
      </c>
      <c r="B26" s="0" t="s">
        <v>34</v>
      </c>
      <c r="C26" s="13">
        <f>IFERROR(45.0984*(1-w),"")</f>
        <v/>
      </c>
      <c r="D26" s="13">
        <v>45.0984</v>
      </c>
      <c r="E26" s="13">
        <v>45.6</v>
      </c>
      <c r="F26" s="13"/>
      <c r="G26" s="13"/>
      <c r="I26" s="5"/>
      <c r="J26" s="0" t="s">
        <v>37</v>
      </c>
    </row>
    <row r="27" outlineLevel="2">
      <c r="A27" s="12" t="s">
        <v>43</v>
      </c>
      <c r="B27" s="0" t="s">
        <v>34</v>
      </c>
      <c r="C27" s="13">
        <f>IFERROR(0.7912*(1-w),"")</f>
        <v/>
      </c>
      <c r="D27" s="13">
        <v>0.7912</v>
      </c>
      <c r="E27" s="13">
        <v>0.8</v>
      </c>
      <c r="F27" s="13"/>
      <c r="G27" s="13"/>
      <c r="I27" s="5"/>
      <c r="J27" s="0" t="s">
        <v>40</v>
      </c>
    </row>
    <row r="28" outlineLevel="2">
      <c r="A28" s="12" t="s">
        <v>44</v>
      </c>
      <c r="B28" s="0" t="s">
        <v>34</v>
      </c>
      <c r="C28" s="13">
        <f>IFERROR(100*(1-w)+w*100,"")</f>
        <v/>
      </c>
      <c r="D28" s="13">
        <v>100</v>
      </c>
      <c r="E28" s="13">
        <v>100</v>
      </c>
      <c r="F28" s="13"/>
      <c r="G28" s="13"/>
      <c r="I28" s="5"/>
      <c r="J28" s="0" t="s">
        <v>37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3">
        <f>IFERROR(18.18036173*(1-w),"")</f>
        <v/>
      </c>
      <c r="D30" s="13">
        <v>18.180361730000005</v>
      </c>
      <c r="E30" s="13">
        <v>18.382570000000005</v>
      </c>
      <c r="F30" s="13"/>
      <c r="G30" s="13"/>
      <c r="I30" s="5"/>
      <c r="J30" s="0" t="s">
        <v>37</v>
      </c>
    </row>
    <row r="31">
      <c r="I31" s="5"/>
    </row>
    <row r="32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https://phyllis.nl/Biomass/View/1691</dc:description>
  <dcterms:created xsi:type="dcterms:W3CDTF">2026-03-19T04:15:55Z</dcterms:created>
  <dc:title>Phyllis2 #1691 bark, poplar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