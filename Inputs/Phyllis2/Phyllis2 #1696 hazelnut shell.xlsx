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96 hazelnut shell" sheetId="1" r:id="rId1"/>
  </sheets>
  <definedNames>
    <definedName name="w" localSheetId="0">IF(ISBLANK('Phyllis2 #1696 hazelnut shell'!$C$19),#N/A,'Phyllis2 #1696 hazelnut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<sst xmlns="http://schemas.openxmlformats.org/spreadsheetml/2006/main" count="54" uniqueCount="54">
  <si>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</si>
  <si>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https://phyllis.nl/Biomass/View/1696</t>
  </si>
  <si>
    <t>hazelnut shell (#1696)</t>
  </si>
  <si>
    <t>ID-number</t>
  </si>
  <si>
    <t>#1696</t>
  </si>
  <si>
    <t>Material</t>
  </si>
  <si>
    <t>hazelnut shell</t>
  </si>
  <si>
    <t>Classification</t>
  </si>
  <si>
    <t>ECN Phyllis classification &gt; husk/shell/pit &gt; hazelnut &gt; hazelnut shell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</si>
  <si>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</si>
  <si>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</si>
  <si>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</si>
  <si>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</si>
  <si>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</si>
  <si>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Corylus avellana, sample 2, samples from Trabzon, Turkey</t>
  </si>
  <si>
    <t>Literature</t>
  </si>
  <si>
    <t>M. Dogru, A. A. Malik, C. R. Howarth and H. Olgun: Use of bio-nut shells for gasification. In: Fourth biomass conference of the Americas, 29 Aug - 2 Sep 1999, Oakland, CA (Eds. R.P. Overend and E. Chornet), pp. 1051-1057, Pergamon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</si>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</sst>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9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IFERROR(0.75*(1-w),"")</f>
        <v>0.6525</v>
      </c>
      <c r="D20" s="13">
        <v>0.75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IFERROR(71.94*(1-w),"")</f>
        <v>62.587799999999994</v>
      </c>
      <c r="D21" s="13">
        <v>71.94</v>
      </c>
      <c r="E21" s="13">
        <v>72.483627204030228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IFERROR(27.31*(1-w),"")</f>
        <v>23.759700000000002</v>
      </c>
      <c r="D22" s="13">
        <v>27.310000000000002</v>
      </c>
      <c r="E22" s="13">
        <v>27.516372795969776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IFERROR(47.06*(1-w),"")</f>
        <v>40.9422</v>
      </c>
      <c r="D24" s="13">
        <v>47.06</v>
      </c>
      <c r="E24" s="13">
        <v>47.415617128463474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IFERROR(5.84*(1-w),"")</f>
        <v>5.0808</v>
      </c>
      <c r="D25" s="13">
        <v>5.84</v>
      </c>
      <c r="E25" s="13">
        <v>5.8841309823677577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IFERROR(45.21*(1-w),"")</f>
        <v>39.3327</v>
      </c>
      <c r="D26" s="13">
        <v>45.21</v>
      </c>
      <c r="E26" s="13">
        <v>45.551637279596974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IFERROR(0.33*(1-w),"")</f>
        <v>0.2871</v>
      </c>
      <c r="D27" s="13">
        <v>0.33</v>
      </c>
      <c r="E27" s="13">
        <v>0.33249370277078083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IFERROR(0.81*(1-w),"")</f>
        <v>0.7047</v>
      </c>
      <c r="D28" s="13">
        <v>0.81</v>
      </c>
      <c r="E28" s="13">
        <v>0.81612090680100757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IFERROR(100*(1-w)+w*100,"")</f>
        <v>100.00000000000001</v>
      </c>
      <c r="D29" s="13">
        <v>100.00000000000001</v>
      </c>
      <c r="E29" s="13">
        <v>100.00000000000001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IFERROR(18.82906*(1-w)-w*2.443,"")</f>
        <v>16.0636922</v>
      </c>
      <c r="D31" s="13">
        <v>18.82906</v>
      </c>
      <c r="E31" s="13">
        <v>18.971345088161208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IFERROR(20.10345*(1-w),"")</f>
        <v>17.490001499999998</v>
      </c>
      <c r="D32" s="13">
        <v>20.10345</v>
      </c>
      <c r="E32" s="13">
        <v>20.255365239294708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IFERROR(18.3473170625*(1-w),"")</f>
        <v>15.962165844375003</v>
      </c>
      <c r="D33" s="13">
        <v>18.347317062500004</v>
      </c>
      <c r="E33" s="13">
        <v>18.485961775818641</v>
      </c>
      <c r="F33" s="13"/>
      <c r="G33" s="13"/>
      <c r="I33" s="5"/>
      <c r="J33" s="0" t="s">
        <v>36</v>
      </c>
    </row>
    <row r="34">
      <c r="A34" s="7" t="s">
        <v>50</v>
      </c>
      <c r="I34" s="5"/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v>311</v>
      </c>
      <c r="D36" s="14"/>
      <c r="E36" s="14"/>
      <c r="F36" s="14"/>
      <c r="G36" s="14"/>
      <c r="I36" s="5"/>
    </row>
    <row r="37">
      <c r="I37" s="5"/>
    </row>
    <row r="38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</mergeCells>
  <dataValidations count="1">
    <dataValidation type="decimal" sqref="C19" errorStyle="stop" promptTitle="Enter moisture content" errorTitle="Invalid moisture content" prompt="Value should be between 0 and 100.&#10;Original value: 1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https://phyllis.nl/Biomass/View/1696</dc:description>
  <dcterms:created xsi:type="dcterms:W3CDTF">2026-03-17T05:41:10Z</dcterms:created>
  <dc:title>Phyllis2 #1696 hazelnut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