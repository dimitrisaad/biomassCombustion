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9 grass" sheetId="1" r:id="rId1"/>
  </sheets>
  <definedNames>
    <definedName name="w" localSheetId="0">IF(ISBLANK('Phyllis2 #1699 grass'!$C$19),#N/A,'Phyllis2 #1699 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<sst xmlns="http://schemas.openxmlformats.org/spreadsheetml/2006/main" count="64" uniqueCount="64">
  <si>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</si>
  <si>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https://phyllis.nl/Biomass/View/1699</t>
  </si>
  <si>
    <t>grass (#1699)</t>
  </si>
  <si>
    <t>ID-number</t>
  </si>
  <si>
    <t>#1699</t>
  </si>
  <si>
    <t>Material</t>
  </si>
  <si>
    <t>grass</t>
  </si>
  <si>
    <t>Classification</t>
  </si>
  <si>
    <t>ECN Phyllis classification &gt; grass/plant &gt; other grass &gt; grass</t>
  </si>
  <si>
    <t>NTA 8003 classification &gt; [200] biomassa uit land- en tuinbouw &gt; [210] gras &gt; [211] mengsel gras</t>
  </si>
  <si>
    <t>Ash type</t>
  </si>
  <si>
    <t>550 degC</t>
  </si>
  <si>
    <t>Submitter organisation</t>
  </si>
  <si>
    <t>ECN (Netherlands)</t>
  </si>
  <si>
    <t>Submission date</t>
  </si>
  <si>
    <t>Literature</t>
  </si>
  <si>
    <t>B.J.Skrifvars, M.Hupa, A.Moilanen and R.Lundqvist: Characterization of biomass ashes. In: Proc. Applications of advanced technology to ash-related problems in boilers (Eds. L.Baxter and R.DeSollar), pp. 383-398, Plenum Press, New York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</si>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</sst>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36448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35</v>
      </c>
      <c r="C20" s="13">
        <f>IFERROR(8.9*(1-w),"")</f>
        <v/>
      </c>
      <c r="D20" s="13">
        <v>8.9</v>
      </c>
      <c r="E20" s="13">
        <v/>
      </c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IFERROR(73.5*(1-w),"")</f>
        <v/>
      </c>
      <c r="D21" s="13">
        <v>73.5</v>
      </c>
      <c r="E21" s="13">
        <v>80.680570801317231</v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IFERROR(17.6*(1-w),"")</f>
        <v/>
      </c>
      <c r="D22" s="13">
        <v>17.599999999999994</v>
      </c>
      <c r="E22" s="13">
        <v>19.319429198682759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35</v>
      </c>
      <c r="C24" s="13">
        <f>IFERROR(45*(1-w),"")</f>
        <v/>
      </c>
      <c r="D24" s="13">
        <v>45</v>
      </c>
      <c r="E24" s="13">
        <v>49.39626783754116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35</v>
      </c>
      <c r="C25" s="13">
        <f>IFERROR(5.7*(1-w),"")</f>
        <v/>
      </c>
      <c r="D25" s="13">
        <v>5.7</v>
      </c>
      <c r="E25" s="13">
        <v>6.2568605927552143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35</v>
      </c>
      <c r="C26" s="13">
        <f>IFERROR(38.9*(1-w),"")</f>
        <v/>
      </c>
      <c r="D26" s="13">
        <v>38.9</v>
      </c>
      <c r="E26" s="13">
        <v>42.700329308452247</v>
      </c>
      <c r="F26" s="13"/>
      <c r="G26" s="13"/>
      <c r="I26" s="5"/>
      <c r="J26" s="0" t="s">
        <v>38</v>
      </c>
    </row>
    <row r="27" outlineLevel="2">
      <c r="A27" s="12" t="s">
        <v>44</v>
      </c>
      <c r="B27" s="0" t="s">
        <v>35</v>
      </c>
      <c r="C27" s="13">
        <f>IFERROR(1.4*(1-w),"")</f>
        <v/>
      </c>
      <c r="D27" s="13">
        <v>1.4</v>
      </c>
      <c r="E27" s="13">
        <v>1.5367727771679471</v>
      </c>
      <c r="F27" s="13"/>
      <c r="G27" s="13"/>
      <c r="I27" s="5"/>
      <c r="J27" s="0" t="s">
        <v>41</v>
      </c>
    </row>
    <row r="28" outlineLevel="2">
      <c r="A28" s="12" t="s">
        <v>45</v>
      </c>
      <c r="B28" s="0" t="s">
        <v>35</v>
      </c>
      <c r="C28" s="13">
        <f>IFERROR(0.14*(1-w),"")</f>
        <v/>
      </c>
      <c r="D28" s="13">
        <v>0.14</v>
      </c>
      <c r="E28" s="13">
        <v>0.15367727771679474</v>
      </c>
      <c r="F28" s="13"/>
      <c r="G28" s="13"/>
      <c r="I28" s="5"/>
      <c r="J28" s="0" t="s">
        <v>41</v>
      </c>
    </row>
    <row r="29" outlineLevel="2">
      <c r="A29" s="12" t="s">
        <v>46</v>
      </c>
      <c r="B29" s="0" t="s">
        <v>35</v>
      </c>
      <c r="C29" s="13">
        <f>IFERROR(100.04*(1-w)+w*100,"")</f>
        <v/>
      </c>
      <c r="D29" s="13">
        <v>100.04</v>
      </c>
      <c r="E29" s="13">
        <v>100.04390779363337</v>
      </c>
      <c r="F29" s="13"/>
      <c r="G29" s="13"/>
      <c r="I29" s="5"/>
      <c r="J29" s="0" t="s">
        <v>38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3">
        <f>IFERROR(17.92995313*(1-w),"")</f>
        <v/>
      </c>
      <c r="D31" s="13">
        <v>17.92995313</v>
      </c>
      <c r="E31" s="13">
        <v>19.681617047200881</v>
      </c>
      <c r="F31" s="13"/>
      <c r="G31" s="13"/>
      <c r="I31" s="5"/>
      <c r="J31" s="0" t="s">
        <v>38</v>
      </c>
    </row>
    <row r="32">
      <c r="A32" s="7" t="s">
        <v>50</v>
      </c>
      <c r="I32" s="5"/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v>0</v>
      </c>
      <c r="D34" s="13"/>
      <c r="E34" s="13"/>
      <c r="F34" s="13"/>
      <c r="G34" s="13"/>
      <c r="I34" s="5"/>
    </row>
    <row r="35" outlineLevel="2">
      <c r="A35" s="12" t="s">
        <v>54</v>
      </c>
      <c r="B35" s="0" t="s">
        <v>53</v>
      </c>
      <c r="C35" s="13">
        <v>1.4</v>
      </c>
      <c r="D35" s="13"/>
      <c r="E35" s="13"/>
      <c r="F35" s="13"/>
      <c r="G35" s="13"/>
      <c r="I35" s="5"/>
    </row>
    <row r="36" outlineLevel="2">
      <c r="A36" s="12" t="s">
        <v>55</v>
      </c>
      <c r="B36" s="0" t="s">
        <v>53</v>
      </c>
      <c r="C36" s="13">
        <v>0.23</v>
      </c>
      <c r="D36" s="13"/>
      <c r="E36" s="13"/>
      <c r="F36" s="13"/>
      <c r="G36" s="13"/>
      <c r="I36" s="5"/>
    </row>
    <row r="37" outlineLevel="2">
      <c r="A37" s="12" t="s">
        <v>56</v>
      </c>
      <c r="B37" s="0" t="s">
        <v>53</v>
      </c>
      <c r="C37" s="13">
        <v>5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53</v>
      </c>
      <c r="C38" s="13">
        <v>65.7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53</v>
      </c>
      <c r="C39" s="13">
        <v>1.4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53</v>
      </c>
      <c r="C40" s="13">
        <v>1.7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53</v>
      </c>
      <c r="C41" s="13">
        <v>2.7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53</v>
      </c>
      <c r="C42" s="13">
        <v>1.8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53</v>
      </c>
      <c r="C43" s="13">
        <v>0.3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53</v>
      </c>
      <c r="C44" s="13">
        <v>4.6</v>
      </c>
      <c r="D44" s="13"/>
      <c r="E44" s="13"/>
      <c r="F44" s="13"/>
      <c r="G44" s="13"/>
      <c r="I44" s="5"/>
    </row>
    <row r="45">
      <c r="I45" s="5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https://phyllis.nl/Biomass/View/1699</dc:description>
  <dcterms:created xsi:type="dcterms:W3CDTF">2026-03-04T04:19:15Z</dcterms:created>
  <dc:title>Phyllis2 #1699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