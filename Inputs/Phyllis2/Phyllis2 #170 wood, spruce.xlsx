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0 wood, spruce" sheetId="1" r:id="rId1"/>
  </sheets>
  <definedNames>
    <definedName name="w" localSheetId="0">IF(ISBLANK('Phyllis2 #170 wood, spruce'!$C$18),#N/A,'Phyllis2 #170 wood, spruce'!$C$18/100)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<sst xmlns="http://schemas.openxmlformats.org/spreadsheetml/2006/main" count="48" uniqueCount="48">
  <si>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</si>
  <si>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https://phyllis.nl/Biomass/View/170</t>
  </si>
  <si>
    <t>wood, spruce (#170)</t>
  </si>
  <si>
    <t>ID-number</t>
  </si>
  <si>
    <t>#170</t>
  </si>
  <si>
    <t>Material</t>
  </si>
  <si>
    <t>wood, spruce</t>
  </si>
  <si>
    <t>Classification</t>
  </si>
  <si>
    <t>ECN Phyllis classification &gt; untreated wood &gt; fir/pine/spruce &gt; wood, spruce</t>
  </si>
  <si>
    <t>NTA 8003 classification &gt; [100] hout &gt; [110] vers hout &gt; [130] naaldhout &gt; [132] naaldhout met schors</t>
  </si>
  <si>
    <t>Submitter organisation</t>
  </si>
  <si>
    <t>ECN (Netherlands)</t>
  </si>
  <si>
    <t>Remarks</t>
  </si>
  <si>
    <t>thinning residues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</si>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</sst>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2"/>
    </row>
    <row r="17" outlineLevel="1">
      <c r="A17" s="9" t="s">
        <v>29</v>
      </c>
      <c r="I17" s="12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2"/>
    </row>
    <row r="19" outlineLevel="2">
      <c r="A19" s="10" t="s">
        <v>32</v>
      </c>
      <c r="B19" s="0" t="s">
        <v>33</v>
      </c>
      <c r="C19" s="11">
        <f>IFERROR(0.6*(1-w),"")</f>
        <v/>
      </c>
      <c r="D19" s="11">
        <v>0.6</v>
      </c>
      <c r="E19" s="11">
        <v/>
      </c>
      <c r="F19" s="11"/>
      <c r="G19" s="11"/>
      <c r="I19" s="12"/>
    </row>
    <row r="20" outlineLevel="1">
      <c r="A20" s="9" t="s">
        <v>34</v>
      </c>
      <c r="I20" s="12"/>
    </row>
    <row r="21" outlineLevel="2">
      <c r="A21" s="10" t="s">
        <v>35</v>
      </c>
      <c r="B21" s="0" t="s">
        <v>33</v>
      </c>
      <c r="C21" s="11">
        <f>IFERROR(47.30164*(1-w),"")</f>
        <v/>
      </c>
      <c r="D21" s="11">
        <v>47.30164</v>
      </c>
      <c r="E21" s="11">
        <v>47.5871629778672</v>
      </c>
      <c r="F21" s="11"/>
      <c r="G21" s="11"/>
      <c r="I21" s="12"/>
      <c r="J21" s="0" t="s">
        <v>36</v>
      </c>
    </row>
    <row r="22" outlineLevel="2">
      <c r="A22" s="10" t="s">
        <v>37</v>
      </c>
      <c r="B22" s="0" t="s">
        <v>33</v>
      </c>
      <c r="C22" s="11">
        <f>IFERROR(5.782204*(1-w),"")</f>
        <v/>
      </c>
      <c r="D22" s="11">
        <v>5.782204</v>
      </c>
      <c r="E22" s="11">
        <v>5.8171066398390341</v>
      </c>
      <c r="F22" s="11"/>
      <c r="G22" s="11"/>
      <c r="I22" s="12"/>
      <c r="J22" s="0" t="s">
        <v>36</v>
      </c>
    </row>
    <row r="23" outlineLevel="2">
      <c r="A23" s="10" t="s">
        <v>38</v>
      </c>
      <c r="B23" s="0" t="s">
        <v>33</v>
      </c>
      <c r="C23" s="11">
        <f>IFERROR(46.02705*(1-w),"")</f>
        <v/>
      </c>
      <c r="D23" s="11">
        <v>46.02705</v>
      </c>
      <c r="E23" s="11">
        <v>46.304879275653924</v>
      </c>
      <c r="F23" s="11"/>
      <c r="G23" s="11"/>
      <c r="I23" s="12"/>
      <c r="J23" s="0" t="s">
        <v>39</v>
      </c>
    </row>
    <row r="24" outlineLevel="2">
      <c r="A24" s="10" t="s">
        <v>40</v>
      </c>
      <c r="B24" s="0" t="s">
        <v>33</v>
      </c>
      <c r="C24" s="11">
        <f>IFERROR(0.2730485*(1-w),"")</f>
        <v/>
      </c>
      <c r="D24" s="11">
        <v>0.2730485</v>
      </c>
      <c r="E24" s="11">
        <v>0.27469668008048292</v>
      </c>
      <c r="F24" s="11"/>
      <c r="G24" s="11"/>
      <c r="I24" s="12"/>
      <c r="J24" s="0" t="s">
        <v>36</v>
      </c>
    </row>
    <row r="25" outlineLevel="2">
      <c r="A25" s="10" t="s">
        <v>41</v>
      </c>
      <c r="B25" s="0" t="s">
        <v>33</v>
      </c>
      <c r="C25" s="11">
        <f>IFERROR(0.01606168*(1-w),"")</f>
        <v/>
      </c>
      <c r="D25" s="11">
        <v>0.01606168</v>
      </c>
      <c r="E25" s="11">
        <v>0.016158631790744466</v>
      </c>
      <c r="F25" s="11"/>
      <c r="G25" s="11"/>
      <c r="I25" s="12"/>
      <c r="J25" s="0" t="s">
        <v>36</v>
      </c>
    </row>
    <row r="26" outlineLevel="2">
      <c r="A26" s="10" t="s">
        <v>42</v>
      </c>
      <c r="B26" s="0" t="s">
        <v>33</v>
      </c>
      <c r="C26" s="11">
        <f>IFERROR(100.00000418*(1-w)+w*100,"")</f>
        <v/>
      </c>
      <c r="D26" s="11">
        <v>100.00000418</v>
      </c>
      <c r="E26" s="11">
        <v>100.00000420523141</v>
      </c>
      <c r="F26" s="11"/>
      <c r="G26" s="11"/>
      <c r="I26" s="12"/>
      <c r="J26" s="0" t="s">
        <v>39</v>
      </c>
    </row>
    <row r="27" outlineLevel="1">
      <c r="A27" s="9" t="s">
        <v>43</v>
      </c>
      <c r="I27" s="12"/>
    </row>
    <row r="28" outlineLevel="2">
      <c r="A28" s="10" t="s">
        <v>44</v>
      </c>
      <c r="B28" s="0" t="s">
        <v>45</v>
      </c>
      <c r="C28" s="11">
        <f>IFERROR(16.9352*(1-w)-w*2.443,"")</f>
        <v/>
      </c>
      <c r="D28" s="11">
        <v>16.9352</v>
      </c>
      <c r="E28" s="11">
        <v>17.0374245472837</v>
      </c>
      <c r="F28" s="11"/>
      <c r="G28" s="11"/>
      <c r="I28" s="12"/>
    </row>
    <row r="29" outlineLevel="2">
      <c r="A29" s="10" t="s">
        <v>46</v>
      </c>
      <c r="B29" s="0" t="s">
        <v>45</v>
      </c>
      <c r="C29" s="11">
        <f>IFERROR(18.199*(1-w),"")</f>
        <v/>
      </c>
      <c r="D29" s="11">
        <v>18.199</v>
      </c>
      <c r="E29" s="11">
        <v>18.308853118712275</v>
      </c>
      <c r="F29" s="11"/>
      <c r="G29" s="11"/>
      <c r="I29" s="12"/>
    </row>
    <row r="30" outlineLevel="2">
      <c r="A30" s="10" t="s">
        <v>47</v>
      </c>
      <c r="B30" s="0" t="s">
        <v>45</v>
      </c>
      <c r="C30" s="11">
        <f>IFERROR(18.209898019248*(1-w),"")</f>
        <v/>
      </c>
      <c r="D30" s="11">
        <v>18.209898019248</v>
      </c>
      <c r="E30" s="11">
        <v>18.319816920772638</v>
      </c>
      <c r="F30" s="11"/>
      <c r="G30" s="11"/>
      <c r="I30" s="12"/>
      <c r="J30" s="0" t="s">
        <v>39</v>
      </c>
    </row>
    <row r="31">
      <c r="I31" s="12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https://phyllis.nl/Biomass/View/170</dc:description>
  <dcterms:created xsi:type="dcterms:W3CDTF">2026-03-19T07:03:50Z</dcterms:created>
  <dc:title>Phyllis2 #170 wood, spruce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