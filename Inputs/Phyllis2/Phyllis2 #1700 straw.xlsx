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00 straw" sheetId="1" r:id="rId1"/>
  </sheets>
  <definedNames>
    <definedName name="w" localSheetId="0">IF(ISBLANK('Phyllis2 #1700 straw'!$C$19),#N/A,'Phyllis2 #1700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<sst xmlns="http://schemas.openxmlformats.org/spreadsheetml/2006/main" count="67" uniqueCount="67">
  <si>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</si>
  <si>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https://phyllis.nl/Biomass/View/1700</t>
  </si>
  <si>
    <t>straw (#1700)</t>
  </si>
  <si>
    <t>ID-number</t>
  </si>
  <si>
    <t>#1700</t>
  </si>
  <si>
    <t>Material</t>
  </si>
  <si>
    <t>straw</t>
  </si>
  <si>
    <t>Classification</t>
  </si>
  <si>
    <t>ECN Phyllis classification &gt; straw (stalk/cob/ear) &gt; others &gt; straw</t>
  </si>
  <si>
    <t>NTA 8003 classification &gt; [200] biomassa uit land- en tuinbouw &gt; [220] stro</t>
  </si>
  <si>
    <t>Ash type</t>
  </si>
  <si>
    <t>550 degC</t>
  </si>
  <si>
    <t>Submitter organisation</t>
  </si>
  <si>
    <t>ECN (Netherlands)</t>
  </si>
  <si>
    <t>Submission date</t>
  </si>
  <si>
    <t>Literature</t>
  </si>
  <si>
    <t>B.J.Skrifvars, M.Hupa, A.Moilanen and R.Lundqvist: Characterization of biomass ashes. In: Proc. Applications of advanced technology to ash-related problems in boilers (Eds. L.Baxter and R.DeSollar), pp. 383-398, Plenum Press, New York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</si>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</sst>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36448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35</v>
      </c>
      <c r="C20" s="13">
        <f>IFERROR(4.9*(1-w),"")</f>
        <v/>
      </c>
      <c r="D20" s="13">
        <v>4.9</v>
      </c>
      <c r="E20" s="13">
        <v/>
      </c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IFERROR(77.4*(1-w),"")</f>
        <v/>
      </c>
      <c r="D21" s="13">
        <v>77.4</v>
      </c>
      <c r="E21" s="13">
        <v>81.388012618296543</v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IFERROR(17.7*(1-w),"")</f>
        <v/>
      </c>
      <c r="D22" s="13">
        <v>17.699999999999989</v>
      </c>
      <c r="E22" s="13">
        <v>18.611987381703457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IFERROR(47.3*(1-w),"")</f>
        <v/>
      </c>
      <c r="D24" s="13">
        <v>47.3</v>
      </c>
      <c r="E24" s="13">
        <v>49.737118822292324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IFERROR(5.8*(1-w),"")</f>
        <v/>
      </c>
      <c r="D25" s="13">
        <v>5.8</v>
      </c>
      <c r="E25" s="13">
        <v>6.0988433228180865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IFERROR(41.23*(1-w),"")</f>
        <v/>
      </c>
      <c r="D26" s="13">
        <v>41.23</v>
      </c>
      <c r="E26" s="13">
        <v>43.354363827549946</v>
      </c>
      <c r="F26" s="13"/>
      <c r="G26" s="13"/>
      <c r="I26" s="5"/>
      <c r="J26" s="0" t="s">
        <v>38</v>
      </c>
    </row>
    <row r="27" outlineLevel="2">
      <c r="A27" s="12" t="s">
        <v>44</v>
      </c>
      <c r="B27" s="0" t="s">
        <v>35</v>
      </c>
      <c r="C27" s="13">
        <f>IFERROR(0.5*(1-w),"")</f>
        <v/>
      </c>
      <c r="D27" s="13">
        <v>0.5</v>
      </c>
      <c r="E27" s="13">
        <v>0.52576235541535232</v>
      </c>
      <c r="F27" s="13"/>
      <c r="G27" s="13"/>
      <c r="I27" s="5"/>
      <c r="J27" s="0" t="s">
        <v>41</v>
      </c>
    </row>
    <row r="28" outlineLevel="2">
      <c r="A28" s="12" t="s">
        <v>45</v>
      </c>
      <c r="B28" s="0" t="s">
        <v>35</v>
      </c>
      <c r="C28" s="13">
        <f>IFERROR(0.1*(1-w),"")</f>
        <v/>
      </c>
      <c r="D28" s="13">
        <v>0.1</v>
      </c>
      <c r="E28" s="13">
        <v>0.10515247108307046</v>
      </c>
      <c r="F28" s="13"/>
      <c r="G28" s="13"/>
      <c r="I28" s="5"/>
      <c r="J28" s="0" t="s">
        <v>41</v>
      </c>
    </row>
    <row r="29" outlineLevel="2">
      <c r="A29" s="12" t="s">
        <v>46</v>
      </c>
      <c r="B29" s="0" t="s">
        <v>35</v>
      </c>
      <c r="C29" s="13">
        <f>IFERROR(100*(1-w)+w*100,"")</f>
        <v/>
      </c>
      <c r="D29" s="13">
        <v>99.999999999999986</v>
      </c>
      <c r="E29" s="13">
        <v>99.999999999999986</v>
      </c>
      <c r="F29" s="13"/>
      <c r="G29" s="13"/>
      <c r="I29" s="5"/>
      <c r="J29" s="0" t="s">
        <v>38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4">
        <f>IFERROR(1700*(1-w),"")</f>
        <v/>
      </c>
      <c r="D31" s="14">
        <v>1700</v>
      </c>
      <c r="E31" s="14">
        <v>1787.5920084121979</v>
      </c>
      <c r="F31" s="14"/>
      <c r="G31" s="14"/>
      <c r="I31" s="5"/>
      <c r="J31" s="0" t="s">
        <v>41</v>
      </c>
    </row>
    <row r="32" outlineLevel="1">
      <c r="A32" s="11" t="s">
        <v>50</v>
      </c>
      <c r="I32" s="5"/>
    </row>
    <row r="33" outlineLevel="2">
      <c r="A33" s="12" t="s">
        <v>51</v>
      </c>
      <c r="B33" s="0" t="s">
        <v>52</v>
      </c>
      <c r="C33" s="13">
        <f>IFERROR(18.72486353*(1-w),"")</f>
        <v/>
      </c>
      <c r="D33" s="13">
        <v>18.72486353</v>
      </c>
      <c r="E33" s="13">
        <v>19.689656708727657</v>
      </c>
      <c r="F33" s="13"/>
      <c r="G33" s="13"/>
      <c r="I33" s="5"/>
      <c r="J33" s="0" t="s">
        <v>38</v>
      </c>
    </row>
    <row r="34">
      <c r="A34" s="7" t="s">
        <v>53</v>
      </c>
      <c r="I34" s="5"/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3">
        <v>1.3</v>
      </c>
      <c r="D36" s="13"/>
      <c r="E36" s="13"/>
      <c r="F36" s="13"/>
      <c r="G36" s="13"/>
      <c r="I36" s="5"/>
    </row>
    <row r="37" outlineLevel="2">
      <c r="A37" s="12" t="s">
        <v>57</v>
      </c>
      <c r="B37" s="0" t="s">
        <v>56</v>
      </c>
      <c r="C37" s="13">
        <v>2.9</v>
      </c>
      <c r="D37" s="13"/>
      <c r="E37" s="13"/>
      <c r="F37" s="13"/>
      <c r="G37" s="13"/>
      <c r="I37" s="5"/>
    </row>
    <row r="38" outlineLevel="2">
      <c r="A38" s="12" t="s">
        <v>58</v>
      </c>
      <c r="B38" s="0" t="s">
        <v>56</v>
      </c>
      <c r="C38" s="13">
        <v>2.1</v>
      </c>
      <c r="D38" s="13"/>
      <c r="E38" s="13"/>
      <c r="F38" s="13"/>
      <c r="G38" s="13"/>
      <c r="I38" s="5"/>
    </row>
    <row r="39" outlineLevel="2">
      <c r="A39" s="12" t="s">
        <v>59</v>
      </c>
      <c r="B39" s="0" t="s">
        <v>56</v>
      </c>
      <c r="C39" s="13">
        <v>1.9</v>
      </c>
      <c r="D39" s="13"/>
      <c r="E39" s="13"/>
      <c r="F39" s="13"/>
      <c r="G39" s="13"/>
      <c r="I39" s="5"/>
    </row>
    <row r="40" outlineLevel="2">
      <c r="A40" s="12" t="s">
        <v>60</v>
      </c>
      <c r="B40" s="0" t="s">
        <v>56</v>
      </c>
      <c r="C40" s="13">
        <v>56.3</v>
      </c>
      <c r="D40" s="13"/>
      <c r="E40" s="13"/>
      <c r="F40" s="13"/>
      <c r="G40" s="13"/>
      <c r="I40" s="5"/>
    </row>
    <row r="41" outlineLevel="2">
      <c r="A41" s="12" t="s">
        <v>61</v>
      </c>
      <c r="B41" s="0" t="s">
        <v>56</v>
      </c>
      <c r="C41" s="13">
        <v>0.6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56</v>
      </c>
      <c r="C42" s="13">
        <v>0.5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56</v>
      </c>
      <c r="C43" s="13">
        <v>6.3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56</v>
      </c>
      <c r="C44" s="13">
        <v>1.4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56</v>
      </c>
      <c r="C45" s="13">
        <v>0.2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56</v>
      </c>
      <c r="C46" s="13">
        <v>12.6</v>
      </c>
      <c r="D46" s="13"/>
      <c r="E46" s="13"/>
      <c r="F46" s="13"/>
      <c r="G46" s="13"/>
      <c r="I46" s="5"/>
    </row>
    <row r="47">
      <c r="I47" s="5"/>
    </row>
    <row r="4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https://phyllis.nl/Biomass/View/1700</dc:description>
  <dcterms:created xsi:type="dcterms:W3CDTF">2026-03-17T06:07:48Z</dcterms:created>
  <dc:title>Phyllis2 #1700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