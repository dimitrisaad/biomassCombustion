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01 straw" sheetId="1" r:id="rId1"/>
  </sheets>
  <definedNames>
    <definedName name="w" localSheetId="0">IF(ISBLANK('Phyllis2 #1701 straw'!$C$19),#N/A,'Phyllis2 #1701 straw'!$C$19/100)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<sst xmlns="http://schemas.openxmlformats.org/spreadsheetml/2006/main" count="64" uniqueCount="64">
  <si>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</si>
  <si>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https://phyllis.nl/Biomass/View/1701</t>
  </si>
  <si>
    <t>straw (#1701)</t>
  </si>
  <si>
    <t>ID-number</t>
  </si>
  <si>
    <t>#1701</t>
  </si>
  <si>
    <t>Material</t>
  </si>
  <si>
    <t>straw</t>
  </si>
  <si>
    <t>Classification</t>
  </si>
  <si>
    <t>ECN Phyllis classification &gt; straw (stalk/cob/ear) &gt; others &gt; straw</t>
  </si>
  <si>
    <t>NTA 8003 classification &gt; [200] biomassa uit land- en tuinbouw &gt; [220] stro</t>
  </si>
  <si>
    <t>Ash type</t>
  </si>
  <si>
    <t>550 degC</t>
  </si>
  <si>
    <t>Submitter organisation</t>
  </si>
  <si>
    <t>ECN (Netherlands)</t>
  </si>
  <si>
    <t>Submission date</t>
  </si>
  <si>
    <t>Literature</t>
  </si>
  <si>
    <t>B.J.Skrifvars, M.Hupa, A.Moilanen and R.Lundqvist: Characterization of biomass ashes. In: Proc. Applications of advanced technology to ash-related problems in boilers (Eds. L.Baxter and R.DeSollar), pp. 383-398, Plenum Press, New York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</si>
  <si>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</si>
  <si>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</si>
  <si>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</si>
  <si>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</si>
  <si>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</si>
  <si>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</si>
  <si>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</si>
  <si>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</si>
  <si>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</si>
  <si>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</si>
  <si>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</si>
  <si>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</si>
  <si>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</si>
  <si>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</si>
  <si>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</si>
  <si>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</si>
  <si>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</si>
  <si>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</si>
  <si>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</si>
  <si>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</si>
  <si>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</si>
  <si>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</si>
  <si>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</si>
  <si>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</si>
  <si>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</si>
  <si>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</si>
  <si>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</si>
  <si>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</si>
  <si>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</si>
  <si>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</si>
  <si>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</si>
  <si>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HHVMilne</t>
  </si>
  <si>
    <t>MJ/kg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</si>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</sst>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0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36448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35</v>
      </c>
      <c r="C20" s="13">
        <f>IFERROR(4.5*(1-w),"")</f>
        <v/>
      </c>
      <c r="D20" s="13">
        <v>4.5</v>
      </c>
      <c r="E20" s="13">
        <v/>
      </c>
      <c r="F20" s="13"/>
      <c r="G20" s="13"/>
      <c r="I20" s="5"/>
    </row>
    <row r="21" outlineLevel="2">
      <c r="A21" s="12" t="s">
        <v>36</v>
      </c>
      <c r="B21" s="0" t="s">
        <v>35</v>
      </c>
      <c r="C21" s="13">
        <f>IFERROR(76.9*(1-w),"")</f>
        <v/>
      </c>
      <c r="D21" s="13">
        <v>76.9</v>
      </c>
      <c r="E21" s="13">
        <v>80.52356020942409</v>
      </c>
      <c r="F21" s="13"/>
      <c r="G21" s="13"/>
      <c r="I21" s="5"/>
    </row>
    <row r="22" outlineLevel="2">
      <c r="A22" s="12" t="s">
        <v>37</v>
      </c>
      <c r="B22" s="0" t="s">
        <v>35</v>
      </c>
      <c r="C22" s="13">
        <f>IFERROR(18.6*(1-w),"")</f>
        <v/>
      </c>
      <c r="D22" s="13">
        <v>18.599999999999994</v>
      </c>
      <c r="E22" s="13">
        <v>19.47643979057591</v>
      </c>
      <c r="F22" s="13"/>
      <c r="G22" s="13"/>
      <c r="I22" s="5"/>
      <c r="J22" s="0" t="s">
        <v>38</v>
      </c>
    </row>
    <row r="23" outlineLevel="1">
      <c r="A23" s="11" t="s">
        <v>39</v>
      </c>
      <c r="I23" s="5"/>
    </row>
    <row r="24" outlineLevel="2">
      <c r="A24" s="12" t="s">
        <v>40</v>
      </c>
      <c r="B24" s="0" t="s">
        <v>35</v>
      </c>
      <c r="C24" s="13">
        <f>IFERROR(47.1*(1-w),"")</f>
        <v/>
      </c>
      <c r="D24" s="13">
        <v>47.1</v>
      </c>
      <c r="E24" s="13">
        <v>49.319371727748695</v>
      </c>
      <c r="F24" s="13"/>
      <c r="G24" s="13"/>
      <c r="I24" s="5"/>
      <c r="J24" s="0" t="s">
        <v>41</v>
      </c>
    </row>
    <row r="25" outlineLevel="2">
      <c r="A25" s="12" t="s">
        <v>42</v>
      </c>
      <c r="B25" s="0" t="s">
        <v>35</v>
      </c>
      <c r="C25" s="13">
        <f>IFERROR(5.9*(1-w),"")</f>
        <v/>
      </c>
      <c r="D25" s="13">
        <v>5.9</v>
      </c>
      <c r="E25" s="13">
        <v>6.178010471204189</v>
      </c>
      <c r="F25" s="13"/>
      <c r="G25" s="13"/>
      <c r="I25" s="5"/>
      <c r="J25" s="0" t="s">
        <v>41</v>
      </c>
    </row>
    <row r="26" outlineLevel="2">
      <c r="A26" s="12" t="s">
        <v>43</v>
      </c>
      <c r="B26" s="0" t="s">
        <v>35</v>
      </c>
      <c r="C26" s="13">
        <f>IFERROR(41.8*(1-w),"")</f>
        <v/>
      </c>
      <c r="D26" s="13">
        <v>41.8</v>
      </c>
      <c r="E26" s="13">
        <v>43.7696335078534</v>
      </c>
      <c r="F26" s="13"/>
      <c r="G26" s="13"/>
      <c r="I26" s="5"/>
      <c r="J26" s="0" t="s">
        <v>38</v>
      </c>
    </row>
    <row r="27" outlineLevel="2">
      <c r="A27" s="12" t="s">
        <v>44</v>
      </c>
      <c r="B27" s="0" t="s">
        <v>35</v>
      </c>
      <c r="C27" s="13">
        <f>IFERROR(0.6*(1-w),"")</f>
        <v/>
      </c>
      <c r="D27" s="13">
        <v>0.6</v>
      </c>
      <c r="E27" s="13">
        <v>0.62827225130890052</v>
      </c>
      <c r="F27" s="13"/>
      <c r="G27" s="13"/>
      <c r="I27" s="5"/>
      <c r="J27" s="0" t="s">
        <v>41</v>
      </c>
    </row>
    <row r="28" outlineLevel="2">
      <c r="A28" s="12" t="s">
        <v>45</v>
      </c>
      <c r="B28" s="0" t="s">
        <v>35</v>
      </c>
      <c r="C28" s="13">
        <f>IFERROR(0.1*(1-w),"")</f>
        <v/>
      </c>
      <c r="D28" s="13">
        <v>0.1</v>
      </c>
      <c r="E28" s="13">
        <v>0.10471204188481677</v>
      </c>
      <c r="F28" s="13"/>
      <c r="G28" s="13"/>
      <c r="I28" s="5"/>
      <c r="J28" s="0" t="s">
        <v>41</v>
      </c>
    </row>
    <row r="29" outlineLevel="2">
      <c r="A29" s="12" t="s">
        <v>46</v>
      </c>
      <c r="B29" s="0" t="s">
        <v>35</v>
      </c>
      <c r="C29" s="13">
        <f>IFERROR(100*(1-w)+w*100,"")</f>
        <v/>
      </c>
      <c r="D29" s="13">
        <v>99.999999999999986</v>
      </c>
      <c r="E29" s="13">
        <v>99.999999999999986</v>
      </c>
      <c r="F29" s="13"/>
      <c r="G29" s="13"/>
      <c r="I29" s="5"/>
      <c r="J29" s="0" t="s">
        <v>38</v>
      </c>
    </row>
    <row r="30" outlineLevel="1">
      <c r="A30" s="11" t="s">
        <v>47</v>
      </c>
      <c r="I30" s="5"/>
    </row>
    <row r="31" outlineLevel="2">
      <c r="A31" s="12" t="s">
        <v>48</v>
      </c>
      <c r="B31" s="0" t="s">
        <v>49</v>
      </c>
      <c r="C31" s="13">
        <f>IFERROR(18.71400825*(1-w),"")</f>
        <v/>
      </c>
      <c r="D31" s="13">
        <v>18.714008250000006</v>
      </c>
      <c r="E31" s="13">
        <v>19.595820157068069</v>
      </c>
      <c r="F31" s="13"/>
      <c r="G31" s="13"/>
      <c r="I31" s="5"/>
      <c r="J31" s="0" t="s">
        <v>38</v>
      </c>
    </row>
    <row r="32">
      <c r="A32" s="7" t="s">
        <v>50</v>
      </c>
      <c r="I32" s="5"/>
    </row>
    <row r="33" outlineLevel="1">
      <c r="A33" s="11" t="s">
        <v>51</v>
      </c>
      <c r="I33" s="5"/>
    </row>
    <row r="34" outlineLevel="2">
      <c r="A34" s="12" t="s">
        <v>52</v>
      </c>
      <c r="B34" s="0" t="s">
        <v>53</v>
      </c>
      <c r="C34" s="13">
        <v>6.1</v>
      </c>
      <c r="D34" s="13"/>
      <c r="E34" s="13"/>
      <c r="F34" s="13"/>
      <c r="G34" s="13"/>
      <c r="I34" s="5"/>
    </row>
    <row r="35" outlineLevel="2">
      <c r="A35" s="12" t="s">
        <v>54</v>
      </c>
      <c r="B35" s="0" t="s">
        <v>53</v>
      </c>
      <c r="C35" s="13">
        <v>2.3</v>
      </c>
      <c r="D35" s="13"/>
      <c r="E35" s="13"/>
      <c r="F35" s="13"/>
      <c r="G35" s="13"/>
      <c r="I35" s="5"/>
    </row>
    <row r="36" outlineLevel="2">
      <c r="A36" s="12" t="s">
        <v>55</v>
      </c>
      <c r="B36" s="0" t="s">
        <v>53</v>
      </c>
      <c r="C36" s="13">
        <v>3.15</v>
      </c>
      <c r="D36" s="13"/>
      <c r="E36" s="13"/>
      <c r="F36" s="13"/>
      <c r="G36" s="13"/>
      <c r="I36" s="5"/>
    </row>
    <row r="37" outlineLevel="2">
      <c r="A37" s="12" t="s">
        <v>56</v>
      </c>
      <c r="B37" s="0" t="s">
        <v>53</v>
      </c>
      <c r="C37" s="13">
        <v>2.1</v>
      </c>
      <c r="D37" s="13"/>
      <c r="E37" s="13"/>
      <c r="F37" s="13"/>
      <c r="G37" s="13"/>
      <c r="I37" s="5"/>
    </row>
    <row r="38" outlineLevel="2">
      <c r="A38" s="12" t="s">
        <v>57</v>
      </c>
      <c r="B38" s="0" t="s">
        <v>53</v>
      </c>
      <c r="C38" s="13">
        <v>34.2</v>
      </c>
      <c r="D38" s="13"/>
      <c r="E38" s="13"/>
      <c r="F38" s="13"/>
      <c r="G38" s="13"/>
      <c r="I38" s="5"/>
    </row>
    <row r="39" outlineLevel="2">
      <c r="A39" s="12" t="s">
        <v>58</v>
      </c>
      <c r="B39" s="0" t="s">
        <v>53</v>
      </c>
      <c r="C39" s="13">
        <v>0.5</v>
      </c>
      <c r="D39" s="13"/>
      <c r="E39" s="13"/>
      <c r="F39" s="13"/>
      <c r="G39" s="13"/>
      <c r="I39" s="5"/>
    </row>
    <row r="40" outlineLevel="2">
      <c r="A40" s="12" t="s">
        <v>59</v>
      </c>
      <c r="B40" s="0" t="s">
        <v>53</v>
      </c>
      <c r="C40" s="13">
        <v>0.4</v>
      </c>
      <c r="D40" s="13"/>
      <c r="E40" s="13"/>
      <c r="F40" s="13"/>
      <c r="G40" s="13"/>
      <c r="I40" s="5"/>
    </row>
    <row r="41" outlineLevel="2">
      <c r="A41" s="12" t="s">
        <v>60</v>
      </c>
      <c r="B41" s="0" t="s">
        <v>53</v>
      </c>
      <c r="C41" s="13">
        <v>9.1</v>
      </c>
      <c r="D41" s="13"/>
      <c r="E41" s="13"/>
      <c r="F41" s="13"/>
      <c r="G41" s="13"/>
      <c r="I41" s="5"/>
    </row>
    <row r="42" outlineLevel="2">
      <c r="A42" s="12" t="s">
        <v>61</v>
      </c>
      <c r="B42" s="0" t="s">
        <v>53</v>
      </c>
      <c r="C42" s="13">
        <v>2</v>
      </c>
      <c r="D42" s="13"/>
      <c r="E42" s="13"/>
      <c r="F42" s="13"/>
      <c r="G42" s="13"/>
      <c r="I42" s="5"/>
    </row>
    <row r="43" outlineLevel="2">
      <c r="A43" s="12" t="s">
        <v>62</v>
      </c>
      <c r="B43" s="0" t="s">
        <v>53</v>
      </c>
      <c r="C43" s="13">
        <v>0.1</v>
      </c>
      <c r="D43" s="13"/>
      <c r="E43" s="13"/>
      <c r="F43" s="13"/>
      <c r="G43" s="13"/>
      <c r="I43" s="5"/>
    </row>
    <row r="44" outlineLevel="2">
      <c r="A44" s="12" t="s">
        <v>63</v>
      </c>
      <c r="B44" s="0" t="s">
        <v>53</v>
      </c>
      <c r="C44" s="13">
        <v>24.7</v>
      </c>
      <c r="D44" s="13"/>
      <c r="E44" s="13"/>
      <c r="F44" s="13"/>
      <c r="G44" s="13"/>
      <c r="I44" s="5"/>
    </row>
    <row r="45">
      <c r="I45" s="5"/>
    </row>
    <row r="46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https://phyllis.nl/Biomass/View/1701</dc:description>
  <dcterms:created xsi:type="dcterms:W3CDTF">2026-03-17T06:07:50Z</dcterms:created>
  <dc:title>Phyllis2 #1701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