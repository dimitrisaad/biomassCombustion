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02 hemp (Cannabis s" sheetId="1" r:id="rId1"/>
  </sheets>
  <definedNames>
    <definedName name="w" localSheetId="0">IF(ISBLANK('Phyllis2 #1702 hemp (Cannabis s'!$C$18),#N/A,'Phyllis2 #1702 hemp (Cannabis 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<sst xmlns="http://schemas.openxmlformats.org/spreadsheetml/2006/main" count="61" uniqueCount="61">
  <si>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</si>
  <si>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https://phyllis.nl/Biomass/View/1702</t>
  </si>
  <si>
    <t>hemp (Cannabis sativa L.) whole plant (#1702)</t>
  </si>
  <si>
    <t>ID-number</t>
  </si>
  <si>
    <t>#1702</t>
  </si>
  <si>
    <t>Material</t>
  </si>
  <si>
    <t>hemp (Cannabis sativa L.) whole plant</t>
  </si>
  <si>
    <t>Classification</t>
  </si>
  <si>
    <t>ECN Phyllis classification &gt; grass/plant &gt; hemp</t>
  </si>
  <si>
    <t>NTA 8003 classification &gt; [200] biomassa uit land- en tuinbouw &gt; [220] stro &gt; [225] hennep</t>
  </si>
  <si>
    <t>Submitter organisation</t>
  </si>
  <si>
    <t>ECN (Netherlands)</t>
  </si>
  <si>
    <t>Submission date</t>
  </si>
  <si>
    <t>Literature</t>
  </si>
  <si>
    <t>P.Liebhard: Hanf als nachwachsender Rohstoff fur eine thermische Nutzung. In: Hanf workshop, Bundesanstalt fur Landtechnik, Wieselburg, 7 Dec. 1994, pp. 147-150 (1994).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</si>
  <si>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</si>
  <si>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</si>
  <si>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</si>
  <si>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</si>
  <si>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</si>
  <si>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</si>
  <si>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</si>
  <si>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</si>
  <si>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</si>
  <si>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</si>
  <si>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</si>
  <si>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</si>
  <si>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</si>
  <si>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</si>
  <si>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</si>
  <si>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</si>
  <si>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</si>
  <si>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</si>
  <si>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</si>
  <si>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</si>
  <si>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</si>
  <si>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Average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</si>
  <si>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</si>
  <si>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</si>
  <si>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</si>
  <si>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</si>
  <si>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</si>
  <si>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</si>
  <si>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</si>
  <si>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</si>
  <si>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</si>
  <si>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</si>
  <si>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</si>
  <si>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</si>
  <si>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</si>
  <si>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</si>
  <si>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</si>
  <si>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</si>
  <si>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</si>
  <si>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</si>
  <si>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</si>
  <si>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P2O5</t>
  </si>
  <si>
    <t>SiO2</t>
  </si>
  <si>
    <t>CaO</t>
  </si>
  <si>
    <t>MgO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</si>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</sst>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36448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IFERROR(6*(1-w),"")</f>
        <v/>
      </c>
      <c r="D19" s="13">
        <v>6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IFERROR(44.3*(1-w),"")</f>
        <v/>
      </c>
      <c r="D21" s="13">
        <v>44.3</v>
      </c>
      <c r="E21" s="13">
        <v>47.127659574468083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IFERROR(5.34*(1-w),"")</f>
        <v/>
      </c>
      <c r="D22" s="13">
        <v>5.34</v>
      </c>
      <c r="E22" s="13">
        <v>5.6808510638297873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IFERROR(42.86*(1-w),"")</f>
        <v/>
      </c>
      <c r="D23" s="13">
        <v>42.86</v>
      </c>
      <c r="E23" s="13">
        <v>45.595744680851062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IFERROR(0.85*(1-w),"")</f>
        <v/>
      </c>
      <c r="D24" s="13">
        <v>0.85</v>
      </c>
      <c r="E24" s="13">
        <v>0.9042553191489362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IFERROR(0.2*(1-w),"")</f>
        <v/>
      </c>
      <c r="D25" s="13">
        <v>0.2</v>
      </c>
      <c r="E25" s="13">
        <v>0.21276595744680854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IFERROR(100*(1-w)+w*100,"")</f>
        <v/>
      </c>
      <c r="D26" s="13">
        <v>100</v>
      </c>
      <c r="E26" s="13">
        <v>100</v>
      </c>
      <c r="F26" s="13"/>
      <c r="G26" s="13"/>
      <c r="I26" s="5"/>
      <c r="J26" s="0" t="s">
        <v>39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4">
        <f>IFERROR(4500*(1-w),"")</f>
        <v/>
      </c>
      <c r="D28" s="14">
        <v>4500</v>
      </c>
      <c r="E28" s="14">
        <v>4787.234042553192</v>
      </c>
      <c r="F28" s="14"/>
      <c r="G28" s="14"/>
      <c r="I28" s="5"/>
      <c r="J28" s="0" t="s">
        <v>36</v>
      </c>
    </row>
    <row r="29" outlineLevel="1">
      <c r="A29" s="11" t="s">
        <v>46</v>
      </c>
      <c r="I29" s="5"/>
    </row>
    <row r="30" outlineLevel="2">
      <c r="A30" s="12" t="s">
        <v>47</v>
      </c>
      <c r="B30" s="0" t="s">
        <v>48</v>
      </c>
      <c r="C30" s="13">
        <f>IFERROR(16.89772*(1-w)-w*2.443,"")</f>
        <v/>
      </c>
      <c r="D30" s="13">
        <v>16.89772</v>
      </c>
      <c r="E30" s="13">
        <v>17.976297872340425</v>
      </c>
      <c r="F30" s="13"/>
      <c r="G30" s="13"/>
      <c r="I30" s="5"/>
    </row>
    <row r="31" outlineLevel="2">
      <c r="A31" s="12" t="s">
        <v>49</v>
      </c>
      <c r="B31" s="0" t="s">
        <v>48</v>
      </c>
      <c r="C31" s="13">
        <f>IFERROR(18.063*(1-w),"")</f>
        <v/>
      </c>
      <c r="D31" s="13">
        <v>18.063</v>
      </c>
      <c r="E31" s="13">
        <v>19.21595744680851</v>
      </c>
      <c r="F31" s="13"/>
      <c r="G31" s="13"/>
      <c r="I31" s="5"/>
    </row>
    <row r="32" outlineLevel="2">
      <c r="A32" s="12" t="s">
        <v>50</v>
      </c>
      <c r="B32" s="0" t="s">
        <v>48</v>
      </c>
      <c r="C32" s="13">
        <f>IFERROR(16.848008*(1-w),"")</f>
        <v/>
      </c>
      <c r="D32" s="13">
        <v>16.848008</v>
      </c>
      <c r="E32" s="13">
        <v>17.923412765957448</v>
      </c>
      <c r="F32" s="13"/>
      <c r="G32" s="13"/>
      <c r="I32" s="5"/>
      <c r="J32" s="0" t="s">
        <v>39</v>
      </c>
    </row>
    <row r="33">
      <c r="A33" s="7" t="s">
        <v>51</v>
      </c>
      <c r="I33" s="5"/>
    </row>
    <row r="34" outlineLevel="1">
      <c r="A34" s="11" t="s">
        <v>52</v>
      </c>
      <c r="I34" s="5"/>
    </row>
    <row r="35" outlineLevel="2">
      <c r="A35" s="12" t="s">
        <v>53</v>
      </c>
      <c r="B35" s="0" t="s">
        <v>54</v>
      </c>
      <c r="C35" s="13">
        <v>1.77</v>
      </c>
      <c r="D35" s="13"/>
      <c r="E35" s="13"/>
      <c r="F35" s="13"/>
      <c r="G35" s="13"/>
      <c r="I35" s="5"/>
    </row>
    <row r="36" outlineLevel="2">
      <c r="A36" s="12" t="s">
        <v>55</v>
      </c>
      <c r="B36" s="0" t="s">
        <v>54</v>
      </c>
      <c r="C36" s="13">
        <v>1.22</v>
      </c>
      <c r="D36" s="13"/>
      <c r="E36" s="13"/>
      <c r="F36" s="13"/>
      <c r="G36" s="13"/>
      <c r="I36" s="5"/>
    </row>
    <row r="37" outlineLevel="2">
      <c r="A37" s="12" t="s">
        <v>56</v>
      </c>
      <c r="B37" s="0" t="s">
        <v>54</v>
      </c>
      <c r="C37" s="13">
        <v>4.04</v>
      </c>
      <c r="D37" s="13"/>
      <c r="E37" s="13"/>
      <c r="F37" s="13"/>
      <c r="G37" s="13"/>
      <c r="I37" s="5"/>
    </row>
    <row r="38" outlineLevel="2">
      <c r="A38" s="12" t="s">
        <v>57</v>
      </c>
      <c r="B38" s="0" t="s">
        <v>54</v>
      </c>
      <c r="C38" s="13">
        <v>10.7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54</v>
      </c>
      <c r="C39" s="13">
        <v>31.5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54</v>
      </c>
      <c r="C40" s="13">
        <v>3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54</v>
      </c>
      <c r="C41" s="13">
        <v>21</v>
      </c>
      <c r="D41" s="13"/>
      <c r="E41" s="13"/>
      <c r="F41" s="13"/>
      <c r="G41" s="13"/>
      <c r="I41" s="5"/>
    </row>
    <row r="42">
      <c r="I42" s="5"/>
    </row>
    <row r="4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https://phyllis.nl/Biomass/View/1702</dc:description>
  <dcterms:created xsi:type="dcterms:W3CDTF">2026-03-04T04:06:00Z</dcterms:created>
  <dc:title>Phyllis2 #1702 hemp (Cannabis sativa L.) whole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