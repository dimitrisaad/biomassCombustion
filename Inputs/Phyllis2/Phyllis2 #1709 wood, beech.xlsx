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709 wood, beech" sheetId="1" r:id="rId1"/>
  </sheets>
  <definedNames>
    <definedName name="w" localSheetId="0">IF(ISBLANK('Phyllis2 #1709 wood, beech'!$C$19),#N/A,'Phyllis2 #1709 wood, beech'!$C$19/100)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<sst xmlns="http://schemas.openxmlformats.org/spreadsheetml/2006/main" count="49" uniqueCount="49">
  <si>
    <t>Phyllis2</t>
  </si>
  <si>
    <t>https://phyllis.nl/Biomass/View/1709</t>
  </si>
  <si>
    <t>wood, beech (#1709)</t>
  </si>
  <si>
    <t>ID-number</t>
  </si>
  <si>
    <t>#1709</t>
  </si>
  <si>
    <t>Material</t>
  </si>
  <si>
    <t>wood, beech</t>
  </si>
  <si>
    <t>Classification</t>
  </si>
  <si>
    <t>ECN Phyllis classification &gt; untreated wood &gt; beech &gt; wood, beech</t>
  </si>
  <si>
    <t>NTA 8003 classification &gt; [100] hout &gt; [110] vers hout &gt; [120] loofhout &gt; [125] hard loofhout</t>
  </si>
  <si>
    <t>Submitter organisation</t>
  </si>
  <si>
    <t>ECN (Netherlands)</t>
  </si>
  <si>
    <t>Submission date</t>
  </si>
  <si>
    <t>Remarks</t>
  </si>
  <si>
    <t>used in BFB gasification experiments</t>
  </si>
  <si>
    <t>Literature</t>
  </si>
  <si>
    <t xml:space="preserve">F.Miccio, O.Moersch, H.Spliethoff and K.R.G.Hein: Generation and conversion of carbonaceous fine particles during bubbling fluidised bed gasification of a biomass fuel.  Fuel 78 (12) pp. 1473-1481 (1999).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</si>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</sst>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70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36452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>19</v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32</v>
      </c>
      <c r="C20" s="13">
        <f>IFERROR(1.03*(1-w),"")</f>
        <v>0.8343</v>
      </c>
      <c r="D20" s="13">
        <v>1.03</v>
      </c>
      <c r="E20" s="13">
        <v/>
      </c>
      <c r="F20" s="13"/>
      <c r="G20" s="13"/>
      <c r="I20" s="5"/>
    </row>
    <row r="21" outlineLevel="2">
      <c r="A21" s="12" t="s">
        <v>34</v>
      </c>
      <c r="B21" s="0" t="s">
        <v>32</v>
      </c>
      <c r="C21" s="13">
        <f>IFERROR(84.9*(1-w),"")</f>
        <v>68.769</v>
      </c>
      <c r="D21" s="13">
        <v>84.9</v>
      </c>
      <c r="E21" s="13">
        <v>85.783570779023947</v>
      </c>
      <c r="F21" s="13"/>
      <c r="G21" s="13"/>
      <c r="I21" s="5"/>
    </row>
    <row r="22" outlineLevel="2">
      <c r="A22" s="12" t="s">
        <v>35</v>
      </c>
      <c r="B22" s="0" t="s">
        <v>32</v>
      </c>
      <c r="C22" s="13">
        <f>IFERROR(14.07*(1-w),"")</f>
        <v>11.396699999999996</v>
      </c>
      <c r="D22" s="13">
        <v>14.069999999999993</v>
      </c>
      <c r="E22" s="13">
        <v>14.216429220976046</v>
      </c>
      <c r="F22" s="13"/>
      <c r="G22" s="13"/>
      <c r="I22" s="5"/>
      <c r="J22" s="0" t="s">
        <v>36</v>
      </c>
    </row>
    <row r="23" outlineLevel="1">
      <c r="A23" s="11" t="s">
        <v>37</v>
      </c>
      <c r="I23" s="5"/>
    </row>
    <row r="24" outlineLevel="2">
      <c r="A24" s="12" t="s">
        <v>38</v>
      </c>
      <c r="B24" s="0" t="s">
        <v>32</v>
      </c>
      <c r="C24" s="13">
        <f>IFERROR(42.18*(1-w),"")</f>
        <v>34.165800000000004</v>
      </c>
      <c r="D24" s="13">
        <v>42.18</v>
      </c>
      <c r="E24" s="13">
        <v>42.618975447105186</v>
      </c>
      <c r="F24" s="13"/>
      <c r="G24" s="13"/>
      <c r="I24" s="5"/>
      <c r="J24" s="0" t="s">
        <v>39</v>
      </c>
    </row>
    <row r="25" outlineLevel="2">
      <c r="A25" s="12" t="s">
        <v>40</v>
      </c>
      <c r="B25" s="0" t="s">
        <v>32</v>
      </c>
      <c r="C25" s="13">
        <f>IFERROR(6.03*(1-w),"")</f>
        <v>4.8843000000000005</v>
      </c>
      <c r="D25" s="13">
        <v>6.03</v>
      </c>
      <c r="E25" s="13">
        <v>6.0927553804183088</v>
      </c>
      <c r="F25" s="13"/>
      <c r="G25" s="13"/>
      <c r="I25" s="5"/>
      <c r="J25" s="0" t="s">
        <v>39</v>
      </c>
    </row>
    <row r="26" outlineLevel="2">
      <c r="A26" s="12" t="s">
        <v>41</v>
      </c>
      <c r="B26" s="0" t="s">
        <v>32</v>
      </c>
      <c r="C26" s="13">
        <f>IFERROR(50.54*(1-w),"")</f>
        <v>40.937400000000004</v>
      </c>
      <c r="D26" s="13">
        <v>50.54</v>
      </c>
      <c r="E26" s="13">
        <v>51.065979589774678</v>
      </c>
      <c r="F26" s="13"/>
      <c r="G26" s="13"/>
      <c r="I26" s="5"/>
      <c r="J26" s="0" t="s">
        <v>36</v>
      </c>
    </row>
    <row r="27" outlineLevel="2">
      <c r="A27" s="12" t="s">
        <v>42</v>
      </c>
      <c r="B27" s="0" t="s">
        <v>32</v>
      </c>
      <c r="C27" s="13">
        <f>IFERROR(0.22*(1-w),"")</f>
        <v>0.17820000000000003</v>
      </c>
      <c r="D27" s="13">
        <v>0.22</v>
      </c>
      <c r="E27" s="13">
        <v>0.22228958270182883</v>
      </c>
      <c r="F27" s="13"/>
      <c r="G27" s="13"/>
      <c r="I27" s="5"/>
      <c r="J27" s="0" t="s">
        <v>39</v>
      </c>
    </row>
    <row r="28" outlineLevel="2">
      <c r="A28" s="12" t="s">
        <v>43</v>
      </c>
      <c r="B28" s="0" t="s">
        <v>32</v>
      </c>
      <c r="C28" s="13">
        <f>IFERROR(100*(1-w)+w*100,"")</f>
        <v>100</v>
      </c>
      <c r="D28" s="13">
        <v>100</v>
      </c>
      <c r="E28" s="13">
        <v>100</v>
      </c>
      <c r="F28" s="13"/>
      <c r="G28" s="13"/>
      <c r="I28" s="5"/>
      <c r="J28" s="0" t="s">
        <v>36</v>
      </c>
    </row>
    <row r="29" outlineLevel="1">
      <c r="A29" s="11" t="s">
        <v>44</v>
      </c>
      <c r="I29" s="5"/>
    </row>
    <row r="30" outlineLevel="2">
      <c r="A30" s="12" t="s">
        <v>45</v>
      </c>
      <c r="B30" s="0" t="s">
        <v>46</v>
      </c>
      <c r="C30" s="13">
        <f>IFERROR(18.38*(1-w)-w*2.443,"")</f>
        <v>14.423630000000001</v>
      </c>
      <c r="D30" s="13">
        <v>18.38</v>
      </c>
      <c r="E30" s="13">
        <v>18.5712842275437</v>
      </c>
      <c r="F30" s="13"/>
      <c r="G30" s="13"/>
      <c r="I30" s="5"/>
    </row>
    <row r="31" outlineLevel="2">
      <c r="A31" s="12" t="s">
        <v>47</v>
      </c>
      <c r="B31" s="0" t="s">
        <v>46</v>
      </c>
      <c r="C31" s="13">
        <f>IFERROR(19.69585*(1-w),"")</f>
        <v>15.9536385</v>
      </c>
      <c r="D31" s="13">
        <v>19.69585</v>
      </c>
      <c r="E31" s="13">
        <v>19.900828533899162</v>
      </c>
      <c r="F31" s="13"/>
      <c r="G31" s="13"/>
      <c r="I31" s="5"/>
    </row>
    <row r="32" outlineLevel="2">
      <c r="A32" s="12" t="s">
        <v>48</v>
      </c>
      <c r="B32" s="0" t="s">
        <v>46</v>
      </c>
      <c r="C32" s="13">
        <f>IFERROR(16.2482433177*(1-w),"")</f>
        <v>13.161077087337006</v>
      </c>
      <c r="D32" s="13">
        <v>16.248243317700005</v>
      </c>
      <c r="E32" s="13">
        <v>16.417341939678696</v>
      </c>
      <c r="F32" s="13"/>
      <c r="G32" s="13"/>
      <c r="I32" s="5"/>
      <c r="J32" s="0" t="s">
        <v>36</v>
      </c>
    </row>
    <row r="33">
      <c r="I33" s="5"/>
    </row>
    <row r="34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</mergeCells>
  <dataValidations count="1">
    <dataValidation type="decimal" sqref="C19" errorStyle="stop" promptTitle="Enter moisture content" errorTitle="Invalid moisture content" prompt="Value should be between 0 and 100.&#10;Original value: 19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https://phyllis.nl/Biomass/View/1709</dc:description>
  <dcterms:created xsi:type="dcterms:W3CDTF">2026-03-19T04:19:42Z</dcterms:created>
  <dc:title>Phyllis2 #1709 wood, beech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