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12 wood, robinia" sheetId="1" r:id="rId1"/>
  </sheets>
  <definedNames>
    <definedName name="w" localSheetId="0">IF(ISBLANK('Phyllis2 #1712 wood, robinia'!$C$19),#N/A,'Phyllis2 #1712 wood, robinia'!$C$19/100)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<sst xmlns="http://schemas.openxmlformats.org/spreadsheetml/2006/main" count="52" uniqueCount="52">
  <si>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</si>
  <si>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https://phyllis.nl/Biomass/View/1712</t>
  </si>
  <si>
    <t>wood, robinia (#1712)</t>
  </si>
  <si>
    <t>ID-number</t>
  </si>
  <si>
    <t>#1712</t>
  </si>
  <si>
    <t>Material</t>
  </si>
  <si>
    <t>wood, robinia</t>
  </si>
  <si>
    <t>Classification</t>
  </si>
  <si>
    <t>ECN Phyllis classification &gt; untreated wood &gt; other hard wood &gt; wood, robinia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</si>
  <si>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</si>
  <si>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</si>
  <si>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</si>
  <si>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</si>
  <si>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Remarks</t>
  </si>
  <si>
    <t>ECN laboratories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</si>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</sst>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1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36494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38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IFERROR(3.25*(1-w),"")</f>
        <v>2.015</v>
      </c>
      <c r="D20" s="13">
        <v>3.25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IFERROR(77.79*(1-w),"")</f>
        <v>48.229800000000004</v>
      </c>
      <c r="D21" s="13">
        <v>77.79</v>
      </c>
      <c r="E21" s="13">
        <v>80.4031007751938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IFERROR(18.96*(1-w),"")</f>
        <v>11.755199999999997</v>
      </c>
      <c r="D22" s="13">
        <v>18.959999999999994</v>
      </c>
      <c r="E22" s="13">
        <v>19.596899224806194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IFERROR(49.38*(1-w),"")</f>
        <v>30.6156</v>
      </c>
      <c r="D24" s="13">
        <v>49.38</v>
      </c>
      <c r="E24" s="13">
        <v>51.038759689922479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IFERROR(5.59*(1-w),"")</f>
        <v>3.4657999999999998</v>
      </c>
      <c r="D25" s="13">
        <v>5.59</v>
      </c>
      <c r="E25" s="13">
        <v>5.7777777777777777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IFERROR(40.76*(1-w),"")</f>
        <v>25.2712</v>
      </c>
      <c r="D26" s="13">
        <v>40.76</v>
      </c>
      <c r="E26" s="13">
        <v>42.129198966408268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IFERROR(0.98*(1-w),"")</f>
        <v>0.6076</v>
      </c>
      <c r="D27" s="13">
        <v>0.98</v>
      </c>
      <c r="E27" s="13">
        <v>1.0129198966408268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IFERROR(99.999*(1-w)+w*100,"")</f>
        <v>99.99938</v>
      </c>
      <c r="D28" s="13">
        <v>99.999</v>
      </c>
      <c r="E28" s="13">
        <v>99.998966408268728</v>
      </c>
      <c r="F28" s="13"/>
      <c r="G28" s="13"/>
      <c r="I28" s="5"/>
      <c r="J28" s="0" t="s">
        <v>36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4">
        <f>IFERROR(390*(1-w),"")</f>
        <v>241.8</v>
      </c>
      <c r="D30" s="14">
        <v>390</v>
      </c>
      <c r="E30" s="14">
        <v>403.10077519379843</v>
      </c>
      <c r="F30" s="14"/>
      <c r="G30" s="14"/>
      <c r="I30" s="5"/>
      <c r="J30" s="0" t="s">
        <v>39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f>IFERROR(18.31617*(1-w)-w*2.443,"")</f>
        <v>10.4276854</v>
      </c>
      <c r="D32" s="13">
        <v>18.31617</v>
      </c>
      <c r="E32" s="13">
        <v>18.931441860465114</v>
      </c>
      <c r="F32" s="13"/>
      <c r="G32" s="13"/>
      <c r="I32" s="5"/>
    </row>
    <row r="33" outlineLevel="2">
      <c r="A33" s="12" t="s">
        <v>50</v>
      </c>
      <c r="B33" s="0" t="s">
        <v>49</v>
      </c>
      <c r="C33" s="13">
        <f>IFERROR(19.536*(1-w),"")</f>
        <v>12.11232</v>
      </c>
      <c r="D33" s="13">
        <v>19.536</v>
      </c>
      <c r="E33" s="13">
        <v>20.192248062015505</v>
      </c>
      <c r="F33" s="13"/>
      <c r="G33" s="13"/>
      <c r="I33" s="5"/>
    </row>
    <row r="34" outlineLevel="2">
      <c r="A34" s="12" t="s">
        <v>51</v>
      </c>
      <c r="B34" s="0" t="s">
        <v>49</v>
      </c>
      <c r="C34" s="13">
        <f>IFERROR(19.1716510625*(1-w),"")</f>
        <v>11.886423658750003</v>
      </c>
      <c r="D34" s="13">
        <v>19.171651062500004</v>
      </c>
      <c r="E34" s="13">
        <v>19.8156600129199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3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https://phyllis.nl/Biomass/View/1712</dc:description>
  <dcterms:created xsi:type="dcterms:W3CDTF">2026-03-19T07:16:31Z</dcterms:created>
  <dc:title>Phyllis2 #1712 wood, robinia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