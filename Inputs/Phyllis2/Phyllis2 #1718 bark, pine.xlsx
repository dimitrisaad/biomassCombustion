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18 bark, pine" sheetId="1" r:id="rId1"/>
  </sheets>
  <definedNames>
    <definedName name="w" localSheetId="0">IF(ISBLANK('Phyllis2 #1718 bark, pine'!$C$20),#N/A,'Phyllis2 #1718 bark, pine'!$C$20/100)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<sst xmlns="http://schemas.openxmlformats.org/spreadsheetml/2006/main" count="54" uniqueCount="54">
  <si>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</si>
  <si>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https://phyllis.nl/Biomass/View/1718</t>
  </si>
  <si>
    <t>bark, pine (#1718)</t>
  </si>
  <si>
    <t>ID-number</t>
  </si>
  <si>
    <t>#1718</t>
  </si>
  <si>
    <t>Material</t>
  </si>
  <si>
    <t>bark, pine</t>
  </si>
  <si>
    <t>Classification</t>
  </si>
  <si>
    <t>ECN Phyllis classification &gt; untreated wood &gt; bark &gt; bark, pine</t>
  </si>
  <si>
    <t>NTA 8003 classification &gt; [100] hout &gt; [110] vers hout &gt; [112] schors</t>
  </si>
  <si>
    <t>Ash type</t>
  </si>
  <si>
    <t>550 degC</t>
  </si>
  <si>
    <t>Submitter organisation</t>
  </si>
  <si>
    <t>ECN (Netherlands)</t>
  </si>
  <si>
    <t>Submission date</t>
  </si>
  <si>
    <t>Remarks</t>
  </si>
  <si>
    <t>tested in ECN CFB gasifier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</si>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</sst>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36508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16.2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IFERROR(10.7*(1-w),"")</f>
        <v>8.9666</v>
      </c>
      <c r="D21" s="13">
        <v>10.7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IFERROR(63*(1-w),"")</f>
        <v>52.794</v>
      </c>
      <c r="D22" s="13">
        <v>63</v>
      </c>
      <c r="E22" s="13">
        <v>70.548712206047028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IFERROR(26.3*(1-w),"")</f>
        <v>22.039399999999997</v>
      </c>
      <c r="D23" s="13">
        <v>26.299999999999997</v>
      </c>
      <c r="E23" s="13">
        <v>29.451287793952964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IFERROR(47.8*(1-w),"")</f>
        <v>40.056399999999996</v>
      </c>
      <c r="D25" s="13">
        <v>47.8</v>
      </c>
      <c r="E25" s="13">
        <v>53.527435610302348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IFERROR(5.46*(1-w),"")</f>
        <v>4.57548</v>
      </c>
      <c r="D26" s="13">
        <v>5.46</v>
      </c>
      <c r="E26" s="13">
        <v>6.114221724524076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IFERROR(35.4*(1-w),"")</f>
        <v>29.6652</v>
      </c>
      <c r="D27" s="13">
        <v>35.4</v>
      </c>
      <c r="E27" s="13">
        <v>39.641657334826427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IFERROR(0.72*(1-w),"")</f>
        <v>0.60336</v>
      </c>
      <c r="D28" s="13">
        <v>0.72</v>
      </c>
      <c r="E28" s="13">
        <v>0.80627099664053747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IFERROR(100.105*(1-w)+w*100,"")</f>
        <v>100.08799</v>
      </c>
      <c r="D29" s="13">
        <v>100.105</v>
      </c>
      <c r="E29" s="13">
        <v>100.11758118701007</v>
      </c>
      <c r="F29" s="13"/>
      <c r="G29" s="13"/>
      <c r="I29" s="5"/>
      <c r="J29" s="0" t="s">
        <v>38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IFERROR(250*(1-w),"")</f>
        <v>209.5</v>
      </c>
      <c r="D31" s="14">
        <v>250</v>
      </c>
      <c r="E31" s="14">
        <v>279.95520716685331</v>
      </c>
      <c r="F31" s="14"/>
      <c r="G31" s="14"/>
      <c r="I31" s="5"/>
      <c r="J31" s="0" t="s">
        <v>41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IFERROR(18.34354*(1-w)-w*2.443,"")</f>
        <v>14.97612052</v>
      </c>
      <c r="D33" s="13">
        <v>18.34354</v>
      </c>
      <c r="E33" s="13">
        <v>20.541478163493842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IFERROR(19.535*(1-w),"")</f>
        <v>16.37033</v>
      </c>
      <c r="D34" s="13">
        <v>19.535</v>
      </c>
      <c r="E34" s="13">
        <v>21.875699888017916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IFERROR(19.03732697*(1-w),"")</f>
        <v>15.953280000860001</v>
      </c>
      <c r="D35" s="13">
        <v>19.037326970000002</v>
      </c>
      <c r="E35" s="13">
        <v>21.318395263157896</v>
      </c>
      <c r="F35" s="13"/>
      <c r="G35" s="13"/>
      <c r="I35" s="5"/>
      <c r="J35" s="0" t="s">
        <v>38</v>
      </c>
    </row>
    <row r="36">
      <c r="I36" s="5"/>
    </row>
    <row r="3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16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https://phyllis.nl/Biomass/View/1718</dc:description>
  <dcterms:created xsi:type="dcterms:W3CDTF">2026-03-19T04:15:45Z</dcterms:created>
  <dc:title>Phyllis2 #1718 bark,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