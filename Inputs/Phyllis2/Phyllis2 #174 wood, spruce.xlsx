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74 wood, spruce" sheetId="1" r:id="rId1"/>
  </sheets>
  <definedNames>
    <definedName name="w" localSheetId="0">IF(ISBLANK('Phyllis2 #174 wood, spruce'!$C$18),#N/A,'Phyllis2 #174 wood, spruce'!$C$18/100)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<sst xmlns="http://schemas.openxmlformats.org/spreadsheetml/2006/main" count="48" uniqueCount="48">
  <si>
    <t>Phyllis2</t>
  </si>
  <si>
    <t>https://phyllis.nl/Biomass/View/174</t>
  </si>
  <si>
    <t>wood, spruce (#174)</t>
  </si>
  <si>
    <t>ID-number</t>
  </si>
  <si>
    <t>#174</t>
  </si>
  <si>
    <t>Material</t>
  </si>
  <si>
    <t>wood, spruce</t>
  </si>
  <si>
    <t>Classification</t>
  </si>
  <si>
    <t>ECN Phyllis classification &gt; untreated wood &gt; fir/pine/spruce &gt; wood, spruce</t>
  </si>
  <si>
    <t>NTA 8003 classification &gt; [100] hout &gt; [110] vers hout &gt; [130] naaldhout &gt; [132] naaldhout met schors</t>
  </si>
  <si>
    <t>Submitter organisation</t>
  </si>
  <si>
    <t>ECN (Netherlands)</t>
  </si>
  <si>
    <t>Remarks</t>
  </si>
  <si>
    <t>thinning residues without needles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</si>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</sst>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IFERROR(0.67*(1-w),"")</f>
        <v/>
      </c>
      <c r="D19" s="11">
        <v>0.67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IFERROR(48.12398*(1-w),"")</f>
        <v/>
      </c>
      <c r="D21" s="11">
        <v>48.12398</v>
      </c>
      <c r="E21" s="11">
        <v>48.448585523004134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IFERROR(5.818379*(1-w),"")</f>
        <v/>
      </c>
      <c r="D22" s="11">
        <v>5.818379</v>
      </c>
      <c r="E22" s="11">
        <v>5.857625088090205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IFERROR(45.29248*(1-w),"")</f>
        <v/>
      </c>
      <c r="D23" s="11">
        <v>45.29248</v>
      </c>
      <c r="E23" s="11">
        <v>45.597986509614415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IFERROR(0.06797172*(1-w),"")</f>
        <v/>
      </c>
      <c r="D24" s="11">
        <v>0.06797172</v>
      </c>
      <c r="E24" s="11">
        <v>0.068430202355783759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IFERROR(0.02718869*(1-w),"")</f>
        <v/>
      </c>
      <c r="D25" s="11">
        <v>0.02718869</v>
      </c>
      <c r="E25" s="11">
        <v>0.02737208295580389</v>
      </c>
      <c r="F25" s="11"/>
      <c r="G25" s="11"/>
      <c r="I25" s="12"/>
      <c r="J25" s="0" t="s">
        <v>36</v>
      </c>
    </row>
    <row r="26" outlineLevel="2">
      <c r="A26" s="10" t="s">
        <v>42</v>
      </c>
      <c r="B26" s="0" t="s">
        <v>33</v>
      </c>
      <c r="C26" s="11">
        <f>IFERROR(99.99999941*(1-w)+w*100,"")</f>
        <v/>
      </c>
      <c r="D26" s="11">
        <v>99.99999941</v>
      </c>
      <c r="E26" s="11">
        <v>99.999999406020336</v>
      </c>
      <c r="F26" s="11"/>
      <c r="G26" s="11"/>
      <c r="I26" s="12"/>
      <c r="J26" s="0" t="s">
        <v>39</v>
      </c>
    </row>
    <row r="27" outlineLevel="1">
      <c r="A27" s="9" t="s">
        <v>43</v>
      </c>
      <c r="I27" s="12"/>
    </row>
    <row r="28" outlineLevel="2">
      <c r="A28" s="10" t="s">
        <v>44</v>
      </c>
      <c r="B28" s="0" t="s">
        <v>45</v>
      </c>
      <c r="C28" s="11">
        <f>IFERROR(17.32618*(1-w)-w*2.443,"")</f>
        <v/>
      </c>
      <c r="D28" s="11">
        <v>17.32618</v>
      </c>
      <c r="E28" s="11">
        <v>17.443048424443774</v>
      </c>
      <c r="F28" s="11"/>
      <c r="G28" s="11"/>
      <c r="I28" s="12"/>
    </row>
    <row r="29" outlineLevel="2">
      <c r="A29" s="10" t="s">
        <v>46</v>
      </c>
      <c r="B29" s="0" t="s">
        <v>45</v>
      </c>
      <c r="C29" s="11">
        <f>IFERROR(18.596*(1-w),"")</f>
        <v/>
      </c>
      <c r="D29" s="11">
        <v>18.596</v>
      </c>
      <c r="E29" s="11">
        <v>18.721433605154537</v>
      </c>
      <c r="F29" s="11"/>
      <c r="G29" s="11"/>
      <c r="I29" s="12"/>
    </row>
    <row r="30" outlineLevel="2">
      <c r="A30" s="10" t="s">
        <v>47</v>
      </c>
      <c r="B30" s="0" t="s">
        <v>45</v>
      </c>
      <c r="C30" s="11">
        <f>IFERROR(18.650602837434*(1-w),"")</f>
        <v/>
      </c>
      <c r="D30" s="11">
        <v>18.650602837434004</v>
      </c>
      <c r="E30" s="11">
        <v>18.776404749254006</v>
      </c>
      <c r="F30" s="11"/>
      <c r="G30" s="11"/>
      <c r="I30" s="12"/>
      <c r="J30" s="0" t="s">
        <v>39</v>
      </c>
    </row>
    <row r="31">
      <c r="I31" s="12"/>
    </row>
    <row r="3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https://phyllis.nl/Biomass/View/174</dc:description>
  <dcterms:created xsi:type="dcterms:W3CDTF">2026-03-19T07:03:59Z</dcterms:created>
  <dc:title>Phyllis2 #174 wood, spruce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