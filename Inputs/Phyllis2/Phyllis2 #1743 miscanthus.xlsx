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43 miscanthus" sheetId="1" r:id="rId1"/>
  </sheets>
  <definedNames>
    <definedName name="w" localSheetId="0">IF(ISBLANK('Phyllis2 #1743 miscanthus'!$C$20),#N/A,'Phyllis2 #1743 miscanthus'!$C$20/100)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<sst xmlns="http://schemas.openxmlformats.org/spreadsheetml/2006/main" count="56" uniqueCount="56">
  <si>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</si>
  <si>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https://phyllis.nl/Biomass/View/1743</t>
  </si>
  <si>
    <t>miscanthus (#1743)</t>
  </si>
  <si>
    <t>ID-number</t>
  </si>
  <si>
    <t>#1743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</si>
  <si>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</si>
  <si>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</si>
  <si>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</si>
  <si>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</si>
  <si>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</si>
  <si>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</si>
  <si>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</si>
  <si>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</si>
  <si>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</si>
  <si>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</si>
  <si>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</si>
  <si>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used in different gasifiers (WOB at ECN and BFB at TUDelft)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</si>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</sst>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36614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9.1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IFERROR(3.41*(1-w),"")</f>
        <v>3.0996900000000003</v>
      </c>
      <c r="D21" s="13">
        <v>3.41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IFERROR(86.5*(1-w),"")</f>
        <v>78.6285</v>
      </c>
      <c r="D22" s="13">
        <v>86.5</v>
      </c>
      <c r="E22" s="13">
        <v>89.553784035614456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IFERROR(10.09*(1-w),"")</f>
        <v>9.1718100000000042</v>
      </c>
      <c r="D23" s="13">
        <v>10.090000000000003</v>
      </c>
      <c r="E23" s="13">
        <v>10.446215964385551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IFERROR(48.6*(1-w),"")</f>
        <v>44.177400000000006</v>
      </c>
      <c r="D25" s="13">
        <v>48.6</v>
      </c>
      <c r="E25" s="13">
        <v>50.31576767781344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IFERROR(6*(1-w),"")</f>
        <v>5.4540000000000006</v>
      </c>
      <c r="D26" s="13">
        <v>6</v>
      </c>
      <c r="E26" s="13">
        <v>6.2118231701004243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IFERROR(41.07*(1-w),"")</f>
        <v>37.33263</v>
      </c>
      <c r="D27" s="13">
        <v>41.07</v>
      </c>
      <c r="E27" s="13">
        <v>42.519929599337409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IFERROR(0.52*(1-w),"")</f>
        <v>0.47268000000000004</v>
      </c>
      <c r="D28" s="13">
        <v>0.52</v>
      </c>
      <c r="E28" s="13">
        <v>0.53835800807537015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IFERROR(0.2*(1-w),"")</f>
        <v>0.18180000000000002</v>
      </c>
      <c r="D29" s="13">
        <v>0.2</v>
      </c>
      <c r="E29" s="13">
        <v>0.20706077233668083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IFERROR(100.0028*(1-w)+w*100,"")</f>
        <v>100.00254519999999</v>
      </c>
      <c r="D30" s="13">
        <v>100.0028</v>
      </c>
      <c r="E30" s="13">
        <v>100.00289885081271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IFERROR(2000*(1-w),"")</f>
        <v>1818</v>
      </c>
      <c r="D32" s="14">
        <v>2000</v>
      </c>
      <c r="E32" s="14">
        <v>2070.6077233668084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IFERROR(28*(1-w),"")</f>
        <v>25.452</v>
      </c>
      <c r="D33" s="14">
        <v>28</v>
      </c>
      <c r="E33" s="14">
        <v>28.988508127135315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IFERROR(17.81501*(1-w)-w*2.443,"")</f>
        <v>15.971531090000003</v>
      </c>
      <c r="D35" s="13">
        <v>17.81501</v>
      </c>
      <c r="E35" s="13">
        <v>18.443948648928462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IFERROR(19.12431*(1-w),"")</f>
        <v>17.383997790000002</v>
      </c>
      <c r="D36" s="13">
        <v>19.12431</v>
      </c>
      <c r="E36" s="13">
        <v>19.799471995030544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IFERROR(19.4771260993*(1-w),"")</f>
        <v>17.704707624263698</v>
      </c>
      <c r="D37" s="13">
        <v>19.477126099299998</v>
      </c>
      <c r="E37" s="13">
        <v>20.164743865099904</v>
      </c>
      <c r="F37" s="13"/>
      <c r="G37" s="13"/>
      <c r="I37" s="5"/>
      <c r="J37" s="0" t="s">
        <v>38</v>
      </c>
    </row>
    <row r="38">
      <c r="I38" s="5"/>
    </row>
    <row r="39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9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https://phyllis.nl/Biomass/View/1743</dc:description>
  <dcterms:created xsi:type="dcterms:W3CDTF">2026-03-04T04:13:25Z</dcterms:created>
  <dc:title>Phyllis2 #1743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