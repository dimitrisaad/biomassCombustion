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44 miscanthus" sheetId="1" r:id="rId1"/>
  </sheets>
  <definedNames>
    <definedName name="w" localSheetId="0">IF(ISBLANK('Phyllis2 #1744 miscanthus'!$C$20),#N/A,'Phyllis2 #1744 miscanthus'!$C$20/100)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<sst xmlns="http://schemas.openxmlformats.org/spreadsheetml/2006/main" count="78" uniqueCount="78">
  <si>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</si>
  <si>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https://phyllis.nl/Biomass/View/1744</t>
  </si>
  <si>
    <t>miscanthus (#1744)</t>
  </si>
  <si>
    <t>ID-number</t>
  </si>
  <si>
    <t>#1744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</si>
  <si>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</si>
  <si>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</si>
  <si>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</si>
  <si>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</si>
  <si>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</si>
  <si>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</si>
  <si>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550 degC</t>
  </si>
  <si>
    <t>Submitter organisation</t>
  </si>
  <si>
    <t>ECN (Netherlands)</t>
  </si>
  <si>
    <t>Submission date</t>
  </si>
  <si>
    <t>Remarks</t>
  </si>
  <si>
    <t>used in different gasifiers (WOB at ECN and BFB at TUDelft)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</si>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</sst>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36614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IFERROR(2.73*(1-w),"")</f>
        <v>2.50068</v>
      </c>
      <c r="D21" s="13">
        <v>2.73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IFERROR(91.7*(1-w),"")</f>
        <v>83.9972</v>
      </c>
      <c r="D22" s="13">
        <v>91.7</v>
      </c>
      <c r="E22" s="13">
        <v>94.273671224426849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IFERROR(5.56999999999999*(1-w),"")</f>
        <v>5.102119999999994</v>
      </c>
      <c r="D23" s="13">
        <v>5.5699999999999932</v>
      </c>
      <c r="E23" s="13">
        <v>5.72632877557314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IFERROR(48.3*(1-w),"")</f>
        <v>44.2428</v>
      </c>
      <c r="D25" s="13">
        <v>48.3</v>
      </c>
      <c r="E25" s="13">
        <v>49.655597820499636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IFERROR(5.9*(1-w),"")</f>
        <v>5.4044000000000008</v>
      </c>
      <c r="D26" s="13">
        <v>5.9</v>
      </c>
      <c r="E26" s="13">
        <v>6.0655906240361883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IFERROR(42.21*(1-w),"")</f>
        <v>38.66436</v>
      </c>
      <c r="D27" s="13">
        <v>42.21</v>
      </c>
      <c r="E27" s="13">
        <v>43.394674617045339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IFERROR(0.57*(1-w),"")</f>
        <v>0.52212</v>
      </c>
      <c r="D28" s="13">
        <v>0.57</v>
      </c>
      <c r="E28" s="13">
        <v>0.58599773825434354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IFERROR(0.11*(1-w),"")</f>
        <v>0.10076</v>
      </c>
      <c r="D29" s="13">
        <v>0.11</v>
      </c>
      <c r="E29" s="13">
        <v>0.11308728282101367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IFERROR(100.0027*(1-w)+w*100,"")</f>
        <v>100.0024732</v>
      </c>
      <c r="D30" s="13">
        <v>100.00269999999999</v>
      </c>
      <c r="E30" s="13">
        <v>100.00277577876014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IFERROR(1800*(1-w),"")</f>
        <v>1648.8</v>
      </c>
      <c r="D32" s="14">
        <v>1800</v>
      </c>
      <c r="E32" s="14">
        <v>1850.5191734347691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IFERROR(27*(1-w),"")</f>
        <v>24.732</v>
      </c>
      <c r="D33" s="14">
        <v>27</v>
      </c>
      <c r="E33" s="14">
        <v>27.757787601521539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IFERROR(18.02365*(1-w)-w*2.443,"")</f>
        <v>16.3044514</v>
      </c>
      <c r="D35" s="13">
        <v>18.02365</v>
      </c>
      <c r="E35" s="13">
        <v>18.529505500154208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IFERROR(19.31113*(1-w),"")</f>
        <v>17.688995079999998</v>
      </c>
      <c r="D36" s="13">
        <v>19.31113</v>
      </c>
      <c r="E36" s="13">
        <v>19.853120180939651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IFERROR(19.1034172937*(1-w),"")</f>
        <v>17.4987302410292</v>
      </c>
      <c r="D37" s="13">
        <v>19.103417293699998</v>
      </c>
      <c r="E37" s="13">
        <v>19.639577766731776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160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>
        <v>0.5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58</v>
      </c>
      <c r="C41" s="14">
        <v>2.6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8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1000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0.2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>
        <v>1.5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58</v>
      </c>
      <c r="C46" s="14">
        <v>2.5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190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6500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695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82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235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0.9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760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2400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5.2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>
        <v>9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76</v>
      </c>
      <c r="B57" s="0" t="s">
        <v>58</v>
      </c>
      <c r="C57" s="14">
        <v>0.4</v>
      </c>
      <c r="D57" s="14"/>
      <c r="E57" s="14"/>
      <c r="F57" s="14"/>
      <c r="G57" s="14"/>
      <c r="I57" s="5"/>
      <c r="J57" s="0" t="s">
        <v>41</v>
      </c>
    </row>
    <row r="58" outlineLevel="2">
      <c r="A58" s="12" t="s">
        <v>77</v>
      </c>
      <c r="B58" s="0" t="s">
        <v>58</v>
      </c>
      <c r="C58" s="14">
        <v>33</v>
      </c>
      <c r="D58" s="14"/>
      <c r="E58" s="14"/>
      <c r="F58" s="14"/>
      <c r="G58" s="14"/>
      <c r="I58" s="5"/>
      <c r="J58" s="0" t="s">
        <v>41</v>
      </c>
    </row>
    <row r="59">
      <c r="I59" s="5"/>
    </row>
    <row r="60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</mergeCells>
  <dataValidations count="1">
    <dataValidation type="decimal" sqref="C20" errorStyle="stop" promptTitle="Enter moisture content" errorTitle="Invalid moisture content" prompt="Value should be between 0 and 100.&#10;Original value: 8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https://phyllis.nl/Biomass/View/1744</dc:description>
  <dcterms:created xsi:type="dcterms:W3CDTF">2026-03-04T04:13:30Z</dcterms:created>
  <dc:title>Phyllis2 #1744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