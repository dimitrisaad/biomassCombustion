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60 wood, eucalyptus" sheetId="1" r:id="rId1"/>
  </sheets>
  <definedNames>
    <definedName name="w" localSheetId="0">IF(ISBLANK('Phyllis2 #1760 wood, eucalyptus'!$C$18),#N/A,'Phyllis2 #1760 wood, eucalyptus'!$C$18/100)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<sst xmlns="http://schemas.openxmlformats.org/spreadsheetml/2006/main" count="45" uniqueCount="45">
  <si>
    <t>Phyllis2</t>
  </si>
  <si>
    <t>https://phyllis.nl/Biomass/View/1760</t>
  </si>
  <si>
    <t>wood, eucalyptus (#1760)</t>
  </si>
  <si>
    <t>ID-number</t>
  </si>
  <si>
    <t>#1760</t>
  </si>
  <si>
    <t>Material</t>
  </si>
  <si>
    <t>wood, eucalyptus</t>
  </si>
  <si>
    <t>Classification</t>
  </si>
  <si>
    <t>ECN Phyllis classification &gt; untreated wood &gt; other hard wood &gt; wood, eucalyptus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</si>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</sst>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6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36781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8.45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IFERROR(2.28*(1-w),"")</f>
        <v>2.0873399999999998</v>
      </c>
      <c r="D19" s="13">
        <v>2.28</v>
      </c>
      <c r="E19" s="13">
        <v/>
      </c>
      <c r="F19" s="13"/>
      <c r="G19" s="13"/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31</v>
      </c>
      <c r="C21" s="13">
        <f>IFERROR(49.00658*(1-w),"")</f>
        <v>44.86552399</v>
      </c>
      <c r="D21" s="13">
        <v>49.00658</v>
      </c>
      <c r="E21" s="13">
        <v>50.15</v>
      </c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31</v>
      </c>
      <c r="C22" s="13">
        <f>IFERROR(6.019552*(1-w),"")</f>
        <v>5.510899856</v>
      </c>
      <c r="D22" s="13">
        <v>6.019552</v>
      </c>
      <c r="E22" s="13">
        <v>6.16</v>
      </c>
      <c r="F22" s="13"/>
      <c r="G22" s="13"/>
      <c r="I22" s="5"/>
      <c r="J22" s="0" t="s">
        <v>35</v>
      </c>
    </row>
    <row r="23" outlineLevel="2">
      <c r="A23" s="12" t="s">
        <v>37</v>
      </c>
      <c r="B23" s="0" t="s">
        <v>31</v>
      </c>
      <c r="C23" s="13">
        <f>IFERROR(42.38*(1-w),"")</f>
        <v>38.79889</v>
      </c>
      <c r="D23" s="13">
        <v>42.38</v>
      </c>
      <c r="E23" s="13">
        <v>43.368808841588219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IFERROR(0.19544*(1-w),"")</f>
        <v>0.17892532</v>
      </c>
      <c r="D24" s="13">
        <v>0.19544</v>
      </c>
      <c r="E24" s="13">
        <v>0.2</v>
      </c>
      <c r="F24" s="13"/>
      <c r="G24" s="13"/>
      <c r="I24" s="5"/>
      <c r="J24" s="0" t="s">
        <v>35</v>
      </c>
    </row>
    <row r="25" outlineLevel="2">
      <c r="A25" s="12" t="s">
        <v>40</v>
      </c>
      <c r="B25" s="0" t="s">
        <v>31</v>
      </c>
      <c r="C25" s="13">
        <f>IFERROR(0.117264*(1-w),"")</f>
        <v>0.10735519199999999</v>
      </c>
      <c r="D25" s="13">
        <v>0.117264</v>
      </c>
      <c r="E25" s="13">
        <v>0.12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IFERROR(99.998836*(1-w)+w*100,"")</f>
        <v>99.998934358000014</v>
      </c>
      <c r="D26" s="13">
        <v>99.998836000000011</v>
      </c>
      <c r="E26" s="13">
        <v>99.998808841588229</v>
      </c>
      <c r="F26" s="13"/>
      <c r="G26" s="13"/>
      <c r="I26" s="5"/>
      <c r="J26" s="0" t="s">
        <v>38</v>
      </c>
    </row>
    <row r="27" outlineLevel="1">
      <c r="A27" s="11" t="s">
        <v>42</v>
      </c>
      <c r="I27" s="5"/>
    </row>
    <row r="28" outlineLevel="2">
      <c r="A28" s="12" t="s">
        <v>43</v>
      </c>
      <c r="B28" s="0" t="s">
        <v>44</v>
      </c>
      <c r="C28" s="13">
        <f>IFERROR(19.5339943896*(1-w),"")</f>
        <v>17.883371863678796</v>
      </c>
      <c r="D28" s="13">
        <v>19.533994389599997</v>
      </c>
      <c r="E28" s="13">
        <v>19.989760939009411</v>
      </c>
      <c r="F28" s="13"/>
      <c r="G28" s="13"/>
      <c r="I28" s="5"/>
      <c r="J28" s="0" t="s">
        <v>38</v>
      </c>
    </row>
    <row r="29">
      <c r="I29" s="5"/>
    </row>
    <row r="30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8.4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https://phyllis.nl/Biomass/View/1760</dc:description>
  <dcterms:created xsi:type="dcterms:W3CDTF">2026-03-19T07:14:08Z</dcterms:created>
  <dc:title>Phyllis2 #1760 wood, eucalyptus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