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64 olive residue, c" sheetId="1" r:id="rId1"/>
  </sheets>
  <definedNames>
    <definedName name="w" localSheetId="0">IF(ISBLANK('Phyllis2 #1764 olive residue, c'!$C$20),#N/A,'Phyllis2 #1764 olive residue, c'!$C$20/100)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<sst xmlns="http://schemas.openxmlformats.org/spreadsheetml/2006/main" count="66" uniqueCount="66">
  <si>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</si>
  <si>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https://phyllis.nl/Biomass/View/1764</t>
  </si>
  <si>
    <t>olive residue, cakes from olive oil production (#1764)</t>
  </si>
  <si>
    <t>ID-number</t>
  </si>
  <si>
    <t>#1764</t>
  </si>
  <si>
    <t>Material</t>
  </si>
  <si>
    <t>olive residue, cakes from olive oil production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</si>
  <si>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</si>
  <si>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</si>
  <si>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</si>
  <si>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Ash type</t>
  </si>
  <si>
    <t>550degC</t>
  </si>
  <si>
    <t>Submitter organisation</t>
  </si>
  <si>
    <t>ECN (Netherlands)</t>
  </si>
  <si>
    <t>Submission date</t>
  </si>
  <si>
    <t>Remarks</t>
  </si>
  <si>
    <t>Cl and O-content from S.Arvelakis et.al. Proc. 5th Eur. Conf. on Industrial Furnaces and Boilers, Vol.2,p.163-172. See also ID 1968, 1969 and 1970. Slightly different ash composition reported in Biomass and Bioenergy 22 (2002) 55-69.</t>
  </si>
  <si>
    <t>Literature</t>
  </si>
  <si>
    <t xml:space="preserve">S.Arvelakis, C.Sotiriou, A.Moutsatsou and E.G.Koukios: Prediction of the behaviour of biomass ash in fluidized bed combustors and gasifiers.  Journal of Thermal Analysis and Calorimetry 56 (3) pp. 1271-1278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</si>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</sst>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36781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5.5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IFERROR(4.6*(1-w),"")</f>
        <v>4.3469999999999995</v>
      </c>
      <c r="D21" s="13">
        <v>4.6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IFERROR(72*(1-w),"")</f>
        <v>68.039999999999992</v>
      </c>
      <c r="D22" s="13">
        <v>72</v>
      </c>
      <c r="E22" s="13">
        <v>75.471698113207552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IFERROR(23.4*(1-w),"")</f>
        <v>22.113000000000003</v>
      </c>
      <c r="D23" s="13">
        <v>23.400000000000006</v>
      </c>
      <c r="E23" s="13">
        <v>24.528301886792459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IFERROR(50.7*(1-w),"")</f>
        <v>47.911500000000004</v>
      </c>
      <c r="D25" s="13">
        <v>50.7</v>
      </c>
      <c r="E25" s="13">
        <v>53.144654088050316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IFERROR(5.89*(1-w),"")</f>
        <v>5.56605</v>
      </c>
      <c r="D26" s="13">
        <v>5.89</v>
      </c>
      <c r="E26" s="13">
        <v>6.1740041928721174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IFERROR(37.02*(1-w),"")</f>
        <v>34.9839</v>
      </c>
      <c r="D27" s="13">
        <v>37.02</v>
      </c>
      <c r="E27" s="13">
        <v>38.805031446540887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IFERROR(1.36*(1-w),"")</f>
        <v>1.2852000000000001</v>
      </c>
      <c r="D28" s="13">
        <v>1.36</v>
      </c>
      <c r="E28" s="13">
        <v>1.4255765199161428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IFERROR(0.3*(1-w),"")</f>
        <v>0.2835</v>
      </c>
      <c r="D29" s="13">
        <v>0.3</v>
      </c>
      <c r="E29" s="13">
        <v>0.31446540880503143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IFERROR(100.05*(1-w)+w*100,"")</f>
        <v>100.04725</v>
      </c>
      <c r="D30" s="13">
        <v>100.05000000000001</v>
      </c>
      <c r="E30" s="13">
        <v>100.05241090146752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IFERROR(1800*(1-w),"")</f>
        <v>1701</v>
      </c>
      <c r="D32" s="14">
        <v>1800</v>
      </c>
      <c r="E32" s="14">
        <v>1886.7924528301887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IFERROR(19.9347*(1-w)-w*2.443,"")</f>
        <v>18.703926499999998</v>
      </c>
      <c r="D34" s="13">
        <v>19.9347</v>
      </c>
      <c r="E34" s="13">
        <v>20.895911949685534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IFERROR(21.22*(1-w),"")</f>
        <v>20.052899999999998</v>
      </c>
      <c r="D35" s="13">
        <v>21.22</v>
      </c>
      <c r="E35" s="13">
        <v>22.243186582809223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IFERROR(20.42311748*(1-w),"")</f>
        <v>19.2998460186</v>
      </c>
      <c r="D36" s="13">
        <v>20.423117480000002</v>
      </c>
      <c r="E36" s="13">
        <v>21.40787995807128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4.97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1.43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32.6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6.03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21.3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7.9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8.9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15.1</v>
      </c>
      <c r="D46" s="13"/>
      <c r="E46" s="13"/>
      <c r="F46" s="13"/>
      <c r="G46" s="13"/>
      <c r="I46" s="5"/>
    </row>
    <row r="47">
      <c r="I47" s="5"/>
    </row>
    <row r="4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20" errorStyle="stop" promptTitle="Enter moisture content" errorTitle="Invalid moisture content" prompt="Value should be between 0 and 100.&#10;Original value: 5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https://phyllis.nl/Biomass/View/1764</dc:description>
  <dcterms:created xsi:type="dcterms:W3CDTF">2026-03-17T05:43:10Z</dcterms:created>
  <dc:title>Phyllis2 #1764 olive residue, cakes from olive oil production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