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67 cacao shells" sheetId="1" r:id="rId1"/>
  </sheets>
  <definedNames>
    <definedName name="w" localSheetId="0">IF(ISBLANK('Phyllis2 #1767 cacao shells'!$C$18),#N/A,'Phyllis2 #1767 cacao shells'!$C$18/100)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<sst xmlns="http://schemas.openxmlformats.org/spreadsheetml/2006/main" count="79" uniqueCount="79">
  <si>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</si>
  <si>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https://phyllis.nl/Biomass/View/1767</t>
  </si>
  <si>
    <t>cacao shells (#1767)</t>
  </si>
  <si>
    <t>ID-number</t>
  </si>
  <si>
    <t>#1767</t>
  </si>
  <si>
    <t>Material</t>
  </si>
  <si>
    <t>cacao shells</t>
  </si>
  <si>
    <t>Classification</t>
  </si>
  <si>
    <t>ECN Phyllis classification &gt; husk/shell/pit &gt; cacao &gt; cacao shells</t>
  </si>
  <si>
    <t>NTA 8003 classification &gt; [200] biomassa uit land- en tuinbouw &gt; [230] restproducten (doppen) &gt; [232] cacaodoppen</t>
  </si>
  <si>
    <t>Submitter organisation</t>
  </si>
  <si>
    <t>ECN (Netherlands)</t>
  </si>
  <si>
    <t>Submission date</t>
  </si>
  <si>
    <t>Literature</t>
  </si>
  <si>
    <t>H.A.van der Sloot and P.A.J.P.Cnubben: Verkennende evaluatie kwaliteitsbeinvloeding poederkoolvliegas, ECN-report ECN-C-00-058, 88 p.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</si>
  <si>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</si>
  <si>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</si>
  <si>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</si>
  <si>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</si>
  <si>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</si>
  <si>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</si>
  <si>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</si>
  <si>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</si>
  <si>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</si>
  <si>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</si>
  <si>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</si>
  <si>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</si>
  <si>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</si>
  <si>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</si>
  <si>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</si>
  <si>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</si>
  <si>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</si>
  <si>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</si>
  <si>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</si>
  <si>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</si>
  <si>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</si>
  <si>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</si>
  <si>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</si>
  <si>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</si>
  <si>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</si>
  <si>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</si>
  <si>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</si>
  <si>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</si>
  <si>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</si>
  <si>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</si>
  <si>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</si>
  <si>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</si>
  <si>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</si>
  <si>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</si>
  <si>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</si>
  <si>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</si>
  <si>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</si>
  <si>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</si>
  <si>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</si>
  <si>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</si>
  <si>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</si>
  <si>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</si>
  <si>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</si>
  <si>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</si>
  <si>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</si>
  <si>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</si>
  <si>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</si>
  <si>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</si>
  <si>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</si>
  <si>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</si>
  <si>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</si>
  <si>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</si>
  <si>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</si>
  <si>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</si>
  <si>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</si>
  <si>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</si>
  <si>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</si>
  <si>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</si>
  <si>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</si>
  <si>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</si>
  <si>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Tellurium (Te)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</si>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</sst>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36781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IFERROR(8*(1-w),"")</f>
        <v>7.36</v>
      </c>
      <c r="D19" s="13">
        <v>8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IFERROR(47*(1-w),"")</f>
        <v>43.24</v>
      </c>
      <c r="D21" s="13">
        <v>47</v>
      </c>
      <c r="E21" s="13">
        <v>51.086956521739125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IFERROR(5.5*(1-w),"")</f>
        <v>5.0600000000000005</v>
      </c>
      <c r="D22" s="13">
        <v>5.5</v>
      </c>
      <c r="E22" s="13">
        <v>5.9782608695652169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IFERROR(36.16*(1-w),"")</f>
        <v>33.267199999999995</v>
      </c>
      <c r="D23" s="13">
        <v>36.16</v>
      </c>
      <c r="E23" s="13">
        <v>39.304347826086953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IFERROR(3.05*(1-w),"")</f>
        <v>2.806</v>
      </c>
      <c r="D24" s="13">
        <v>3.05</v>
      </c>
      <c r="E24" s="13">
        <v>3.3152173913043477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IFERROR(0.21*(1-w),"")</f>
        <v>0.1932</v>
      </c>
      <c r="D25" s="13">
        <v>0.21</v>
      </c>
      <c r="E25" s="13">
        <v>0.22826086956521738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IFERROR(100.0001*(1-w)+w*100,"")</f>
        <v>100.000092</v>
      </c>
      <c r="D26" s="13">
        <v>100.00009999999999</v>
      </c>
      <c r="E26" s="13">
        <v>100.00010869565216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4">
        <f>IFERROR(800*(1-w),"")</f>
        <v>736</v>
      </c>
      <c r="D28" s="14">
        <v>800</v>
      </c>
      <c r="E28" s="14">
        <v>869.56521739130426</v>
      </c>
      <c r="F28" s="14"/>
      <c r="G28" s="14"/>
      <c r="I28" s="5"/>
      <c r="J28" s="0" t="s">
        <v>35</v>
      </c>
    </row>
    <row r="29" outlineLevel="2">
      <c r="A29" s="12" t="s">
        <v>45</v>
      </c>
      <c r="B29" s="0" t="s">
        <v>44</v>
      </c>
      <c r="C29" s="14">
        <f>IFERROR(1*(1-w),"")</f>
        <v>0.92</v>
      </c>
      <c r="D29" s="14">
        <v>1</v>
      </c>
      <c r="E29" s="14">
        <v>1.0869565217391304</v>
      </c>
      <c r="F29" s="14"/>
      <c r="G29" s="14"/>
      <c r="I29" s="5"/>
      <c r="J29" s="0" t="s">
        <v>35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IFERROR(16.19981*(1-w)-w*2.443,"")</f>
        <v>14.7083852</v>
      </c>
      <c r="D31" s="13">
        <v>16.19981</v>
      </c>
      <c r="E31" s="13">
        <v>17.60848913043478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IFERROR(17.4*(1-w),"")</f>
        <v>16.008</v>
      </c>
      <c r="D32" s="13">
        <v>17.4</v>
      </c>
      <c r="E32" s="13">
        <v>18.913043478260867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IFERROR(18.494598*(1-w),"")</f>
        <v>17.015030160000006</v>
      </c>
      <c r="D33" s="13">
        <v>18.494598000000003</v>
      </c>
      <c r="E33" s="13">
        <v>20.10282391304348</v>
      </c>
      <c r="F33" s="13"/>
      <c r="G33" s="13"/>
      <c r="I33" s="5"/>
      <c r="J33" s="0" t="s">
        <v>38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4">
        <v>1000</v>
      </c>
      <c r="D35" s="14"/>
      <c r="E35" s="14"/>
      <c r="F35" s="14"/>
      <c r="G35" s="14"/>
      <c r="I35" s="5"/>
      <c r="J35" s="0" t="s">
        <v>35</v>
      </c>
    </row>
    <row r="36" outlineLevel="2">
      <c r="A36" s="12" t="s">
        <v>54</v>
      </c>
      <c r="B36" s="0" t="s">
        <v>53</v>
      </c>
      <c r="C36" s="14">
        <v>11.5</v>
      </c>
      <c r="D36" s="14"/>
      <c r="E36" s="14"/>
      <c r="F36" s="14"/>
      <c r="G36" s="14"/>
      <c r="I36" s="5"/>
      <c r="J36" s="0" t="s">
        <v>35</v>
      </c>
    </row>
    <row r="37" outlineLevel="2">
      <c r="A37" s="12" t="s">
        <v>55</v>
      </c>
      <c r="B37" s="0" t="s">
        <v>53</v>
      </c>
      <c r="C37" s="14">
        <v>741</v>
      </c>
      <c r="D37" s="14"/>
      <c r="E37" s="14"/>
      <c r="F37" s="14"/>
      <c r="G37" s="14"/>
      <c r="I37" s="5"/>
      <c r="J37" s="0" t="s">
        <v>35</v>
      </c>
    </row>
    <row r="38" outlineLevel="2">
      <c r="A38" s="12" t="s">
        <v>56</v>
      </c>
      <c r="B38" s="0" t="s">
        <v>53</v>
      </c>
      <c r="C38" s="14">
        <v>4000</v>
      </c>
      <c r="D38" s="14"/>
      <c r="E38" s="14"/>
      <c r="F38" s="14"/>
      <c r="G38" s="14"/>
      <c r="I38" s="5"/>
      <c r="J38" s="0" t="s">
        <v>35</v>
      </c>
    </row>
    <row r="39" outlineLevel="2">
      <c r="A39" s="12" t="s">
        <v>57</v>
      </c>
      <c r="B39" s="0" t="s">
        <v>53</v>
      </c>
      <c r="C39" s="14">
        <v>1.5</v>
      </c>
      <c r="D39" s="14"/>
      <c r="E39" s="14"/>
      <c r="F39" s="14"/>
      <c r="G39" s="14"/>
      <c r="I39" s="5"/>
      <c r="J39" s="0" t="s">
        <v>35</v>
      </c>
    </row>
    <row r="40" outlineLevel="2">
      <c r="A40" s="12" t="s">
        <v>58</v>
      </c>
      <c r="B40" s="0" t="s">
        <v>53</v>
      </c>
      <c r="C40" s="14">
        <v>5.3</v>
      </c>
      <c r="D40" s="14"/>
      <c r="E40" s="14"/>
      <c r="F40" s="14"/>
      <c r="G40" s="14"/>
      <c r="I40" s="5"/>
      <c r="J40" s="0" t="s">
        <v>35</v>
      </c>
    </row>
    <row r="41" outlineLevel="2">
      <c r="A41" s="12" t="s">
        <v>59</v>
      </c>
      <c r="B41" s="0" t="s">
        <v>53</v>
      </c>
      <c r="C41" s="14">
        <v>81</v>
      </c>
      <c r="D41" s="14"/>
      <c r="E41" s="14"/>
      <c r="F41" s="14"/>
      <c r="G41" s="14"/>
      <c r="I41" s="5"/>
      <c r="J41" s="0" t="s">
        <v>35</v>
      </c>
    </row>
    <row r="42" outlineLevel="2">
      <c r="A42" s="12" t="s">
        <v>60</v>
      </c>
      <c r="B42" s="0" t="s">
        <v>53</v>
      </c>
      <c r="C42" s="14">
        <v>169</v>
      </c>
      <c r="D42" s="14"/>
      <c r="E42" s="14"/>
      <c r="F42" s="14"/>
      <c r="G42" s="14"/>
      <c r="I42" s="5"/>
      <c r="J42" s="0" t="s">
        <v>35</v>
      </c>
    </row>
    <row r="43" outlineLevel="2">
      <c r="A43" s="12" t="s">
        <v>61</v>
      </c>
      <c r="B43" s="0" t="s">
        <v>53</v>
      </c>
      <c r="C43" s="14">
        <v>900</v>
      </c>
      <c r="D43" s="14"/>
      <c r="E43" s="14"/>
      <c r="F43" s="14"/>
      <c r="G43" s="14"/>
      <c r="I43" s="5"/>
      <c r="J43" s="0" t="s">
        <v>35</v>
      </c>
    </row>
    <row r="44" outlineLevel="2">
      <c r="A44" s="12" t="s">
        <v>62</v>
      </c>
      <c r="B44" s="0" t="s">
        <v>53</v>
      </c>
      <c r="C44" s="14">
        <v>0.29</v>
      </c>
      <c r="D44" s="14"/>
      <c r="E44" s="14"/>
      <c r="F44" s="14"/>
      <c r="G44" s="14"/>
      <c r="I44" s="5"/>
      <c r="J44" s="0" t="s">
        <v>35</v>
      </c>
    </row>
    <row r="45" outlineLevel="2">
      <c r="A45" s="12" t="s">
        <v>63</v>
      </c>
      <c r="B45" s="0" t="s">
        <v>53</v>
      </c>
      <c r="C45" s="14">
        <v>700</v>
      </c>
      <c r="D45" s="14"/>
      <c r="E45" s="14"/>
      <c r="F45" s="14"/>
      <c r="G45" s="14"/>
      <c r="I45" s="5"/>
      <c r="J45" s="0" t="s">
        <v>35</v>
      </c>
    </row>
    <row r="46" outlineLevel="2">
      <c r="A46" s="12" t="s">
        <v>64</v>
      </c>
      <c r="B46" s="0" t="s">
        <v>53</v>
      </c>
      <c r="C46" s="14">
        <v>400</v>
      </c>
      <c r="D46" s="14"/>
      <c r="E46" s="14"/>
      <c r="F46" s="14"/>
      <c r="G46" s="14"/>
      <c r="I46" s="5"/>
      <c r="J46" s="0" t="s">
        <v>35</v>
      </c>
    </row>
    <row r="47" outlineLevel="2">
      <c r="A47" s="12" t="s">
        <v>65</v>
      </c>
      <c r="B47" s="0" t="s">
        <v>53</v>
      </c>
      <c r="C47" s="14">
        <v>83</v>
      </c>
      <c r="D47" s="14"/>
      <c r="E47" s="14"/>
      <c r="F47" s="14"/>
      <c r="G47" s="14"/>
      <c r="I47" s="5"/>
      <c r="J47" s="0" t="s">
        <v>35</v>
      </c>
    </row>
    <row r="48" outlineLevel="2">
      <c r="A48" s="12" t="s">
        <v>66</v>
      </c>
      <c r="B48" s="0" t="s">
        <v>53</v>
      </c>
      <c r="C48" s="14">
        <v>7.6</v>
      </c>
      <c r="D48" s="14"/>
      <c r="E48" s="14"/>
      <c r="F48" s="14"/>
      <c r="G48" s="14"/>
      <c r="I48" s="5"/>
      <c r="J48" s="0" t="s">
        <v>35</v>
      </c>
    </row>
    <row r="49" outlineLevel="2">
      <c r="A49" s="12" t="s">
        <v>67</v>
      </c>
      <c r="B49" s="0" t="s">
        <v>53</v>
      </c>
      <c r="C49" s="14">
        <v>700</v>
      </c>
      <c r="D49" s="14"/>
      <c r="E49" s="14"/>
      <c r="F49" s="14"/>
      <c r="G49" s="14"/>
      <c r="I49" s="5"/>
      <c r="J49" s="0" t="s">
        <v>35</v>
      </c>
    </row>
    <row r="50" outlineLevel="2">
      <c r="A50" s="12" t="s">
        <v>68</v>
      </c>
      <c r="B50" s="0" t="s">
        <v>53</v>
      </c>
      <c r="C50" s="14">
        <v>32</v>
      </c>
      <c r="D50" s="14"/>
      <c r="E50" s="14"/>
      <c r="F50" s="14"/>
      <c r="G50" s="14"/>
      <c r="I50" s="5"/>
      <c r="J50" s="0" t="s">
        <v>35</v>
      </c>
    </row>
    <row r="51" outlineLevel="2">
      <c r="A51" s="12" t="s">
        <v>69</v>
      </c>
      <c r="B51" s="0" t="s">
        <v>53</v>
      </c>
      <c r="C51" s="14">
        <v>100</v>
      </c>
      <c r="D51" s="14"/>
      <c r="E51" s="14"/>
      <c r="F51" s="14"/>
      <c r="G51" s="14"/>
      <c r="I51" s="5"/>
      <c r="J51" s="0" t="s">
        <v>35</v>
      </c>
    </row>
    <row r="52" outlineLevel="2">
      <c r="A52" s="12" t="s">
        <v>70</v>
      </c>
      <c r="B52" s="0" t="s">
        <v>53</v>
      </c>
      <c r="C52" s="14">
        <v>620</v>
      </c>
      <c r="D52" s="14"/>
      <c r="E52" s="14"/>
      <c r="F52" s="14"/>
      <c r="G52" s="14"/>
      <c r="I52" s="5"/>
      <c r="J52" s="0" t="s">
        <v>35</v>
      </c>
    </row>
    <row r="53" outlineLevel="2">
      <c r="A53" s="12" t="s">
        <v>71</v>
      </c>
      <c r="B53" s="0" t="s">
        <v>53</v>
      </c>
      <c r="C53" s="14">
        <v>20</v>
      </c>
      <c r="D53" s="14"/>
      <c r="E53" s="14"/>
      <c r="F53" s="14"/>
      <c r="G53" s="14"/>
      <c r="I53" s="5"/>
      <c r="J53" s="0" t="s">
        <v>35</v>
      </c>
    </row>
    <row r="54" outlineLevel="2">
      <c r="A54" s="12" t="s">
        <v>72</v>
      </c>
      <c r="B54" s="0" t="s">
        <v>53</v>
      </c>
      <c r="C54" s="14">
        <v>5</v>
      </c>
      <c r="D54" s="14"/>
      <c r="E54" s="14"/>
      <c r="F54" s="14"/>
      <c r="G54" s="14"/>
      <c r="I54" s="5"/>
      <c r="J54" s="0" t="s">
        <v>35</v>
      </c>
    </row>
    <row r="55" outlineLevel="2">
      <c r="A55" s="12" t="s">
        <v>73</v>
      </c>
      <c r="B55" s="0" t="s">
        <v>53</v>
      </c>
      <c r="C55" s="14">
        <v>4000</v>
      </c>
      <c r="D55" s="14"/>
      <c r="E55" s="14"/>
      <c r="F55" s="14"/>
      <c r="G55" s="14"/>
      <c r="I55" s="5"/>
      <c r="J55" s="0" t="s">
        <v>35</v>
      </c>
    </row>
    <row r="56" outlineLevel="2">
      <c r="A56" s="12" t="s">
        <v>74</v>
      </c>
      <c r="B56" s="0" t="s">
        <v>53</v>
      </c>
      <c r="C56" s="14">
        <v>6.3</v>
      </c>
      <c r="D56" s="14"/>
      <c r="E56" s="14"/>
      <c r="F56" s="14"/>
      <c r="G56" s="14"/>
      <c r="I56" s="5"/>
      <c r="J56" s="0" t="s">
        <v>35</v>
      </c>
    </row>
    <row r="57" outlineLevel="2">
      <c r="A57" s="12" t="s">
        <v>75</v>
      </c>
      <c r="B57" s="0" t="s">
        <v>53</v>
      </c>
      <c r="C57" s="14">
        <v>1.1</v>
      </c>
      <c r="D57" s="14"/>
      <c r="E57" s="14"/>
      <c r="F57" s="14"/>
      <c r="G57" s="14"/>
      <c r="I57" s="5"/>
      <c r="J57" s="0" t="s">
        <v>35</v>
      </c>
    </row>
    <row r="58" outlineLevel="2">
      <c r="A58" s="12" t="s">
        <v>76</v>
      </c>
      <c r="B58" s="0" t="s">
        <v>53</v>
      </c>
      <c r="C58" s="14">
        <v>600</v>
      </c>
      <c r="D58" s="14"/>
      <c r="E58" s="14"/>
      <c r="F58" s="14"/>
      <c r="G58" s="14"/>
      <c r="I58" s="5"/>
      <c r="J58" s="0" t="s">
        <v>35</v>
      </c>
    </row>
    <row r="59" outlineLevel="2">
      <c r="A59" s="12" t="s">
        <v>77</v>
      </c>
      <c r="B59" s="0" t="s">
        <v>53</v>
      </c>
      <c r="C59" s="14">
        <v>11</v>
      </c>
      <c r="D59" s="14"/>
      <c r="E59" s="14"/>
      <c r="F59" s="14"/>
      <c r="G59" s="14"/>
      <c r="I59" s="5"/>
      <c r="J59" s="0" t="s">
        <v>35</v>
      </c>
    </row>
    <row r="60" outlineLevel="2">
      <c r="A60" s="12" t="s">
        <v>78</v>
      </c>
      <c r="B60" s="0" t="s">
        <v>53</v>
      </c>
      <c r="C60" s="14">
        <v>829</v>
      </c>
      <c r="D60" s="14"/>
      <c r="E60" s="14"/>
      <c r="F60" s="14"/>
      <c r="G60" s="14"/>
      <c r="I60" s="5"/>
      <c r="J60" s="0" t="s">
        <v>35</v>
      </c>
    </row>
    <row r="61">
      <c r="I61" s="5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&#10;Original value: 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https://phyllis.nl/Biomass/View/1767</dc:description>
  <dcterms:created xsi:type="dcterms:W3CDTF">2026-03-17T05:39:56Z</dcterms:created>
  <dc:title>Phyllis2 #1767 cacao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