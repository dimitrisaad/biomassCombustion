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74 wood, beech wood" sheetId="1" r:id="rId1"/>
  </sheets>
  <definedNames>
    <definedName name="w" localSheetId="0">IF(ISBLANK('Phyllis2 #1774 wood, beech wood'!$C$18),#N/A,'Phyllis2 #1774 wood, beech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<sst xmlns="http://schemas.openxmlformats.org/spreadsheetml/2006/main" count="60" uniqueCount="60">
  <si>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</si>
  <si>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https://phyllis.nl/Biomass/View/1774</t>
  </si>
  <si>
    <t>wood, beech wood from Denmark, partially containing bark (#1774)</t>
  </si>
  <si>
    <t>ID-number</t>
  </si>
  <si>
    <t>#1774</t>
  </si>
  <si>
    <t>Material</t>
  </si>
  <si>
    <t>wood, beech wood from Denmark, partially containing bark</t>
  </si>
  <si>
    <t>Classification</t>
  </si>
  <si>
    <t>ECN Phyllis classification &gt; untreated wood &gt; beech</t>
  </si>
  <si>
    <t>NTA 8003 classification &gt; [100] hout &gt; [110] vers hout &gt; [120] loofhout &gt; [126] hard loofhout met schors</t>
  </si>
  <si>
    <t>Submitter organisation</t>
  </si>
  <si>
    <t>ECN (Netherlands)</t>
  </si>
  <si>
    <t>Submission date</t>
  </si>
  <si>
    <t>Literature</t>
  </si>
  <si>
    <t>M.Barrio, B.Gobel, H.Risnes, U.Henriksen, J.E.Hustad and L.H.Sorensen: Steam gasification of wood char and the effect of hydrogen inhibition on the chemical kinetics. In: Progress in Thermochemical Biomass Conversion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</si>
  <si>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</si>
  <si>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</si>
  <si>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</si>
  <si>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</si>
  <si>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</si>
  <si>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</si>
  <si>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</si>
  <si>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</si>
  <si>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</si>
  <si>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</si>
  <si>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</si>
  <si>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</si>
  <si>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</si>
  <si>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</si>
  <si>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</si>
  <si>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</si>
  <si>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</si>
  <si>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</si>
  <si>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</si>
  <si>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</si>
  <si>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</si>
  <si>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</si>
  <si>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</si>
  <si>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</si>
  <si>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</si>
  <si>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</si>
  <si>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</si>
  <si>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</si>
  <si>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</si>
  <si>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</si>
  <si>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</si>
  <si>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</si>
  <si>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Trace elements composition</t>
  </si>
  <si>
    <t>Aluminium (Al)</t>
  </si>
  <si>
    <t>mg/kg (dry)</t>
  </si>
  <si>
    <t>Calcium (Ca)</t>
  </si>
  <si>
    <t>Copper (Cu)</t>
  </si>
  <si>
    <t>Iron (Fe)</t>
  </si>
  <si>
    <t>Potassium (K)</t>
  </si>
  <si>
    <t>Magnesium (Mg)</t>
  </si>
  <si>
    <t>Sodium (Na)</t>
  </si>
  <si>
    <t>Nickel (Ni)</t>
  </si>
  <si>
    <t>Phosphorus (P)</t>
  </si>
  <si>
    <t>Silicon (Si)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</si>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</sst>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36798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14.2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IFERROR(0.56*(1-w),"")</f>
        <v>0.48048</v>
      </c>
      <c r="D19" s="13">
        <v>0.56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IFERROR(75.2*(1-w),"")</f>
        <v>64.5216</v>
      </c>
      <c r="D20" s="13">
        <v>75.2</v>
      </c>
      <c r="E20" s="13">
        <v>75.6234915526951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IFERROR(24.24*(1-w),"")</f>
        <v>20.797919999999994</v>
      </c>
      <c r="D21" s="13">
        <v>24.239999999999995</v>
      </c>
      <c r="E21" s="13">
        <v>24.376508447304904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IFERROR(48.1*(1-w),"")</f>
        <v>41.269800000000004</v>
      </c>
      <c r="D23" s="13">
        <v>48.1</v>
      </c>
      <c r="E23" s="13">
        <v>48.37087691069992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IFERROR(6.4*(1-w),"")</f>
        <v>5.4912</v>
      </c>
      <c r="D24" s="13">
        <v>6.4</v>
      </c>
      <c r="E24" s="13">
        <v>6.436041834271923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IFERROR(44.86*(1-w),"")</f>
        <v>38.48988</v>
      </c>
      <c r="D25" s="13">
        <v>44.86</v>
      </c>
      <c r="E25" s="13">
        <v>45.11263073209976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31</v>
      </c>
      <c r="C26" s="13">
        <f>IFERROR(0.081*(1-w),"")</f>
        <v>0.069498</v>
      </c>
      <c r="D26" s="13">
        <v>0.081</v>
      </c>
      <c r="E26" s="13">
        <v>0.081456154465004024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IFERROR(0.004*(1-w),"")</f>
        <v>0.003432</v>
      </c>
      <c r="D27" s="13">
        <v>0.004</v>
      </c>
      <c r="E27" s="13">
        <v>0.0040225261464199519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IFERROR(100.005*(1-w)+w*100,"")</f>
        <v>100.00429000000001</v>
      </c>
      <c r="D28" s="13">
        <v>100.00500000000001</v>
      </c>
      <c r="E28" s="13">
        <v>100.00502815768304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IFERROR(19.4617343808*(1-w),"")</f>
        <v>16.698168098726402</v>
      </c>
      <c r="D30" s="13">
        <v>19.461734380800003</v>
      </c>
      <c r="E30" s="13">
        <v>19.571333850362031</v>
      </c>
      <c r="F30" s="13"/>
      <c r="G30" s="13"/>
      <c r="I30" s="5"/>
      <c r="J30" s="0" t="s">
        <v>35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v>8</v>
      </c>
      <c r="D32" s="14"/>
      <c r="E32" s="14"/>
      <c r="F32" s="14"/>
      <c r="G32" s="14"/>
      <c r="I32" s="5"/>
      <c r="J32" s="0" t="s">
        <v>38</v>
      </c>
    </row>
    <row r="33" outlineLevel="2">
      <c r="A33" s="12" t="s">
        <v>50</v>
      </c>
      <c r="B33" s="0" t="s">
        <v>49</v>
      </c>
      <c r="C33" s="14">
        <v>1400</v>
      </c>
      <c r="D33" s="14"/>
      <c r="E33" s="14"/>
      <c r="F33" s="14"/>
      <c r="G33" s="14"/>
      <c r="I33" s="5"/>
      <c r="J33" s="0" t="s">
        <v>38</v>
      </c>
    </row>
    <row r="34" outlineLevel="2">
      <c r="A34" s="12" t="s">
        <v>51</v>
      </c>
      <c r="B34" s="0" t="s">
        <v>49</v>
      </c>
      <c r="C34" s="14">
        <v>1.7</v>
      </c>
      <c r="D34" s="14"/>
      <c r="E34" s="14"/>
      <c r="F34" s="14"/>
      <c r="G34" s="14"/>
      <c r="I34" s="5"/>
      <c r="J34" s="0" t="s">
        <v>38</v>
      </c>
    </row>
    <row r="35" outlineLevel="2">
      <c r="A35" s="12" t="s">
        <v>52</v>
      </c>
      <c r="B35" s="0" t="s">
        <v>49</v>
      </c>
      <c r="C35" s="14">
        <v>100</v>
      </c>
      <c r="D35" s="14"/>
      <c r="E35" s="14"/>
      <c r="F35" s="14"/>
      <c r="G35" s="14"/>
      <c r="I35" s="5"/>
      <c r="J35" s="0" t="s">
        <v>38</v>
      </c>
    </row>
    <row r="36" outlineLevel="2">
      <c r="A36" s="12" t="s">
        <v>53</v>
      </c>
      <c r="B36" s="0" t="s">
        <v>49</v>
      </c>
      <c r="C36" s="14">
        <v>1600</v>
      </c>
      <c r="D36" s="14"/>
      <c r="E36" s="14"/>
      <c r="F36" s="14"/>
      <c r="G36" s="14"/>
      <c r="I36" s="5"/>
      <c r="J36" s="0" t="s">
        <v>38</v>
      </c>
    </row>
    <row r="37" outlineLevel="2">
      <c r="A37" s="12" t="s">
        <v>54</v>
      </c>
      <c r="B37" s="0" t="s">
        <v>49</v>
      </c>
      <c r="C37" s="14">
        <v>400</v>
      </c>
      <c r="D37" s="14"/>
      <c r="E37" s="14"/>
      <c r="F37" s="14"/>
      <c r="G37" s="14"/>
      <c r="I37" s="5"/>
      <c r="J37" s="0" t="s">
        <v>38</v>
      </c>
    </row>
    <row r="38" outlineLevel="2">
      <c r="A38" s="12" t="s">
        <v>55</v>
      </c>
      <c r="B38" s="0" t="s">
        <v>49</v>
      </c>
      <c r="C38" s="14">
        <v>110</v>
      </c>
      <c r="D38" s="14"/>
      <c r="E38" s="14"/>
      <c r="F38" s="14"/>
      <c r="G38" s="14"/>
      <c r="I38" s="5"/>
      <c r="J38" s="0" t="s">
        <v>38</v>
      </c>
    </row>
    <row r="39" outlineLevel="2">
      <c r="A39" s="12" t="s">
        <v>56</v>
      </c>
      <c r="B39" s="0" t="s">
        <v>49</v>
      </c>
      <c r="C39" s="14">
        <v>1.1</v>
      </c>
      <c r="D39" s="14"/>
      <c r="E39" s="14"/>
      <c r="F39" s="14"/>
      <c r="G39" s="14"/>
      <c r="I39" s="5"/>
      <c r="J39" s="0" t="s">
        <v>38</v>
      </c>
    </row>
    <row r="40" outlineLevel="2">
      <c r="A40" s="12" t="s">
        <v>57</v>
      </c>
      <c r="B40" s="0" t="s">
        <v>49</v>
      </c>
      <c r="C40" s="14">
        <v>110</v>
      </c>
      <c r="D40" s="14"/>
      <c r="E40" s="14"/>
      <c r="F40" s="14"/>
      <c r="G40" s="14"/>
      <c r="I40" s="5"/>
      <c r="J40" s="0" t="s">
        <v>38</v>
      </c>
    </row>
    <row r="41" outlineLevel="2">
      <c r="A41" s="12" t="s">
        <v>58</v>
      </c>
      <c r="B41" s="0" t="s">
        <v>49</v>
      </c>
      <c r="C41" s="14">
        <v>70</v>
      </c>
      <c r="D41" s="14"/>
      <c r="E41" s="14"/>
      <c r="F41" s="14"/>
      <c r="G41" s="14"/>
      <c r="I41" s="5"/>
      <c r="J41" s="0" t="s">
        <v>38</v>
      </c>
    </row>
    <row r="42" outlineLevel="2">
      <c r="A42" s="12" t="s">
        <v>59</v>
      </c>
      <c r="B42" s="0" t="s">
        <v>49</v>
      </c>
      <c r="C42" s="14">
        <v>11</v>
      </c>
      <c r="D42" s="14"/>
      <c r="E42" s="14"/>
      <c r="F42" s="14"/>
      <c r="G42" s="14"/>
      <c r="I42" s="5"/>
      <c r="J42" s="0" t="s">
        <v>38</v>
      </c>
    </row>
    <row r="43">
      <c r="I43" s="5"/>
    </row>
    <row r="4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</mergeCells>
  <dataValidations count="1">
    <dataValidation type="decimal" sqref="C18" errorStyle="stop" promptTitle="Enter moisture content" errorTitle="Invalid moisture content" prompt="Value should be between 0 and 100.&#10;Original value: 14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https://phyllis.nl/Biomass/View/1774</dc:description>
  <dcterms:created xsi:type="dcterms:W3CDTF">2026-03-19T04:20:26Z</dcterms:created>
  <dc:title>Phyllis2 #1774 wood, beech wood from Denmark, partially containing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