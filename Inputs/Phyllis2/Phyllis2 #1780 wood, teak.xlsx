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780 wood, teak" sheetId="1" r:id="rId1"/>
  </sheets>
  <definedNames>
    <definedName name="w" localSheetId="0">IF(ISBLANK('Phyllis2 #1780 wood, teak'!$C$19),#N/A,'Phyllis2 #1780 wood, teak'!$C$19/100)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<sst xmlns="http://schemas.openxmlformats.org/spreadsheetml/2006/main" count="50" uniqueCount="50">
  <si>
    <t>Phyllis2</t>
  </si>
  <si>
    <t>https://phyllis.nl/Biomass/View/1780</t>
  </si>
  <si>
    <t>wood, teak (#1780)</t>
  </si>
  <si>
    <t>ID-number</t>
  </si>
  <si>
    <t>#1780</t>
  </si>
  <si>
    <t>Material</t>
  </si>
  <si>
    <t>wood, teak</t>
  </si>
  <si>
    <t>Classification</t>
  </si>
  <si>
    <t>ECN Phyllis classification &gt; untreated wood &gt; tropical hard wood &gt; wood, teak</t>
  </si>
  <si>
    <t>NTA 8003 classification &gt; [100] hout &gt; [110] vers hout &gt; [120] loofhout &gt; [125] hard loofhout</t>
  </si>
  <si>
    <t>Submitter organisation</t>
  </si>
  <si>
    <t>ECN (Netherlands)</t>
  </si>
  <si>
    <t>Submission date</t>
  </si>
  <si>
    <t>Remarks</t>
  </si>
  <si>
    <t>teak from Costa Rica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</si>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</sst>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78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36816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5.9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IFERROR(2.1*(1-w),"")</f>
        <v>1.9761</v>
      </c>
      <c r="D20" s="13">
        <v>2.1</v>
      </c>
      <c r="E20" s="13">
        <v/>
      </c>
      <c r="F20" s="13"/>
      <c r="G20" s="13"/>
      <c r="I20" s="5"/>
    </row>
    <row r="21" outlineLevel="1">
      <c r="A21" s="11" t="s">
        <v>34</v>
      </c>
      <c r="I21" s="5"/>
    </row>
    <row r="22" outlineLevel="2">
      <c r="A22" s="12" t="s">
        <v>35</v>
      </c>
      <c r="B22" s="0" t="s">
        <v>32</v>
      </c>
      <c r="C22" s="13">
        <f>IFERROR(51.6*(1-w),"")</f>
        <v>48.5556</v>
      </c>
      <c r="D22" s="13">
        <v>51.6</v>
      </c>
      <c r="E22" s="13">
        <v>52.706843718079675</v>
      </c>
      <c r="F22" s="13"/>
      <c r="G22" s="13"/>
      <c r="I22" s="5"/>
      <c r="J22" s="0" t="s">
        <v>36</v>
      </c>
    </row>
    <row r="23" outlineLevel="2">
      <c r="A23" s="12" t="s">
        <v>37</v>
      </c>
      <c r="B23" s="0" t="s">
        <v>32</v>
      </c>
      <c r="C23" s="13">
        <f>IFERROR(6*(1-w),"")</f>
        <v>5.646</v>
      </c>
      <c r="D23" s="13">
        <v>6</v>
      </c>
      <c r="E23" s="13">
        <v>6.1287027579162414</v>
      </c>
      <c r="F23" s="13"/>
      <c r="G23" s="13"/>
      <c r="I23" s="5"/>
      <c r="J23" s="0" t="s">
        <v>36</v>
      </c>
    </row>
    <row r="24" outlineLevel="2">
      <c r="A24" s="12" t="s">
        <v>38</v>
      </c>
      <c r="B24" s="0" t="s">
        <v>32</v>
      </c>
      <c r="C24" s="13">
        <f>IFERROR(42.2*(1-w),"")</f>
        <v>39.7102</v>
      </c>
      <c r="D24" s="13">
        <v>42.2</v>
      </c>
      <c r="E24" s="13">
        <v>43.105209397344233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IFERROR(0.26*(1-w),"")</f>
        <v>0.24466</v>
      </c>
      <c r="D25" s="13">
        <v>0.26</v>
      </c>
      <c r="E25" s="13">
        <v>0.26557711950970381</v>
      </c>
      <c r="F25" s="13"/>
      <c r="G25" s="13"/>
      <c r="I25" s="5"/>
      <c r="J25" s="0" t="s">
        <v>36</v>
      </c>
    </row>
    <row r="26" outlineLevel="2">
      <c r="A26" s="12" t="s">
        <v>41</v>
      </c>
      <c r="B26" s="0" t="s">
        <v>32</v>
      </c>
      <c r="C26" s="13">
        <f>IFERROR(102.163*(1-w)+w*100,"")</f>
        <v>102.03538300000001</v>
      </c>
      <c r="D26" s="13">
        <v>102.16300000000001</v>
      </c>
      <c r="E26" s="13">
        <v>102.20939734422882</v>
      </c>
      <c r="F26" s="13"/>
      <c r="G26" s="13"/>
      <c r="I26" s="5"/>
      <c r="J26" s="0" t="s">
        <v>39</v>
      </c>
    </row>
    <row r="27" outlineLevel="1">
      <c r="A27" s="11" t="s">
        <v>42</v>
      </c>
      <c r="I27" s="5"/>
    </row>
    <row r="28" outlineLevel="2">
      <c r="A28" s="12" t="s">
        <v>43</v>
      </c>
      <c r="B28" s="0" t="s">
        <v>44</v>
      </c>
      <c r="C28" s="14">
        <f>IFERROR(30*(1-w),"")</f>
        <v>28.229999999999997</v>
      </c>
      <c r="D28" s="14">
        <v>30</v>
      </c>
      <c r="E28" s="14">
        <v>30.643513789581206</v>
      </c>
      <c r="F28" s="14"/>
      <c r="G28" s="14"/>
      <c r="I28" s="5"/>
      <c r="J28" s="0" t="s">
        <v>36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3">
        <f>IFERROR(18.8907*(1-w)-w*2.443,"")</f>
        <v>17.632011699999996</v>
      </c>
      <c r="D30" s="13">
        <v>18.8907</v>
      </c>
      <c r="E30" s="13">
        <v>19.295914198161388</v>
      </c>
      <c r="F30" s="13"/>
      <c r="G30" s="13"/>
      <c r="I30" s="5"/>
    </row>
    <row r="31" outlineLevel="2">
      <c r="A31" s="12" t="s">
        <v>48</v>
      </c>
      <c r="B31" s="0" t="s">
        <v>47</v>
      </c>
      <c r="C31" s="13">
        <f>IFERROR(20.2*(1-w),"")</f>
        <v>19.0082</v>
      </c>
      <c r="D31" s="13">
        <v>20.2</v>
      </c>
      <c r="E31" s="13">
        <v>20.633299284984677</v>
      </c>
      <c r="F31" s="13"/>
      <c r="G31" s="13"/>
      <c r="I31" s="5"/>
    </row>
    <row r="32" outlineLevel="2">
      <c r="A32" s="12" t="s">
        <v>49</v>
      </c>
      <c r="B32" s="0" t="s">
        <v>47</v>
      </c>
      <c r="C32" s="13">
        <f>IFERROR(20.40094473*(1-w),"")</f>
        <v>19.197288990930005</v>
      </c>
      <c r="D32" s="13">
        <v>20.400944730000006</v>
      </c>
      <c r="E32" s="13">
        <v>20.838554371807973</v>
      </c>
      <c r="F32" s="13"/>
      <c r="G32" s="13"/>
      <c r="I32" s="5"/>
      <c r="J32" s="0" t="s">
        <v>39</v>
      </c>
    </row>
    <row r="33">
      <c r="I33" s="5"/>
    </row>
    <row r="34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&#10;Original value: 5.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https://phyllis.nl/Biomass/View/1780</dc:description>
  <dcterms:created xsi:type="dcterms:W3CDTF">2026-03-19T07:25:51Z</dcterms:created>
  <dc:title>Phyllis2 #1780 wood, teak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