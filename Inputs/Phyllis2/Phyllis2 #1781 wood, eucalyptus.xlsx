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81 wood, eucalyptus" sheetId="1" r:id="rId1"/>
  </sheets>
  <definedNames>
    <definedName name="w" localSheetId="0">IF(ISBLANK('Phyllis2 #1781 wood, eucalyptus'!$C$19),#N/A,'Phyllis2 #1781 wood, eucalyptus'!$C$19/100)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<sst xmlns="http://schemas.openxmlformats.org/spreadsheetml/2006/main" count="54" uniqueCount="54">
  <si>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</si>
  <si>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https://phyllis.nl/Biomass/View/1781</t>
  </si>
  <si>
    <t>wood, eucalyptus (#1781)</t>
  </si>
  <si>
    <t>ID-number</t>
  </si>
  <si>
    <t>#1781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</si>
  <si>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</si>
  <si>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</si>
  <si>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</si>
  <si>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</si>
  <si>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</si>
  <si>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</si>
  <si>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</si>
  <si>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</si>
  <si>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</si>
  <si>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6 years, rain fed and unfertilised (compare with 1782 and 1785)</t>
  </si>
  <si>
    <t>Literature</t>
  </si>
  <si>
    <t>C.Franco et al: Fluidised bed gasification of Eucalyptus grown under different fertilisation conditions. In: Biomass for energy and industry. Proc. 10th Eur. Conf. and Technol. Exhib. (Eds. H.Kopetz et al.), pp. 1769-1772, CARMEN (Germany)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</si>
  <si>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</si>
  <si>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</si>
  <si>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</si>
  <si>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</si>
  <si>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</si>
  <si>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</si>
  <si>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</si>
  <si>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</si>
  <si>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</si>
  <si>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</si>
  <si>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</si>
  <si>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</si>
  <si>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</si>
  <si>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</si>
  <si>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</si>
  <si>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</si>
  <si>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</si>
  <si>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</si>
  <si>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</si>
  <si>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</si>
  <si>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</si>
  <si>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</si>
  <si>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</si>
  <si>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</si>
  <si>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</si>
  <si>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</si>
  <si>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</si>
  <si>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</si>
  <si>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</si>
  <si>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</si>
  <si>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</si>
  <si>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</si>
  <si>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</si>
  <si>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</si>
  <si>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</si>
  <si>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</si>
  <si>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Sodium (Na)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</si>
</sst>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10.5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IFERROR(0.66*(1-w),"")</f>
        <v>0.5907</v>
      </c>
      <c r="D20" s="13">
        <v>0.66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IFERROR(81.9*(1-w),"")</f>
        <v>73.3005</v>
      </c>
      <c r="D21" s="13">
        <v>81.9</v>
      </c>
      <c r="E21" s="13">
        <v>82.444131266357971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IFERROR(17.44*(1-w),"")</f>
        <v>15.608799999999999</v>
      </c>
      <c r="D22" s="13">
        <v>17.439999999999998</v>
      </c>
      <c r="E22" s="13">
        <v>17.555868733642036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IFERROR(52.45152*(1-w),"")</f>
        <v>46.9441104</v>
      </c>
      <c r="D24" s="13">
        <v>52.45152</v>
      </c>
      <c r="E24" s="13">
        <v>52.800000000000004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IFERROR(6.35776*(1-w),"")</f>
        <v>5.6901952</v>
      </c>
      <c r="D25" s="13">
        <v>6.35776</v>
      </c>
      <c r="E25" s="13">
        <v>6.4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IFERROR(40.13336*(1-w),"")</f>
        <v>35.9193572</v>
      </c>
      <c r="D26" s="13">
        <v>40.13336</v>
      </c>
      <c r="E26" s="13">
        <v>40.400000000000006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IFERROR(0.39736*(1-w),"")</f>
        <v>0.3556372</v>
      </c>
      <c r="D27" s="13">
        <v>0.39736</v>
      </c>
      <c r="E27" s="13">
        <v>0.4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IFERROR(100*(1-w)+w*100,"")</f>
        <v>100.00000000000001</v>
      </c>
      <c r="D28" s="13">
        <v>100.00000000000001</v>
      </c>
      <c r="E28" s="13">
        <v>100.00000000000003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IFERROR(19.98358*(1-w)-w*2.443,"")</f>
        <v>17.6287891</v>
      </c>
      <c r="D30" s="13">
        <v>19.98358</v>
      </c>
      <c r="E30" s="13">
        <v>20.116347896114355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IFERROR(21.37095*(1-w),"")</f>
        <v>19.127000250000002</v>
      </c>
      <c r="D31" s="13">
        <v>21.37095</v>
      </c>
      <c r="E31" s="13">
        <v>21.51293537346487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IFERROR(21.4172092868*(1-w),"")</f>
        <v>19.168402311686005</v>
      </c>
      <c r="D32" s="13">
        <v>21.417209286800006</v>
      </c>
      <c r="E32" s="13">
        <v>21.559502000000005</v>
      </c>
      <c r="F32" s="13"/>
      <c r="G32" s="13"/>
      <c r="I32" s="5"/>
      <c r="J32" s="0" t="s">
        <v>36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4">
        <v>1328</v>
      </c>
      <c r="D34" s="14"/>
      <c r="E34" s="14"/>
      <c r="F34" s="14"/>
      <c r="G34" s="14"/>
      <c r="I34" s="5"/>
      <c r="J34" s="0" t="s">
        <v>39</v>
      </c>
    </row>
    <row r="35" outlineLevel="2">
      <c r="A35" s="12" t="s">
        <v>52</v>
      </c>
      <c r="B35" s="0" t="s">
        <v>51</v>
      </c>
      <c r="C35" s="14">
        <v>1378</v>
      </c>
      <c r="D35" s="14"/>
      <c r="E35" s="14"/>
      <c r="F35" s="14"/>
      <c r="G35" s="14"/>
      <c r="I35" s="5"/>
      <c r="J35" s="0" t="s">
        <v>39</v>
      </c>
    </row>
    <row r="36" outlineLevel="2">
      <c r="A36" s="12" t="s">
        <v>53</v>
      </c>
      <c r="B36" s="0" t="s">
        <v>51</v>
      </c>
      <c r="C36" s="14">
        <v>359</v>
      </c>
      <c r="D36" s="14"/>
      <c r="E36" s="14"/>
      <c r="F36" s="14"/>
      <c r="G36" s="14"/>
      <c r="I36" s="5"/>
      <c r="J36" s="0" t="s">
        <v>39</v>
      </c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10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https://phyllis.nl/Biomass/View/1781</dc:description>
  <dcterms:created xsi:type="dcterms:W3CDTF">2026-03-19T07:14:11Z</dcterms:created>
  <dc:title>Phyllis2 #1781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