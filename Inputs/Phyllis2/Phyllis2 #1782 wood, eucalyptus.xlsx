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1782 wood, eucalyptus" sheetId="1" r:id="rId1"/>
  </sheets>
  <definedNames>
    <definedName name="w" localSheetId="0">IF(ISBLANK('Phyllis2 #1782 wood, eucalyptus'!$C$19),#N/A,'Phyllis2 #1782 wood, eucalyptus'!$C$19/100)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6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6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6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<sst xmlns="http://schemas.openxmlformats.org/spreadsheetml/2006/main" count="54" uniqueCount="54">
  <si>
    <t>Phyllis2</t>
  </si>
  <si>
    <t>https://phyllis.nl/Biomass/View/1782</t>
  </si>
  <si>
    <t>wood, eucalyptus (#1782)</t>
  </si>
  <si>
    <t>ID-number</t>
  </si>
  <si>
    <t>#1782</t>
  </si>
  <si>
    <t>Material</t>
  </si>
  <si>
    <t>wood, eucalyptus</t>
  </si>
  <si>
    <t>Classification</t>
  </si>
  <si>
    <t>ECN Phyllis classification &gt; untreated wood &gt; other hard wood &gt; wood, eucalyptus</t>
  </si>
  <si>
    <t>NTA 8003 classification &gt; [100] hout &gt; [110] vers hout &gt; [120] loofhout &gt; [125] hard loofhout</t>
  </si>
  <si>
    <t>Submitter organisation</t>
  </si>
  <si>
    <t>ECN (Netherlands)</t>
  </si>
  <si>
    <t>Submission date</t>
  </si>
  <si>
    <t>Remarks</t>
  </si>
  <si>
    <t>1.5 years, no water no fertiliser (compare with 1781 and 1785)</t>
  </si>
  <si>
    <t>Literature</t>
  </si>
  <si>
    <t>C.Franco et al: Fluidised bed gasification of Eucalyptus grown under different fertilisation conditions. In: Biomass for energy and industry. Proc. 10th Eur. Conf. and Technol. Exhib. (Eds. H.Kopetz et al.), pp. 1769-1772, CARMEN (Germany) (1998).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</si>
  <si>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</si>
  <si>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</si>
  <si>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</si>
  <si>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</si>
  <si>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</si>
  <si>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</si>
  <si>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</si>
  <si>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</si>
  <si>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</si>
  <si>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</si>
  <si>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</si>
  <si>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</si>
  <si>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</si>
  <si>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</si>
  <si>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</si>
  <si>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</si>
  <si>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</si>
  <si>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</si>
  <si>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</si>
  <si>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</si>
  <si>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</si>
  <si>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</si>
  <si>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</si>
  <si>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</si>
  <si>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</si>
  <si>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</si>
  <si>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Total (with halides)</t>
  </si>
  <si>
    <t>Heating value</t>
  </si>
  <si>
    <t>Net calorific value (LHV)</t>
  </si>
  <si>
    <t>MJ/kg</t>
  </si>
  <si>
    <t>Gross calorific value (HHV)</t>
  </si>
  <si>
    <t>HHVMilne</t>
  </si>
  <si>
    <t>Trace elements composition</t>
  </si>
  <si>
    <t>Calcium (Ca)</t>
  </si>
  <si>
    <t>mg/kg (dry)</t>
  </si>
  <si>
    <t>Potassium (K)</t>
  </si>
  <si>
    <t>Sodium (Na)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</si>
</sst>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0.00"/>
    <numFmt numFmtId="166" formatCode="#,0.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5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1782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7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6">
        <v>36816</v>
      </c>
    </row>
    <row r="11" outlineLevel="1">
      <c r="A11" s="7" t="s">
        <v>13</v>
      </c>
      <c r="B11" s="0" t="s">
        <v>14</v>
      </c>
    </row>
    <row r="12" outlineLevel="1">
      <c r="A12" s="7" t="s">
        <v>15</v>
      </c>
      <c r="B12" s="0" t="s">
        <v>16</v>
      </c>
    </row>
    <row r="13">
      <c r="A13" s="7"/>
    </row>
    <row r="14" s="1" customFormat="1">
      <c r="A14" s="9" t="s">
        <v>17</v>
      </c>
    </row>
    <row r="15" s="1" customFormat="1">
      <c r="A15" s="10" t="s">
        <v>18</v>
      </c>
      <c r="B15" s="10" t="s">
        <v>19</v>
      </c>
      <c r="C15" s="10" t="s">
        <v>20</v>
      </c>
      <c r="D15" s="10"/>
      <c r="E15" s="10"/>
      <c r="F15" s="10" t="s">
        <v>21</v>
      </c>
      <c r="G15" s="10" t="s">
        <v>22</v>
      </c>
      <c r="H15" s="10" t="s">
        <v>23</v>
      </c>
      <c r="I15" s="10" t="s">
        <v>24</v>
      </c>
      <c r="J15" s="10" t="s">
        <v>25</v>
      </c>
      <c r="K15" s="10" t="s">
        <v>13</v>
      </c>
      <c r="L15" s="10"/>
    </row>
    <row r="16" s="1" customFormat="1">
      <c r="A16" s="10"/>
      <c r="B16" s="10"/>
      <c r="C16" s="10" t="s">
        <v>26</v>
      </c>
      <c r="D16" s="10" t="s">
        <v>27</v>
      </c>
      <c r="E16" s="10" t="s">
        <v>28</v>
      </c>
      <c r="F16" s="10"/>
      <c r="G16" s="10"/>
      <c r="H16" s="10"/>
      <c r="I16" s="10"/>
      <c r="J16" s="10"/>
      <c r="K16" s="10"/>
      <c r="L16" s="10"/>
    </row>
    <row r="17">
      <c r="A17" s="7" t="s">
        <v>29</v>
      </c>
      <c r="I17" s="5"/>
    </row>
    <row r="18" outlineLevel="1">
      <c r="A18" s="11" t="s">
        <v>30</v>
      </c>
      <c r="I18" s="5"/>
    </row>
    <row r="19" outlineLevel="2">
      <c r="A19" s="12" t="s">
        <v>31</v>
      </c>
      <c r="B19" s="0" t="s">
        <v>32</v>
      </c>
      <c r="C19" s="13">
        <v>10.6</v>
      </c>
      <c r="D19" s="13"/>
      <c r="E19" s="13"/>
      <c r="F19" s="13"/>
      <c r="G19" s="13"/>
      <c r="I19" s="5"/>
    </row>
    <row r="20" outlineLevel="2">
      <c r="A20" s="12" t="s">
        <v>33</v>
      </c>
      <c r="B20" s="0" t="s">
        <v>32</v>
      </c>
      <c r="C20" s="13">
        <f>IFERROR(0.77*(1-w),"")</f>
        <v>0.68838</v>
      </c>
      <c r="D20" s="13">
        <v>0.77</v>
      </c>
      <c r="E20" s="13">
        <v/>
      </c>
      <c r="F20" s="13"/>
      <c r="G20" s="13"/>
      <c r="I20" s="5"/>
    </row>
    <row r="21" outlineLevel="2">
      <c r="A21" s="12" t="s">
        <v>34</v>
      </c>
      <c r="B21" s="0" t="s">
        <v>32</v>
      </c>
      <c r="C21" s="13">
        <f>IFERROR(82.7*(1-w),"")</f>
        <v>73.9338</v>
      </c>
      <c r="D21" s="13">
        <v>82.7</v>
      </c>
      <c r="E21" s="13">
        <v>83.341731331250642</v>
      </c>
      <c r="F21" s="13"/>
      <c r="G21" s="13"/>
      <c r="I21" s="5"/>
    </row>
    <row r="22" outlineLevel="2">
      <c r="A22" s="12" t="s">
        <v>35</v>
      </c>
      <c r="B22" s="0" t="s">
        <v>32</v>
      </c>
      <c r="C22" s="13">
        <f>IFERROR(16.53*(1-w),"")</f>
        <v>14.777820000000002</v>
      </c>
      <c r="D22" s="13">
        <v>16.53</v>
      </c>
      <c r="E22" s="13">
        <v>16.658268668749372</v>
      </c>
      <c r="F22" s="13"/>
      <c r="G22" s="13"/>
      <c r="I22" s="5"/>
      <c r="J22" s="0" t="s">
        <v>36</v>
      </c>
    </row>
    <row r="23" outlineLevel="1">
      <c r="A23" s="11" t="s">
        <v>37</v>
      </c>
      <c r="I23" s="5"/>
    </row>
    <row r="24" outlineLevel="2">
      <c r="A24" s="12" t="s">
        <v>38</v>
      </c>
      <c r="B24" s="0" t="s">
        <v>32</v>
      </c>
      <c r="C24" s="13">
        <f>IFERROR(52.39344*(1-w),"")</f>
        <v>46.83973536</v>
      </c>
      <c r="D24" s="13">
        <v>52.39344</v>
      </c>
      <c r="E24" s="13">
        <v>52.8</v>
      </c>
      <c r="F24" s="13"/>
      <c r="G24" s="13"/>
      <c r="I24" s="5"/>
      <c r="J24" s="0" t="s">
        <v>39</v>
      </c>
    </row>
    <row r="25" outlineLevel="2">
      <c r="A25" s="12" t="s">
        <v>40</v>
      </c>
      <c r="B25" s="0" t="s">
        <v>32</v>
      </c>
      <c r="C25" s="13">
        <f>IFERROR(6.64841*(1-w),"")</f>
        <v>5.9436785400000005</v>
      </c>
      <c r="D25" s="13">
        <v>6.64841</v>
      </c>
      <c r="E25" s="13">
        <v>6.7</v>
      </c>
      <c r="F25" s="13"/>
      <c r="G25" s="13"/>
      <c r="I25" s="5"/>
      <c r="J25" s="0" t="s">
        <v>39</v>
      </c>
    </row>
    <row r="26" outlineLevel="2">
      <c r="A26" s="12" t="s">
        <v>41</v>
      </c>
      <c r="B26" s="0" t="s">
        <v>32</v>
      </c>
      <c r="C26" s="13">
        <f>IFERROR(39.89046*(1-w),"")</f>
        <v>35.662071239999996</v>
      </c>
      <c r="D26" s="13">
        <v>39.89046</v>
      </c>
      <c r="E26" s="13">
        <v>40.199999999999996</v>
      </c>
      <c r="F26" s="13"/>
      <c r="G26" s="13"/>
      <c r="I26" s="5"/>
      <c r="J26" s="0" t="s">
        <v>39</v>
      </c>
    </row>
    <row r="27" outlineLevel="2">
      <c r="A27" s="12" t="s">
        <v>42</v>
      </c>
      <c r="B27" s="0" t="s">
        <v>32</v>
      </c>
      <c r="C27" s="13">
        <f>IFERROR(0.29769*(1-w),"")</f>
        <v>0.26613486000000003</v>
      </c>
      <c r="D27" s="13">
        <v>0.29769</v>
      </c>
      <c r="E27" s="13">
        <v>0.30000000000000004</v>
      </c>
      <c r="F27" s="13"/>
      <c r="G27" s="13"/>
      <c r="I27" s="5"/>
      <c r="J27" s="0" t="s">
        <v>39</v>
      </c>
    </row>
    <row r="28" outlineLevel="2">
      <c r="A28" s="12" t="s">
        <v>43</v>
      </c>
      <c r="B28" s="0" t="s">
        <v>32</v>
      </c>
      <c r="C28" s="13">
        <f>IFERROR(100*(1-w)+w*100,"")</f>
        <v>100</v>
      </c>
      <c r="D28" s="13">
        <v>100</v>
      </c>
      <c r="E28" s="13">
        <v>100.00000000000001</v>
      </c>
      <c r="F28" s="13"/>
      <c r="G28" s="13"/>
      <c r="I28" s="5"/>
      <c r="J28" s="0" t="s">
        <v>36</v>
      </c>
    </row>
    <row r="29" outlineLevel="1">
      <c r="A29" s="11" t="s">
        <v>44</v>
      </c>
      <c r="I29" s="5"/>
    </row>
    <row r="30" outlineLevel="2">
      <c r="A30" s="12" t="s">
        <v>45</v>
      </c>
      <c r="B30" s="0" t="s">
        <v>46</v>
      </c>
      <c r="C30" s="13">
        <f>IFERROR(19.9962*(1-w)-w*2.443,"")</f>
        <v>17.6176448</v>
      </c>
      <c r="D30" s="13">
        <v>19.9962</v>
      </c>
      <c r="E30" s="13">
        <v>20.151365514461354</v>
      </c>
      <c r="F30" s="13"/>
      <c r="G30" s="13"/>
      <c r="I30" s="5"/>
    </row>
    <row r="31" outlineLevel="2">
      <c r="A31" s="12" t="s">
        <v>47</v>
      </c>
      <c r="B31" s="0" t="s">
        <v>46</v>
      </c>
      <c r="C31" s="13">
        <f>IFERROR(21.447*(1-w),"")</f>
        <v>19.173618</v>
      </c>
      <c r="D31" s="13">
        <v>21.447</v>
      </c>
      <c r="E31" s="13">
        <v>21.613423359871007</v>
      </c>
      <c r="F31" s="13"/>
      <c r="G31" s="13"/>
      <c r="I31" s="5"/>
    </row>
    <row r="32" outlineLevel="2">
      <c r="A32" s="12" t="s">
        <v>48</v>
      </c>
      <c r="B32" s="0" t="s">
        <v>46</v>
      </c>
      <c r="C32" s="13">
        <f>IFERROR(21.8210927737*(1-w),"")</f>
        <v>19.5080569396878</v>
      </c>
      <c r="D32" s="13">
        <v>21.821092773700002</v>
      </c>
      <c r="E32" s="13">
        <v>21.990419000000003</v>
      </c>
      <c r="F32" s="13"/>
      <c r="G32" s="13"/>
      <c r="I32" s="5"/>
      <c r="J32" s="0" t="s">
        <v>36</v>
      </c>
    </row>
    <row r="33" outlineLevel="1">
      <c r="A33" s="11" t="s">
        <v>49</v>
      </c>
      <c r="I33" s="5"/>
    </row>
    <row r="34" outlineLevel="2">
      <c r="A34" s="12" t="s">
        <v>50</v>
      </c>
      <c r="B34" s="0" t="s">
        <v>51</v>
      </c>
      <c r="C34" s="14">
        <v>1136</v>
      </c>
      <c r="D34" s="14"/>
      <c r="E34" s="14"/>
      <c r="F34" s="14"/>
      <c r="G34" s="14"/>
      <c r="I34" s="5"/>
      <c r="J34" s="0" t="s">
        <v>39</v>
      </c>
    </row>
    <row r="35" outlineLevel="2">
      <c r="A35" s="12" t="s">
        <v>52</v>
      </c>
      <c r="B35" s="0" t="s">
        <v>51</v>
      </c>
      <c r="C35" s="14">
        <v>1791</v>
      </c>
      <c r="D35" s="14"/>
      <c r="E35" s="14"/>
      <c r="F35" s="14"/>
      <c r="G35" s="14"/>
      <c r="I35" s="5"/>
      <c r="J35" s="0" t="s">
        <v>39</v>
      </c>
    </row>
    <row r="36" outlineLevel="2">
      <c r="A36" s="12" t="s">
        <v>53</v>
      </c>
      <c r="B36" s="0" t="s">
        <v>51</v>
      </c>
      <c r="C36" s="14">
        <v>359</v>
      </c>
      <c r="D36" s="14"/>
      <c r="E36" s="14"/>
      <c r="F36" s="14"/>
      <c r="G36" s="14"/>
      <c r="I36" s="5"/>
      <c r="J36" s="0" t="s">
        <v>39</v>
      </c>
    </row>
    <row r="37">
      <c r="I37" s="5"/>
    </row>
    <row r="38" s="1" customFormat="1"/>
  </sheetData>
  <mergeCells>
    <mergeCell ref="A7:A8"/>
    <mergeCell ref="C15:E15"/>
    <mergeCell ref="A15:A16"/>
    <mergeCell ref="B15:B16"/>
    <mergeCell ref="F15:F16"/>
    <mergeCell ref="G15:G16"/>
    <mergeCell ref="H15:H16"/>
    <mergeCell ref="I15:I16"/>
    <mergeCell ref="J15:J16"/>
    <mergeCell ref="K15:K16"/>
    <mergeCell ref="C34:E34"/>
    <mergeCell ref="C35:E35"/>
    <mergeCell ref="C36:E36"/>
  </mergeCells>
  <dataValidations count="1">
    <dataValidation type="decimal" sqref="C19" errorStyle="stop" promptTitle="Enter moisture content" errorTitle="Invalid moisture content" prompt="Value should be between 0 and 100.&#10;Original value: 10.6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https://phyllis.nl/Biomass/View/1782</dc:description>
  <dcterms:created xsi:type="dcterms:W3CDTF">2026-03-19T07:14:13Z</dcterms:created>
  <dc:title>Phyllis2 #1782 wood, eucalyptus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