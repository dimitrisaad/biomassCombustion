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6 wood, pine" sheetId="1" r:id="rId1"/>
  </sheets>
  <definedNames>
    <definedName name="w" localSheetId="0">IF(ISBLANK('Phyllis2 #1786 wood, pine'!$C$19),#N/A,'Phyllis2 #1786 wood,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<sst xmlns="http://schemas.openxmlformats.org/spreadsheetml/2006/main" count="77" uniqueCount="77">
  <si>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</si>
  <si>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https://phyllis.nl/Biomass/View/1786</t>
  </si>
  <si>
    <t>wood, pine (#1786)</t>
  </si>
  <si>
    <t>ID-number</t>
  </si>
  <si>
    <t>#1786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</si>
  <si>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</si>
  <si>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</si>
  <si>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</si>
  <si>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</si>
  <si>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</si>
  <si>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</si>
  <si>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</si>
  <si>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</si>
  <si>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Remarks</t>
  </si>
  <si>
    <t>wood chips, ash analysis from Reinoso et.al. Clean Coal Technology programme 1992-1994 Vol. 3 APAS contract Coal-CT92-0001, J.M. Bentgen, K.R.G. Hein and A.J. Minchener</t>
  </si>
  <si>
    <t>Literature</t>
  </si>
  <si>
    <t>F.Saez et al: Identification and quantification of polycyclic aromatic hydrocarbons in biomass combustion emissions (Cynara Cardunculus). Proc. 10th Eur. Conf. and Technol. Exhib. (Eds. H.Kopetz et al.), pp. 1417-1419, CARMEN, Germany, 1998.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</si>
  <si>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</si>
  <si>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</si>
  <si>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</si>
  <si>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</si>
  <si>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</si>
  <si>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</si>
  <si>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</si>
  <si>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</si>
  <si>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</si>
  <si>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</si>
  <si>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</si>
  <si>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</si>
  <si>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</si>
  <si>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</si>
  <si>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</si>
  <si>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</si>
  <si>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</si>
  <si>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</si>
  <si>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</si>
  <si>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</si>
  <si>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</si>
  <si>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</si>
  <si>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</si>
  <si>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</si>
  <si>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</si>
  <si>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</si>
  <si>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</si>
  <si>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</si>
  <si>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</si>
  <si>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</si>
  <si>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</si>
  <si>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</si>
  <si>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</si>
  <si>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</si>
  <si>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</si>
  <si>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</si>
  <si>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</si>
  <si>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</si>
  <si>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</si>
  <si>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</si>
  <si>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</si>
  <si>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</si>
  <si>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</si>
  <si>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</si>
  <si>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</si>
  <si>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</si>
  <si>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</si>
  <si>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</si>
  <si>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</si>
  <si>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</si>
  <si>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</si>
  <si>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</si>
  <si>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</si>
  <si>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</si>
  <si>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</si>
  <si>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</si>
  <si>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Pb</t>
  </si>
  <si>
    <t>mg/kg (ash)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</si>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</sst>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IFERROR(3.03*(1-w),"")</f>
        <v/>
      </c>
      <c r="D20" s="13">
        <v>3.03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IFERROR(75.56*(1-w),"")</f>
        <v/>
      </c>
      <c r="D21" s="13">
        <v>75.56</v>
      </c>
      <c r="E21" s="13">
        <v>77.9210064968547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IFERROR(21.41*(1-w),"")</f>
        <v/>
      </c>
      <c r="D22" s="13">
        <v>21.409999999999997</v>
      </c>
      <c r="E22" s="13">
        <v>22.0789935031453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IFERROR(51.28*(1-w),"")</f>
        <v/>
      </c>
      <c r="D24" s="13">
        <v>51.28</v>
      </c>
      <c r="E24" s="13">
        <v>52.882334742703932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IFERROR(4.69*(1-w),"")</f>
        <v/>
      </c>
      <c r="D25" s="13">
        <v>4.69</v>
      </c>
      <c r="E25" s="13">
        <v>4.8365473857894195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IFERROR(40.34*(1-w),"")</f>
        <v/>
      </c>
      <c r="D26" s="13">
        <v>40.34</v>
      </c>
      <c r="E26" s="13">
        <v>41.600494998453136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IFERROR(0.51*(1-w),"")</f>
        <v/>
      </c>
      <c r="D27" s="13">
        <v>0.51</v>
      </c>
      <c r="E27" s="13">
        <v>0.5259358564504486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IFERROR(0.15*(1-w),"")</f>
        <v/>
      </c>
      <c r="D28" s="13">
        <v>0.15</v>
      </c>
      <c r="E28" s="13">
        <v>0.1546870166030731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IFERROR(100*(1-w)+w*100,"")</f>
        <v/>
      </c>
      <c r="D29" s="13">
        <v>100.00000000000001</v>
      </c>
      <c r="E29" s="13">
        <v>100.00000000000001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/>
      <c r="D31" s="14"/>
      <c r="E31" s="14"/>
      <c r="F31" s="14"/>
      <c r="G31" s="14">
        <v>200</v>
      </c>
      <c r="I31" s="5"/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IFERROR(19.56456*(1-w)-w*2.443,"")</f>
        <v/>
      </c>
      <c r="D33" s="13">
        <v>19.56456</v>
      </c>
      <c r="E33" s="13">
        <v>20.175889450345469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IFERROR(20.588*(1-w),"")</f>
        <v/>
      </c>
      <c r="D34" s="13">
        <v>20.588</v>
      </c>
      <c r="E34" s="13">
        <v>21.231308652160465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IFERROR(18.7499956777*(1-w),"")</f>
        <v/>
      </c>
      <c r="D35" s="13">
        <v>18.7499956777</v>
      </c>
      <c r="E35" s="13">
        <v>19.335872618026194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5" t="s">
        <v>55</v>
      </c>
      <c r="I37" s="5"/>
    </row>
    <row r="38" outlineLevel="3">
      <c r="A38" s="16" t="s">
        <v>56</v>
      </c>
      <c r="B38" s="0" t="s">
        <v>57</v>
      </c>
      <c r="C38" s="17">
        <v>1198</v>
      </c>
      <c r="D38" s="17"/>
      <c r="E38" s="17"/>
      <c r="F38" s="17"/>
      <c r="G38" s="17"/>
      <c r="I38" s="5"/>
    </row>
    <row r="39" outlineLevel="3">
      <c r="A39" s="16" t="s">
        <v>58</v>
      </c>
      <c r="B39" s="0" t="s">
        <v>57</v>
      </c>
      <c r="C39" s="17">
        <v>1219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57</v>
      </c>
      <c r="C40" s="17">
        <v>1228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57</v>
      </c>
      <c r="C41" s="17">
        <v>1235</v>
      </c>
      <c r="D41" s="17"/>
      <c r="E41" s="17"/>
      <c r="F41" s="17"/>
      <c r="G41" s="17"/>
      <c r="I41" s="5"/>
    </row>
    <row r="42">
      <c r="A42" s="7" t="s">
        <v>61</v>
      </c>
      <c r="I42" s="5"/>
    </row>
    <row r="43" outlineLevel="1">
      <c r="A43" s="11" t="s">
        <v>62</v>
      </c>
      <c r="I43" s="5"/>
    </row>
    <row r="44" outlineLevel="2">
      <c r="A44" s="12" t="s">
        <v>63</v>
      </c>
      <c r="B44" s="0" t="s">
        <v>64</v>
      </c>
      <c r="C44" s="13">
        <v>5.27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64</v>
      </c>
      <c r="C45" s="13">
        <v>46.06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64</v>
      </c>
      <c r="C46" s="13">
        <v>4.48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64</v>
      </c>
      <c r="C47" s="13">
        <v>10.91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64</v>
      </c>
      <c r="C48" s="13">
        <v>29.05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64</v>
      </c>
      <c r="C49" s="13">
        <v>4.73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64</v>
      </c>
      <c r="C50" s="13">
        <v>0.62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64</v>
      </c>
      <c r="C51" s="13">
        <v>13.06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64</v>
      </c>
      <c r="C52" s="13">
        <v>0.17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74</v>
      </c>
      <c r="C53" s="14">
        <v>22</v>
      </c>
      <c r="D53" s="14"/>
      <c r="E53" s="14"/>
      <c r="F53" s="14"/>
      <c r="G53" s="14"/>
      <c r="I53" s="5"/>
    </row>
    <row r="54" outlineLevel="2">
      <c r="A54" s="12" t="s">
        <v>75</v>
      </c>
      <c r="B54" s="0" t="s">
        <v>74</v>
      </c>
      <c r="C54" s="14">
        <v>115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74</v>
      </c>
      <c r="C55" s="14">
        <v>70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https://phyllis.nl/Biomass/View/1786</dc:description>
  <dcterms:created xsi:type="dcterms:W3CDTF">2026-03-19T04:24:51Z</dcterms:created>
  <dc:title>Phyllis2 #1786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