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7 cynara carduncul" sheetId="1" r:id="rId1"/>
  </sheets>
  <definedNames>
    <definedName name="w" localSheetId="0">IF(ISBLANK('Phyllis2 #1787 cynara carduncul'!$C$20),#N/A,'Phyllis2 #1787 cynara carduncul'!$C$20/100)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<sst xmlns="http://schemas.openxmlformats.org/spreadsheetml/2006/main" count="56" uniqueCount="56">
  <si>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</si>
  <si>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https://phyllis.nl/Biomass/View/1787</t>
  </si>
  <si>
    <t>cynara cardunculus (#1787)</t>
  </si>
  <si>
    <t>ID-number</t>
  </si>
  <si>
    <t>#1787</t>
  </si>
  <si>
    <t>Material</t>
  </si>
  <si>
    <t>cynara cardunculus</t>
  </si>
  <si>
    <t>Alternative name</t>
  </si>
  <si>
    <t>Cardoon</t>
  </si>
  <si>
    <t>Classification</t>
  </si>
  <si>
    <t>CEN/TS 14961 classification &gt; Solid biofuels &gt; Herbaceous biomass &gt; Agriculture and Horticulture herb</t>
  </si>
  <si>
    <t>ECN Phyllis classification &gt; grass/plant &gt; other plants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</si>
  <si>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</si>
  <si>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</si>
  <si>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</si>
  <si>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</si>
  <si>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</si>
  <si>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F.Saez et al: Identification and quantification of polycyclic aromatic hydrocarbons in biomass combustion emissions (Cynara Cardunculus). Proc. 10th Eur. Conf. and Technol. Exhib. (Eds. H.Kopetz et al.), pp. 1417-1419, CARMEN, Germany, 1998.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</si>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</sst>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36818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IFERROR(10*(1-w),"")</f>
        <v/>
      </c>
      <c r="D21" s="13">
        <v>10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IFERROR(69.7*(1-w),"")</f>
        <v/>
      </c>
      <c r="D22" s="13">
        <v>69.7</v>
      </c>
      <c r="E22" s="13">
        <v>77.444444444444443</v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IFERROR(20.3*(1-w),"")</f>
        <v/>
      </c>
      <c r="D23" s="13">
        <v>20.299999999999997</v>
      </c>
      <c r="E23" s="13">
        <v>22.555555555555554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36</v>
      </c>
      <c r="C25" s="13">
        <f>IFERROR(42*(1-w),"")</f>
        <v/>
      </c>
      <c r="D25" s="13">
        <v>42</v>
      </c>
      <c r="E25" s="13">
        <v>46.666666666666664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36</v>
      </c>
      <c r="C26" s="13">
        <f>IFERROR(5.6*(1-w),"")</f>
        <v/>
      </c>
      <c r="D26" s="13">
        <v>5.6</v>
      </c>
      <c r="E26" s="13">
        <v>6.2222222222222214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36</v>
      </c>
      <c r="C27" s="13">
        <f>IFERROR(37.4*(1-w),"")</f>
        <v/>
      </c>
      <c r="D27" s="13">
        <v>37.4</v>
      </c>
      <c r="E27" s="13">
        <v>41.55555555555555</v>
      </c>
      <c r="F27" s="13"/>
      <c r="G27" s="13"/>
      <c r="I27" s="5"/>
      <c r="J27" s="0" t="s">
        <v>42</v>
      </c>
    </row>
    <row r="28" outlineLevel="2">
      <c r="A28" s="12" t="s">
        <v>45</v>
      </c>
      <c r="B28" s="0" t="s">
        <v>36</v>
      </c>
      <c r="C28" s="13">
        <f>IFERROR(1.1*(1-w),"")</f>
        <v/>
      </c>
      <c r="D28" s="13">
        <v>1.1</v>
      </c>
      <c r="E28" s="13">
        <v>1.2222222222222223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36</v>
      </c>
      <c r="C29" s="13">
        <f>IFERROR(0.12*(1-w),"")</f>
        <v/>
      </c>
      <c r="D29" s="13">
        <v>0.12</v>
      </c>
      <c r="E29" s="13">
        <v>0.13333333333333333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36</v>
      </c>
      <c r="C30" s="13">
        <f>IFERROR(97.72*(1-w)+w*100,"")</f>
        <v/>
      </c>
      <c r="D30" s="13">
        <v>97.72</v>
      </c>
      <c r="E30" s="13">
        <v>97.466666666666669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IFERROR(15000*(1-w),"")</f>
        <v/>
      </c>
      <c r="D32" s="14">
        <v>15000</v>
      </c>
      <c r="E32" s="14">
        <v>16666.666666666668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IFERROR(15.07798*(1-w)-w*2.443,"")</f>
        <v/>
      </c>
      <c r="D34" s="13">
        <v>15.07798</v>
      </c>
      <c r="E34" s="13">
        <v>16.75331111111111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IFERROR(16.3*(1-w),"")</f>
        <v/>
      </c>
      <c r="D35" s="13">
        <v>16.3</v>
      </c>
      <c r="E35" s="13">
        <v>18.111111111111111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IFERROR(16.975732*(1-w),"")</f>
        <v/>
      </c>
      <c r="D36" s="13">
        <v>16.975732000000004</v>
      </c>
      <c r="E36" s="13">
        <v>18.861924444444448</v>
      </c>
      <c r="F36" s="13"/>
      <c r="G36" s="13"/>
      <c r="I36" s="5"/>
      <c r="J36" s="0" t="s">
        <v>39</v>
      </c>
    </row>
    <row r="37">
      <c r="I37" s="5"/>
    </row>
    <row r="38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https://phyllis.nl/Biomass/View/1787</dc:description>
  <dcterms:created xsi:type="dcterms:W3CDTF">2026-03-04T04:32:22Z</dcterms:created>
  <dc:title>Phyllis2 #1787 cynara cardunculus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