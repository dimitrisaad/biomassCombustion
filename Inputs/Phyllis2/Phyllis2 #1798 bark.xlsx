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98 bark" sheetId="1" r:id="rId1"/>
  </sheets>
  <definedNames>
    <definedName name="w" localSheetId="0">IF(ISBLANK('Phyllis2 #1798 bark'!$C$18),#N/A,'Phyllis2 #1798 bark'!$C$18/100)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<sst xmlns="http://schemas.openxmlformats.org/spreadsheetml/2006/main" count="46" uniqueCount="46">
  <si>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</si>
  <si>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https://phyllis.nl/Biomass/View/1798</t>
  </si>
  <si>
    <t>bark (#1798)</t>
  </si>
  <si>
    <t>ID-number</t>
  </si>
  <si>
    <t>#1798</t>
  </si>
  <si>
    <t>Material</t>
  </si>
  <si>
    <t>bark</t>
  </si>
  <si>
    <t>Classification</t>
  </si>
  <si>
    <t>ECN Phyllis classification &gt; untreated wood &gt; bark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</si>
  <si>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</si>
  <si>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</si>
  <si>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</si>
  <si>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</si>
  <si>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</si>
  <si>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I.Niittymaeki: Biomass burning in fluidized bed boilers in the pulp and paper industry. In: Proc. Energy from biomass and wastes XVI (Ed. D.L.Klass), pp. 1159-1172, Institute of Gas Technology, Chicago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</si>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</sst>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50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IFERROR(5.53*(1-w),"")</f>
        <v>2.765</v>
      </c>
      <c r="D19" s="13">
        <v>5.53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IFERROR(50.84*(1-w),"")</f>
        <v>25.42</v>
      </c>
      <c r="D21" s="13">
        <v>50.84</v>
      </c>
      <c r="E21" s="13">
        <v>53.816026251720125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IFERROR(5.06*(1-w),"")</f>
        <v>2.53</v>
      </c>
      <c r="D22" s="13">
        <v>5.06</v>
      </c>
      <c r="E22" s="13">
        <v>5.3561977347306016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IFERROR(38.22*(1-w),"")</f>
        <v>19.11</v>
      </c>
      <c r="D23" s="13">
        <v>38.22</v>
      </c>
      <c r="E23" s="13">
        <v>40.457288027945381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IFERROR(0.35*(1-w),"")</f>
        <v>0.175</v>
      </c>
      <c r="D24" s="13">
        <v>0.35</v>
      </c>
      <c r="E24" s="13">
        <v>0.3704879856038954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IFERROR(100*(1-w)+w*100,"")</f>
        <v>100</v>
      </c>
      <c r="D25" s="13">
        <v>100</v>
      </c>
      <c r="E25" s="13">
        <v>100</v>
      </c>
      <c r="F25" s="13"/>
      <c r="G25" s="13"/>
      <c r="I25" s="5"/>
      <c r="J25" s="0" t="s">
        <v>38</v>
      </c>
    </row>
    <row r="26" outlineLevel="1">
      <c r="A26" s="11" t="s">
        <v>41</v>
      </c>
      <c r="I26" s="5"/>
    </row>
    <row r="27" outlineLevel="2">
      <c r="A27" s="12" t="s">
        <v>42</v>
      </c>
      <c r="B27" s="0" t="s">
        <v>43</v>
      </c>
      <c r="C27" s="13">
        <f>IFERROR(17.82682*(1-w)-w*2.443,"")</f>
        <v>7.6919100000000009</v>
      </c>
      <c r="D27" s="13">
        <v>17.82682</v>
      </c>
      <c r="E27" s="13">
        <v>18.870350375780674</v>
      </c>
      <c r="F27" s="13"/>
      <c r="G27" s="13"/>
      <c r="I27" s="5"/>
    </row>
    <row r="28" outlineLevel="2">
      <c r="A28" s="12" t="s">
        <v>44</v>
      </c>
      <c r="B28" s="0" t="s">
        <v>43</v>
      </c>
      <c r="C28" s="13">
        <f>IFERROR(18.931*(1-w),"")</f>
        <v>9.4655</v>
      </c>
      <c r="D28" s="13">
        <v>18.931</v>
      </c>
      <c r="E28" s="13">
        <v>20.039165872763842</v>
      </c>
      <c r="F28" s="13"/>
      <c r="G28" s="13"/>
      <c r="I28" s="5"/>
    </row>
    <row r="29" outlineLevel="2">
      <c r="A29" s="12" t="s">
        <v>45</v>
      </c>
      <c r="B29" s="0" t="s">
        <v>43</v>
      </c>
      <c r="C29" s="13">
        <f>IFERROR(19.3174298777*(1-w),"")</f>
        <v>9.658714938850002</v>
      </c>
      <c r="D29" s="13">
        <v>19.317429877700004</v>
      </c>
      <c r="E29" s="13">
        <v>20.448216235524509</v>
      </c>
      <c r="F29" s="13"/>
      <c r="G29" s="13"/>
      <c r="I29" s="5"/>
      <c r="J29" s="0" t="s">
        <v>38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5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https://phyllis.nl/Biomass/View/1798</dc:description>
  <dcterms:created xsi:type="dcterms:W3CDTF">2026-03-19T04:14:57Z</dcterms:created>
  <dc:title>Phyllis2 #1798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