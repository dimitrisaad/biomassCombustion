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08 wood, ponderosa " sheetId="1" r:id="rId1"/>
  </sheets>
  <definedNames>
    <definedName name="w" localSheetId="0">IF(ISBLANK('Phyllis2 #1808 wood, ponderosa '!$C$18),#N/A,'Phyllis2 #1808 wood, ponderosa 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<sst xmlns="http://schemas.openxmlformats.org/spreadsheetml/2006/main" count="73" uniqueCount="73">
  <si>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</si>
  <si>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https://phyllis.nl/Biomass/View/1808</t>
  </si>
  <si>
    <t>wood, ponderosa pine (#1808)</t>
  </si>
  <si>
    <t>ID-number</t>
  </si>
  <si>
    <t>#1808</t>
  </si>
  <si>
    <t>Material</t>
  </si>
  <si>
    <t>wood, ponderosa pine</t>
  </si>
  <si>
    <t>Classification</t>
  </si>
  <si>
    <t>ECN Phyllis classification &gt; untreated wood &gt; fir/pine/spruce &gt; wood, ponderosa pine</t>
  </si>
  <si>
    <t>NTA 8003 classification &gt; [100] hout &gt; [110] vers hout &gt; [130] naaldhout &gt; [131] naaldhout</t>
  </si>
  <si>
    <t>Submitter organisation</t>
  </si>
  <si>
    <t>ECN (Netherlands)</t>
  </si>
  <si>
    <t>Submission date</t>
  </si>
  <si>
    <t>Literature</t>
  </si>
  <si>
    <t>J.H.Canova and D.J.Bushnell: Testing and evaluating the combustion characteristics of densified RDF and mixed waste paper. In: Proc. Energy from biomass and wastes XVI (Ed. D.L.Klass), pp. 1191-1219, Institute of Gas Technology, Chicago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</si>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</sst>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0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36818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IFERROR(0.22*(1-w),"")</f>
        <v/>
      </c>
      <c r="D19" s="13">
        <v>0.22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IFERROR(83.15*(1-w),"")</f>
        <v/>
      </c>
      <c r="D20" s="13">
        <v>83.15</v>
      </c>
      <c r="E20" s="13">
        <v>83.333333333333343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IFERROR(16.63*(1-w),"")</f>
        <v/>
      </c>
      <c r="D21" s="13">
        <v>16.629999999999995</v>
      </c>
      <c r="E21" s="13">
        <v>16.666666666666661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IFERROR(51.2*(1-w),"")</f>
        <v/>
      </c>
      <c r="D23" s="13">
        <v>51.2</v>
      </c>
      <c r="E23" s="13">
        <v>51.312888354379638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IFERROR(6.35*(1-w),"")</f>
        <v/>
      </c>
      <c r="D24" s="13">
        <v>6.35</v>
      </c>
      <c r="E24" s="13">
        <v>6.36400080176388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IFERROR(41.98*(1-w),"")</f>
        <v/>
      </c>
      <c r="D25" s="13">
        <v>41.98</v>
      </c>
      <c r="E25" s="13">
        <v>42.072559631188611</v>
      </c>
      <c r="F25" s="13"/>
      <c r="G25" s="13"/>
      <c r="I25" s="5"/>
      <c r="J25" s="0" t="s">
        <v>36</v>
      </c>
    </row>
    <row r="26" outlineLevel="2">
      <c r="A26" s="12" t="s">
        <v>42</v>
      </c>
      <c r="B26" s="0" t="s">
        <v>33</v>
      </c>
      <c r="C26" s="13">
        <f>IFERROR(0.25*(1-w),"")</f>
        <v/>
      </c>
      <c r="D26" s="13">
        <v>0.25</v>
      </c>
      <c r="E26" s="13">
        <v>0.25055121266786928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IFERROR(0.0094*(1-w),"")</f>
        <v/>
      </c>
      <c r="D27" s="13">
        <v>0.0094</v>
      </c>
      <c r="E27" s="13">
        <v>0.0094207255963118866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IFERROR(100.0102*(1-w)+w*100,"")</f>
        <v/>
      </c>
      <c r="D28" s="13">
        <v>100.0102</v>
      </c>
      <c r="E28" s="13">
        <v>100.01022248947685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IFERROR(8*(1-w),"")</f>
        <v/>
      </c>
      <c r="D30" s="14">
        <v>8</v>
      </c>
      <c r="E30" s="14">
        <v>8.0176388053718171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IFERROR(19.47432*(1-w)-w*2.443,"")</f>
        <v/>
      </c>
      <c r="D32" s="13">
        <v>19.47432</v>
      </c>
      <c r="E32" s="13">
        <v>19.517257967528561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IFERROR(20.86*(1-w),"")</f>
        <v/>
      </c>
      <c r="D33" s="13">
        <v>20.86</v>
      </c>
      <c r="E33" s="13">
        <v>20.905993185007013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IFERROR(20.7835862452*(1-w),"")</f>
        <v/>
      </c>
      <c r="D34" s="13">
        <v>20.783586245200002</v>
      </c>
      <c r="E34" s="13">
        <v>20.829410949288437</v>
      </c>
      <c r="F34" s="13"/>
      <c r="G34" s="13"/>
      <c r="I34" s="5"/>
      <c r="J34" s="0" t="s">
        <v>36</v>
      </c>
    </row>
    <row r="35" outlineLevel="1">
      <c r="A35" s="11" t="s">
        <v>53</v>
      </c>
      <c r="I35" s="5"/>
    </row>
    <row r="36" outlineLevel="2">
      <c r="A36" s="15" t="s">
        <v>54</v>
      </c>
      <c r="I36" s="5"/>
    </row>
    <row r="37" outlineLevel="3">
      <c r="A37" s="16" t="s">
        <v>55</v>
      </c>
      <c r="B37" s="0" t="s">
        <v>56</v>
      </c>
      <c r="C37" s="17">
        <v>1343</v>
      </c>
      <c r="D37" s="17"/>
      <c r="E37" s="17"/>
      <c r="F37" s="17"/>
      <c r="G37" s="17"/>
      <c r="I37" s="5"/>
    </row>
    <row r="38" outlineLevel="3">
      <c r="A38" s="16" t="s">
        <v>57</v>
      </c>
      <c r="B38" s="0" t="s">
        <v>56</v>
      </c>
      <c r="C38" s="17">
        <v>1354</v>
      </c>
      <c r="D38" s="17"/>
      <c r="E38" s="17"/>
      <c r="F38" s="17"/>
      <c r="G38" s="17"/>
      <c r="I38" s="5"/>
    </row>
    <row r="39" outlineLevel="3">
      <c r="A39" s="16" t="s">
        <v>58</v>
      </c>
      <c r="B39" s="0" t="s">
        <v>56</v>
      </c>
      <c r="C39" s="17">
        <v>1360</v>
      </c>
      <c r="D39" s="17"/>
      <c r="E39" s="17"/>
      <c r="F39" s="17"/>
      <c r="G39" s="17"/>
      <c r="I39" s="5"/>
    </row>
    <row r="40" outlineLevel="3">
      <c r="A40" s="16" t="s">
        <v>59</v>
      </c>
      <c r="B40" s="0" t="s">
        <v>56</v>
      </c>
      <c r="C40" s="17">
        <v>1377</v>
      </c>
      <c r="D40" s="17"/>
      <c r="E40" s="17"/>
      <c r="F40" s="17"/>
      <c r="G40" s="17"/>
      <c r="I40" s="5"/>
    </row>
    <row r="41">
      <c r="A41" s="7" t="s">
        <v>60</v>
      </c>
      <c r="I41" s="5"/>
    </row>
    <row r="42" outlineLevel="1">
      <c r="A42" s="11" t="s">
        <v>61</v>
      </c>
      <c r="I42" s="5"/>
    </row>
    <row r="43" outlineLevel="2">
      <c r="A43" s="12" t="s">
        <v>62</v>
      </c>
      <c r="B43" s="0" t="s">
        <v>63</v>
      </c>
      <c r="C43" s="13">
        <v>13.46</v>
      </c>
      <c r="D43" s="13"/>
      <c r="E43" s="13"/>
      <c r="F43" s="13"/>
      <c r="G43" s="13"/>
      <c r="I43" s="5"/>
    </row>
    <row r="44" outlineLevel="2">
      <c r="A44" s="12" t="s">
        <v>64</v>
      </c>
      <c r="B44" s="0" t="s">
        <v>63</v>
      </c>
      <c r="C44" s="13">
        <v>2.82</v>
      </c>
      <c r="D44" s="13"/>
      <c r="E44" s="13"/>
      <c r="F44" s="13"/>
      <c r="G44" s="13"/>
      <c r="I44" s="5"/>
    </row>
    <row r="45" outlineLevel="2">
      <c r="A45" s="12" t="s">
        <v>65</v>
      </c>
      <c r="B45" s="0" t="s">
        <v>63</v>
      </c>
      <c r="C45" s="13">
        <v>6.15</v>
      </c>
      <c r="D45" s="13"/>
      <c r="E45" s="13"/>
      <c r="F45" s="13"/>
      <c r="G45" s="13"/>
      <c r="I45" s="5"/>
    </row>
    <row r="46" outlineLevel="2">
      <c r="A46" s="12" t="s">
        <v>66</v>
      </c>
      <c r="B46" s="0" t="s">
        <v>63</v>
      </c>
      <c r="C46" s="13">
        <v>1.53</v>
      </c>
      <c r="D46" s="13"/>
      <c r="E46" s="13"/>
      <c r="F46" s="13"/>
      <c r="G46" s="13"/>
      <c r="I46" s="5"/>
    </row>
    <row r="47" outlineLevel="2">
      <c r="A47" s="12" t="s">
        <v>67</v>
      </c>
      <c r="B47" s="0" t="s">
        <v>63</v>
      </c>
      <c r="C47" s="13">
        <v>0.92</v>
      </c>
      <c r="D47" s="13"/>
      <c r="E47" s="13"/>
      <c r="F47" s="13"/>
      <c r="G47" s="13"/>
      <c r="I47" s="5"/>
    </row>
    <row r="48" outlineLevel="2">
      <c r="A48" s="12" t="s">
        <v>68</v>
      </c>
      <c r="B48" s="0" t="s">
        <v>63</v>
      </c>
      <c r="C48" s="13">
        <v>49.27</v>
      </c>
      <c r="D48" s="13"/>
      <c r="E48" s="13"/>
      <c r="F48" s="13"/>
      <c r="G48" s="13"/>
      <c r="I48" s="5"/>
    </row>
    <row r="49" outlineLevel="2">
      <c r="A49" s="12" t="s">
        <v>69</v>
      </c>
      <c r="B49" s="0" t="s">
        <v>63</v>
      </c>
      <c r="C49" s="13">
        <v>13.53</v>
      </c>
      <c r="D49" s="13"/>
      <c r="E49" s="13"/>
      <c r="F49" s="13"/>
      <c r="G49" s="13"/>
      <c r="I49" s="5"/>
    </row>
    <row r="50" outlineLevel="2">
      <c r="A50" s="12" t="s">
        <v>70</v>
      </c>
      <c r="B50" s="0" t="s">
        <v>63</v>
      </c>
      <c r="C50" s="13">
        <v>1.28</v>
      </c>
      <c r="D50" s="13"/>
      <c r="E50" s="13"/>
      <c r="F50" s="13"/>
      <c r="G50" s="13"/>
      <c r="I50" s="5"/>
    </row>
    <row r="51" outlineLevel="2">
      <c r="A51" s="12" t="s">
        <v>71</v>
      </c>
      <c r="B51" s="0" t="s">
        <v>63</v>
      </c>
      <c r="C51" s="13">
        <v>10.03</v>
      </c>
      <c r="D51" s="13"/>
      <c r="E51" s="13"/>
      <c r="F51" s="13"/>
      <c r="G51" s="13"/>
      <c r="I51" s="5"/>
    </row>
    <row r="52" outlineLevel="2">
      <c r="A52" s="12" t="s">
        <v>72</v>
      </c>
      <c r="B52" s="0" t="s">
        <v>63</v>
      </c>
      <c r="C52" s="13">
        <v>1.2</v>
      </c>
      <c r="D52" s="13"/>
      <c r="E52" s="13"/>
      <c r="F52" s="13"/>
      <c r="G52" s="13"/>
      <c r="I52" s="5"/>
    </row>
    <row r="53">
      <c r="I53" s="5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https://phyllis.nl/Biomass/View/1808</dc:description>
  <dcterms:created xsi:type="dcterms:W3CDTF">2026-03-19T04:25:19Z</dcterms:created>
  <dc:title>Phyllis2 #1808 wood, ponderosa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