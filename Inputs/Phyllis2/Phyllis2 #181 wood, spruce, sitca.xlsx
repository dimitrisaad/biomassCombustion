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1 wood, spruce, sit" sheetId="1" r:id="rId1"/>
  </sheets>
  <definedNames>
    <definedName name="w" localSheetId="0">IF(ISBLANK('Phyllis2 #181 wood, spruce, sit'!$C$19),#N/A,'Phyllis2 #181 wood, spruce, sit'!$C$19/100)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<sst xmlns="http://schemas.openxmlformats.org/spreadsheetml/2006/main" count="50" uniqueCount="50">
  <si>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</si>
  <si>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https://phyllis.nl/Biomass/View/181</t>
  </si>
  <si>
    <t>wood, spruce, sitca (#181)</t>
  </si>
  <si>
    <t>ID-number</t>
  </si>
  <si>
    <t>#181</t>
  </si>
  <si>
    <t>Material</t>
  </si>
  <si>
    <t>wood, spruce, sitca</t>
  </si>
  <si>
    <t>Classification</t>
  </si>
  <si>
    <t>ECN Phyllis classification &gt; untreated wood &gt; fir/pine/spruce &gt; wood, spruce, sitca</t>
  </si>
  <si>
    <t>NTA 8003 classification &gt; [100] hout &gt; [110] vers hout &gt; [130] naaldhout &gt; [132] naaldhout met schors</t>
  </si>
  <si>
    <t>Ash type</t>
  </si>
  <si>
    <t>laboratory</t>
  </si>
  <si>
    <t>Submitter organisation</t>
  </si>
  <si>
    <t>ECN (Netherlands)</t>
  </si>
  <si>
    <t>Remarks</t>
  </si>
  <si>
    <t>green whole tree, fell delay chips, silver spruce</t>
  </si>
  <si>
    <t>Literature</t>
  </si>
  <si>
    <t>Anonymous: Forestry waste firing of industrial boilers, Oldham (UK), FEC Consultants, ETSU-B--1178 (1990).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</si>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</sst>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2"/>
    </row>
    <row r="18" outlineLevel="1">
      <c r="A18" s="9" t="s">
        <v>31</v>
      </c>
      <c r="I18" s="12"/>
    </row>
    <row r="19" outlineLevel="2">
      <c r="A19" s="10" t="s">
        <v>32</v>
      </c>
      <c r="B19" s="0" t="s">
        <v>33</v>
      </c>
      <c r="C19" s="11">
        <v>51.9</v>
      </c>
      <c r="D19" s="11"/>
      <c r="E19" s="11"/>
      <c r="F19" s="11"/>
      <c r="G19" s="11"/>
      <c r="I19" s="12"/>
    </row>
    <row r="20" outlineLevel="2">
      <c r="A20" s="10" t="s">
        <v>34</v>
      </c>
      <c r="B20" s="0" t="s">
        <v>33</v>
      </c>
      <c r="C20" s="11">
        <f>IFERROR(2.08*(1-w),"")</f>
        <v>1.00048</v>
      </c>
      <c r="D20" s="11">
        <v>2.08</v>
      </c>
      <c r="E20" s="11">
        <v/>
      </c>
      <c r="F20" s="11"/>
      <c r="G20" s="11"/>
      <c r="I20" s="12"/>
    </row>
    <row r="21" outlineLevel="2">
      <c r="A21" s="10" t="s">
        <v>35</v>
      </c>
      <c r="B21" s="0" t="s">
        <v>33</v>
      </c>
      <c r="C21" s="11">
        <f>IFERROR(84*(1-w),"")</f>
        <v>40.403999999999996</v>
      </c>
      <c r="D21" s="11">
        <v>84</v>
      </c>
      <c r="E21" s="11">
        <v>85.7843137254902</v>
      </c>
      <c r="F21" s="11"/>
      <c r="G21" s="11"/>
      <c r="I21" s="12"/>
    </row>
    <row r="22" outlineLevel="2">
      <c r="A22" s="10" t="s">
        <v>36</v>
      </c>
      <c r="B22" s="0" t="s">
        <v>33</v>
      </c>
      <c r="C22" s="11">
        <f>IFERROR(13.92*(1-w),"")</f>
        <v>6.695520000000001</v>
      </c>
      <c r="D22" s="11">
        <v>13.920000000000002</v>
      </c>
      <c r="E22" s="11">
        <v>14.215686274509807</v>
      </c>
      <c r="F22" s="11"/>
      <c r="G22" s="11"/>
      <c r="I22" s="12"/>
      <c r="J22" s="0" t="s">
        <v>37</v>
      </c>
    </row>
    <row r="23" outlineLevel="1">
      <c r="A23" s="9" t="s">
        <v>38</v>
      </c>
      <c r="I23" s="12"/>
    </row>
    <row r="24" outlineLevel="2">
      <c r="A24" s="10" t="s">
        <v>39</v>
      </c>
      <c r="B24" s="0" t="s">
        <v>33</v>
      </c>
      <c r="C24" s="11">
        <f>IFERROR(48.96*(1-w),"")</f>
        <v>23.54976</v>
      </c>
      <c r="D24" s="11">
        <v>48.96</v>
      </c>
      <c r="E24" s="11">
        <v>50</v>
      </c>
      <c r="F24" s="11"/>
      <c r="G24" s="11"/>
      <c r="I24" s="12"/>
      <c r="J24" s="0" t="s">
        <v>40</v>
      </c>
    </row>
    <row r="25" outlineLevel="2">
      <c r="A25" s="10" t="s">
        <v>41</v>
      </c>
      <c r="B25" s="0" t="s">
        <v>33</v>
      </c>
      <c r="C25" s="11">
        <f>IFERROR(5.77728*(1-w),"")</f>
        <v>2.77887168</v>
      </c>
      <c r="D25" s="11">
        <v>5.77728</v>
      </c>
      <c r="E25" s="11">
        <v>5.9</v>
      </c>
      <c r="F25" s="11"/>
      <c r="G25" s="11"/>
      <c r="I25" s="12"/>
      <c r="J25" s="0" t="s">
        <v>40</v>
      </c>
    </row>
    <row r="26" outlineLevel="2">
      <c r="A26" s="10" t="s">
        <v>42</v>
      </c>
      <c r="B26" s="0" t="s">
        <v>33</v>
      </c>
      <c r="C26" s="11">
        <f>IFERROR(42.99*(1-w),"")</f>
        <v>20.67819</v>
      </c>
      <c r="D26" s="11">
        <v>42.99</v>
      </c>
      <c r="E26" s="11">
        <v>43.903186274509807</v>
      </c>
      <c r="F26" s="11"/>
      <c r="G26" s="11"/>
      <c r="I26" s="12"/>
      <c r="J26" s="0" t="s">
        <v>37</v>
      </c>
    </row>
    <row r="27" outlineLevel="2">
      <c r="A27" s="10" t="s">
        <v>43</v>
      </c>
      <c r="B27" s="0" t="s">
        <v>33</v>
      </c>
      <c r="C27" s="11">
        <f>IFERROR(0.19584*(1-w),"")</f>
        <v>0.094199039999999984</v>
      </c>
      <c r="D27" s="11">
        <v>0.19584</v>
      </c>
      <c r="E27" s="11">
        <v>0.19999999999999998</v>
      </c>
      <c r="F27" s="11"/>
      <c r="G27" s="11"/>
      <c r="I27" s="12"/>
      <c r="J27" s="0" t="s">
        <v>40</v>
      </c>
    </row>
    <row r="28" outlineLevel="2">
      <c r="A28" s="10" t="s">
        <v>44</v>
      </c>
      <c r="B28" s="0" t="s">
        <v>33</v>
      </c>
      <c r="C28" s="11">
        <f>IFERROR(100.00312*(1-w)+w*100,"")</f>
        <v>100.00150072</v>
      </c>
      <c r="D28" s="11">
        <v>100.00312000000001</v>
      </c>
      <c r="E28" s="11">
        <v>100.00318627450982</v>
      </c>
      <c r="F28" s="11"/>
      <c r="G28" s="11"/>
      <c r="I28" s="12"/>
      <c r="J28" s="0" t="s">
        <v>37</v>
      </c>
    </row>
    <row r="29" outlineLevel="1">
      <c r="A29" s="9" t="s">
        <v>45</v>
      </c>
      <c r="I29" s="12"/>
    </row>
    <row r="30" outlineLevel="2">
      <c r="A30" s="10" t="s">
        <v>46</v>
      </c>
      <c r="B30" s="0" t="s">
        <v>47</v>
      </c>
      <c r="C30" s="11">
        <f>IFERROR(18.24552*(1-w)-w*2.443,"")</f>
        <v>7.5081781199999984</v>
      </c>
      <c r="D30" s="11">
        <v>18.24552</v>
      </c>
      <c r="E30" s="11">
        <v>18.633088235294117</v>
      </c>
      <c r="F30" s="11"/>
      <c r="G30" s="11"/>
      <c r="I30" s="12"/>
    </row>
    <row r="31" outlineLevel="2">
      <c r="A31" s="10" t="s">
        <v>48</v>
      </c>
      <c r="B31" s="0" t="s">
        <v>47</v>
      </c>
      <c r="C31" s="11">
        <f>IFERROR(19.533*(1-w),"")</f>
        <v>9.3953730000000011</v>
      </c>
      <c r="D31" s="11">
        <v>19.533</v>
      </c>
      <c r="E31" s="11">
        <v>19.947916666666668</v>
      </c>
      <c r="F31" s="11"/>
      <c r="G31" s="11"/>
      <c r="I31" s="12"/>
    </row>
    <row r="32" outlineLevel="2">
      <c r="A32" s="10" t="s">
        <v>49</v>
      </c>
      <c r="B32" s="0" t="s">
        <v>47</v>
      </c>
      <c r="C32" s="11">
        <f>IFERROR(19.1194612992*(1-w),"")</f>
        <v>9.196460884915199</v>
      </c>
      <c r="D32" s="11">
        <v>19.119461299199997</v>
      </c>
      <c r="E32" s="11">
        <v>19.525593647058823</v>
      </c>
      <c r="F32" s="11"/>
      <c r="G32" s="11"/>
      <c r="I32" s="12"/>
      <c r="J32" s="0" t="s">
        <v>37</v>
      </c>
    </row>
    <row r="33">
      <c r="I33" s="12"/>
    </row>
    <row r="34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51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https://phyllis.nl/Biomass/View/181</dc:description>
  <dcterms:created xsi:type="dcterms:W3CDTF">2026-03-19T07:04:44Z</dcterms:created>
  <dc:title>Phyllis2 #181 wood, spruce, sitca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