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15 wheat straw, pel" sheetId="1" r:id="rId1"/>
  </sheets>
  <definedNames>
    <definedName name="w" localSheetId="0">IF(ISBLANK('Phyllis2 #1815 wheat straw, pel'!$C$20),#N/A,'Phyllis2 #1815 wheat straw, pel'!$C$20/100)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<sst xmlns="http://schemas.openxmlformats.org/spreadsheetml/2006/main" count="51" uniqueCount="51">
  <si>
    <t>Phyllis2</t>
  </si>
  <si>
    <t>https://phyllis.nl/Biomass/View/1815</t>
  </si>
  <si>
    <t>wheat straw, pellets (#1815)</t>
  </si>
  <si>
    <t>ID-number</t>
  </si>
  <si>
    <t>#1815</t>
  </si>
  <si>
    <t>Material</t>
  </si>
  <si>
    <t>wheat straw, pellets</t>
  </si>
  <si>
    <t>Description</t>
  </si>
  <si>
    <t>pellets</t>
  </si>
  <si>
    <t>Classification</t>
  </si>
  <si>
    <t>ECN Phyllis classification &gt; straw (stalk/cob/ear) &gt; wheat &gt; wheat straw, pellets</t>
  </si>
  <si>
    <t>NTA 8003 classification &gt; [200] biomassa uit land- en tuinbouw &gt; [220] stro &gt; [223] tarwestro</t>
  </si>
  <si>
    <t>Submitter organisation</t>
  </si>
  <si>
    <t>ECN (Netherlands)</t>
  </si>
  <si>
    <t>Submission date</t>
  </si>
  <si>
    <t>Remarks</t>
  </si>
  <si>
    <t>Danish wheat straw pellets</t>
  </si>
  <si>
    <t>Literature</t>
  </si>
  <si>
    <t>R.Zanzi, K.Sjöström and E.Bjornbom: Rapid pyrolysis os straw at high temperature, Vol 1 (Ed. A.V.Bridgwater and D.G.B.Boocock), pp. 61-66 (2000).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</si>
  <si>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</si>
  <si>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</si>
  <si>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</si>
  <si>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</si>
  <si>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</si>
  <si>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</si>
  <si>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</si>
  <si>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</si>
  <si>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</si>
  <si>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</si>
  <si>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</si>
  <si>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</si>
  <si>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</si>
  <si>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</si>
  <si>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</si>
  <si>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</si>
  <si>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</si>
  <si>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</si>
  <si>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</si>
  <si>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</si>
  <si>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</si>
  <si>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</si>
  <si>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</si>
  <si>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</si>
  <si>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Total (with halides)</t>
  </si>
  <si>
    <t>Heating value</t>
  </si>
  <si>
    <t>HHVMilne</t>
  </si>
  <si>
    <t>MJ/kg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</si>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</sst>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1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8"/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36819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6.8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IFERROR(3.9*(1-w),"")</f>
        <v>3.6348</v>
      </c>
      <c r="D21" s="13">
        <v>3.9</v>
      </c>
      <c r="E21" s="13">
        <v/>
      </c>
      <c r="F21" s="13"/>
      <c r="G21" s="13"/>
      <c r="I21" s="5"/>
    </row>
    <row r="22" outlineLevel="1">
      <c r="A22" s="11" t="s">
        <v>36</v>
      </c>
      <c r="I22" s="5"/>
    </row>
    <row r="23" outlineLevel="2">
      <c r="A23" s="12" t="s">
        <v>37</v>
      </c>
      <c r="B23" s="0" t="s">
        <v>34</v>
      </c>
      <c r="C23" s="13">
        <f>IFERROR(45.167*(1-w),"")</f>
        <v>42.095644</v>
      </c>
      <c r="D23" s="13">
        <v>45.167</v>
      </c>
      <c r="E23" s="13">
        <v>47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34</v>
      </c>
      <c r="C24" s="13">
        <f>IFERROR(5.8621*(1-w),"")</f>
        <v>5.4634772</v>
      </c>
      <c r="D24" s="13">
        <v>5.8621</v>
      </c>
      <c r="E24" s="13">
        <v>6.1</v>
      </c>
      <c r="F24" s="13"/>
      <c r="G24" s="13"/>
      <c r="I24" s="5"/>
      <c r="J24" s="0" t="s">
        <v>38</v>
      </c>
    </row>
    <row r="25" outlineLevel="2">
      <c r="A25" s="12" t="s">
        <v>40</v>
      </c>
      <c r="B25" s="0" t="s">
        <v>34</v>
      </c>
      <c r="C25" s="13">
        <f>IFERROR(44.5904*(1-w),"")</f>
        <v>41.5582528</v>
      </c>
      <c r="D25" s="13">
        <v>44.5904</v>
      </c>
      <c r="E25" s="13">
        <v>46.400000000000006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IFERROR(0.5*(1-w),"")</f>
        <v>0.46599999999999997</v>
      </c>
      <c r="D26" s="13">
        <v>0.5</v>
      </c>
      <c r="E26" s="13">
        <v>0.52029136316337155</v>
      </c>
      <c r="F26" s="13"/>
      <c r="G26" s="13"/>
      <c r="I26" s="5"/>
      <c r="J26" s="0" t="s">
        <v>38</v>
      </c>
    </row>
    <row r="27" outlineLevel="2">
      <c r="A27" s="12" t="s">
        <v>43</v>
      </c>
      <c r="B27" s="0" t="s">
        <v>34</v>
      </c>
      <c r="C27" s="13">
        <f>IFERROR(100.0195*(1-w)+w*100,"")</f>
        <v>100.018174</v>
      </c>
      <c r="D27" s="13">
        <v>100.01950000000001</v>
      </c>
      <c r="E27" s="13">
        <v>100.02029136316338</v>
      </c>
      <c r="F27" s="13"/>
      <c r="G27" s="13"/>
      <c r="I27" s="5"/>
      <c r="J27" s="0" t="s">
        <v>41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IFERROR(17.68345233*(1-w),"")</f>
        <v>16.480977571559997</v>
      </c>
      <c r="D29" s="13">
        <v>17.683452329999998</v>
      </c>
      <c r="E29" s="13">
        <v>18.401095036420394</v>
      </c>
      <c r="F29" s="13"/>
      <c r="G29" s="13"/>
      <c r="I29" s="5"/>
      <c r="J29" s="0" t="s">
        <v>41</v>
      </c>
    </row>
    <row r="30">
      <c r="A30" s="7" t="s">
        <v>47</v>
      </c>
      <c r="I30" s="5"/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4">
        <v>300</v>
      </c>
      <c r="D32" s="14"/>
      <c r="E32" s="14"/>
      <c r="F32" s="14"/>
      <c r="G32" s="14"/>
      <c r="I32" s="5"/>
    </row>
    <row r="33">
      <c r="I33" s="5"/>
    </row>
    <row r="34" s="1" customFormat="1"/>
  </sheetData>
  <mergeCells>
    <mergeCell ref="A8: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2:E32"/>
  </mergeCells>
  <dataValidations count="1">
    <dataValidation type="decimal" sqref="C20" errorStyle="stop" promptTitle="Enter moisture content" errorTitle="Invalid moisture content" prompt="Value should be between 0 and 100.&#10;Original value: 6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https://phyllis.nl/Biomass/View/1815</dc:description>
  <dcterms:created xsi:type="dcterms:W3CDTF">2026-03-17T06:17:55Z</dcterms:created>
  <dc:title>Phyllis2 #1815 wheat straw, pellets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