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16 wood, birch" sheetId="1" r:id="rId1"/>
  </sheets>
  <definedNames>
    <definedName name="w" localSheetId="0">IF(ISBLANK('Phyllis2 #1816 wood, birch'!$C$18),#N/A,'Phyllis2 #1816 wood, birch'!$C$18/100)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<sst xmlns="http://schemas.openxmlformats.org/spreadsheetml/2006/main" count="44" uniqueCount="44">
  <si>
    <t>Phyllis2</t>
  </si>
  <si>
    <t>https://phyllis.nl/Biomass/View/1816</t>
  </si>
  <si>
    <t>wood, birch (#1816)</t>
  </si>
  <si>
    <t>ID-number</t>
  </si>
  <si>
    <t>#1816</t>
  </si>
  <si>
    <t>Material</t>
  </si>
  <si>
    <t>wood, birch</t>
  </si>
  <si>
    <t>Classification</t>
  </si>
  <si>
    <t>ECN Phyllis classification &gt; untreated wood &gt; birch &gt; wood, birch</t>
  </si>
  <si>
    <t>NTA 8003 classification &gt; [100] hout &gt; [110] vers hout &gt; [120] loofhout &gt; [122] zacht loofhout</t>
  </si>
  <si>
    <t>Submitter organisation</t>
  </si>
  <si>
    <t>ECN (Netherlands)</t>
  </si>
  <si>
    <t>Submission date</t>
  </si>
  <si>
    <t>Literature</t>
  </si>
  <si>
    <t>R.Zanzi, K.Sjöström and E.Bjornbom: Rapid pyrolysis os straw at high temperature, Vol 1 (Ed. A.V.Bridgwater and D.G.B.Boocock), pp. 61-66 (2000).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</si>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</sst>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1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36819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5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IFERROR(0.3*(1-w),"")</f>
        <v>0.285</v>
      </c>
      <c r="D19" s="13">
        <v>0.3</v>
      </c>
      <c r="E19" s="13">
        <v/>
      </c>
      <c r="F19" s="13"/>
      <c r="G19" s="13"/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31</v>
      </c>
      <c r="C21" s="13">
        <f>IFERROR(48.2548*(1-w),"")</f>
        <v>45.842060000000004</v>
      </c>
      <c r="D21" s="13">
        <v>48.2548</v>
      </c>
      <c r="E21" s="13">
        <v>48.400000000000006</v>
      </c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31</v>
      </c>
      <c r="C22" s="13">
        <f>IFERROR(5.5832*(1-w),"")</f>
        <v>5.30404</v>
      </c>
      <c r="D22" s="13">
        <v>5.5832</v>
      </c>
      <c r="E22" s="13">
        <v>5.6</v>
      </c>
      <c r="F22" s="13"/>
      <c r="G22" s="13"/>
      <c r="I22" s="5"/>
      <c r="J22" s="0" t="s">
        <v>35</v>
      </c>
    </row>
    <row r="23" outlineLevel="2">
      <c r="A23" s="12" t="s">
        <v>37</v>
      </c>
      <c r="B23" s="0" t="s">
        <v>31</v>
      </c>
      <c r="C23" s="13">
        <f>IFERROR(45.6626*(1-w),"")</f>
        <v>43.37947</v>
      </c>
      <c r="D23" s="13">
        <v>45.6626</v>
      </c>
      <c r="E23" s="13">
        <v>45.8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IFERROR(0.1994*(1-w),"")</f>
        <v>0.18943</v>
      </c>
      <c r="D24" s="13">
        <v>0.1994</v>
      </c>
      <c r="E24" s="13">
        <v>0.19999999999999998</v>
      </c>
      <c r="F24" s="13"/>
      <c r="G24" s="13"/>
      <c r="I24" s="5"/>
      <c r="J24" s="0" t="s">
        <v>35</v>
      </c>
    </row>
    <row r="25" outlineLevel="2">
      <c r="A25" s="12" t="s">
        <v>40</v>
      </c>
      <c r="B25" s="0" t="s">
        <v>31</v>
      </c>
      <c r="C25" s="13">
        <f>IFERROR(100*(1-w)+w*100,"")</f>
        <v>99.999999999999986</v>
      </c>
      <c r="D25" s="13">
        <v>99.999999999999986</v>
      </c>
      <c r="E25" s="13">
        <v>99.999999999999986</v>
      </c>
      <c r="F25" s="13"/>
      <c r="G25" s="13"/>
      <c r="I25" s="5"/>
      <c r="J25" s="0" t="s">
        <v>38</v>
      </c>
    </row>
    <row r="26" outlineLevel="1">
      <c r="A26" s="11" t="s">
        <v>41</v>
      </c>
      <c r="I26" s="5"/>
    </row>
    <row r="27" outlineLevel="2">
      <c r="A27" s="12" t="s">
        <v>42</v>
      </c>
      <c r="B27" s="0" t="s">
        <v>43</v>
      </c>
      <c r="C27" s="13">
        <f>IFERROR(18.32786097*(1-w),"")</f>
        <v>17.4114679215</v>
      </c>
      <c r="D27" s="13">
        <v>18.327860970000003</v>
      </c>
      <c r="E27" s="13">
        <v>18.383010000000002</v>
      </c>
      <c r="F27" s="13"/>
      <c r="G27" s="13"/>
      <c r="I27" s="5"/>
      <c r="J27" s="0" t="s">
        <v>38</v>
      </c>
    </row>
    <row r="28">
      <c r="I28" s="5"/>
    </row>
    <row r="29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https://phyllis.nl/Biomass/View/1816</dc:description>
  <dcterms:created xsi:type="dcterms:W3CDTF">2026-03-19T04:21:19Z</dcterms:created>
  <dc:title>Phyllis2 #1816 wood, birch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