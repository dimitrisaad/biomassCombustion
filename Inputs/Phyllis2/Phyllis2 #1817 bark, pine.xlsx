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17 bark, pine" sheetId="1" r:id="rId1"/>
  </sheets>
  <definedNames>
    <definedName name="w" localSheetId="0">IF(ISBLANK('Phyllis2 #1817 bark, pine'!$C$18),#N/A,'Phyllis2 #1817 bark, pine'!$C$18/100)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<sst xmlns="http://schemas.openxmlformats.org/spreadsheetml/2006/main" count="45" uniqueCount="45">
  <si>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</si>
  <si>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https://phyllis.nl/Biomass/View/1817</t>
  </si>
  <si>
    <t>bark, pine (#1817)</t>
  </si>
  <si>
    <t>ID-number</t>
  </si>
  <si>
    <t>#1817</t>
  </si>
  <si>
    <t>Material</t>
  </si>
  <si>
    <t>bark, pine</t>
  </si>
  <si>
    <t>Classification</t>
  </si>
  <si>
    <t>ECN Phyllis classification &gt; untreated wood &gt; bark &gt; bark, pine</t>
  </si>
  <si>
    <t>NTA 8003 classification &gt; [100] hout &gt; [110] vers hout &gt; [112] schors</t>
  </si>
  <si>
    <t>Submitter organisation</t>
  </si>
  <si>
    <t>ECN (Netherlands)</t>
  </si>
  <si>
    <t>Submission date</t>
  </si>
  <si>
    <t>Literature</t>
  </si>
  <si>
    <t>A.Moilanen, P.Oesch and E.Leppamaki: Laboratory experiments to characterise the pyrolysis behaviour of selected biomass fuels, Vol 1 (Ed. A.V.Bridgwater and D.G.B.Boocock), pp. 163-175 (2000).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</si>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</sst>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1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36819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IFERROR(2*(1-w),"")</f>
        <v/>
      </c>
      <c r="D19" s="13">
        <v>2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IFERROR(55*(1-w),"")</f>
        <v/>
      </c>
      <c r="D21" s="13">
        <v>55</v>
      </c>
      <c r="E21" s="13">
        <v>56.122448979591837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IFERROR(5.9*(1-w),"")</f>
        <v/>
      </c>
      <c r="D22" s="13">
        <v>5.9</v>
      </c>
      <c r="E22" s="13">
        <v>6.0204081632653068</v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33</v>
      </c>
      <c r="C23" s="13">
        <f>IFERROR(36.7*(1-w),"")</f>
        <v/>
      </c>
      <c r="D23" s="13">
        <v>36.7</v>
      </c>
      <c r="E23" s="13">
        <v>37.448979591836739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IFERROR(0.3*(1-w),"")</f>
        <v/>
      </c>
      <c r="D24" s="13">
        <v>0.3</v>
      </c>
      <c r="E24" s="13">
        <v>0.30612244897959184</v>
      </c>
      <c r="F24" s="13"/>
      <c r="G24" s="13"/>
      <c r="I24" s="5"/>
      <c r="J24" s="0" t="s">
        <v>36</v>
      </c>
    </row>
    <row r="25" outlineLevel="2">
      <c r="A25" s="12" t="s">
        <v>41</v>
      </c>
      <c r="B25" s="0" t="s">
        <v>33</v>
      </c>
      <c r="C25" s="13">
        <f>IFERROR(99.9*(1-w)+w*100,"")</f>
        <v/>
      </c>
      <c r="D25" s="13">
        <v>99.899999999999991</v>
      </c>
      <c r="E25" s="13">
        <v>99.897959183673464</v>
      </c>
      <c r="F25" s="13"/>
      <c r="G25" s="13"/>
      <c r="I25" s="5"/>
      <c r="J25" s="0" t="s">
        <v>39</v>
      </c>
    </row>
    <row r="26" outlineLevel="1">
      <c r="A26" s="11" t="s">
        <v>42</v>
      </c>
      <c r="I26" s="5"/>
    </row>
    <row r="27" outlineLevel="2">
      <c r="A27" s="12" t="s">
        <v>43</v>
      </c>
      <c r="B27" s="0" t="s">
        <v>44</v>
      </c>
      <c r="C27" s="13">
        <f>IFERROR(22.084812*(1-w),"")</f>
        <v/>
      </c>
      <c r="D27" s="13">
        <v>22.084812000000003</v>
      </c>
      <c r="E27" s="13">
        <v>22.535522448979595</v>
      </c>
      <c r="F27" s="13"/>
      <c r="G27" s="13"/>
      <c r="I27" s="5"/>
      <c r="J27" s="0" t="s">
        <v>39</v>
      </c>
    </row>
    <row r="28">
      <c r="I28" s="5"/>
    </row>
    <row r="29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https://phyllis.nl/Biomass/View/1817</dc:description>
  <dcterms:created xsi:type="dcterms:W3CDTF">2026-03-19T04:15:47Z</dcterms:created>
  <dc:title>Phyllis2 #1817 bark,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