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23 kenaf" sheetId="1" r:id="rId1"/>
  </sheets>
  <definedNames>
    <definedName name="w" localSheetId="0">IF(ISBLANK('Phyllis2 #1823 kenaf'!$C$19),#N/A,'Phyllis2 #1823 kenaf'!$C$19/100)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<sst xmlns="http://schemas.openxmlformats.org/spreadsheetml/2006/main" count="46" uniqueCount="46">
  <si>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</si>
  <si>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https://phyllis.nl/Biomass/View/1823</t>
  </si>
  <si>
    <t>kenaf (#1823)</t>
  </si>
  <si>
    <t>ID-number</t>
  </si>
  <si>
    <t>#1823</t>
  </si>
  <si>
    <t>Material</t>
  </si>
  <si>
    <t>kenaf</t>
  </si>
  <si>
    <t>Classification</t>
  </si>
  <si>
    <t>ECN Phyllis classification &gt; grass/plant &gt; kenaf &gt; kenaf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</si>
  <si>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</si>
  <si>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</si>
  <si>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</si>
  <si>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</si>
  <si>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Remarks</t>
  </si>
  <si>
    <t>kenaf = hibiscus cannabinus</t>
  </si>
  <si>
    <t>Literature</t>
  </si>
  <si>
    <t>A.Moilanen, P.Oesch and E.Leppamaki: Laboratory experiments to characterise the pyrolysis behaviour of selected biomass fuels, Vol 1 (Ed. A.V.Bridgwater and D.G.B.Boocock), pp. 163-175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</si>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</sst>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2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36819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IFERROR(5.3*(1-w),"")</f>
        <v/>
      </c>
      <c r="D20" s="13">
        <v>5.3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IFERROR(46*(1-w),"")</f>
        <v/>
      </c>
      <c r="D22" s="13">
        <v>46</v>
      </c>
      <c r="E22" s="13">
        <v>48.574445617740231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IFERROR(6*(1-w),"")</f>
        <v/>
      </c>
      <c r="D23" s="13">
        <v>6</v>
      </c>
      <c r="E23" s="13">
        <v>6.3357972544878569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IFERROR(41.6*(1-w),"")</f>
        <v/>
      </c>
      <c r="D24" s="13">
        <v>41.6</v>
      </c>
      <c r="E24" s="13">
        <v>43.928194297782476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IFERROR(1.1*(1-w),"")</f>
        <v/>
      </c>
      <c r="D25" s="13">
        <v>1.1</v>
      </c>
      <c r="E25" s="13">
        <v>1.1615628299894405</v>
      </c>
      <c r="F25" s="13"/>
      <c r="G25" s="13"/>
      <c r="I25" s="5"/>
      <c r="J25" s="0" t="s">
        <v>37</v>
      </c>
    </row>
    <row r="26" outlineLevel="2">
      <c r="A26" s="12" t="s">
        <v>42</v>
      </c>
      <c r="B26" s="0" t="s">
        <v>34</v>
      </c>
      <c r="C26" s="13">
        <f>IFERROR(100*(1-w)+w*100,"")</f>
        <v/>
      </c>
      <c r="D26" s="13">
        <v>99.999999999999986</v>
      </c>
      <c r="E26" s="13">
        <v>100</v>
      </c>
      <c r="F26" s="13"/>
      <c r="G26" s="13"/>
      <c r="I26" s="5"/>
      <c r="J26" s="0" t="s">
        <v>40</v>
      </c>
    </row>
    <row r="27" outlineLevel="1">
      <c r="A27" s="11" t="s">
        <v>43</v>
      </c>
      <c r="I27" s="5"/>
    </row>
    <row r="28" outlineLevel="2">
      <c r="A28" s="12" t="s">
        <v>44</v>
      </c>
      <c r="B28" s="0" t="s">
        <v>45</v>
      </c>
      <c r="C28" s="13">
        <f>IFERROR(18.41720777*(1-w),"")</f>
        <v/>
      </c>
      <c r="D28" s="13">
        <v>18.41720777</v>
      </c>
      <c r="E28" s="13">
        <v>19.44794907074974</v>
      </c>
      <c r="F28" s="13"/>
      <c r="G28" s="13"/>
      <c r="I28" s="5"/>
      <c r="J28" s="0" t="s">
        <v>40</v>
      </c>
    </row>
    <row r="29">
      <c r="I29" s="5"/>
    </row>
    <row r="30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https://phyllis.nl/Biomass/View/1823</dc:description>
  <dcterms:created xsi:type="dcterms:W3CDTF">2026-03-04T04:09:12Z</dcterms:created>
  <dc:title>Phyllis2 #1823 kenaf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