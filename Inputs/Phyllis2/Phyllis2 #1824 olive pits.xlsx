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824 olive pits" sheetId="1" r:id="rId1"/>
  </sheets>
  <definedNames>
    <definedName name="w" localSheetId="0">IF(ISBLANK('Phyllis2 #1824 olive pits'!$C$19),#N/A,'Phyllis2 #1824 olive pits'!$C$19/100)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<sst xmlns="http://schemas.openxmlformats.org/spreadsheetml/2006/main" count="47" uniqueCount="47">
  <si>
    <t>Phyllis2</t>
  </si>
  <si>
    <t>https://phyllis.nl/Biomass/View/1824</t>
  </si>
  <si>
    <t>olive pits (#1824)</t>
  </si>
  <si>
    <t>ID-number</t>
  </si>
  <si>
    <t>#1824</t>
  </si>
  <si>
    <t>Material</t>
  </si>
  <si>
    <t>olive pits</t>
  </si>
  <si>
    <t>Classification</t>
  </si>
  <si>
    <t>ECN Phyllis classification &gt; husk/shell/pit &gt; olive &gt; olive pits</t>
  </si>
  <si>
    <t>NTA 8003 classification &gt; [500] biomassa uit de industrie &gt; [520] schillen/vliezen/pitten &gt; [524] olijven</t>
  </si>
  <si>
    <t>Submitter organisation</t>
  </si>
  <si>
    <t>ECN (Netherlands)</t>
  </si>
  <si>
    <t>Submission date</t>
  </si>
  <si>
    <t>Remarks</t>
  </si>
  <si>
    <t>S-N2 = 0,6 m2/g; S-CO2 = 53 m2/g; see for char 1825, 1826 and 1827</t>
  </si>
  <si>
    <t>Literature</t>
  </si>
  <si>
    <t>P.A.Della Rocca, P.I.Horowitz, P.Bonelli, M.C.Cassanello and A.L.Cukierman: Olive stones pyrolysis: chemical, textural and kinetics characterization, Vol 1 (Ed. A.V.Bridgwater and D.G.B.Boocock), pp. 61-66 (2000).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</si>
  <si>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</si>
  <si>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</si>
  <si>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</si>
  <si>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</si>
  <si>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</si>
  <si>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</si>
  <si>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</si>
  <si>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</si>
  <si>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</si>
  <si>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</si>
  <si>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</si>
  <si>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</si>
  <si>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</si>
  <si>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</si>
  <si>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</si>
  <si>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</si>
  <si>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</si>
  <si>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</si>
  <si>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</si>
  <si>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</si>
  <si>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</si>
  <si>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</si>
  <si>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</si>
  <si>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</si>
  <si>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</si>
  <si>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</si>
  <si>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Total (with halides)</t>
  </si>
  <si>
    <t>Heating value</t>
  </si>
  <si>
    <t>HHVMilne</t>
  </si>
  <si>
    <t>MJ/kg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</si>
</sst>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82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36819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/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34</v>
      </c>
      <c r="C20" s="13">
        <f>IFERROR(0.42*(1-w),"")</f>
        <v/>
      </c>
      <c r="D20" s="13">
        <v>0.42</v>
      </c>
      <c r="E20" s="13">
        <v/>
      </c>
      <c r="F20" s="13"/>
      <c r="G20" s="13"/>
      <c r="I20" s="5"/>
    </row>
    <row r="21" outlineLevel="2">
      <c r="A21" s="12" t="s">
        <v>35</v>
      </c>
      <c r="B21" s="0" t="s">
        <v>34</v>
      </c>
      <c r="C21" s="13">
        <f>IFERROR(74.84*(1-w),"")</f>
        <v/>
      </c>
      <c r="D21" s="13">
        <v>74.84</v>
      </c>
      <c r="E21" s="13">
        <v>75.155653745732081</v>
      </c>
      <c r="F21" s="13"/>
      <c r="G21" s="13"/>
      <c r="I21" s="5"/>
    </row>
    <row r="22" outlineLevel="2">
      <c r="A22" s="12" t="s">
        <v>36</v>
      </c>
      <c r="B22" s="0" t="s">
        <v>34</v>
      </c>
      <c r="C22" s="13">
        <f>IFERROR(24.74*(1-w),"")</f>
        <v/>
      </c>
      <c r="D22" s="13">
        <v>24.739999999999995</v>
      </c>
      <c r="E22" s="13">
        <v>24.844346254267919</v>
      </c>
      <c r="F22" s="13"/>
      <c r="G22" s="13"/>
      <c r="I22" s="5"/>
      <c r="J22" s="0" t="s">
        <v>37</v>
      </c>
    </row>
    <row r="23" outlineLevel="1">
      <c r="A23" s="11" t="s">
        <v>38</v>
      </c>
      <c r="I23" s="5"/>
    </row>
    <row r="24" outlineLevel="2">
      <c r="A24" s="12" t="s">
        <v>39</v>
      </c>
      <c r="B24" s="0" t="s">
        <v>34</v>
      </c>
      <c r="C24" s="13">
        <f>IFERROR(46.39432*(1-w),"")</f>
        <v/>
      </c>
      <c r="D24" s="13">
        <v>46.39432</v>
      </c>
      <c r="E24" s="13">
        <v>46.589997991564573</v>
      </c>
      <c r="F24" s="13"/>
      <c r="G24" s="13"/>
      <c r="I24" s="5"/>
      <c r="J24" s="0" t="s">
        <v>40</v>
      </c>
    </row>
    <row r="25" outlineLevel="2">
      <c r="A25" s="12" t="s">
        <v>41</v>
      </c>
      <c r="B25" s="0" t="s">
        <v>34</v>
      </c>
      <c r="C25" s="13">
        <f>IFERROR(6.014632*(1-w),"")</f>
        <v/>
      </c>
      <c r="D25" s="13">
        <v>6.014632</v>
      </c>
      <c r="E25" s="13">
        <v>6.04</v>
      </c>
      <c r="F25" s="13"/>
      <c r="G25" s="13"/>
      <c r="I25" s="5"/>
      <c r="J25" s="0" t="s">
        <v>40</v>
      </c>
    </row>
    <row r="26" outlineLevel="2">
      <c r="A26" s="12" t="s">
        <v>42</v>
      </c>
      <c r="B26" s="0" t="s">
        <v>34</v>
      </c>
      <c r="C26" s="13">
        <f>IFERROR(47.17104*(1-w),"")</f>
        <v/>
      </c>
      <c r="D26" s="13">
        <v>47.17104</v>
      </c>
      <c r="E26" s="13">
        <v>47.369993974693713</v>
      </c>
      <c r="F26" s="13"/>
      <c r="G26" s="13"/>
      <c r="I26" s="5"/>
      <c r="J26" s="0" t="s">
        <v>37</v>
      </c>
    </row>
    <row r="27" outlineLevel="2">
      <c r="A27" s="12" t="s">
        <v>43</v>
      </c>
      <c r="B27" s="0" t="s">
        <v>34</v>
      </c>
      <c r="C27" s="13">
        <f>IFERROR(99.999992*(1-w)+w*100,"")</f>
        <v/>
      </c>
      <c r="D27" s="13">
        <v>99.999992</v>
      </c>
      <c r="E27" s="13">
        <v>99.999991966258293</v>
      </c>
      <c r="F27" s="13"/>
      <c r="G27" s="13"/>
      <c r="I27" s="5"/>
      <c r="J27" s="0" t="s">
        <v>37</v>
      </c>
    </row>
    <row r="28" outlineLevel="1">
      <c r="A28" s="11" t="s">
        <v>44</v>
      </c>
      <c r="I28" s="5"/>
    </row>
    <row r="29" outlineLevel="2">
      <c r="A29" s="12" t="s">
        <v>45</v>
      </c>
      <c r="B29" s="0" t="s">
        <v>46</v>
      </c>
      <c r="C29" s="13">
        <f>IFERROR(18.1048828132*(1-w),"")</f>
        <v/>
      </c>
      <c r="D29" s="13">
        <v>18.104882813200003</v>
      </c>
      <c r="E29" s="13">
        <v>18.181244038160276</v>
      </c>
      <c r="F29" s="13"/>
      <c r="G29" s="13"/>
      <c r="I29" s="5"/>
      <c r="J29" s="0" t="s">
        <v>37</v>
      </c>
    </row>
    <row r="30">
      <c r="I30" s="5"/>
    </row>
    <row r="31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</mergeCells>
  <dataValidations count="1">
    <dataValidation type="decimal" sqref="C19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https://phyllis.nl/Biomass/View/1824</dc:description>
  <dcterms:created xsi:type="dcterms:W3CDTF">2026-03-17T05:42:07Z</dcterms:created>
  <dc:title>Phyllis2 #1824 olive pits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