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28 wood, poplar" sheetId="1" r:id="rId1"/>
  </sheets>
  <definedNames>
    <definedName name="w" localSheetId="0">IF(ISBLANK('Phyllis2 #1828 wood, poplar'!$C$19),#N/A,'Phyllis2 #1828 wood, poplar'!$C$19/100)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<sst xmlns="http://schemas.openxmlformats.org/spreadsheetml/2006/main" count="49" uniqueCount="49">
  <si>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</si>
  <si>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https://phyllis.nl/Biomass/View/1828</t>
  </si>
  <si>
    <t>wood, poplar (#1828)</t>
  </si>
  <si>
    <t>ID-number</t>
  </si>
  <si>
    <t>#1828</t>
  </si>
  <si>
    <t>Material</t>
  </si>
  <si>
    <t>wood, poplar</t>
  </si>
  <si>
    <t>Classification</t>
  </si>
  <si>
    <t>ECN Phyllis classification &gt; untreated wood &gt; poplar &gt; wood, poplar</t>
  </si>
  <si>
    <t>NTA 8003 classification &gt; [100] hout &gt; [110] vers hout &gt; [120] loofhout &gt; [122] zacht loofhout</t>
  </si>
  <si>
    <t>Submitter organisation</t>
  </si>
  <si>
    <t>ECN (Netherlands)</t>
  </si>
  <si>
    <t>Submission date</t>
  </si>
  <si>
    <t>Remarks</t>
  </si>
  <si>
    <t>hybrid poplar used for the production of bio-crude via pyrolysis</t>
  </si>
  <si>
    <t>Literature</t>
  </si>
  <si>
    <t>J.Scahill, J.P.Diebold and C.Feik: Removal of residual char fines from pyrolysis vapors by hot gas filtration. P.253-266 in: Developments in thermochemical biomass conversion; IEA Bioenergy, eds, A.V. Bridgwater and D.G.B. Boocock; 1996..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</si>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</sst>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2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36822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IFERROR(0.77*(1-w),"")</f>
        <v/>
      </c>
      <c r="D20" s="13">
        <v>0.77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IFERROR(49*(1-w),"")</f>
        <v/>
      </c>
      <c r="D22" s="13">
        <v>49</v>
      </c>
      <c r="E22" s="13">
        <v>49.380227753703522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IFERROR(6*(1-w),"")</f>
        <v/>
      </c>
      <c r="D23" s="13">
        <v>6</v>
      </c>
      <c r="E23" s="13">
        <v>6.0465585004534921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34</v>
      </c>
      <c r="C24" s="13">
        <f>IFERROR(44.1*(1-w),"")</f>
        <v/>
      </c>
      <c r="D24" s="13">
        <v>44.1</v>
      </c>
      <c r="E24" s="13">
        <v>44.442204978333166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IFERROR(0.1*(1-w),"")</f>
        <v/>
      </c>
      <c r="D25" s="13">
        <v>0.1</v>
      </c>
      <c r="E25" s="13">
        <v>0.10077597500755821</v>
      </c>
      <c r="F25" s="13"/>
      <c r="G25" s="13"/>
      <c r="I25" s="5"/>
      <c r="J25" s="0" t="s">
        <v>37</v>
      </c>
    </row>
    <row r="26" outlineLevel="2">
      <c r="A26" s="12" t="s">
        <v>42</v>
      </c>
      <c r="B26" s="0" t="s">
        <v>34</v>
      </c>
      <c r="C26" s="13">
        <f>IFERROR(0.03*(1-w),"")</f>
        <v/>
      </c>
      <c r="D26" s="13">
        <v>0.03</v>
      </c>
      <c r="E26" s="13">
        <v>0.030232792502267458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34</v>
      </c>
      <c r="C27" s="13">
        <f>IFERROR(100*(1-w)+w*100,"")</f>
        <v/>
      </c>
      <c r="D27" s="13">
        <v>99.999999999999986</v>
      </c>
      <c r="E27" s="13">
        <v>100</v>
      </c>
      <c r="F27" s="13"/>
      <c r="G27" s="13"/>
      <c r="I27" s="5"/>
      <c r="J27" s="0" t="s">
        <v>40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IFERROR(18.1907*(1-w)-w*2.443,"")</f>
        <v/>
      </c>
      <c r="D29" s="13">
        <v>18.1907</v>
      </c>
      <c r="E29" s="13">
        <v>18.331855285699888</v>
      </c>
      <c r="F29" s="13"/>
      <c r="G29" s="13"/>
      <c r="I29" s="5"/>
    </row>
    <row r="30" outlineLevel="2">
      <c r="A30" s="12" t="s">
        <v>47</v>
      </c>
      <c r="B30" s="0" t="s">
        <v>46</v>
      </c>
      <c r="C30" s="13">
        <f>IFERROR(19.5*(1-w),"")</f>
        <v/>
      </c>
      <c r="D30" s="13">
        <v>19.5</v>
      </c>
      <c r="E30" s="13">
        <v>19.65131512647385</v>
      </c>
      <c r="F30" s="13"/>
      <c r="G30" s="13"/>
      <c r="I30" s="5"/>
    </row>
    <row r="31" outlineLevel="2">
      <c r="A31" s="12" t="s">
        <v>48</v>
      </c>
      <c r="B31" s="0" t="s">
        <v>46</v>
      </c>
      <c r="C31" s="13">
        <f>IFERROR(19.3273677137*(1-w),"")</f>
        <v/>
      </c>
      <c r="D31" s="13">
        <v>19.327367713700006</v>
      </c>
      <c r="E31" s="13">
        <v>19.477343256777193</v>
      </c>
      <c r="F31" s="13"/>
      <c r="G31" s="13"/>
      <c r="I31" s="5"/>
      <c r="J31" s="0" t="s">
        <v>40</v>
      </c>
    </row>
    <row r="32">
      <c r="I32" s="5"/>
    </row>
    <row r="3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https://phyllis.nl/Biomass/View/1828</dc:description>
  <dcterms:created xsi:type="dcterms:W3CDTF">2026-03-19T07:24:55Z</dcterms:created>
  <dc:title>Phyllis2 #1828 wood, poplar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