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4 wood" sheetId="1" r:id="rId1"/>
  </sheets>
  <definedNames>
    <definedName name="w" localSheetId="0">IF(ISBLANK('Phyllis2 #184 wood'!$C$17),#N/A,'Phyllis2 #184 wood'!$C$17/100)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<sst xmlns="http://schemas.openxmlformats.org/spreadsheetml/2006/main" count="64" uniqueCount="64">
  <si>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</si>
  <si>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https://phyllis.nl/Biomass/View/184</t>
  </si>
  <si>
    <t>wood (#184)</t>
  </si>
  <si>
    <t>ID-number</t>
  </si>
  <si>
    <t>#184</t>
  </si>
  <si>
    <t>Material</t>
  </si>
  <si>
    <t>wood</t>
  </si>
  <si>
    <t>Classification</t>
  </si>
  <si>
    <t>ECN Phyllis classification &gt; untreated wood &gt; others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</si>
  <si>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</si>
  <si>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</si>
  <si>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</si>
  <si>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</si>
  <si>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</si>
  <si>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</si>
  <si>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</si>
  <si>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</si>
  <si>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</si>
  <si>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</si>
  <si>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</si>
  <si>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</si>
  <si>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</si>
  <si>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</si>
  <si>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</si>
  <si>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</si>
  <si>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</si>
  <si>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</si>
  <si>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</si>
  <si>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</si>
  <si>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</si>
  <si>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</si>
  <si>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</si>
  <si>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</si>
  <si>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</si>
  <si>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</si>
  <si>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</si>
  <si>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</si>
  <si>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</si>
  <si>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</si>
  <si>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</si>
  <si>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</si>
  <si>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</si>
  <si>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</si>
  <si>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</si>
  <si>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</si>
  <si>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</si>
  <si>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</si>
  <si>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</si>
  <si>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</si>
  <si>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</si>
  <si>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</si>
  <si>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</si>
  <si>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</si>
  <si>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</si>
  <si>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</si>
  <si>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</si>
  <si>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</si>
  <si>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</si>
  <si>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</si>
  <si>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</si>
  <si>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</si>
  <si>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</si>
  <si>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Mn</t>
  </si>
  <si>
    <t>mg/kg (ash)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</si>
</sst>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32</v>
      </c>
      <c r="C18" s="11">
        <f>IFERROR(0.3*(1-w),"")</f>
        <v/>
      </c>
      <c r="D18" s="11">
        <v>0.3</v>
      </c>
      <c r="E18" s="11">
        <v/>
      </c>
      <c r="F18" s="11"/>
      <c r="G18" s="11"/>
      <c r="I18" s="13"/>
    </row>
    <row r="19" outlineLevel="1">
      <c r="A19" s="9" t="s">
        <v>33</v>
      </c>
      <c r="I19" s="13"/>
    </row>
    <row r="20" outlineLevel="2">
      <c r="A20" s="10" t="s">
        <v>34</v>
      </c>
      <c r="B20" s="0" t="s">
        <v>32</v>
      </c>
      <c r="C20" s="11">
        <f>IFERROR(51.37541*(1-w),"")</f>
        <v/>
      </c>
      <c r="D20" s="11">
        <v>51.37541</v>
      </c>
      <c r="E20" s="11">
        <v>51.53</v>
      </c>
      <c r="F20" s="11"/>
      <c r="G20" s="11"/>
      <c r="I20" s="13"/>
      <c r="J20" s="0" t="s">
        <v>35</v>
      </c>
    </row>
    <row r="21" outlineLevel="2">
      <c r="A21" s="10" t="s">
        <v>36</v>
      </c>
      <c r="B21" s="0" t="s">
        <v>32</v>
      </c>
      <c r="C21" s="11">
        <f>IFERROR(5.8823*(1-w),"")</f>
        <v/>
      </c>
      <c r="D21" s="11">
        <v>5.8823</v>
      </c>
      <c r="E21" s="11">
        <v>5.8999999999999995</v>
      </c>
      <c r="F21" s="11"/>
      <c r="G21" s="11"/>
      <c r="I21" s="13"/>
      <c r="J21" s="0" t="s">
        <v>35</v>
      </c>
    </row>
    <row r="22" outlineLevel="2">
      <c r="A22" s="10" t="s">
        <v>37</v>
      </c>
      <c r="B22" s="0" t="s">
        <v>32</v>
      </c>
      <c r="C22" s="11">
        <f>IFERROR(42.22229*(1-w),"")</f>
        <v/>
      </c>
      <c r="D22" s="11">
        <v>42.22229</v>
      </c>
      <c r="E22" s="11">
        <v>42.349338014042125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32</v>
      </c>
      <c r="C23" s="11">
        <f>IFERROR(0.1*(1-w),"")</f>
        <v/>
      </c>
      <c r="D23" s="11">
        <v>0.1</v>
      </c>
      <c r="E23" s="11">
        <v>0.10030090270812438</v>
      </c>
      <c r="F23" s="11"/>
      <c r="G23" s="11"/>
      <c r="I23" s="13"/>
      <c r="J23" s="0" t="s">
        <v>35</v>
      </c>
    </row>
    <row r="24" outlineLevel="2">
      <c r="A24" s="10" t="s">
        <v>40</v>
      </c>
      <c r="B24" s="0" t="s">
        <v>32</v>
      </c>
      <c r="C24" s="11">
        <f>IFERROR(0.1*(1-w),"")</f>
        <v/>
      </c>
      <c r="D24" s="11">
        <v>0.1</v>
      </c>
      <c r="E24" s="11">
        <v>0.10030090270812438</v>
      </c>
      <c r="F24" s="11"/>
      <c r="G24" s="11"/>
      <c r="I24" s="13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99.999999999999986</v>
      </c>
      <c r="E25" s="11">
        <v>99.999999999999986</v>
      </c>
      <c r="F25" s="11"/>
      <c r="G25" s="11"/>
      <c r="I25" s="13"/>
      <c r="J25" s="0" t="s">
        <v>38</v>
      </c>
    </row>
    <row r="26" outlineLevel="1">
      <c r="A26" s="9" t="s">
        <v>42</v>
      </c>
      <c r="I26" s="13"/>
    </row>
    <row r="27" outlineLevel="2">
      <c r="A27" s="10" t="s">
        <v>43</v>
      </c>
      <c r="B27" s="0" t="s">
        <v>44</v>
      </c>
      <c r="C27" s="12">
        <f>IFERROR(200*(1-w),"")</f>
        <v/>
      </c>
      <c r="D27" s="12">
        <v>200</v>
      </c>
      <c r="E27" s="12">
        <v>200.60180541624874</v>
      </c>
      <c r="F27" s="12"/>
      <c r="G27" s="12"/>
      <c r="I27" s="13"/>
      <c r="J27" s="0" t="s">
        <v>35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1">
        <f>IFERROR(19.19398*(1-w)-w*2.443,"")</f>
        <v/>
      </c>
      <c r="D29" s="11">
        <v>19.19398</v>
      </c>
      <c r="E29" s="11">
        <v>19.25173520561685</v>
      </c>
      <c r="F29" s="11"/>
      <c r="G29" s="11"/>
      <c r="I29" s="13"/>
    </row>
    <row r="30" outlineLevel="2">
      <c r="A30" s="10" t="s">
        <v>48</v>
      </c>
      <c r="B30" s="0" t="s">
        <v>47</v>
      </c>
      <c r="C30" s="11">
        <f>IFERROR(20.4776*(1-w),"")</f>
        <v/>
      </c>
      <c r="D30" s="11">
        <v>20.4776</v>
      </c>
      <c r="E30" s="11">
        <v>20.539217652958875</v>
      </c>
      <c r="F30" s="11"/>
      <c r="G30" s="11"/>
      <c r="I30" s="13"/>
    </row>
    <row r="31" outlineLevel="2">
      <c r="A31" s="10" t="s">
        <v>49</v>
      </c>
      <c r="B31" s="0" t="s">
        <v>47</v>
      </c>
      <c r="C31" s="11">
        <f>IFERROR(20.21902438*(1-w),"")</f>
        <v/>
      </c>
      <c r="D31" s="11">
        <v>20.21902438</v>
      </c>
      <c r="E31" s="11">
        <v>20.279863971915749</v>
      </c>
      <c r="F31" s="11"/>
      <c r="G31" s="11"/>
      <c r="I31" s="13"/>
      <c r="J31" s="0" t="s">
        <v>38</v>
      </c>
    </row>
    <row r="32">
      <c r="A32" s="5" t="s">
        <v>50</v>
      </c>
      <c r="I32" s="13"/>
    </row>
    <row r="33" outlineLevel="1">
      <c r="A33" s="9" t="s">
        <v>51</v>
      </c>
      <c r="I33" s="13"/>
    </row>
    <row r="34" outlineLevel="2">
      <c r="A34" s="10" t="s">
        <v>52</v>
      </c>
      <c r="B34" s="0" t="s">
        <v>53</v>
      </c>
      <c r="C34" s="11">
        <v>4.5</v>
      </c>
      <c r="D34" s="11"/>
      <c r="E34" s="11"/>
      <c r="F34" s="11"/>
      <c r="G34" s="11"/>
      <c r="I34" s="13"/>
    </row>
    <row r="35" outlineLevel="2">
      <c r="A35" s="10" t="s">
        <v>54</v>
      </c>
      <c r="B35" s="0" t="s">
        <v>53</v>
      </c>
      <c r="C35" s="11">
        <v>16.9</v>
      </c>
      <c r="D35" s="11"/>
      <c r="E35" s="11"/>
      <c r="F35" s="11"/>
      <c r="G35" s="11"/>
      <c r="I35" s="13"/>
    </row>
    <row r="36" outlineLevel="2">
      <c r="A36" s="10" t="s">
        <v>55</v>
      </c>
      <c r="B36" s="0" t="s">
        <v>53</v>
      </c>
      <c r="C36" s="11">
        <v>10.7</v>
      </c>
      <c r="D36" s="11"/>
      <c r="E36" s="11"/>
      <c r="F36" s="11"/>
      <c r="G36" s="11"/>
      <c r="I36" s="13"/>
    </row>
    <row r="37" outlineLevel="2">
      <c r="A37" s="10" t="s">
        <v>56</v>
      </c>
      <c r="B37" s="0" t="s">
        <v>53</v>
      </c>
      <c r="C37" s="11">
        <v>7.3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53</v>
      </c>
      <c r="C38" s="11">
        <v>31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53</v>
      </c>
      <c r="C39" s="11">
        <v>5.2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53</v>
      </c>
      <c r="C40" s="11">
        <v>0.8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53</v>
      </c>
      <c r="C41" s="11">
        <v>9.5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53</v>
      </c>
      <c r="C42" s="11">
        <v>0.4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63</v>
      </c>
      <c r="C43" s="12">
        <v>2.88</v>
      </c>
      <c r="D43" s="12"/>
      <c r="E43" s="12"/>
      <c r="F43" s="12"/>
      <c r="G43" s="12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https://phyllis.nl/Biomass/View/184</dc:description>
  <dcterms:created xsi:type="dcterms:W3CDTF">2026-03-19T07:22:20Z</dcterms:created>
  <dc:title>Phyllis2 #184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