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41 switchgrass" sheetId="1" r:id="rId1"/>
  </sheets>
  <definedNames>
    <definedName name="w" localSheetId="0">IF(ISBLANK('Phyllis2 #1841 switchgrass'!$C$19),#N/A,'Phyllis2 #1841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<sst xmlns="http://schemas.openxmlformats.org/spreadsheetml/2006/main" count="57" uniqueCount="57">
  <si>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</si>
  <si>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https://phyllis.nl/Biomass/View/1841</t>
  </si>
  <si>
    <t>switchgrass (#1841)</t>
  </si>
  <si>
    <t>ID-number</t>
  </si>
  <si>
    <t>#1841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</si>
  <si>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</si>
  <si>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</si>
  <si>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</si>
  <si>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</si>
  <si>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</si>
  <si>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</si>
  <si>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</si>
  <si>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</si>
  <si>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</si>
  <si>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Data are average of three analyses; deviation: C: +/- 0,14; H: 0,01; O: 0,31; N: 0,03, ash: 0,15. Glucan= 33,5 wt%; West Lafayette, IN, USA</t>
  </si>
  <si>
    <t>Literature</t>
  </si>
  <si>
    <t>F.A.Agblevor, S.Besler-Guran, D.Montane and A.E.Wiselogel: Biomass feedstock variability and its effect on biocrude oil properties, Vol 1 (Ed. A.V.Bridgwater and D.G.B.Boocock), pp. 741-755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</si>
  <si>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</si>
  <si>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</si>
  <si>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</si>
  <si>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</si>
  <si>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</si>
  <si>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</si>
  <si>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</si>
  <si>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</si>
  <si>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</si>
  <si>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</si>
  <si>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</si>
  <si>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</si>
  <si>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</si>
  <si>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</si>
  <si>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</si>
  <si>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</si>
  <si>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</si>
  <si>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</si>
  <si>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</si>
  <si>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</si>
  <si>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</si>
  <si>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</si>
  <si>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</si>
  <si>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</si>
  <si>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</si>
  <si>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</si>
  <si>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</si>
  <si>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</si>
  <si>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</si>
  <si>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</si>
  <si>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</si>
  <si>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</si>
  <si>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</si>
  <si>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</si>
  <si>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Lignin</t>
  </si>
  <si>
    <t>wt% (dry)</t>
  </si>
  <si>
    <t>Average</t>
  </si>
  <si>
    <t>Other</t>
  </si>
  <si>
    <t>Protein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</si>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</sst>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36823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IFERROR(5.42*(1-w),"")</f>
        <v/>
      </c>
      <c r="D20" s="13">
        <v>5.42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IFERROR(44.02*(1-w),"")</f>
        <v/>
      </c>
      <c r="D22" s="13">
        <v>44.02</v>
      </c>
      <c r="E22" s="13">
        <v>46.542609431169382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IFERROR(6.13*(1-w),"")</f>
        <v/>
      </c>
      <c r="D23" s="13">
        <v>6.13</v>
      </c>
      <c r="E23" s="13">
        <v>6.4812856840769717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IFERROR(44.64*(1-w),"")</f>
        <v/>
      </c>
      <c r="D24" s="13">
        <v>44.64</v>
      </c>
      <c r="E24" s="13">
        <v>47.198139141467543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IFERROR(0.93*(1-w),"")</f>
        <v/>
      </c>
      <c r="D25" s="13">
        <v>0.93</v>
      </c>
      <c r="E25" s="13">
        <v>0.98329456544724048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IFERROR(0.12*(1-w),"")</f>
        <v/>
      </c>
      <c r="D26" s="13">
        <v>0.12</v>
      </c>
      <c r="E26" s="13">
        <v>0.12687671812222456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IFERROR(101.26*(1-w)+w*100,"")</f>
        <v/>
      </c>
      <c r="D27" s="13">
        <v>101.26000000000002</v>
      </c>
      <c r="E27" s="13">
        <v>101.33220554028338</v>
      </c>
      <c r="F27" s="13"/>
      <c r="G27" s="13"/>
      <c r="I27" s="5"/>
      <c r="J27" s="0" t="s">
        <v>40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IFERROR(16.16233*(1-w)-w*2.443,"")</f>
        <v/>
      </c>
      <c r="D29" s="13">
        <v>16.16233</v>
      </c>
      <c r="E29" s="13">
        <v>17.088528230069784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IFERROR(17.5*(1-w),"")</f>
        <v/>
      </c>
      <c r="D30" s="13">
        <v>17.5</v>
      </c>
      <c r="E30" s="13">
        <v>18.50285472615775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IFERROR(17.5760805892*(1-w),"")</f>
        <v/>
      </c>
      <c r="D31" s="13">
        <v>17.576080589200004</v>
      </c>
      <c r="E31" s="13">
        <v>18.583295188411931</v>
      </c>
      <c r="F31" s="13"/>
      <c r="G31" s="13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3">
        <v>13.7</v>
      </c>
      <c r="D34" s="13"/>
      <c r="E34" s="13"/>
      <c r="F34" s="13"/>
      <c r="G34" s="13"/>
      <c r="I34" s="5"/>
      <c r="J34" s="0" t="s">
        <v>53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52</v>
      </c>
      <c r="C36" s="13">
        <v>5.3</v>
      </c>
      <c r="D36" s="13"/>
      <c r="E36" s="13"/>
      <c r="F36" s="13"/>
      <c r="G36" s="13"/>
      <c r="I36" s="5"/>
      <c r="J36" s="0" t="s">
        <v>53</v>
      </c>
    </row>
    <row r="37" outlineLevel="3">
      <c r="A37" s="15" t="s">
        <v>56</v>
      </c>
      <c r="B37" s="0" t="s">
        <v>52</v>
      </c>
      <c r="C37" s="13">
        <v>24.42</v>
      </c>
      <c r="D37" s="13"/>
      <c r="E37" s="13"/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6:E36"/>
    <mergeCell ref="C37:E3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https://phyllis.nl/Biomass/View/1841</dc:description>
  <dcterms:created xsi:type="dcterms:W3CDTF">2026-03-04T04:39:30Z</dcterms:created>
  <dc:title>Phyllis2 #1841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