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42 switchgrass" sheetId="1" r:id="rId1"/>
  </sheets>
  <definedNames>
    <definedName name="w" localSheetId="0">IF(ISBLANK('Phyllis2 #1842 switchgrass'!$C$19),#N/A,'Phyllis2 #1842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<sst xmlns="http://schemas.openxmlformats.org/spreadsheetml/2006/main" count="57" uniqueCount="57">
  <si>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</si>
  <si>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https://phyllis.nl/Biomass/View/1842</t>
  </si>
  <si>
    <t>switchgrass (#1842)</t>
  </si>
  <si>
    <t>ID-number</t>
  </si>
  <si>
    <t>#1842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</si>
  <si>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</si>
  <si>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</si>
  <si>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</si>
  <si>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</si>
  <si>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</si>
  <si>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</si>
  <si>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</si>
  <si>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</si>
  <si>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</si>
  <si>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Data are average of three analyses; deviation: C: +/- 0,11; H: 0,03; O: 0,08; N: 0,01, ash: 0,35. Glucan= 33,5 wt%; Mead, NE, USA</t>
  </si>
  <si>
    <t>Literature</t>
  </si>
  <si>
    <t>F.A.Agblevor, S.Besler-Guran, D.Montane and A.E.Wiselogel: Biomass feedstock variability and its effect on biocrude oil properties, Vol 1 (Ed. A.V.Bridgwater and D.G.B.Boocock), pp. 741-755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</si>
  <si>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</si>
  <si>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</si>
  <si>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</si>
  <si>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</si>
  <si>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</si>
  <si>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</si>
  <si>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</si>
  <si>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</si>
  <si>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</si>
  <si>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</si>
  <si>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</si>
  <si>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</si>
  <si>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</si>
  <si>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</si>
  <si>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</si>
  <si>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</si>
  <si>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</si>
  <si>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</si>
  <si>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</si>
  <si>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</si>
  <si>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</si>
  <si>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</si>
  <si>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</si>
  <si>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</si>
  <si>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</si>
  <si>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</si>
  <si>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</si>
  <si>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</si>
  <si>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</si>
  <si>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</si>
  <si>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</si>
  <si>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</si>
  <si>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</si>
  <si>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</si>
  <si>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Lignin</t>
  </si>
  <si>
    <t>wt% (dry)</t>
  </si>
  <si>
    <t>Average</t>
  </si>
  <si>
    <t>Other</t>
  </si>
  <si>
    <t>Protein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</si>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</sst>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36823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IFERROR(6.06*(1-w),"")</f>
        <v/>
      </c>
      <c r="D20" s="13">
        <v>6.06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IFERROR(44.08*(1-w),"")</f>
        <v/>
      </c>
      <c r="D22" s="13">
        <v>44.08</v>
      </c>
      <c r="E22" s="13">
        <v>46.923568235043639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IFERROR(6.13*(1-w),"")</f>
        <v/>
      </c>
      <c r="D23" s="13">
        <v>6.13</v>
      </c>
      <c r="E23" s="13">
        <v>6.52544177134341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IFERROR(44.37*(1-w),"")</f>
        <v/>
      </c>
      <c r="D24" s="13">
        <v>44.37</v>
      </c>
      <c r="E24" s="13">
        <v>47.232275920800511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IFERROR(0.91*(1-w),"")</f>
        <v/>
      </c>
      <c r="D25" s="13">
        <v>0.91</v>
      </c>
      <c r="E25" s="13">
        <v>0.96870342771982121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IFERROR(0.12*(1-w),"")</f>
        <v/>
      </c>
      <c r="D26" s="13">
        <v>0.12</v>
      </c>
      <c r="E26" s="13">
        <v>0.12774111134766872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IFERROR(101.67*(1-w)+w*100,"")</f>
        <v/>
      </c>
      <c r="D27" s="13">
        <v>101.67</v>
      </c>
      <c r="E27" s="13">
        <v>101.77773046625505</v>
      </c>
      <c r="F27" s="13"/>
      <c r="G27" s="13"/>
      <c r="I27" s="5"/>
      <c r="J27" s="0" t="s">
        <v>40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IFERROR(16.16233*(1-w)-w*2.443,"")</f>
        <v/>
      </c>
      <c r="D29" s="13">
        <v>16.16233</v>
      </c>
      <c r="E29" s="13">
        <v>17.204949968064724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IFERROR(17.5*(1-w),"")</f>
        <v/>
      </c>
      <c r="D30" s="13">
        <v>17.5</v>
      </c>
      <c r="E30" s="13">
        <v>18.628912071535023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IFERROR(17.6226727108*(1-w),"")</f>
        <v/>
      </c>
      <c r="D31" s="13">
        <v>17.6226727108</v>
      </c>
      <c r="E31" s="13">
        <v>18.759498308281881</v>
      </c>
      <c r="F31" s="13"/>
      <c r="G31" s="13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3">
        <v>12.1</v>
      </c>
      <c r="D34" s="13"/>
      <c r="E34" s="13"/>
      <c r="F34" s="13"/>
      <c r="G34" s="13"/>
      <c r="I34" s="5"/>
      <c r="J34" s="0" t="s">
        <v>53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52</v>
      </c>
      <c r="C36" s="13">
        <v>6.9</v>
      </c>
      <c r="D36" s="13"/>
      <c r="E36" s="13"/>
      <c r="F36" s="13"/>
      <c r="G36" s="13"/>
      <c r="I36" s="5"/>
      <c r="J36" s="0" t="s">
        <v>53</v>
      </c>
    </row>
    <row r="37" outlineLevel="3">
      <c r="A37" s="15" t="s">
        <v>56</v>
      </c>
      <c r="B37" s="0" t="s">
        <v>52</v>
      </c>
      <c r="C37" s="13">
        <v>25.06</v>
      </c>
      <c r="D37" s="13"/>
      <c r="E37" s="13"/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6:E36"/>
    <mergeCell ref="C37:E3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https://phyllis.nl/Biomass/View/1842</dc:description>
  <dcterms:created xsi:type="dcterms:W3CDTF">2026-03-04T04:39:34Z</dcterms:created>
  <dc:title>Phyllis2 #1842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