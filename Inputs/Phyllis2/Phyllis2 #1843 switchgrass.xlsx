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43 switchgrass" sheetId="1" r:id="rId1"/>
  </sheets>
  <definedNames>
    <definedName name="w" localSheetId="0">IF(ISBLANK('Phyllis2 #1843 switchgrass'!$C$19),#N/A,'Phyllis2 #1843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<sst xmlns="http://schemas.openxmlformats.org/spreadsheetml/2006/main" count="57" uniqueCount="57">
  <si>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</si>
  <si>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https://phyllis.nl/Biomass/View/1843</t>
  </si>
  <si>
    <t>switchgrass (#1843)</t>
  </si>
  <si>
    <t>ID-number</t>
  </si>
  <si>
    <t>#1843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</si>
  <si>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</si>
  <si>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</si>
  <si>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</si>
  <si>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</si>
  <si>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</si>
  <si>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</si>
  <si>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</si>
  <si>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</si>
  <si>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</si>
  <si>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Data are average of three analyses; deviation: C: +/- 0,16; H: 0,05; O: 0,08; N: 0, ash: 0,25. Glucan= 32,0 wt%; Ames, IA, USA</t>
  </si>
  <si>
    <t>Literature</t>
  </si>
  <si>
    <t>F.A.Agblevor, S.Besler-Guran, D.Montane and A.E.Wiselogel: Biomass feedstock variability and its effect on biocrude oil properties, Vol 1 (Ed. A.V.Bridgwater and D.G.B.Boocock), pp. 741-755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</si>
  <si>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</si>
  <si>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</si>
  <si>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</si>
  <si>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</si>
  <si>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</si>
  <si>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</si>
  <si>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</si>
  <si>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</si>
  <si>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</si>
  <si>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</si>
  <si>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</si>
  <si>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</si>
  <si>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</si>
  <si>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</si>
  <si>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</si>
  <si>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</si>
  <si>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</si>
  <si>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</si>
  <si>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</si>
  <si>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</si>
  <si>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</si>
  <si>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</si>
  <si>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</si>
  <si>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</si>
  <si>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</si>
  <si>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</si>
  <si>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</si>
  <si>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</si>
  <si>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</si>
  <si>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</si>
  <si>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</si>
  <si>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</si>
  <si>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</si>
  <si>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</si>
  <si>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Lignin</t>
  </si>
  <si>
    <t>wt% (dry)</t>
  </si>
  <si>
    <t>Average</t>
  </si>
  <si>
    <t>Other</t>
  </si>
  <si>
    <t>Protein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</si>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</sst>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36823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IFERROR(5.41*(1-w),"")</f>
        <v/>
      </c>
      <c r="D20" s="13">
        <v>5.41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IFERROR(43.47*(1-w),"")</f>
        <v/>
      </c>
      <c r="D22" s="13">
        <v>43.47</v>
      </c>
      <c r="E22" s="13">
        <v>45.956232159847765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IFERROR(6.18*(1-w),"")</f>
        <v/>
      </c>
      <c r="D23" s="13">
        <v>6.18</v>
      </c>
      <c r="E23" s="13">
        <v>6.5334601966381225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IFERROR(44.82*(1-w),"")</f>
        <v/>
      </c>
      <c r="D24" s="13">
        <v>44.82</v>
      </c>
      <c r="E24" s="13">
        <v>47.383444338725027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IFERROR(0.76*(1-w),"")</f>
        <v/>
      </c>
      <c r="D25" s="13">
        <v>0.76</v>
      </c>
      <c r="E25" s="13">
        <v>0.80346759699756853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IFERROR(0.09*(1-w),"")</f>
        <v/>
      </c>
      <c r="D26" s="13">
        <v>0.09</v>
      </c>
      <c r="E26" s="13">
        <v>0.095147478591817311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IFERROR(100.73*(1-w)+w*100,"")</f>
        <v/>
      </c>
      <c r="D27" s="13">
        <v>100.73</v>
      </c>
      <c r="E27" s="13">
        <v>100.77175177080031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IFERROR(15.95142*(1-w)-w*2.443,"")</f>
        <v/>
      </c>
      <c r="D29" s="13">
        <v>15.95142</v>
      </c>
      <c r="E29" s="13">
        <v>16.863748810656517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IFERROR(17.3*(1-w),"")</f>
        <v/>
      </c>
      <c r="D30" s="13">
        <v>17.3</v>
      </c>
      <c r="E30" s="13">
        <v>18.289459773760441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IFERROR(17.4515090193*(1-w),"")</f>
        <v/>
      </c>
      <c r="D31" s="13">
        <v>17.451509019300005</v>
      </c>
      <c r="E31" s="13">
        <v>18.449634231208378</v>
      </c>
      <c r="F31" s="13"/>
      <c r="G31" s="13"/>
      <c r="I31" s="5"/>
      <c r="J31" s="0" t="s">
        <v>43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3">
        <v>11</v>
      </c>
      <c r="D34" s="13"/>
      <c r="E34" s="13"/>
      <c r="F34" s="13"/>
      <c r="G34" s="13"/>
      <c r="I34" s="5"/>
      <c r="J34" s="0" t="s">
        <v>53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52</v>
      </c>
      <c r="C36" s="13">
        <v>6.9</v>
      </c>
      <c r="D36" s="13"/>
      <c r="E36" s="13"/>
      <c r="F36" s="13"/>
      <c r="G36" s="13"/>
      <c r="I36" s="5"/>
      <c r="J36" s="0" t="s">
        <v>53</v>
      </c>
    </row>
    <row r="37" outlineLevel="3">
      <c r="A37" s="15" t="s">
        <v>56</v>
      </c>
      <c r="B37" s="0" t="s">
        <v>52</v>
      </c>
      <c r="C37" s="13">
        <v>23.31</v>
      </c>
      <c r="D37" s="13"/>
      <c r="E37" s="13"/>
      <c r="F37" s="13"/>
      <c r="G37" s="13"/>
      <c r="I37" s="5"/>
      <c r="J37" s="0" t="s">
        <v>43</v>
      </c>
    </row>
    <row r="38">
      <c r="I38" s="5"/>
    </row>
    <row r="3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6:E36"/>
    <mergeCell ref="C37:E3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https://phyllis.nl/Biomass/View/1843</dc:description>
  <dcterms:created xsi:type="dcterms:W3CDTF">2026-03-04T04:41:02Z</dcterms:created>
  <dc:title>Phyllis2 #1843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