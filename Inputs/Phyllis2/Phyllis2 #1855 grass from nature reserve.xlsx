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55 grass from natur" sheetId="1" r:id="rId1"/>
  </sheets>
  <definedNames>
    <definedName name="w" localSheetId="0">IF(ISBLANK('Phyllis2 #1855 grass from natur'!$C$20),#N/A,'Phyllis2 #1855 grass from natur'!$C$20/100)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<sst xmlns="http://schemas.openxmlformats.org/spreadsheetml/2006/main" count="77" uniqueCount="77">
  <si>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</si>
  <si>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https://phyllis.nl/Biomass/View/1855</t>
  </si>
  <si>
    <t>grass from nature reserve (#1855)</t>
  </si>
  <si>
    <t>ID-number</t>
  </si>
  <si>
    <t>#1855</t>
  </si>
  <si>
    <t>Material</t>
  </si>
  <si>
    <t>grass from nature reserve</t>
  </si>
  <si>
    <t>Classification</t>
  </si>
  <si>
    <t>ECN Phyllis classification &gt; grass/plant &gt; other grass &gt; grass from nature reserve</t>
  </si>
  <si>
    <t>NTA 8003 classification &gt; [200] biomassa uit land- en tuinbouw &gt; [210] gras &gt; [211] mengsel gras</t>
  </si>
  <si>
    <t>Ash type</t>
  </si>
  <si>
    <t>550 degC</t>
  </si>
  <si>
    <t>Submitter organisation</t>
  </si>
  <si>
    <t>ECN (Netherlands)</t>
  </si>
  <si>
    <t>Submission date</t>
  </si>
  <si>
    <t>Remarks</t>
  </si>
  <si>
    <t>grasses (and plants) from Wieden, the Netherlands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</si>
  <si>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</si>
  <si>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</si>
  <si>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</si>
  <si>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</si>
  <si>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</si>
  <si>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</si>
  <si>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</si>
  <si>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</si>
  <si>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</si>
  <si>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</si>
  <si>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</si>
  <si>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</si>
  <si>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</si>
  <si>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</si>
  <si>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</si>
  <si>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</si>
  <si>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</si>
  <si>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</si>
  <si>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</si>
  <si>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</si>
  <si>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</si>
  <si>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</si>
  <si>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</si>
  <si>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</si>
  <si>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</si>
  <si>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</si>
  <si>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</si>
  <si>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</si>
  <si>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</si>
  <si>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</si>
  <si>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</si>
  <si>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</si>
  <si>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</si>
  <si>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</si>
  <si>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</si>
  <si>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</si>
  <si>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</si>
  <si>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</si>
  <si>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</si>
  <si>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</si>
  <si>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</si>
  <si>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</si>
  <si>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</si>
  <si>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</si>
  <si>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</si>
  <si>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</si>
  <si>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</si>
  <si>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</si>
  <si>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</si>
  <si>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</si>
  <si>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</si>
  <si>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</si>
  <si>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</si>
  <si>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</si>
  <si>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</si>
  <si>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Antimony (Sb)</t>
  </si>
  <si>
    <t>Silicon (Si)</t>
  </si>
  <si>
    <t>Strontium (Sr)</t>
  </si>
  <si>
    <t>Titanium (Ti)</t>
  </si>
  <si>
    <t>Vanadium (V)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</si>
</sst>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36847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IFERROR(6.8*(1-w),"")</f>
        <v/>
      </c>
      <c r="D21" s="13">
        <v>6.8</v>
      </c>
      <c r="E21" s="13">
        <v/>
      </c>
      <c r="F21" s="13"/>
      <c r="G21" s="13"/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36</v>
      </c>
      <c r="C23" s="13">
        <f>IFERROR(45.6*(1-w),"")</f>
        <v/>
      </c>
      <c r="D23" s="13">
        <v>45.6</v>
      </c>
      <c r="E23" s="13">
        <v>48.927038626609445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36</v>
      </c>
      <c r="C24" s="13">
        <f>IFERROR(6.1*(1-w),"")</f>
        <v/>
      </c>
      <c r="D24" s="13">
        <v>6.1</v>
      </c>
      <c r="E24" s="13">
        <v>6.5450643776824036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36</v>
      </c>
      <c r="C25" s="13">
        <f>IFERROR(39.3*(1-w),"")</f>
        <v/>
      </c>
      <c r="D25" s="13">
        <v>39.3</v>
      </c>
      <c r="E25" s="13">
        <v>42.167381974248926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36</v>
      </c>
      <c r="C26" s="13">
        <f>IFERROR(1.47*(1-w),"")</f>
        <v/>
      </c>
      <c r="D26" s="13">
        <v>1.47</v>
      </c>
      <c r="E26" s="13">
        <v>1.5772532188841202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36</v>
      </c>
      <c r="C27" s="13">
        <f>IFERROR(0.188*(1-w),"")</f>
        <v/>
      </c>
      <c r="D27" s="13">
        <v>0.188</v>
      </c>
      <c r="E27" s="13">
        <v>0.20171673819742492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36</v>
      </c>
      <c r="C28" s="13">
        <f>IFERROR(99.772*(1-w)+w*100,"")</f>
        <v/>
      </c>
      <c r="D28" s="13">
        <v>99.771999999999991</v>
      </c>
      <c r="E28" s="13">
        <v>99.75536480686695</v>
      </c>
      <c r="F28" s="13"/>
      <c r="G28" s="13"/>
      <c r="I28" s="5"/>
      <c r="J28" s="0" t="s">
        <v>45</v>
      </c>
    </row>
    <row r="29" outlineLevel="1">
      <c r="A29" s="11" t="s">
        <v>46</v>
      </c>
      <c r="I29" s="5"/>
    </row>
    <row r="30" outlineLevel="2">
      <c r="A30" s="12" t="s">
        <v>47</v>
      </c>
      <c r="B30" s="0" t="s">
        <v>48</v>
      </c>
      <c r="C30" s="14">
        <f>IFERROR(3140*(1-w),"")</f>
        <v/>
      </c>
      <c r="D30" s="14">
        <v>3140</v>
      </c>
      <c r="E30" s="14">
        <v>3369.0987124463522</v>
      </c>
      <c r="F30" s="14"/>
      <c r="G30" s="14"/>
      <c r="I30" s="5"/>
      <c r="J30" s="0" t="s">
        <v>39</v>
      </c>
    </row>
    <row r="31" outlineLevel="1">
      <c r="A31" s="11" t="s">
        <v>49</v>
      </c>
      <c r="I31" s="5"/>
    </row>
    <row r="32" outlineLevel="2">
      <c r="A32" s="12" t="s">
        <v>50</v>
      </c>
      <c r="B32" s="0" t="s">
        <v>51</v>
      </c>
      <c r="C32" s="13">
        <f>IFERROR(16.90888*(1-w)-w*2.443,"")</f>
        <v/>
      </c>
      <c r="D32" s="13">
        <v>16.90888</v>
      </c>
      <c r="E32" s="13">
        <v>18.142575107296139</v>
      </c>
      <c r="F32" s="13"/>
      <c r="G32" s="13"/>
      <c r="I32" s="5"/>
    </row>
    <row r="33" outlineLevel="2">
      <c r="A33" s="12" t="s">
        <v>52</v>
      </c>
      <c r="B33" s="0" t="s">
        <v>51</v>
      </c>
      <c r="C33" s="13">
        <f>IFERROR(18.24*(1-w),"")</f>
        <v/>
      </c>
      <c r="D33" s="13">
        <v>18.24</v>
      </c>
      <c r="E33" s="13">
        <v>19.570815450643778</v>
      </c>
      <c r="F33" s="13"/>
      <c r="G33" s="13"/>
      <c r="I33" s="5"/>
    </row>
    <row r="34" outlineLevel="2">
      <c r="A34" s="12" t="s">
        <v>53</v>
      </c>
      <c r="B34" s="0" t="s">
        <v>51</v>
      </c>
      <c r="C34" s="13">
        <f>IFERROR(18.63733152*(1-w),"")</f>
        <v/>
      </c>
      <c r="D34" s="13">
        <v>18.637331520000004</v>
      </c>
      <c r="E34" s="13">
        <v>19.997136824034339</v>
      </c>
      <c r="F34" s="13"/>
      <c r="G34" s="13"/>
      <c r="I34" s="5"/>
      <c r="J34" s="0" t="s">
        <v>45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v>127</v>
      </c>
      <c r="D36" s="14"/>
      <c r="E36" s="14"/>
      <c r="F36" s="14"/>
      <c r="G36" s="14"/>
      <c r="I36" s="5"/>
      <c r="J36" s="0" t="s">
        <v>39</v>
      </c>
    </row>
    <row r="37" outlineLevel="2">
      <c r="A37" s="12" t="s">
        <v>57</v>
      </c>
      <c r="B37" s="0" t="s">
        <v>56</v>
      </c>
      <c r="C37" s="14">
        <v>1.2</v>
      </c>
      <c r="D37" s="14"/>
      <c r="E37" s="14"/>
      <c r="F37" s="14"/>
      <c r="G37" s="14"/>
      <c r="I37" s="5"/>
      <c r="J37" s="0" t="s">
        <v>39</v>
      </c>
    </row>
    <row r="38" outlineLevel="2">
      <c r="A38" s="12" t="s">
        <v>58</v>
      </c>
      <c r="B38" s="0" t="s">
        <v>56</v>
      </c>
      <c r="C38" s="14">
        <v>12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59</v>
      </c>
      <c r="B39" s="0" t="s">
        <v>56</v>
      </c>
      <c r="C39" s="14">
        <v>39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60</v>
      </c>
      <c r="B40" s="0" t="s">
        <v>56</v>
      </c>
      <c r="C40" s="14">
        <v>6600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61</v>
      </c>
      <c r="B41" s="0" t="s">
        <v>56</v>
      </c>
      <c r="C41" s="14">
        <v>0.11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62</v>
      </c>
      <c r="B42" s="0" t="s">
        <v>56</v>
      </c>
      <c r="C42" s="14">
        <v>0.09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63</v>
      </c>
      <c r="B43" s="0" t="s">
        <v>56</v>
      </c>
      <c r="C43" s="14">
        <v>0.32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64</v>
      </c>
      <c r="B44" s="0" t="s">
        <v>56</v>
      </c>
      <c r="C44" s="14">
        <v>5.1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65</v>
      </c>
      <c r="B45" s="0" t="s">
        <v>56</v>
      </c>
      <c r="C45" s="14">
        <v>240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66</v>
      </c>
      <c r="B46" s="0" t="s">
        <v>56</v>
      </c>
      <c r="C46" s="14">
        <v>5200</v>
      </c>
      <c r="D46" s="14"/>
      <c r="E46" s="14"/>
      <c r="F46" s="14"/>
      <c r="G46" s="14"/>
      <c r="I46" s="5"/>
      <c r="J46" s="0" t="s">
        <v>39</v>
      </c>
    </row>
    <row r="47" outlineLevel="2">
      <c r="A47" s="12" t="s">
        <v>67</v>
      </c>
      <c r="B47" s="0" t="s">
        <v>56</v>
      </c>
      <c r="C47" s="14">
        <v>2500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68</v>
      </c>
      <c r="B48" s="0" t="s">
        <v>56</v>
      </c>
      <c r="C48" s="14">
        <v>290</v>
      </c>
      <c r="D48" s="14"/>
      <c r="E48" s="14"/>
      <c r="F48" s="14"/>
      <c r="G48" s="14"/>
      <c r="I48" s="5"/>
      <c r="J48" s="0" t="s">
        <v>39</v>
      </c>
    </row>
    <row r="49" outlineLevel="2">
      <c r="A49" s="12" t="s">
        <v>69</v>
      </c>
      <c r="B49" s="0" t="s">
        <v>56</v>
      </c>
      <c r="C49" s="14">
        <v>1700</v>
      </c>
      <c r="D49" s="14"/>
      <c r="E49" s="14"/>
      <c r="F49" s="14"/>
      <c r="G49" s="14"/>
      <c r="I49" s="5"/>
      <c r="J49" s="0" t="s">
        <v>39</v>
      </c>
    </row>
    <row r="50" outlineLevel="2">
      <c r="A50" s="12" t="s">
        <v>70</v>
      </c>
      <c r="B50" s="0" t="s">
        <v>56</v>
      </c>
      <c r="C50" s="14">
        <v>0.5</v>
      </c>
      <c r="D50" s="14"/>
      <c r="E50" s="14"/>
      <c r="F50" s="14"/>
      <c r="G50" s="14"/>
      <c r="I50" s="5"/>
      <c r="J50" s="0" t="s">
        <v>39</v>
      </c>
    </row>
    <row r="51" outlineLevel="2">
      <c r="A51" s="12" t="s">
        <v>71</v>
      </c>
      <c r="B51" s="0" t="s">
        <v>56</v>
      </c>
      <c r="C51" s="14">
        <v>1400</v>
      </c>
      <c r="D51" s="14"/>
      <c r="E51" s="14"/>
      <c r="F51" s="14"/>
      <c r="G51" s="14"/>
      <c r="I51" s="5"/>
      <c r="J51" s="0" t="s">
        <v>39</v>
      </c>
    </row>
    <row r="52" outlineLevel="2">
      <c r="A52" s="12" t="s">
        <v>72</v>
      </c>
      <c r="B52" s="0" t="s">
        <v>56</v>
      </c>
      <c r="C52" s="14">
        <v>0.94</v>
      </c>
      <c r="D52" s="14"/>
      <c r="E52" s="14"/>
      <c r="F52" s="14"/>
      <c r="G52" s="14"/>
      <c r="I52" s="5"/>
      <c r="J52" s="0" t="s">
        <v>39</v>
      </c>
    </row>
    <row r="53" outlineLevel="2">
      <c r="A53" s="12" t="s">
        <v>73</v>
      </c>
      <c r="B53" s="0" t="s">
        <v>56</v>
      </c>
      <c r="C53" s="14">
        <v>11300</v>
      </c>
      <c r="D53" s="14"/>
      <c r="E53" s="14"/>
      <c r="F53" s="14"/>
      <c r="G53" s="14"/>
      <c r="I53" s="5"/>
      <c r="J53" s="0" t="s">
        <v>39</v>
      </c>
    </row>
    <row r="54" outlineLevel="2">
      <c r="A54" s="12" t="s">
        <v>74</v>
      </c>
      <c r="B54" s="0" t="s">
        <v>56</v>
      </c>
      <c r="C54" s="14">
        <v>24</v>
      </c>
      <c r="D54" s="14"/>
      <c r="E54" s="14"/>
      <c r="F54" s="14"/>
      <c r="G54" s="14"/>
      <c r="I54" s="5"/>
      <c r="J54" s="0" t="s">
        <v>39</v>
      </c>
    </row>
    <row r="55" outlineLevel="2">
      <c r="A55" s="12" t="s">
        <v>75</v>
      </c>
      <c r="B55" s="0" t="s">
        <v>56</v>
      </c>
      <c r="C55" s="14">
        <v>6.6</v>
      </c>
      <c r="D55" s="14"/>
      <c r="E55" s="14"/>
      <c r="F55" s="14"/>
      <c r="G55" s="14"/>
      <c r="I55" s="5"/>
      <c r="J55" s="0" t="s">
        <v>39</v>
      </c>
    </row>
    <row r="56" outlineLevel="2">
      <c r="A56" s="12" t="s">
        <v>76</v>
      </c>
      <c r="B56" s="0" t="s">
        <v>56</v>
      </c>
      <c r="C56" s="14">
        <v>0.5</v>
      </c>
      <c r="D56" s="14"/>
      <c r="E56" s="14"/>
      <c r="F56" s="14"/>
      <c r="G56" s="14"/>
      <c r="I56" s="5"/>
      <c r="J56" s="0" t="s">
        <v>39</v>
      </c>
    </row>
    <row r="57">
      <c r="I57" s="5"/>
    </row>
    <row r="58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https://phyllis.nl/Biomass/View/1855</dc:description>
  <dcterms:created xsi:type="dcterms:W3CDTF">2026-03-04T04:24:53Z</dcterms:created>
  <dc:title>Phyllis2 #1855 grass from nature reserve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