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1861 wood, eucalyptus" sheetId="1" r:id="rId1"/>
  </sheets>
  <definedNames>
    <definedName name="w" localSheetId="0">IF(ISBLANK('Phyllis2 #1861 wood, eucalyptus'!$C$19),#N/A,'Phyllis2 #1861 wood, eucalyptus'!$C$19/100)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6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6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6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<sst xmlns="http://schemas.openxmlformats.org/spreadsheetml/2006/main" count="51" uniqueCount="51">
  <si>
    <t>Phyllis2</t>
  </si>
  <si>
    <t>https://phyllis.nl/Biomass/View/1861</t>
  </si>
  <si>
    <t>wood, eucalyptus (#1861)</t>
  </si>
  <si>
    <t>ID-number</t>
  </si>
  <si>
    <t>#1861</t>
  </si>
  <si>
    <t>Material</t>
  </si>
  <si>
    <t>wood, eucalyptus</t>
  </si>
  <si>
    <t>Classification</t>
  </si>
  <si>
    <t>ECN Phyllis classification &gt; untreated wood &gt; other hard wood &gt; wood, eucalyptus</t>
  </si>
  <si>
    <t>NTA 8003 classification &gt; [100] hout &gt; [110] vers hout &gt; [120] loofhout &gt; [125] hard loofhout</t>
  </si>
  <si>
    <t>Ash type</t>
  </si>
  <si>
    <t>550 degC</t>
  </si>
  <si>
    <t>Submitter organisation</t>
  </si>
  <si>
    <t>ECN (Netherlands)</t>
  </si>
  <si>
    <t>Submission date</t>
  </si>
  <si>
    <t>Literature</t>
  </si>
  <si>
    <t>CIEMAT laboratories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</si>
  <si>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</si>
  <si>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</si>
  <si>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</si>
  <si>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</si>
  <si>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</si>
  <si>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</si>
  <si>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</si>
  <si>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</si>
  <si>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</si>
  <si>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</si>
  <si>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</si>
  <si>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</si>
  <si>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</si>
  <si>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</si>
  <si>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</si>
  <si>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</si>
  <si>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</si>
  <si>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Ash content</t>
  </si>
  <si>
    <t>Volatile matter</t>
  </si>
  <si>
    <t>Fixed carbon</t>
  </si>
  <si>
    <t>Calculated</t>
  </si>
  <si>
    <t>Ultimate analysis (macroelements)</t>
  </si>
  <si>
    <t>Carbon</t>
  </si>
  <si>
    <t>Measured</t>
  </si>
  <si>
    <t>Hydrogen</t>
  </si>
  <si>
    <t>Oxygen</t>
  </si>
  <si>
    <t>Nitrogen</t>
  </si>
  <si>
    <t>Sulphur</t>
  </si>
  <si>
    <t>Total (with halides)</t>
  </si>
  <si>
    <t>Heating value</t>
  </si>
  <si>
    <t>Net calorific value (LHV)</t>
  </si>
  <si>
    <t>MJ/kg</t>
  </si>
  <si>
    <t>Gross calorific value (HHV)</t>
  </si>
  <si>
    <t>HHVMilne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</si>
</sst>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0.0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4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1861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34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8" t="s">
        <v>7</v>
      </c>
      <c r="B7" s="0" t="s">
        <v>8</v>
      </c>
    </row>
    <row r="8" outlineLevel="1">
      <c r="A8" s="8"/>
      <c r="B8" s="0" t="s">
        <v>9</v>
      </c>
    </row>
    <row r="9" outlineLevel="1">
      <c r="A9" s="7" t="s">
        <v>10</v>
      </c>
      <c r="B9" s="0" t="s">
        <v>11</v>
      </c>
    </row>
    <row r="10" outlineLevel="1">
      <c r="A10" s="7" t="s">
        <v>12</v>
      </c>
      <c r="B10" s="0" t="s">
        <v>13</v>
      </c>
    </row>
    <row r="11" outlineLevel="1">
      <c r="A11" s="7" t="s">
        <v>14</v>
      </c>
      <c r="B11" s="6">
        <v>36873</v>
      </c>
    </row>
    <row r="12" outlineLevel="1">
      <c r="A12" s="7" t="s">
        <v>15</v>
      </c>
      <c r="B12" s="0" t="s">
        <v>16</v>
      </c>
    </row>
    <row r="13">
      <c r="A13" s="7"/>
    </row>
    <row r="14" s="1" customFormat="1">
      <c r="A14" s="9" t="s">
        <v>17</v>
      </c>
    </row>
    <row r="15" s="1" customFormat="1">
      <c r="A15" s="10" t="s">
        <v>18</v>
      </c>
      <c r="B15" s="10" t="s">
        <v>19</v>
      </c>
      <c r="C15" s="10" t="s">
        <v>20</v>
      </c>
      <c r="D15" s="10"/>
      <c r="E15" s="10"/>
      <c r="F15" s="10" t="s">
        <v>21</v>
      </c>
      <c r="G15" s="10" t="s">
        <v>22</v>
      </c>
      <c r="H15" s="10" t="s">
        <v>23</v>
      </c>
      <c r="I15" s="10" t="s">
        <v>24</v>
      </c>
      <c r="J15" s="10" t="s">
        <v>25</v>
      </c>
      <c r="K15" s="10" t="s">
        <v>26</v>
      </c>
      <c r="L15" s="10"/>
    </row>
    <row r="16" s="1" customFormat="1">
      <c r="A16" s="10"/>
      <c r="B16" s="10"/>
      <c r="C16" s="10" t="s">
        <v>27</v>
      </c>
      <c r="D16" s="10" t="s">
        <v>28</v>
      </c>
      <c r="E16" s="10" t="s">
        <v>29</v>
      </c>
      <c r="F16" s="10"/>
      <c r="G16" s="10"/>
      <c r="H16" s="10"/>
      <c r="I16" s="10"/>
      <c r="J16" s="10"/>
      <c r="K16" s="10"/>
      <c r="L16" s="10"/>
    </row>
    <row r="17">
      <c r="A17" s="7" t="s">
        <v>30</v>
      </c>
      <c r="I17" s="5"/>
    </row>
    <row r="18" outlineLevel="1">
      <c r="A18" s="11" t="s">
        <v>31</v>
      </c>
      <c r="I18" s="5"/>
    </row>
    <row r="19" outlineLevel="2">
      <c r="A19" s="12" t="s">
        <v>32</v>
      </c>
      <c r="B19" s="0" t="s">
        <v>33</v>
      </c>
      <c r="C19" s="13">
        <v>8.6</v>
      </c>
      <c r="D19" s="13"/>
      <c r="E19" s="13"/>
      <c r="F19" s="13"/>
      <c r="G19" s="13"/>
      <c r="I19" s="5"/>
    </row>
    <row r="20" outlineLevel="2">
      <c r="A20" s="12" t="s">
        <v>34</v>
      </c>
      <c r="B20" s="0" t="s">
        <v>33</v>
      </c>
      <c r="C20" s="13">
        <f>IFERROR(3*(1-w),"")</f>
        <v>2.742</v>
      </c>
      <c r="D20" s="13">
        <v>3</v>
      </c>
      <c r="E20" s="13">
        <v/>
      </c>
      <c r="F20" s="13"/>
      <c r="G20" s="13"/>
      <c r="I20" s="5"/>
    </row>
    <row r="21" outlineLevel="2">
      <c r="A21" s="12" t="s">
        <v>35</v>
      </c>
      <c r="B21" s="0" t="s">
        <v>33</v>
      </c>
      <c r="C21" s="13">
        <f>IFERROR(89.1*(1-w),"")</f>
        <v>81.4374</v>
      </c>
      <c r="D21" s="13">
        <v>89.1</v>
      </c>
      <c r="E21" s="13">
        <v>91.855670103092777</v>
      </c>
      <c r="F21" s="13"/>
      <c r="G21" s="13"/>
      <c r="I21" s="5"/>
    </row>
    <row r="22" outlineLevel="2">
      <c r="A22" s="12" t="s">
        <v>36</v>
      </c>
      <c r="B22" s="0" t="s">
        <v>33</v>
      </c>
      <c r="C22" s="13">
        <f>IFERROR(7.90000000000001*(1-w),"")</f>
        <v>7.2206000000000055</v>
      </c>
      <c r="D22" s="13">
        <v>7.9000000000000057</v>
      </c>
      <c r="E22" s="13">
        <v>8.1443298969072231</v>
      </c>
      <c r="F22" s="13"/>
      <c r="G22" s="13"/>
      <c r="I22" s="5"/>
      <c r="J22" s="0" t="s">
        <v>37</v>
      </c>
    </row>
    <row r="23" outlineLevel="1">
      <c r="A23" s="11" t="s">
        <v>38</v>
      </c>
      <c r="I23" s="5"/>
    </row>
    <row r="24" outlineLevel="2">
      <c r="A24" s="12" t="s">
        <v>39</v>
      </c>
      <c r="B24" s="0" t="s">
        <v>33</v>
      </c>
      <c r="C24" s="13">
        <f>IFERROR(48.5*(1-w),"")</f>
        <v>44.329</v>
      </c>
      <c r="D24" s="13">
        <v>48.5</v>
      </c>
      <c r="E24" s="13">
        <v>50</v>
      </c>
      <c r="F24" s="13"/>
      <c r="G24" s="13"/>
      <c r="I24" s="5"/>
      <c r="J24" s="0" t="s">
        <v>40</v>
      </c>
    </row>
    <row r="25" outlineLevel="2">
      <c r="A25" s="12" t="s">
        <v>41</v>
      </c>
      <c r="B25" s="0" t="s">
        <v>33</v>
      </c>
      <c r="C25" s="13">
        <f>IFERROR(6.2371*(1-w),"")</f>
        <v>5.7007094</v>
      </c>
      <c r="D25" s="13">
        <v>6.2371</v>
      </c>
      <c r="E25" s="13">
        <v>6.43</v>
      </c>
      <c r="F25" s="13"/>
      <c r="G25" s="13"/>
      <c r="I25" s="5"/>
      <c r="J25" s="0" t="s">
        <v>40</v>
      </c>
    </row>
    <row r="26" outlineLevel="2">
      <c r="A26" s="12" t="s">
        <v>42</v>
      </c>
      <c r="B26" s="0" t="s">
        <v>33</v>
      </c>
      <c r="C26" s="13">
        <f>IFERROR(41.6*(1-w),"")</f>
        <v>38.022400000000005</v>
      </c>
      <c r="D26" s="13">
        <v>41.6</v>
      </c>
      <c r="E26" s="13">
        <v>42.886597938144334</v>
      </c>
      <c r="F26" s="13"/>
      <c r="G26" s="13"/>
      <c r="I26" s="5"/>
      <c r="J26" s="0" t="s">
        <v>37</v>
      </c>
    </row>
    <row r="27" outlineLevel="2">
      <c r="A27" s="12" t="s">
        <v>43</v>
      </c>
      <c r="B27" s="0" t="s">
        <v>33</v>
      </c>
      <c r="C27" s="13">
        <f>IFERROR(0.6208*(1-w),"")</f>
        <v>0.5674112</v>
      </c>
      <c r="D27" s="13">
        <v>0.6208</v>
      </c>
      <c r="E27" s="13">
        <v>0.64</v>
      </c>
      <c r="F27" s="13"/>
      <c r="G27" s="13"/>
      <c r="I27" s="5"/>
      <c r="J27" s="0" t="s">
        <v>40</v>
      </c>
    </row>
    <row r="28" outlineLevel="2">
      <c r="A28" s="12" t="s">
        <v>44</v>
      </c>
      <c r="B28" s="0" t="s">
        <v>33</v>
      </c>
      <c r="C28" s="13">
        <f>IFERROR(0.0388*(1-w),"")</f>
        <v>0.0354632</v>
      </c>
      <c r="D28" s="13">
        <v>0.0388</v>
      </c>
      <c r="E28" s="13">
        <v>0.04</v>
      </c>
      <c r="F28" s="13"/>
      <c r="G28" s="13"/>
      <c r="I28" s="5"/>
      <c r="J28" s="0" t="s">
        <v>40</v>
      </c>
    </row>
    <row r="29" outlineLevel="2">
      <c r="A29" s="12" t="s">
        <v>45</v>
      </c>
      <c r="B29" s="0" t="s">
        <v>33</v>
      </c>
      <c r="C29" s="13">
        <f>IFERROR(99.9967*(1-w)+w*100,"")</f>
        <v>99.9969838</v>
      </c>
      <c r="D29" s="13">
        <v>99.99669999999999</v>
      </c>
      <c r="E29" s="13">
        <v>99.996597938144319</v>
      </c>
      <c r="F29" s="13"/>
      <c r="G29" s="13"/>
      <c r="I29" s="5"/>
      <c r="J29" s="0" t="s">
        <v>37</v>
      </c>
    </row>
    <row r="30" outlineLevel="1">
      <c r="A30" s="11" t="s">
        <v>46</v>
      </c>
      <c r="I30" s="5"/>
    </row>
    <row r="31" outlineLevel="2">
      <c r="A31" s="12" t="s">
        <v>47</v>
      </c>
      <c r="B31" s="0" t="s">
        <v>48</v>
      </c>
      <c r="C31" s="13">
        <f>IFERROR(17.50896*(1-w)-w*2.443,"")</f>
        <v>15.79309144</v>
      </c>
      <c r="D31" s="13">
        <v>17.50896</v>
      </c>
      <c r="E31" s="13">
        <v>18.050474226804123</v>
      </c>
      <c r="F31" s="13"/>
      <c r="G31" s="13"/>
      <c r="I31" s="5"/>
    </row>
    <row r="32" outlineLevel="2">
      <c r="A32" s="12" t="s">
        <v>49</v>
      </c>
      <c r="B32" s="0" t="s">
        <v>48</v>
      </c>
      <c r="C32" s="13">
        <f>IFERROR(18.87*(1-w),"")</f>
        <v>17.24718</v>
      </c>
      <c r="D32" s="13">
        <v>18.87</v>
      </c>
      <c r="E32" s="13">
        <v>19.453608247422682</v>
      </c>
      <c r="F32" s="13"/>
      <c r="G32" s="13"/>
      <c r="I32" s="5"/>
    </row>
    <row r="33" outlineLevel="2">
      <c r="A33" s="12" t="s">
        <v>50</v>
      </c>
      <c r="B33" s="0" t="s">
        <v>48</v>
      </c>
      <c r="C33" s="13">
        <f>IFERROR(19.67558888*(1-w),"")</f>
        <v>17.983488236320003</v>
      </c>
      <c r="D33" s="13">
        <v>19.675588880000003</v>
      </c>
      <c r="E33" s="13">
        <v>20.284112247422684</v>
      </c>
      <c r="F33" s="13"/>
      <c r="G33" s="13"/>
      <c r="I33" s="5"/>
      <c r="J33" s="0" t="s">
        <v>37</v>
      </c>
    </row>
    <row r="34">
      <c r="I34" s="5"/>
    </row>
    <row r="35" s="1" customFormat="1"/>
  </sheetData>
  <mergeCells>
    <mergeCell ref="A7:A8"/>
    <mergeCell ref="C15:E15"/>
    <mergeCell ref="A15:A16"/>
    <mergeCell ref="B15:B16"/>
    <mergeCell ref="F15:F16"/>
    <mergeCell ref="G15:G16"/>
    <mergeCell ref="H15:H16"/>
    <mergeCell ref="I15:I16"/>
    <mergeCell ref="J15:J16"/>
    <mergeCell ref="K15:K16"/>
  </mergeCells>
  <dataValidations count="1">
    <dataValidation type="decimal" sqref="C19" errorStyle="stop" promptTitle="Enter moisture content" errorTitle="Invalid moisture content" prompt="Value should be between 0 and 100.&#10;Original value: 8.6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https://phyllis.nl/Biomass/View/1861</dc:description>
  <dcterms:created xsi:type="dcterms:W3CDTF">2026-03-19T07:14:18Z</dcterms:created>
  <dc:title>Phyllis2 #1861 wood, eucalyptus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