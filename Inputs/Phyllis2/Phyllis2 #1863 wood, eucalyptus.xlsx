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63 wood, eucalyptus" sheetId="1" r:id="rId1"/>
  </sheets>
  <definedNames>
    <definedName name="w" localSheetId="0">IF(ISBLANK('Phyllis2 #1863 wood, eucalyptus'!$C$19),#N/A,'Phyllis2 #1863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<sst xmlns="http://schemas.openxmlformats.org/spreadsheetml/2006/main" count="47" uniqueCount="47">
  <si>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</si>
  <si>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https://phyllis.nl/Biomass/View/1863</t>
  </si>
  <si>
    <t>wood, eucalyptus (#1863)</t>
  </si>
  <si>
    <t>ID-number</t>
  </si>
  <si>
    <t>#1863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</si>
  <si>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</si>
  <si>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</si>
  <si>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</si>
  <si>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</si>
  <si>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</si>
  <si>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Ash type</t>
  </si>
  <si>
    <t>815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</si>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</sst>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36873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8.5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IFERROR(3.3*(1-w),"")</f>
        <v>3.0195</v>
      </c>
      <c r="D20" s="13">
        <v>3.3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33</v>
      </c>
      <c r="C22" s="13">
        <f>IFERROR(50.30334*(1-w),"")</f>
        <v>46.0275561</v>
      </c>
      <c r="D22" s="13">
        <v>50.30334</v>
      </c>
      <c r="E22" s="13">
        <v>52.02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33</v>
      </c>
      <c r="C23" s="13">
        <f>IFERROR(4.835*(1-w),"")</f>
        <v>4.424025</v>
      </c>
      <c r="D23" s="13">
        <v>4.835</v>
      </c>
      <c r="E23" s="13">
        <v>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33</v>
      </c>
      <c r="C24" s="13">
        <f>IFERROR(41.14585*(1-w),"")</f>
        <v>37.648452750000004</v>
      </c>
      <c r="D24" s="13">
        <v>41.14585</v>
      </c>
      <c r="E24" s="13">
        <v>42.550000000000004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IFERROR(0.40614*(1-w),"")</f>
        <v>0.3716181</v>
      </c>
      <c r="D25" s="13">
        <v>0.40614</v>
      </c>
      <c r="E25" s="13">
        <v>0.42000000000000004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33</v>
      </c>
      <c r="C26" s="13">
        <f>IFERROR(0.005802*(1-w),"")</f>
        <v>0.0053088300000000005</v>
      </c>
      <c r="D26" s="13">
        <v>0.005802</v>
      </c>
      <c r="E26" s="13">
        <v>0.006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IFERROR(99.996132*(1-w)+w*100,"")</f>
        <v>99.996460779999992</v>
      </c>
      <c r="D27" s="13">
        <v>99.996131999999989</v>
      </c>
      <c r="E27" s="13">
        <v>99.996</v>
      </c>
      <c r="F27" s="13"/>
      <c r="G27" s="13"/>
      <c r="I27" s="5"/>
      <c r="J27" s="0" t="s">
        <v>40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IFERROR(18.5106443272*(1-w),"")</f>
        <v>16.937239559388</v>
      </c>
      <c r="D29" s="13">
        <v>18.5106443272</v>
      </c>
      <c r="E29" s="13">
        <v>19.1423416</v>
      </c>
      <c r="F29" s="13"/>
      <c r="G29" s="13"/>
      <c r="I29" s="5"/>
      <c r="J29" s="0" t="s">
        <v>40</v>
      </c>
    </row>
    <row r="30">
      <c r="I30" s="5"/>
    </row>
    <row r="3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8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https://phyllis.nl/Biomass/View/1863</dc:description>
  <dcterms:created xsi:type="dcterms:W3CDTF">2026-03-19T07:14:21Z</dcterms:created>
  <dc:title>Phyllis2 #1863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