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1870 clean wood, sawd" sheetId="1" r:id="rId1"/>
  </sheets>
  <definedNames>
    <definedName name="w" localSheetId="0">IF(ISBLANK('Phyllis2 #1870 clean wood, sawd'!$C$19),#N/A,'Phyllis2 #1870 clean wood, sawd'!$C$19/100)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6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6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6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<sst xmlns="http://schemas.openxmlformats.org/spreadsheetml/2006/main" count="61" uniqueCount="61">
  <si>
    <t>Phyllis2</t>
  </si>
  <si>
    <t>https://phyllis.nl/Biomass/View/1870</t>
  </si>
  <si>
    <t>clean wood, sawdust , Sweden (#1870)</t>
  </si>
  <si>
    <t>ID-number</t>
  </si>
  <si>
    <t>#1870</t>
  </si>
  <si>
    <t>Material</t>
  </si>
  <si>
    <t>clean wood, sawdust , Sweden</t>
  </si>
  <si>
    <t>Classification</t>
  </si>
  <si>
    <t>ECN Phyllis classification &gt; untreated wood &gt; others</t>
  </si>
  <si>
    <t>NTA 8003 classification &gt; [100] hout &gt; [110] vers hout &gt; [115] zaagsel</t>
  </si>
  <si>
    <t>Ash type</t>
  </si>
  <si>
    <t>815 degC</t>
  </si>
  <si>
    <t>Submitter organisation</t>
  </si>
  <si>
    <t>ECN (Netherlands)</t>
  </si>
  <si>
    <t>Submission date</t>
  </si>
  <si>
    <t>Literature</t>
  </si>
  <si>
    <t>ECN laboratories.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</si>
  <si>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</si>
  <si>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</si>
  <si>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</si>
  <si>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</si>
  <si>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</si>
  <si>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</si>
  <si>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</si>
  <si>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</si>
  <si>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</si>
  <si>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</si>
  <si>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</si>
  <si>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</si>
  <si>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</si>
  <si>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</si>
  <si>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</si>
  <si>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</si>
  <si>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</si>
  <si>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</si>
  <si>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</si>
  <si>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</si>
  <si>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</si>
  <si>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</si>
  <si>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</si>
  <si>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</si>
  <si>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</si>
  <si>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</si>
  <si>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</si>
  <si>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</si>
  <si>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</si>
  <si>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Heating value</t>
  </si>
  <si>
    <t>HHVMilne</t>
  </si>
  <si>
    <t>MJ/kg</t>
  </si>
  <si>
    <t>Trace elements composition</t>
  </si>
  <si>
    <t>Aluminium (Al)</t>
  </si>
  <si>
    <t>mg/kg (dry)</t>
  </si>
  <si>
    <t>Calcium (Ca)</t>
  </si>
  <si>
    <t>Iron (Fe)</t>
  </si>
  <si>
    <t>Potassium (K)</t>
  </si>
  <si>
    <t>Magnesium (Mg)</t>
  </si>
  <si>
    <t>Manganese (Mn)</t>
  </si>
  <si>
    <t>Sodium (Na)</t>
  </si>
  <si>
    <t>Phosphorus (P)</t>
  </si>
  <si>
    <t>Silicon (Si)</t>
  </si>
  <si>
    <t>Titanium (Ti)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</si>
</sst>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0.00"/>
    <numFmt numFmtId="166" formatCode="#,0.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5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1870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43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0" t="s">
        <v>13</v>
      </c>
    </row>
    <row r="11" outlineLevel="1">
      <c r="A11" s="7" t="s">
        <v>14</v>
      </c>
      <c r="B11" s="6">
        <v>36887</v>
      </c>
    </row>
    <row r="12" outlineLevel="1">
      <c r="A12" s="7" t="s">
        <v>15</v>
      </c>
      <c r="B12" s="0" t="s">
        <v>16</v>
      </c>
    </row>
    <row r="13">
      <c r="A13" s="7"/>
    </row>
    <row r="14" s="1" customFormat="1">
      <c r="A14" s="9" t="s">
        <v>17</v>
      </c>
    </row>
    <row r="15" s="1" customFormat="1">
      <c r="A15" s="10" t="s">
        <v>18</v>
      </c>
      <c r="B15" s="10" t="s">
        <v>19</v>
      </c>
      <c r="C15" s="10" t="s">
        <v>20</v>
      </c>
      <c r="D15" s="10"/>
      <c r="E15" s="10"/>
      <c r="F15" s="10" t="s">
        <v>21</v>
      </c>
      <c r="G15" s="10" t="s">
        <v>22</v>
      </c>
      <c r="H15" s="10" t="s">
        <v>23</v>
      </c>
      <c r="I15" s="10" t="s">
        <v>24</v>
      </c>
      <c r="J15" s="10" t="s">
        <v>25</v>
      </c>
      <c r="K15" s="10" t="s">
        <v>26</v>
      </c>
      <c r="L15" s="10"/>
    </row>
    <row r="16" s="1" customFormat="1">
      <c r="A16" s="10"/>
      <c r="B16" s="10"/>
      <c r="C16" s="10" t="s">
        <v>27</v>
      </c>
      <c r="D16" s="10" t="s">
        <v>28</v>
      </c>
      <c r="E16" s="10" t="s">
        <v>29</v>
      </c>
      <c r="F16" s="10"/>
      <c r="G16" s="10"/>
      <c r="H16" s="10"/>
      <c r="I16" s="10"/>
      <c r="J16" s="10"/>
      <c r="K16" s="10"/>
      <c r="L16" s="10"/>
    </row>
    <row r="17">
      <c r="A17" s="7" t="s">
        <v>30</v>
      </c>
      <c r="I17" s="5"/>
    </row>
    <row r="18" outlineLevel="1">
      <c r="A18" s="11" t="s">
        <v>31</v>
      </c>
      <c r="I18" s="5"/>
    </row>
    <row r="19" outlineLevel="2">
      <c r="A19" s="12" t="s">
        <v>32</v>
      </c>
      <c r="B19" s="0" t="s">
        <v>33</v>
      </c>
      <c r="C19" s="13">
        <v>3.57</v>
      </c>
      <c r="D19" s="13"/>
      <c r="E19" s="13"/>
      <c r="F19" s="13"/>
      <c r="G19" s="13"/>
      <c r="I19" s="5"/>
    </row>
    <row r="20" outlineLevel="2">
      <c r="A20" s="12" t="s">
        <v>34</v>
      </c>
      <c r="B20" s="0" t="s">
        <v>33</v>
      </c>
      <c r="C20" s="13">
        <f>IFERROR(0.02*(1-w),"")</f>
        <v>0.019286</v>
      </c>
      <c r="D20" s="13">
        <v>0.02</v>
      </c>
      <c r="E20" s="13">
        <v/>
      </c>
      <c r="F20" s="13"/>
      <c r="G20" s="13"/>
      <c r="I20" s="5"/>
    </row>
    <row r="21" outlineLevel="2">
      <c r="A21" s="12" t="s">
        <v>35</v>
      </c>
      <c r="B21" s="0" t="s">
        <v>33</v>
      </c>
      <c r="C21" s="13">
        <f>IFERROR(84.3*(1-w),"")</f>
        <v>81.29049</v>
      </c>
      <c r="D21" s="13">
        <v>84.3</v>
      </c>
      <c r="E21" s="13">
        <v>84.316863372674533</v>
      </c>
      <c r="F21" s="13"/>
      <c r="G21" s="13"/>
      <c r="I21" s="5"/>
    </row>
    <row r="22" outlineLevel="2">
      <c r="A22" s="12" t="s">
        <v>36</v>
      </c>
      <c r="B22" s="0" t="s">
        <v>33</v>
      </c>
      <c r="C22" s="13">
        <f>IFERROR(15.68*(1-w),"")</f>
        <v>15.120224000000007</v>
      </c>
      <c r="D22" s="13">
        <v>15.680000000000007</v>
      </c>
      <c r="E22" s="13">
        <v>15.683136627325471</v>
      </c>
      <c r="F22" s="13"/>
      <c r="G22" s="13"/>
      <c r="I22" s="5"/>
      <c r="J22" s="0" t="s">
        <v>37</v>
      </c>
    </row>
    <row r="23" outlineLevel="1">
      <c r="A23" s="11" t="s">
        <v>38</v>
      </c>
      <c r="I23" s="5"/>
    </row>
    <row r="24" outlineLevel="2">
      <c r="A24" s="12" t="s">
        <v>39</v>
      </c>
      <c r="B24" s="0" t="s">
        <v>33</v>
      </c>
      <c r="C24" s="13">
        <f>IFERROR(50.96962*(1-w),"")</f>
        <v>49.150004566</v>
      </c>
      <c r="D24" s="13">
        <v>50.96962</v>
      </c>
      <c r="E24" s="13">
        <v>50.979815963192635</v>
      </c>
      <c r="F24" s="13"/>
      <c r="G24" s="13"/>
      <c r="I24" s="5"/>
      <c r="J24" s="0" t="s">
        <v>40</v>
      </c>
    </row>
    <row r="25" outlineLevel="2">
      <c r="A25" s="12" t="s">
        <v>41</v>
      </c>
      <c r="B25" s="0" t="s">
        <v>33</v>
      </c>
      <c r="C25" s="13">
        <f>IFERROR(5.61*(1-w),"")</f>
        <v>5.4097230000000005</v>
      </c>
      <c r="D25" s="13">
        <v>5.61</v>
      </c>
      <c r="E25" s="13">
        <v>5.6111222244448893</v>
      </c>
      <c r="F25" s="13"/>
      <c r="G25" s="13"/>
      <c r="I25" s="5"/>
      <c r="J25" s="0" t="s">
        <v>40</v>
      </c>
    </row>
    <row r="26" outlineLevel="2">
      <c r="A26" s="12" t="s">
        <v>42</v>
      </c>
      <c r="B26" s="0" t="s">
        <v>33</v>
      </c>
      <c r="C26" s="13">
        <f>IFERROR(47.1*(1-w),"")</f>
        <v>45.418530000000004</v>
      </c>
      <c r="D26" s="13">
        <v>47.1</v>
      </c>
      <c r="E26" s="13">
        <v>47.109421884376879</v>
      </c>
      <c r="F26" s="13"/>
      <c r="G26" s="13"/>
      <c r="I26" s="5"/>
      <c r="J26" s="0" t="s">
        <v>40</v>
      </c>
    </row>
    <row r="27" outlineLevel="2">
      <c r="A27" s="12" t="s">
        <v>43</v>
      </c>
      <c r="B27" s="0" t="s">
        <v>33</v>
      </c>
      <c r="C27" s="13">
        <f>IFERROR(0.1659235*(1-w),"")</f>
        <v>0.16000003105000002</v>
      </c>
      <c r="D27" s="13">
        <v>0.1659235</v>
      </c>
      <c r="E27" s="13">
        <v>0.16595669133826765</v>
      </c>
      <c r="F27" s="13"/>
      <c r="G27" s="13"/>
      <c r="I27" s="5"/>
      <c r="J27" s="0" t="s">
        <v>40</v>
      </c>
    </row>
    <row r="28" outlineLevel="2">
      <c r="A28" s="12" t="s">
        <v>44</v>
      </c>
      <c r="B28" s="0" t="s">
        <v>33</v>
      </c>
      <c r="C28" s="13">
        <f>IFERROR(0.0111*(1-w),"")</f>
        <v>0.010703730000000002</v>
      </c>
      <c r="D28" s="13">
        <v>0.0111</v>
      </c>
      <c r="E28" s="13">
        <v>0.011102220444088817</v>
      </c>
      <c r="F28" s="13"/>
      <c r="G28" s="13"/>
      <c r="I28" s="5"/>
      <c r="J28" s="0" t="s">
        <v>40</v>
      </c>
    </row>
    <row r="29" outlineLevel="2">
      <c r="A29" s="12" t="s">
        <v>45</v>
      </c>
      <c r="B29" s="0" t="s">
        <v>33</v>
      </c>
      <c r="C29" s="13">
        <f>IFERROR(103.8766435*(1-w)+w*100,"")</f>
        <v>103.73824732705</v>
      </c>
      <c r="D29" s="13">
        <v>103.8766435</v>
      </c>
      <c r="E29" s="13">
        <v>103.87741898379676</v>
      </c>
      <c r="F29" s="13"/>
      <c r="G29" s="13"/>
      <c r="I29" s="5"/>
      <c r="J29" s="0" t="s">
        <v>37</v>
      </c>
    </row>
    <row r="30" outlineLevel="1">
      <c r="A30" s="11" t="s">
        <v>46</v>
      </c>
      <c r="I30" s="5"/>
    </row>
    <row r="31" outlineLevel="2">
      <c r="A31" s="12" t="s">
        <v>47</v>
      </c>
      <c r="B31" s="0" t="s">
        <v>48</v>
      </c>
      <c r="C31" s="13">
        <f>IFERROR(19.1256051212*(1-w),"")</f>
        <v>18.442821018373163</v>
      </c>
      <c r="D31" s="13">
        <v>19.125605121200003</v>
      </c>
      <c r="E31" s="13">
        <v>19.129431007401482</v>
      </c>
      <c r="F31" s="13"/>
      <c r="G31" s="13"/>
      <c r="I31" s="5"/>
      <c r="J31" s="0" t="s">
        <v>37</v>
      </c>
    </row>
    <row r="32" outlineLevel="1">
      <c r="A32" s="11" t="s">
        <v>49</v>
      </c>
      <c r="I32" s="5"/>
    </row>
    <row r="33" outlineLevel="2">
      <c r="A33" s="12" t="s">
        <v>50</v>
      </c>
      <c r="B33" s="0" t="s">
        <v>51</v>
      </c>
      <c r="C33" s="14">
        <v>87</v>
      </c>
      <c r="D33" s="14"/>
      <c r="E33" s="14"/>
      <c r="F33" s="14"/>
      <c r="G33" s="14"/>
      <c r="I33" s="5"/>
      <c r="J33" s="0" t="s">
        <v>40</v>
      </c>
    </row>
    <row r="34" outlineLevel="2">
      <c r="A34" s="12" t="s">
        <v>52</v>
      </c>
      <c r="B34" s="0" t="s">
        <v>51</v>
      </c>
      <c r="C34" s="14">
        <v>800</v>
      </c>
      <c r="D34" s="14"/>
      <c r="E34" s="14"/>
      <c r="F34" s="14"/>
      <c r="G34" s="14"/>
      <c r="I34" s="5"/>
      <c r="J34" s="0" t="s">
        <v>40</v>
      </c>
    </row>
    <row r="35" outlineLevel="2">
      <c r="A35" s="12" t="s">
        <v>53</v>
      </c>
      <c r="B35" s="0" t="s">
        <v>51</v>
      </c>
      <c r="C35" s="14">
        <v>88</v>
      </c>
      <c r="D35" s="14"/>
      <c r="E35" s="14"/>
      <c r="F35" s="14"/>
      <c r="G35" s="14"/>
      <c r="I35" s="5"/>
      <c r="J35" s="0" t="s">
        <v>40</v>
      </c>
    </row>
    <row r="36" outlineLevel="2">
      <c r="A36" s="12" t="s">
        <v>54</v>
      </c>
      <c r="B36" s="0" t="s">
        <v>51</v>
      </c>
      <c r="C36" s="14">
        <v>400</v>
      </c>
      <c r="D36" s="14"/>
      <c r="E36" s="14"/>
      <c r="F36" s="14"/>
      <c r="G36" s="14"/>
      <c r="I36" s="5"/>
      <c r="J36" s="0" t="s">
        <v>40</v>
      </c>
    </row>
    <row r="37" outlineLevel="2">
      <c r="A37" s="12" t="s">
        <v>55</v>
      </c>
      <c r="B37" s="0" t="s">
        <v>51</v>
      </c>
      <c r="C37" s="14">
        <v>133</v>
      </c>
      <c r="D37" s="14"/>
      <c r="E37" s="14"/>
      <c r="F37" s="14"/>
      <c r="G37" s="14"/>
      <c r="I37" s="5"/>
      <c r="J37" s="0" t="s">
        <v>40</v>
      </c>
    </row>
    <row r="38" outlineLevel="2">
      <c r="A38" s="12" t="s">
        <v>56</v>
      </c>
      <c r="B38" s="0" t="s">
        <v>51</v>
      </c>
      <c r="C38" s="14">
        <v>110</v>
      </c>
      <c r="D38" s="14"/>
      <c r="E38" s="14"/>
      <c r="F38" s="14"/>
      <c r="G38" s="14"/>
      <c r="I38" s="5"/>
      <c r="J38" s="0" t="s">
        <v>40</v>
      </c>
    </row>
    <row r="39" outlineLevel="2">
      <c r="A39" s="12" t="s">
        <v>57</v>
      </c>
      <c r="B39" s="0" t="s">
        <v>51</v>
      </c>
      <c r="C39" s="14">
        <v>38</v>
      </c>
      <c r="D39" s="14"/>
      <c r="E39" s="14"/>
      <c r="F39" s="14"/>
      <c r="G39" s="14"/>
      <c r="I39" s="5"/>
      <c r="J39" s="0" t="s">
        <v>40</v>
      </c>
    </row>
    <row r="40" outlineLevel="2">
      <c r="A40" s="12" t="s">
        <v>58</v>
      </c>
      <c r="B40" s="0" t="s">
        <v>51</v>
      </c>
      <c r="C40" s="14">
        <v>43</v>
      </c>
      <c r="D40" s="14"/>
      <c r="E40" s="14"/>
      <c r="F40" s="14"/>
      <c r="G40" s="14"/>
      <c r="I40" s="5"/>
      <c r="J40" s="0" t="s">
        <v>40</v>
      </c>
    </row>
    <row r="41" outlineLevel="2">
      <c r="A41" s="12" t="s">
        <v>59</v>
      </c>
      <c r="B41" s="0" t="s">
        <v>51</v>
      </c>
      <c r="C41" s="14">
        <v>770</v>
      </c>
      <c r="D41" s="14"/>
      <c r="E41" s="14"/>
      <c r="F41" s="14"/>
      <c r="G41" s="14"/>
      <c r="I41" s="5"/>
      <c r="J41" s="0" t="s">
        <v>40</v>
      </c>
    </row>
    <row r="42" outlineLevel="2">
      <c r="A42" s="12" t="s">
        <v>60</v>
      </c>
      <c r="B42" s="0" t="s">
        <v>51</v>
      </c>
      <c r="C42" s="14">
        <v>13</v>
      </c>
      <c r="D42" s="14"/>
      <c r="E42" s="14"/>
      <c r="F42" s="14"/>
      <c r="G42" s="14"/>
      <c r="I42" s="5"/>
      <c r="J42" s="0" t="s">
        <v>40</v>
      </c>
    </row>
    <row r="43">
      <c r="I43" s="5"/>
    </row>
    <row r="44" s="1" customFormat="1"/>
  </sheetData>
  <mergeCells>
    <mergeCell ref="A7:A8"/>
    <mergeCell ref="C15:E15"/>
    <mergeCell ref="A15:A16"/>
    <mergeCell ref="B15:B16"/>
    <mergeCell ref="F15:F16"/>
    <mergeCell ref="G15:G16"/>
    <mergeCell ref="H15:H16"/>
    <mergeCell ref="I15:I16"/>
    <mergeCell ref="J15:J16"/>
    <mergeCell ref="K15:K16"/>
    <mergeCell ref="C33:E33"/>
    <mergeCell ref="C34:E34"/>
    <mergeCell ref="C35:E35"/>
    <mergeCell ref="C36:E36"/>
    <mergeCell ref="C37:E37"/>
    <mergeCell ref="C38:E38"/>
    <mergeCell ref="C39:E39"/>
    <mergeCell ref="C40:E40"/>
    <mergeCell ref="C41:E41"/>
    <mergeCell ref="C42:E42"/>
  </mergeCells>
  <dataValidations count="1">
    <dataValidation type="decimal" sqref="C19" errorStyle="stop" promptTitle="Enter moisture content" errorTitle="Invalid moisture content" prompt="Value should be between 0 and 100.&#10;Original value: 3.57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https://phyllis.nl/Biomass/View/1870</dc:description>
  <dcterms:created xsi:type="dcterms:W3CDTF">2026-03-19T07:22:07Z</dcterms:created>
  <dc:title>Phyllis2 #1870 clean wood, sawdust , Sweden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