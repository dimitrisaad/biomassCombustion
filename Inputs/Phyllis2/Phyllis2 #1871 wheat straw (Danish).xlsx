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71 wheat straw (Dan" sheetId="1" r:id="rId1"/>
  </sheets>
  <definedNames>
    <definedName name="w" localSheetId="0">IF(ISBLANK('Phyllis2 #1871 wheat straw (Dan'!$C$20),#N/A,'Phyllis2 #1871 wheat straw (Dan'!$C$20/100)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<sst xmlns="http://schemas.openxmlformats.org/spreadsheetml/2006/main" count="62" uniqueCount="62">
  <si>
    <t>Phyllis2</t>
  </si>
  <si>
    <t>https://phyllis.nl/Biomass/View/1871</t>
  </si>
  <si>
    <t>wheat straw (Danish) (#1871)</t>
  </si>
  <si>
    <t>ID-number</t>
  </si>
  <si>
    <t>#1871</t>
  </si>
  <si>
    <t>Material</t>
  </si>
  <si>
    <t>wheat straw (Danish)</t>
  </si>
  <si>
    <t>Classification</t>
  </si>
  <si>
    <t>ECN Phyllis classification &gt; straw (stalk/cob/ear) &gt; wheat &gt; wheat straw (Danish)</t>
  </si>
  <si>
    <t>NTA 8003 classification &gt; [200] biomassa uit land- en tuinbouw &gt; [220] stro &gt; [223] tarwestro</t>
  </si>
  <si>
    <t>Ash type</t>
  </si>
  <si>
    <t>550 degC</t>
  </si>
  <si>
    <t>Submitter organisation</t>
  </si>
  <si>
    <t>ECN (Netherlands)</t>
  </si>
  <si>
    <t>Submission date</t>
  </si>
  <si>
    <t>Remarks</t>
  </si>
  <si>
    <t>ash @815 degC: 3.48%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</si>
  <si>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</si>
  <si>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</si>
  <si>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</si>
  <si>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</si>
  <si>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</si>
  <si>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</si>
  <si>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</si>
  <si>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</si>
  <si>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</si>
  <si>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</si>
  <si>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</si>
  <si>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</si>
  <si>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</si>
  <si>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</si>
  <si>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</si>
  <si>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</si>
  <si>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</si>
  <si>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</si>
  <si>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</si>
  <si>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</si>
  <si>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</si>
  <si>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</si>
  <si>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</si>
  <si>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</si>
  <si>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</si>
  <si>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</si>
  <si>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</si>
  <si>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</si>
  <si>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</si>
  <si>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</si>
  <si>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</si>
  <si>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HHVMilne</t>
  </si>
  <si>
    <t>MJ/kg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</si>
  <si>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</si>
  <si>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</si>
  <si>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</si>
  <si>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</si>
  <si>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</si>
  <si>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</si>
  <si>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</si>
  <si>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Manganese (Mn)</t>
  </si>
  <si>
    <t>Sodium (Na)</t>
  </si>
  <si>
    <t>Phosphorus (P)</t>
  </si>
  <si>
    <t>Silicon (Si)</t>
  </si>
  <si>
    <t>Titanium (Ti)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</si>
</sst>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7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36887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7.28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IFERROR(3.61*(1-w),"")</f>
        <v>3.347192</v>
      </c>
      <c r="D21" s="13">
        <v>3.61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IFERROR(79.4*(1-w),"")</f>
        <v>73.61968</v>
      </c>
      <c r="D22" s="13">
        <v>79.4</v>
      </c>
      <c r="E22" s="13">
        <v>82.373690216827484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IFERROR(16.99*(1-w),"")</f>
        <v>15.753127999999995</v>
      </c>
      <c r="D23" s="13">
        <v>16.989999999999995</v>
      </c>
      <c r="E23" s="13">
        <v>17.626309783172523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IFERROR(47.50863*(1-w),"")</f>
        <v>44.050001736</v>
      </c>
      <c r="D25" s="13">
        <v>47.50863</v>
      </c>
      <c r="E25" s="13">
        <v>49.287924058512289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IFERROR(5.662209*(1-w),"")</f>
        <v>5.2500001848</v>
      </c>
      <c r="D26" s="13">
        <v>5.662209</v>
      </c>
      <c r="E26" s="13">
        <v>5.8742701525054466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IFERROR(48.26359*(1-w),"")</f>
        <v>44.750000648000004</v>
      </c>
      <c r="D27" s="13">
        <v>48.26359</v>
      </c>
      <c r="E27" s="13">
        <v>50.071158833903937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IFERROR(0.5931838*(1-w),"")</f>
        <v>0.55000001936000009</v>
      </c>
      <c r="D28" s="13">
        <v>0.5931838</v>
      </c>
      <c r="E28" s="13">
        <v>0.61539973026247541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IFERROR(0.0595*(1-w),"")</f>
        <v>0.0551684</v>
      </c>
      <c r="D29" s="13">
        <v>0.0595</v>
      </c>
      <c r="E29" s="13">
        <v>0.061728395061728392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IFERROR(105.6971128*(1-w)+w*100,"")</f>
        <v>105.28236298816</v>
      </c>
      <c r="D30" s="13">
        <v>105.6971128</v>
      </c>
      <c r="E30" s="13">
        <v>105.91048117024587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f>IFERROR(17.7739128833*(1-w),"")</f>
        <v>16.479972025395757</v>
      </c>
      <c r="D32" s="13">
        <v>17.773912883299996</v>
      </c>
      <c r="E32" s="13">
        <v>18.439581785766155</v>
      </c>
      <c r="F32" s="13"/>
      <c r="G32" s="13"/>
      <c r="I32" s="5"/>
      <c r="J32" s="0" t="s">
        <v>38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4">
        <v>117</v>
      </c>
      <c r="D34" s="14"/>
      <c r="E34" s="14"/>
      <c r="F34" s="14"/>
      <c r="G34" s="14"/>
      <c r="I34" s="5"/>
      <c r="J34" s="0" t="s">
        <v>41</v>
      </c>
    </row>
    <row r="35" outlineLevel="2">
      <c r="A35" s="12" t="s">
        <v>53</v>
      </c>
      <c r="B35" s="0" t="s">
        <v>52</v>
      </c>
      <c r="C35" s="14">
        <v>2900</v>
      </c>
      <c r="D35" s="14"/>
      <c r="E35" s="14"/>
      <c r="F35" s="14"/>
      <c r="G35" s="14"/>
      <c r="I35" s="5"/>
      <c r="J35" s="0" t="s">
        <v>41</v>
      </c>
    </row>
    <row r="36" outlineLevel="2">
      <c r="A36" s="12" t="s">
        <v>54</v>
      </c>
      <c r="B36" s="0" t="s">
        <v>52</v>
      </c>
      <c r="C36" s="14">
        <v>48</v>
      </c>
      <c r="D36" s="14"/>
      <c r="E36" s="14"/>
      <c r="F36" s="14"/>
      <c r="G36" s="14"/>
      <c r="I36" s="5"/>
      <c r="J36" s="0" t="s">
        <v>41</v>
      </c>
    </row>
    <row r="37" outlineLevel="2">
      <c r="A37" s="12" t="s">
        <v>55</v>
      </c>
      <c r="B37" s="0" t="s">
        <v>52</v>
      </c>
      <c r="C37" s="14">
        <v>4300</v>
      </c>
      <c r="D37" s="14"/>
      <c r="E37" s="14"/>
      <c r="F37" s="14"/>
      <c r="G37" s="14"/>
      <c r="I37" s="5"/>
      <c r="J37" s="0" t="s">
        <v>41</v>
      </c>
    </row>
    <row r="38" outlineLevel="2">
      <c r="A38" s="12" t="s">
        <v>56</v>
      </c>
      <c r="B38" s="0" t="s">
        <v>52</v>
      </c>
      <c r="C38" s="14">
        <v>440</v>
      </c>
      <c r="D38" s="14"/>
      <c r="E38" s="14"/>
      <c r="F38" s="14"/>
      <c r="G38" s="14"/>
      <c r="I38" s="5"/>
      <c r="J38" s="0" t="s">
        <v>41</v>
      </c>
    </row>
    <row r="39" outlineLevel="2">
      <c r="A39" s="12" t="s">
        <v>57</v>
      </c>
      <c r="B39" s="0" t="s">
        <v>52</v>
      </c>
      <c r="C39" s="14">
        <v>18</v>
      </c>
      <c r="D39" s="14"/>
      <c r="E39" s="14"/>
      <c r="F39" s="14"/>
      <c r="G39" s="14"/>
      <c r="I39" s="5"/>
      <c r="J39" s="0" t="s">
        <v>41</v>
      </c>
    </row>
    <row r="40" outlineLevel="2">
      <c r="A40" s="12" t="s">
        <v>58</v>
      </c>
      <c r="B40" s="0" t="s">
        <v>52</v>
      </c>
      <c r="C40" s="14">
        <v>75</v>
      </c>
      <c r="D40" s="14"/>
      <c r="E40" s="14"/>
      <c r="F40" s="14"/>
      <c r="G40" s="14"/>
      <c r="I40" s="5"/>
      <c r="J40" s="0" t="s">
        <v>41</v>
      </c>
    </row>
    <row r="41" outlineLevel="2">
      <c r="A41" s="12" t="s">
        <v>59</v>
      </c>
      <c r="B41" s="0" t="s">
        <v>52</v>
      </c>
      <c r="C41" s="14">
        <v>530</v>
      </c>
      <c r="D41" s="14"/>
      <c r="E41" s="14"/>
      <c r="F41" s="14"/>
      <c r="G41" s="14"/>
      <c r="I41" s="5"/>
      <c r="J41" s="0" t="s">
        <v>41</v>
      </c>
    </row>
    <row r="42" outlineLevel="2">
      <c r="A42" s="12" t="s">
        <v>60</v>
      </c>
      <c r="B42" s="0" t="s">
        <v>52</v>
      </c>
      <c r="C42" s="14">
        <v>9300</v>
      </c>
      <c r="D42" s="14"/>
      <c r="E42" s="14"/>
      <c r="F42" s="14"/>
      <c r="G42" s="14"/>
      <c r="I42" s="5"/>
      <c r="J42" s="0" t="s">
        <v>41</v>
      </c>
    </row>
    <row r="43" outlineLevel="2">
      <c r="A43" s="12" t="s">
        <v>61</v>
      </c>
      <c r="B43" s="0" t="s">
        <v>52</v>
      </c>
      <c r="C43" s="14">
        <v>5.4</v>
      </c>
      <c r="D43" s="14"/>
      <c r="E43" s="14"/>
      <c r="F43" s="14"/>
      <c r="G43" s="14"/>
      <c r="I43" s="5"/>
      <c r="J43" s="0" t="s">
        <v>41</v>
      </c>
    </row>
    <row r="44">
      <c r="I44" s="5"/>
    </row>
    <row r="45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</mergeCells>
  <dataValidations count="1">
    <dataValidation type="decimal" sqref="C20" errorStyle="stop" promptTitle="Enter moisture content" errorTitle="Invalid moisture content" prompt="Value should be between 0 and 100.&#10;Original value: 7.2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https://phyllis.nl/Biomass/View/1871</dc:description>
  <dcterms:created xsi:type="dcterms:W3CDTF">2026-03-17T06:17:29Z</dcterms:created>
  <dc:title>Phyllis2 #1871 wheat straw (Danish)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