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889 demolition wood " sheetId="1" r:id="rId1"/>
  </sheets>
  <definedNames>
    <definedName name="w" localSheetId="0">IF(ISBLANK('Phyllis2 #1889 demolition wood '!$C$19),#N/A,'Phyllis2 #1889 demolition wood 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<sst xmlns="http://schemas.openxmlformats.org/spreadsheetml/2006/main" count="47" uniqueCount="47">
  <si>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</si>
  <si>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https://phyllis.nl/Biomass/View/1889</t>
  </si>
  <si>
    <t>demolition wood from EPZ (#1889)</t>
  </si>
  <si>
    <t>ID-number</t>
  </si>
  <si>
    <t>#1889</t>
  </si>
  <si>
    <t>Material</t>
  </si>
  <si>
    <t>demolition wood from EPZ</t>
  </si>
  <si>
    <t>Classification</t>
  </si>
  <si>
    <t>ECN Phyllis classification &gt; treated wood &gt; demolition wood</t>
  </si>
  <si>
    <t>NTA 8003 classification &gt; [100] hout &gt; [150] verwerkt hout</t>
  </si>
  <si>
    <t>Submitter organisation</t>
  </si>
  <si>
    <t>ECN (Netherlands)</t>
  </si>
  <si>
    <t>Submission date</t>
  </si>
  <si>
    <t>Remarks</t>
  </si>
  <si>
    <t>To be used in gasification plant of EPZ, delivered to VTT for lab-tests, once crushed, VTT crushed it again, tested in CFB-gasifier at VTT</t>
  </si>
  <si>
    <t>Literature</t>
  </si>
  <si>
    <t>E.Kurkela, et al: CFB gasification of biomass residues for co-combustion in large utility boilers - studies on ash control and gas cleaning. In: VTT Symposium 192: Power production from biomass III, pp. 213-227, Espoo (Finland) (1999).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</si>
  <si>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</si>
  <si>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</si>
  <si>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</si>
  <si>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</si>
  <si>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</si>
  <si>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</si>
  <si>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</si>
  <si>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</si>
  <si>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</si>
  <si>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</si>
  <si>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</si>
  <si>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</si>
  <si>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</si>
  <si>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</si>
  <si>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</si>
  <si>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</si>
  <si>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</si>
  <si>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</si>
  <si>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</si>
  <si>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</si>
  <si>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</si>
  <si>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</si>
  <si>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</si>
  <si>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</si>
  <si>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</si>
  <si>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</si>
  <si>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Total (with halides)</t>
  </si>
  <si>
    <t>Heating value</t>
  </si>
  <si>
    <t>HHVMilne</t>
  </si>
  <si>
    <t>MJ/kg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</si>
</sst>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88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36916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12.9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IFERROR(9.9*(1-w),"")</f>
        <v>8.6229</v>
      </c>
      <c r="D20" s="13">
        <v>9.9</v>
      </c>
      <c r="E20" s="13">
        <v/>
      </c>
      <c r="F20" s="13"/>
      <c r="G20" s="13"/>
      <c r="I20" s="5"/>
    </row>
    <row r="21" outlineLevel="2">
      <c r="A21" s="12" t="s">
        <v>34</v>
      </c>
      <c r="B21" s="0" t="s">
        <v>32</v>
      </c>
      <c r="C21" s="13">
        <f>IFERROR(71.4*(1-w),"")</f>
        <v>62.189400000000006</v>
      </c>
      <c r="D21" s="13">
        <v>71.4</v>
      </c>
      <c r="E21" s="13">
        <v>79.245283018867923</v>
      </c>
      <c r="F21" s="13"/>
      <c r="G21" s="13"/>
      <c r="I21" s="5"/>
    </row>
    <row r="22" outlineLevel="2">
      <c r="A22" s="12" t="s">
        <v>35</v>
      </c>
      <c r="B22" s="0" t="s">
        <v>32</v>
      </c>
      <c r="C22" s="13">
        <f>IFERROR(18.7*(1-w),"")</f>
        <v>16.28769999999999</v>
      </c>
      <c r="D22" s="13">
        <v>18.699999999999989</v>
      </c>
      <c r="E22" s="13">
        <v>20.754716981132063</v>
      </c>
      <c r="F22" s="13"/>
      <c r="G22" s="13"/>
      <c r="I22" s="5"/>
      <c r="J22" s="0" t="s">
        <v>36</v>
      </c>
    </row>
    <row r="23" outlineLevel="1">
      <c r="A23" s="11" t="s">
        <v>37</v>
      </c>
      <c r="I23" s="5"/>
    </row>
    <row r="24" outlineLevel="2">
      <c r="A24" s="12" t="s">
        <v>38</v>
      </c>
      <c r="B24" s="0" t="s">
        <v>32</v>
      </c>
      <c r="C24" s="13">
        <f>IFERROR(46.5*(1-w),"")</f>
        <v>40.5015</v>
      </c>
      <c r="D24" s="13">
        <v>46.5</v>
      </c>
      <c r="E24" s="13">
        <v>51.6093229744728</v>
      </c>
      <c r="F24" s="13"/>
      <c r="G24" s="13"/>
      <c r="I24" s="5"/>
      <c r="J24" s="0" t="s">
        <v>39</v>
      </c>
    </row>
    <row r="25" outlineLevel="2">
      <c r="A25" s="12" t="s">
        <v>40</v>
      </c>
      <c r="B25" s="0" t="s">
        <v>32</v>
      </c>
      <c r="C25" s="13">
        <f>IFERROR(5.5*(1-w),"")</f>
        <v>4.7905</v>
      </c>
      <c r="D25" s="13">
        <v>5.5</v>
      </c>
      <c r="E25" s="13">
        <v>6.1043285238623746</v>
      </c>
      <c r="F25" s="13"/>
      <c r="G25" s="13"/>
      <c r="I25" s="5"/>
      <c r="J25" s="0" t="s">
        <v>39</v>
      </c>
    </row>
    <row r="26" outlineLevel="2">
      <c r="A26" s="12" t="s">
        <v>41</v>
      </c>
      <c r="B26" s="0" t="s">
        <v>32</v>
      </c>
      <c r="C26" s="13">
        <f>IFERROR(36.6*(1-w),"")</f>
        <v>31.878600000000002</v>
      </c>
      <c r="D26" s="13">
        <v>36.6</v>
      </c>
      <c r="E26" s="13">
        <v>40.621531631520533</v>
      </c>
      <c r="F26" s="13"/>
      <c r="G26" s="13"/>
      <c r="I26" s="5"/>
      <c r="J26" s="0" t="s">
        <v>36</v>
      </c>
    </row>
    <row r="27" outlineLevel="2">
      <c r="A27" s="12" t="s">
        <v>42</v>
      </c>
      <c r="B27" s="0" t="s">
        <v>32</v>
      </c>
      <c r="C27" s="13">
        <f>IFERROR(1.5*(1-w),"")</f>
        <v>1.3065</v>
      </c>
      <c r="D27" s="13">
        <v>1.5</v>
      </c>
      <c r="E27" s="13">
        <v>1.664816870144284</v>
      </c>
      <c r="F27" s="13"/>
      <c r="G27" s="13"/>
      <c r="I27" s="5"/>
      <c r="J27" s="0" t="s">
        <v>39</v>
      </c>
    </row>
    <row r="28" outlineLevel="2">
      <c r="A28" s="12" t="s">
        <v>43</v>
      </c>
      <c r="B28" s="0" t="s">
        <v>32</v>
      </c>
      <c r="C28" s="13">
        <f>IFERROR(100*(1-w)+w*100,"")</f>
        <v>100</v>
      </c>
      <c r="D28" s="13">
        <v>100</v>
      </c>
      <c r="E28" s="13">
        <v>99.999999999999986</v>
      </c>
      <c r="F28" s="13"/>
      <c r="G28" s="13"/>
      <c r="I28" s="5"/>
      <c r="J28" s="0" t="s">
        <v>36</v>
      </c>
    </row>
    <row r="29" outlineLevel="1">
      <c r="A29" s="11" t="s">
        <v>44</v>
      </c>
      <c r="I29" s="5"/>
    </row>
    <row r="30" outlineLevel="2">
      <c r="A30" s="12" t="s">
        <v>45</v>
      </c>
      <c r="B30" s="0" t="s">
        <v>46</v>
      </c>
      <c r="C30" s="13">
        <f>IFERROR(18.41902553*(1-w),"")</f>
        <v>16.042971236630002</v>
      </c>
      <c r="D30" s="13">
        <v>18.419025530000003</v>
      </c>
      <c r="E30" s="13">
        <v>20.442869622641513</v>
      </c>
      <c r="F30" s="13"/>
      <c r="G30" s="13"/>
      <c r="I30" s="5"/>
      <c r="J30" s="0" t="s">
        <v>36</v>
      </c>
    </row>
    <row r="31">
      <c r="I31" s="5"/>
    </row>
    <row r="32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&#10;Original value: 12.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https://phyllis.nl/Biomass/View/1889</dc:description>
  <dcterms:created xsi:type="dcterms:W3CDTF">2026-03-19T04:03:07Z</dcterms:created>
  <dc:title>Phyllis2 #1889 demolition wood from EPZ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