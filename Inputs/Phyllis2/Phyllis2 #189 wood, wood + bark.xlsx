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9 wood, wood + bark" sheetId="1" r:id="rId1"/>
  </sheets>
  <definedNames>
    <definedName name="w" localSheetId="0">IF(ISBLANK('Phyllis2 #189 wood, wood + bark'!$C$17),#N/A,'Phyllis2 #189 wood, wood + bark'!$C$17/100)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<sst xmlns="http://schemas.openxmlformats.org/spreadsheetml/2006/main" count="46" uniqueCount="46">
  <si>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</si>
  <si>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https://phyllis.nl/Biomass/View/189</t>
  </si>
  <si>
    <t>wood, wood + bark (#189)</t>
  </si>
  <si>
    <t>ID-number</t>
  </si>
  <si>
    <t>#189</t>
  </si>
  <si>
    <t>Material</t>
  </si>
  <si>
    <t>wood, wood + bark</t>
  </si>
  <si>
    <t>Classification</t>
  </si>
  <si>
    <t>ECN Phyllis classification &gt; untreated wood &gt; others &gt; wood, wood + bark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</si>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</sst>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IFERROR(3.86*(1-w),"")</f>
        <v/>
      </c>
      <c r="D18" s="11">
        <v>3.86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IFERROR(50*(1-w),"")</f>
        <v/>
      </c>
      <c r="D20" s="11">
        <v>50</v>
      </c>
      <c r="E20" s="11">
        <v>52.007489078427291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IFERROR(5.920869*(1-w),"")</f>
        <v/>
      </c>
      <c r="D21" s="11">
        <v>5.920869</v>
      </c>
      <c r="E21" s="11">
        <v>6.1585905970459738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IFERROR(40.02409*(1-w),"")</f>
        <v/>
      </c>
      <c r="D22" s="11">
        <v>40.02409</v>
      </c>
      <c r="E22" s="11">
        <v>41.63104847097982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IFERROR(0.1950404*(1-w),"")</f>
        <v/>
      </c>
      <c r="D23" s="11">
        <v>0.1950404</v>
      </c>
      <c r="E23" s="11">
        <v>0.20287122945704181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IFERROR(99.9999994*(1-w)+w*100,"")</f>
        <v/>
      </c>
      <c r="D24" s="11">
        <v>99.9999994</v>
      </c>
      <c r="E24" s="11">
        <v>99.999999375910122</v>
      </c>
      <c r="F24" s="11"/>
      <c r="G24" s="11"/>
      <c r="I24" s="12"/>
      <c r="J24" s="0" t="s">
        <v>38</v>
      </c>
    </row>
    <row r="25" outlineLevel="1">
      <c r="A25" s="9" t="s">
        <v>41</v>
      </c>
      <c r="I25" s="12"/>
    </row>
    <row r="26" outlineLevel="2">
      <c r="A26" s="10" t="s">
        <v>42</v>
      </c>
      <c r="B26" s="0" t="s">
        <v>43</v>
      </c>
      <c r="C26" s="11">
        <f>IFERROR(18.332*(1-w)-w*2.443,"")</f>
        <v/>
      </c>
      <c r="D26" s="11">
        <v>18.332</v>
      </c>
      <c r="E26" s="11">
        <v>19.068025795714583</v>
      </c>
      <c r="F26" s="11"/>
      <c r="G26" s="11"/>
      <c r="I26" s="12"/>
    </row>
    <row r="27" outlineLevel="2">
      <c r="A27" s="10" t="s">
        <v>44</v>
      </c>
      <c r="B27" s="0" t="s">
        <v>43</v>
      </c>
      <c r="C27" s="11">
        <f>IFERROR(19.625*(1-w),"")</f>
        <v/>
      </c>
      <c r="D27" s="11">
        <v>19.625</v>
      </c>
      <c r="E27" s="11">
        <v>20.412939463282711</v>
      </c>
      <c r="F27" s="11"/>
      <c r="G27" s="11"/>
      <c r="I27" s="12"/>
    </row>
    <row r="28" outlineLevel="2">
      <c r="A28" s="10" t="s">
        <v>45</v>
      </c>
      <c r="B28" s="0" t="s">
        <v>43</v>
      </c>
      <c r="C28" s="11">
        <f>IFERROR(19.9943148088*(1-w),"")</f>
        <v/>
      </c>
      <c r="D28" s="11">
        <v>19.994314808800006</v>
      </c>
      <c r="E28" s="11">
        <v>20.797082180986067</v>
      </c>
      <c r="F28" s="11"/>
      <c r="G28" s="11"/>
      <c r="I28" s="12"/>
      <c r="J28" s="0" t="s">
        <v>38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https://phyllis.nl/Biomass/View/189</dc:description>
  <dcterms:created xsi:type="dcterms:W3CDTF">2026-03-19T07:21:55Z</dcterms:created>
  <dc:title>Phyllis2 #189 wood, wood +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