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94 wood, mixed hard" sheetId="1" r:id="rId1"/>
  </sheets>
  <definedNames>
    <definedName name="w" localSheetId="0">IF(ISBLANK('Phyllis2 #1894 wood, mixed hard'!$C$18),#N/A,'Phyllis2 #1894 wood, mixed hard'!$C$18/100)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<sst xmlns="http://schemas.openxmlformats.org/spreadsheetml/2006/main" count="52" uniqueCount="52">
  <si>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</si>
  <si>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https://phyllis.nl/Biomass/View/1894</t>
  </si>
  <si>
    <t>wood, mixed hardwood chips (#1894)</t>
  </si>
  <si>
    <t>ID-number</t>
  </si>
  <si>
    <t>#1894</t>
  </si>
  <si>
    <t>Material</t>
  </si>
  <si>
    <t>wood, mixed hardwood chips</t>
  </si>
  <si>
    <t>Classification</t>
  </si>
  <si>
    <t>ECN Phyllis classification &gt; untreated wood &gt; other hard wood &gt; wood, mixed hardwood chips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</si>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</sst>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9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36924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3.7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IFERROR(0.61*(1-w),"")</f>
        <v>0.58743</v>
      </c>
      <c r="D19" s="13">
        <v>0.61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IFERROR(85.65*(1-w),"")</f>
        <v>82.48095</v>
      </c>
      <c r="D20" s="13">
        <v>85.65</v>
      </c>
      <c r="E20" s="13">
        <v>86.175671596740116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IFERROR(13.74*(1-w),"")</f>
        <v>13.231619999999994</v>
      </c>
      <c r="D21" s="13">
        <v>13.739999999999995</v>
      </c>
      <c r="E21" s="13">
        <v>13.82432840325988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IFERROR(49.63*(1-w),"")</f>
        <v>47.79369</v>
      </c>
      <c r="D23" s="13">
        <v>49.63</v>
      </c>
      <c r="E23" s="13">
        <v>49.934601066505685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IFERROR(6.42*(1-w),"")</f>
        <v>6.18246</v>
      </c>
      <c r="D24" s="13">
        <v>6.42</v>
      </c>
      <c r="E24" s="13">
        <v>6.4594023543616057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IFERROR(43.08*(1-w),"")</f>
        <v>41.486039999999996</v>
      </c>
      <c r="D25" s="13">
        <v>43.08</v>
      </c>
      <c r="E25" s="13">
        <v>43.344400845155448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IFERROR(0.16*(1-w),"")</f>
        <v>0.15408</v>
      </c>
      <c r="D26" s="13">
        <v>0.16</v>
      </c>
      <c r="E26" s="13">
        <v>0.16098199013985309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IFERROR(0.04*(1-w),"")</f>
        <v>0.03852</v>
      </c>
      <c r="D27" s="13">
        <v>0.04</v>
      </c>
      <c r="E27" s="13">
        <v>0.040245497534963273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IFERROR(100*(1-w)+w*100,"")</f>
        <v>100</v>
      </c>
      <c r="D28" s="13">
        <v>100</v>
      </c>
      <c r="E28" s="13">
        <v>100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4">
        <f>IFERROR(600*(1-w),"")</f>
        <v>577.8</v>
      </c>
      <c r="D30" s="14">
        <v>600</v>
      </c>
      <c r="E30" s="14">
        <v>603.68246302444913</v>
      </c>
      <c r="F30" s="14"/>
      <c r="G30" s="14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IFERROR(18.05905*(1-w)-w*2.443,"")</f>
        <v>17.30047415</v>
      </c>
      <c r="D32" s="13">
        <v>18.05905</v>
      </c>
      <c r="E32" s="13">
        <v>18.169886306469461</v>
      </c>
      <c r="F32" s="13"/>
      <c r="G32" s="13"/>
      <c r="I32" s="5"/>
    </row>
    <row r="33" outlineLevel="2">
      <c r="A33" s="12" t="s">
        <v>50</v>
      </c>
      <c r="B33" s="0" t="s">
        <v>49</v>
      </c>
      <c r="C33" s="13">
        <f>IFERROR(19.46*(1-w),"")</f>
        <v>18.73998</v>
      </c>
      <c r="D33" s="13">
        <v>19.46</v>
      </c>
      <c r="E33" s="13">
        <v>19.579434550759636</v>
      </c>
      <c r="F33" s="13"/>
      <c r="G33" s="13"/>
      <c r="I33" s="5"/>
    </row>
    <row r="34" outlineLevel="2">
      <c r="A34" s="12" t="s">
        <v>51</v>
      </c>
      <c r="B34" s="0" t="s">
        <v>49</v>
      </c>
      <c r="C34" s="13">
        <f>IFERROR(20.2157379313*(1-w),"")</f>
        <v>19.4677556278419</v>
      </c>
      <c r="D34" s="13">
        <v>20.2157379313</v>
      </c>
      <c r="E34" s="13">
        <v>20.339810777039943</v>
      </c>
      <c r="F34" s="13"/>
      <c r="G34" s="13"/>
      <c r="I34" s="5"/>
      <c r="J34" s="0" t="s">
        <v>35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3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https://phyllis.nl/Biomass/View/1894</dc:description>
  <dcterms:created xsi:type="dcterms:W3CDTF">2026-03-19T07:16:08Z</dcterms:created>
  <dc:title>Phyllis2 #1894 wood, mixed hardwood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