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95 wood, whole tree" sheetId="1" r:id="rId1"/>
  </sheets>
  <definedNames>
    <definedName name="w" localSheetId="0">IF(ISBLANK('Phyllis2 #1895 wood, whole tree'!$C$18),#N/A,'Phyllis2 #1895 wood, whole tree'!$C$18/100)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<sst xmlns="http://schemas.openxmlformats.org/spreadsheetml/2006/main" count="52" uniqueCount="52">
  <si>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</si>
  <si>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https://phyllis.nl/Biomass/View/1895</t>
  </si>
  <si>
    <t>wood, whole tree hogfuel (#1895)</t>
  </si>
  <si>
    <t>ID-number</t>
  </si>
  <si>
    <t>#1895</t>
  </si>
  <si>
    <t>Material</t>
  </si>
  <si>
    <t>wood, whole tree hogfuel</t>
  </si>
  <si>
    <t>Classification</t>
  </si>
  <si>
    <t>ECN Phyllis classification &gt; untreated wood &gt; others &gt; wood, whole tree hogfuel</t>
  </si>
  <si>
    <t>NTA 8003 classification &gt; [100] hout &gt; [110] vers hout &gt; [119] overig vers hout</t>
  </si>
  <si>
    <t>Submitter organisation</t>
  </si>
  <si>
    <t>ECN (Netherlands)</t>
  </si>
  <si>
    <t>Submission date</t>
  </si>
  <si>
    <t>Literature</t>
  </si>
  <si>
    <t>H. F. Feldmann, M. A. Paisley, H. R. Appelbaum and D. R. Taylor: Conversion of forest residues to a methane-rich gas in a high-throughput gasifier, Battelle, Columbus, OH (USA), DE88013138, 108 p. (1988).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</si>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</sst>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9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36924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3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IFERROR(16.89*(1-w),"")</f>
        <v>16.3833</v>
      </c>
      <c r="D19" s="13">
        <v>16.89</v>
      </c>
      <c r="E19" s="13">
        <v/>
      </c>
      <c r="F19" s="13"/>
      <c r="G19" s="13"/>
      <c r="I19" s="5"/>
    </row>
    <row r="20" outlineLevel="2">
      <c r="A20" s="12" t="s">
        <v>33</v>
      </c>
      <c r="B20" s="0" t="s">
        <v>31</v>
      </c>
      <c r="C20" s="13">
        <f>IFERROR(70.29*(1-w),"")</f>
        <v>68.181300000000007</v>
      </c>
      <c r="D20" s="13">
        <v>70.29</v>
      </c>
      <c r="E20" s="13">
        <v>84.57466008903863</v>
      </c>
      <c r="F20" s="13"/>
      <c r="G20" s="13"/>
      <c r="I20" s="5"/>
    </row>
    <row r="21" outlineLevel="2">
      <c r="A21" s="12" t="s">
        <v>34</v>
      </c>
      <c r="B21" s="0" t="s">
        <v>31</v>
      </c>
      <c r="C21" s="13">
        <f>IFERROR(12.82*(1-w),"")</f>
        <v>12.435399999999992</v>
      </c>
      <c r="D21" s="13">
        <v>12.819999999999993</v>
      </c>
      <c r="E21" s="13">
        <v>15.42533991096137</v>
      </c>
      <c r="F21" s="13"/>
      <c r="G21" s="13"/>
      <c r="I21" s="5"/>
      <c r="J21" s="0" t="s">
        <v>35</v>
      </c>
    </row>
    <row r="22" outlineLevel="1">
      <c r="A22" s="11" t="s">
        <v>36</v>
      </c>
      <c r="I22" s="5"/>
    </row>
    <row r="23" outlineLevel="2">
      <c r="A23" s="12" t="s">
        <v>37</v>
      </c>
      <c r="B23" s="0" t="s">
        <v>31</v>
      </c>
      <c r="C23" s="13">
        <f>IFERROR(45.36*(1-w),"")</f>
        <v>43.999199999999995</v>
      </c>
      <c r="D23" s="13">
        <v>45.36</v>
      </c>
      <c r="E23" s="13">
        <v>54.578269762964752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IFERROR(5.63*(1-w),"")</f>
        <v>5.4611</v>
      </c>
      <c r="D24" s="13">
        <v>5.63</v>
      </c>
      <c r="E24" s="13">
        <v>6.7741547346889668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31</v>
      </c>
      <c r="C25" s="13">
        <f>IFERROR(31.89*(1-w),"")</f>
        <v>30.9333</v>
      </c>
      <c r="D25" s="13">
        <v>31.89</v>
      </c>
      <c r="E25" s="13">
        <v>38.370833834676937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IFERROR(0.18*(1-w),"")</f>
        <v>0.17459999999999998</v>
      </c>
      <c r="D26" s="13">
        <v>0.18</v>
      </c>
      <c r="E26" s="13">
        <v>0.21658043556732043</v>
      </c>
      <c r="F26" s="13"/>
      <c r="G26" s="13"/>
      <c r="I26" s="5"/>
      <c r="J26" s="0" t="s">
        <v>38</v>
      </c>
    </row>
    <row r="27" outlineLevel="2">
      <c r="A27" s="12" t="s">
        <v>42</v>
      </c>
      <c r="B27" s="0" t="s">
        <v>31</v>
      </c>
      <c r="C27" s="13">
        <f>IFERROR(0.02*(1-w),"")</f>
        <v>0.0194</v>
      </c>
      <c r="D27" s="13">
        <v>0.02</v>
      </c>
      <c r="E27" s="13">
        <v>0.024064492840813381</v>
      </c>
      <c r="F27" s="13"/>
      <c r="G27" s="13"/>
      <c r="I27" s="5"/>
      <c r="J27" s="0" t="s">
        <v>38</v>
      </c>
    </row>
    <row r="28" outlineLevel="2">
      <c r="A28" s="12" t="s">
        <v>43</v>
      </c>
      <c r="B28" s="0" t="s">
        <v>31</v>
      </c>
      <c r="C28" s="13">
        <f>IFERROR(100*(1-w)+w*100,"")</f>
        <v>100</v>
      </c>
      <c r="D28" s="13">
        <v>100</v>
      </c>
      <c r="E28" s="13">
        <v>100</v>
      </c>
      <c r="F28" s="13"/>
      <c r="G28" s="13"/>
      <c r="I28" s="5"/>
      <c r="J28" s="0" t="s">
        <v>35</v>
      </c>
    </row>
    <row r="29" outlineLevel="1">
      <c r="A29" s="11" t="s">
        <v>44</v>
      </c>
      <c r="I29" s="5"/>
    </row>
    <row r="30" outlineLevel="2">
      <c r="A30" s="12" t="s">
        <v>45</v>
      </c>
      <c r="B30" s="0" t="s">
        <v>46</v>
      </c>
      <c r="C30" s="14">
        <f>IFERROR(300*(1-w),"")</f>
        <v>291</v>
      </c>
      <c r="D30" s="14">
        <v>300</v>
      </c>
      <c r="E30" s="14">
        <v>360.96739261220074</v>
      </c>
      <c r="F30" s="14"/>
      <c r="G30" s="14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IFERROR(16.63744*(1-w)-w*2.443,"")</f>
        <v>16.065026800000002</v>
      </c>
      <c r="D32" s="13">
        <v>16.63744</v>
      </c>
      <c r="E32" s="13">
        <v>20.01857778847311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IFERROR(17.866*(1-w),"")</f>
        <v>17.330019999999998</v>
      </c>
      <c r="D33" s="13">
        <v>17.866</v>
      </c>
      <c r="E33" s="13">
        <v>21.496811454698594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IFERROR(18.8488216313*(1-w),"")</f>
        <v>18.283356982361006</v>
      </c>
      <c r="D34" s="13">
        <v>18.848821631300005</v>
      </c>
      <c r="E34" s="13">
        <v>22.679366660209368</v>
      </c>
      <c r="F34" s="13"/>
      <c r="G34" s="13"/>
      <c r="I34" s="5"/>
      <c r="J34" s="0" t="s">
        <v>35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&#10;Original value: 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https://phyllis.nl/Biomass/View/1895</dc:description>
  <dcterms:created xsi:type="dcterms:W3CDTF">2026-03-19T07:21:43Z</dcterms:created>
  <dc:title>Phyllis2 #1895 wood, whole tree hogfuel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