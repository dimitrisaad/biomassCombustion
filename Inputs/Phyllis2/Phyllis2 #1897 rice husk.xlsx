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97 rice husk" sheetId="1" r:id="rId1"/>
  </sheets>
  <definedNames>
    <definedName name="w" localSheetId="0">IF(ISBLANK('Phyllis2 #1897 rice husk'!$C$18),#N/A,'Phyllis2 #1897 rice husk'!$C$18/100)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<sst xmlns="http://schemas.openxmlformats.org/spreadsheetml/2006/main" count="48" uniqueCount="48">
  <si>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</si>
  <si>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https://phyllis.nl/Biomass/View/1897</t>
  </si>
  <si>
    <t>rice husk (#1897)</t>
  </si>
  <si>
    <t>ID-number</t>
  </si>
  <si>
    <t>#1897</t>
  </si>
  <si>
    <t>Material</t>
  </si>
  <si>
    <t>rice husk</t>
  </si>
  <si>
    <t>Classification</t>
  </si>
  <si>
    <t>ECN Phyllis classification &gt; husk/shell/pit &gt; rice &gt; rice husk</t>
  </si>
  <si>
    <t>NTA 8003 classification &gt; [500] biomassa uit de industrie &gt; [520] schillen/vliezen/pitten &gt; [523] rijstvliezen</t>
  </si>
  <si>
    <t>Submitter organisation</t>
  </si>
  <si>
    <t>ECN (Netherlands)</t>
  </si>
  <si>
    <t>Submission date</t>
  </si>
  <si>
    <t>Literature</t>
  </si>
  <si>
    <t>Kucuk,M.M.: Recent advances in biomass technology; Fuel Science and Technology Int'l. 12, p.845-871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</si>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</sst>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9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36927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IFERROR(10.91*(1-w),"")</f>
        <v/>
      </c>
      <c r="D19" s="13">
        <v>10.91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IFERROR(44.22*(1-w),"")</f>
        <v/>
      </c>
      <c r="D21" s="13">
        <v>44.22</v>
      </c>
      <c r="E21" s="13">
        <v>49.635200359187337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IFERROR(5.06*(1-w),"")</f>
        <v/>
      </c>
      <c r="D22" s="13">
        <v>5.06</v>
      </c>
      <c r="E22" s="13">
        <v>5.6796497923448195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IFERROR(41.81*(1-w),"")</f>
        <v/>
      </c>
      <c r="D23" s="13">
        <v>41.81</v>
      </c>
      <c r="E23" s="13">
        <v>46.9300707150073</v>
      </c>
      <c r="F23" s="13"/>
      <c r="G23" s="13"/>
      <c r="I23" s="5"/>
      <c r="J23" s="0" t="s">
        <v>36</v>
      </c>
    </row>
    <row r="24" outlineLevel="2">
      <c r="A24" s="12" t="s">
        <v>39</v>
      </c>
      <c r="B24" s="0" t="s">
        <v>33</v>
      </c>
      <c r="C24" s="13">
        <f>IFERROR(0.5*(1-w),"")</f>
        <v/>
      </c>
      <c r="D24" s="13">
        <v>0.5</v>
      </c>
      <c r="E24" s="13">
        <v>0.56123021663486361</v>
      </c>
      <c r="F24" s="13"/>
      <c r="G24" s="13"/>
      <c r="I24" s="5"/>
      <c r="J24" s="0" t="s">
        <v>36</v>
      </c>
    </row>
    <row r="25" outlineLevel="2">
      <c r="A25" s="12" t="s">
        <v>40</v>
      </c>
      <c r="B25" s="0" t="s">
        <v>33</v>
      </c>
      <c r="C25" s="13">
        <f>IFERROR(0.51*(1-w),"")</f>
        <v/>
      </c>
      <c r="D25" s="13">
        <v>0.51</v>
      </c>
      <c r="E25" s="13">
        <v>0.57245482096756084</v>
      </c>
      <c r="F25" s="13"/>
      <c r="G25" s="13"/>
      <c r="I25" s="5"/>
      <c r="J25" s="0" t="s">
        <v>36</v>
      </c>
    </row>
    <row r="26" outlineLevel="2">
      <c r="A26" s="12" t="s">
        <v>41</v>
      </c>
      <c r="B26" s="0" t="s">
        <v>33</v>
      </c>
      <c r="C26" s="13">
        <f>IFERROR(103.01*(1-w)+w*100,"")</f>
        <v/>
      </c>
      <c r="D26" s="13">
        <v>103.01</v>
      </c>
      <c r="E26" s="13">
        <v>103.37860590414189</v>
      </c>
      <c r="F26" s="13"/>
      <c r="G26" s="13"/>
      <c r="I26" s="5"/>
      <c r="J26" s="0" t="s">
        <v>42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IFERROR(14.09582*(1-w)-w*2.443,"")</f>
        <v/>
      </c>
      <c r="D28" s="13">
        <v>14.09582</v>
      </c>
      <c r="E28" s="13">
        <v>15.822000224492086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IFERROR(15.2*(1-w),"")</f>
        <v/>
      </c>
      <c r="D29" s="13">
        <v>15.2</v>
      </c>
      <c r="E29" s="13">
        <v>17.061398585699852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IFERROR(16.5774142993*(1-w),"")</f>
        <v/>
      </c>
      <c r="D30" s="13">
        <v>16.5774142993</v>
      </c>
      <c r="E30" s="13">
        <v>18.607491636884049</v>
      </c>
      <c r="F30" s="13"/>
      <c r="G30" s="13"/>
      <c r="I30" s="5"/>
      <c r="J30" s="0" t="s">
        <v>42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https://phyllis.nl/Biomass/View/1897</dc:description>
  <dcterms:created xsi:type="dcterms:W3CDTF">2026-03-17T05:47:37Z</dcterms:created>
  <dc:title>Phyllis2 #1897 rice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