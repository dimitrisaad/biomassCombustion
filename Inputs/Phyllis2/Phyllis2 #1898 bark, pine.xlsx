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98 bark, pine" sheetId="1" r:id="rId1"/>
  </sheets>
  <definedNames>
    <definedName name="w" localSheetId="0">IF(ISBLANK('Phyllis2 #1898 bark, pine'!$C$18),#N/A,'Phyllis2 #1898 bark,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<sst xmlns="http://schemas.openxmlformats.org/spreadsheetml/2006/main" count="64" uniqueCount="64">
  <si>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</si>
  <si>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https://phyllis.nl/Biomass/View/1898</t>
  </si>
  <si>
    <t>bark, pine (#1898)</t>
  </si>
  <si>
    <t>ID-number</t>
  </si>
  <si>
    <t>#1898</t>
  </si>
  <si>
    <t>Material</t>
  </si>
  <si>
    <t>bark, pine</t>
  </si>
  <si>
    <t>Classification</t>
  </si>
  <si>
    <t>ECN Phyllis classification &gt; untreated wood &gt; bark &gt; bark, pine</t>
  </si>
  <si>
    <t>NTA 8003 classification &gt; [100] hout &gt; [110] vers hout &gt; [112] schors</t>
  </si>
  <si>
    <t>Submitter organisation</t>
  </si>
  <si>
    <t>ECN (Netherlands)</t>
  </si>
  <si>
    <t>Submission date</t>
  </si>
  <si>
    <t>Literature</t>
  </si>
  <si>
    <t>Miles,T.R.,Jr.; Miles,T.R.: Alkali deposits found in biomass power plants: A preliminary investigation of their extent and nature. Summary report NREL/TZ-2-11226-1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</si>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</sst>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36927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0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IFERROR(2.9*(1-w),"")</f>
        <v>2.9</v>
      </c>
      <c r="D19" s="13">
        <v>2.9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IFERROR(72.9*(1-w),"")</f>
        <v>72.9</v>
      </c>
      <c r="D20" s="13">
        <v>72.9</v>
      </c>
      <c r="E20" s="13">
        <v>75.077239958805364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IFERROR(24.2*(1-w),"")</f>
        <v>24.199999999999989</v>
      </c>
      <c r="D21" s="13">
        <v>24.199999999999989</v>
      </c>
      <c r="E21" s="13">
        <v>24.922760041194632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IFERROR(53.4*(1-w),"")</f>
        <v>53.4</v>
      </c>
      <c r="D23" s="13">
        <v>53.4</v>
      </c>
      <c r="E23" s="13">
        <v>54.994850669412976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IFERROR(5.6*(1-w),"")</f>
        <v>5.6</v>
      </c>
      <c r="D24" s="13">
        <v>5.6</v>
      </c>
      <c r="E24" s="13">
        <v>5.7672502574665288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IFERROR(37.89*(1-w),"")</f>
        <v>37.89</v>
      </c>
      <c r="D25" s="13">
        <v>37.89</v>
      </c>
      <c r="E25" s="13">
        <v>39.0216271884655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IFERROR(0.1*(1-w),"")</f>
        <v>0.1</v>
      </c>
      <c r="D26" s="13">
        <v>0.1</v>
      </c>
      <c r="E26" s="13">
        <v>0.10298661174047374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IFERROR(0.1*(1-w),"")</f>
        <v>0.1</v>
      </c>
      <c r="D27" s="13">
        <v>0.1</v>
      </c>
      <c r="E27" s="13">
        <v>0.10298661174047374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IFERROR(99.99*(1-w)+w*100,"")</f>
        <v>99.99</v>
      </c>
      <c r="D28" s="13">
        <v>99.99</v>
      </c>
      <c r="E28" s="13">
        <v>99.989701338825938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/>
      <c r="D30" s="14"/>
      <c r="E30" s="14"/>
      <c r="F30" s="14"/>
      <c r="G30" s="14">
        <v>100</v>
      </c>
      <c r="I30" s="5"/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IFERROR(19.78198*(1-w)-w*2.443,"")</f>
        <v>19.78198</v>
      </c>
      <c r="D32" s="13">
        <v>19.78198</v>
      </c>
      <c r="E32" s="13">
        <v>20.37279093717817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IFERROR(21.004*(1-w),"")</f>
        <v>21.004</v>
      </c>
      <c r="D33" s="13">
        <v>21.004</v>
      </c>
      <c r="E33" s="13">
        <v>21.631307929969108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IFERROR(21.01757673*(1-w),"")</f>
        <v>21.017576730000002</v>
      </c>
      <c r="D34" s="13">
        <v>21.017576730000002</v>
      </c>
      <c r="E34" s="13">
        <v>21.64529014418126</v>
      </c>
      <c r="F34" s="13"/>
      <c r="G34" s="13"/>
      <c r="I34" s="5"/>
      <c r="J34" s="0" t="s">
        <v>35</v>
      </c>
    </row>
    <row r="35">
      <c r="A35" s="7" t="s">
        <v>52</v>
      </c>
      <c r="I35" s="5"/>
    </row>
    <row r="36" outlineLevel="1">
      <c r="A36" s="11" t="s">
        <v>53</v>
      </c>
      <c r="I36" s="5"/>
    </row>
    <row r="37" outlineLevel="2">
      <c r="A37" s="12" t="s">
        <v>54</v>
      </c>
      <c r="B37" s="0" t="s">
        <v>55</v>
      </c>
      <c r="C37" s="13">
        <v>0.3</v>
      </c>
      <c r="D37" s="13"/>
      <c r="E37" s="13"/>
      <c r="F37" s="13"/>
      <c r="G37" s="13"/>
      <c r="I37" s="5"/>
    </row>
    <row r="38" outlineLevel="2">
      <c r="A38" s="12" t="s">
        <v>56</v>
      </c>
      <c r="B38" s="0" t="s">
        <v>55</v>
      </c>
      <c r="C38" s="13">
        <v>39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55</v>
      </c>
      <c r="C39" s="13">
        <v>3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55</v>
      </c>
      <c r="C40" s="13">
        <v>14</v>
      </c>
      <c r="D40" s="13"/>
      <c r="E40" s="13"/>
      <c r="F40" s="13"/>
      <c r="G40" s="13"/>
      <c r="I40" s="5"/>
    </row>
    <row r="41" outlineLevel="2">
      <c r="A41" s="12" t="s">
        <v>59</v>
      </c>
      <c r="B41" s="0" t="s">
        <v>55</v>
      </c>
      <c r="C41" s="13">
        <v>25.5</v>
      </c>
      <c r="D41" s="13"/>
      <c r="E41" s="13"/>
      <c r="F41" s="13"/>
      <c r="G41" s="13"/>
      <c r="I41" s="5"/>
    </row>
    <row r="42" outlineLevel="2">
      <c r="A42" s="12" t="s">
        <v>60</v>
      </c>
      <c r="B42" s="0" t="s">
        <v>55</v>
      </c>
      <c r="C42" s="13">
        <v>6.5</v>
      </c>
      <c r="D42" s="13"/>
      <c r="E42" s="13"/>
      <c r="F42" s="13"/>
      <c r="G42" s="13"/>
      <c r="I42" s="5"/>
    </row>
    <row r="43" outlineLevel="2">
      <c r="A43" s="12" t="s">
        <v>61</v>
      </c>
      <c r="B43" s="0" t="s">
        <v>55</v>
      </c>
      <c r="C43" s="13">
        <v>1.3</v>
      </c>
      <c r="D43" s="13"/>
      <c r="E43" s="13"/>
      <c r="F43" s="13"/>
      <c r="G43" s="13"/>
      <c r="I43" s="5"/>
    </row>
    <row r="44" outlineLevel="2">
      <c r="A44" s="12" t="s">
        <v>62</v>
      </c>
      <c r="B44" s="0" t="s">
        <v>55</v>
      </c>
      <c r="C44" s="13">
        <v>6</v>
      </c>
      <c r="D44" s="13"/>
      <c r="E44" s="13"/>
      <c r="F44" s="13"/>
      <c r="G44" s="13"/>
      <c r="I44" s="5"/>
    </row>
    <row r="45" outlineLevel="2">
      <c r="A45" s="12" t="s">
        <v>63</v>
      </c>
      <c r="B45" s="0" t="s">
        <v>55</v>
      </c>
      <c r="C45" s="13">
        <v>0.2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0:E30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8" errorStyle="stop" promptTitle="Enter moisture content" errorTitle="Invalid moisture content" prompt="Value should be between 0 and 100.&#10;Original value: 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https://phyllis.nl/Biomass/View/1898</dc:description>
  <dcterms:created xsi:type="dcterms:W3CDTF">2026-03-19T04:15:50Z</dcterms:created>
  <dc:title>Phyllis2 #1898 bark,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