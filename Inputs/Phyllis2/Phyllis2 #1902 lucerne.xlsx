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02 lucerne" sheetId="1" r:id="rId1"/>
  </sheets>
  <definedNames>
    <definedName name="w" localSheetId="0">IF(ISBLANK('Phyllis2 #1902 lucerne'!$C$20),#N/A,'Phyllis2 #1902 lucerne'!$C$20/100)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<sst xmlns="http://schemas.openxmlformats.org/spreadsheetml/2006/main" count="72" uniqueCount="72">
  <si>
    <t>Phyllis2</t>
  </si>
  <si>
    <t>https://phyllis.nl/Biomass/View/1902</t>
  </si>
  <si>
    <t>lucerne (#1902)</t>
  </si>
  <si>
    <t>ID-number</t>
  </si>
  <si>
    <t>#1902</t>
  </si>
  <si>
    <t>Material</t>
  </si>
  <si>
    <t>lucerne</t>
  </si>
  <si>
    <t>Classification</t>
  </si>
  <si>
    <t>ECN Phyllis classification &gt; grass/plant &gt; alfalfa &gt; lucerne</t>
  </si>
  <si>
    <t>NTA 8003 classification &gt; [200] biomassa uit land- en tuinbouw &gt; [240] gewassen &gt; [249] overige gewassen</t>
  </si>
  <si>
    <t>Ash type</t>
  </si>
  <si>
    <t>550°C</t>
  </si>
  <si>
    <t>Submitter organisation</t>
  </si>
  <si>
    <t>ECN (Netherlands)</t>
  </si>
  <si>
    <t>Submission date</t>
  </si>
  <si>
    <t>Remarks</t>
  </si>
  <si>
    <t>S and Cl calculated from ash; ash deformation HT and FT above 1600°C</t>
  </si>
  <si>
    <t>Literature</t>
  </si>
  <si>
    <t>M. Öhman: A new method to quantify fluidized bed agglomeration in the combustion of biomass fuels. Licantiate thesis.Thesis, Umea University, 23 p.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</si>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</sst>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0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36930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7.9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IFERROR(8.5*(1-w),"")</f>
        <v>7.8285</v>
      </c>
      <c r="D21" s="13">
        <v>8.5</v>
      </c>
      <c r="E21" s="13">
        <v/>
      </c>
      <c r="F21" s="13"/>
      <c r="G21" s="13"/>
      <c r="I21" s="5"/>
    </row>
    <row r="22" outlineLevel="1">
      <c r="A22" s="11" t="s">
        <v>36</v>
      </c>
      <c r="I22" s="5"/>
    </row>
    <row r="23" outlineLevel="2">
      <c r="A23" s="12" t="s">
        <v>37</v>
      </c>
      <c r="B23" s="0" t="s">
        <v>34</v>
      </c>
      <c r="C23" s="13">
        <f>IFERROR(46.7*(1-w),"")</f>
        <v>43.010700000000007</v>
      </c>
      <c r="D23" s="13">
        <v>46.7</v>
      </c>
      <c r="E23" s="13">
        <v>51.038251366120221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34</v>
      </c>
      <c r="C24" s="13">
        <f>IFERROR(5.9*(1-w),"")</f>
        <v>5.4339</v>
      </c>
      <c r="D24" s="13">
        <v>5.9</v>
      </c>
      <c r="E24" s="13">
        <v>6.4480874316939891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34</v>
      </c>
      <c r="C25" s="13">
        <f>IFERROR(35.6*(1-w),"")</f>
        <v>32.787600000000005</v>
      </c>
      <c r="D25" s="13">
        <v>35.6</v>
      </c>
      <c r="E25" s="13">
        <v>38.907103825136609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IFERROR(3.1*(1-w),"")</f>
        <v>2.8551</v>
      </c>
      <c r="D26" s="13">
        <v>3.1</v>
      </c>
      <c r="E26" s="13">
        <v>3.3879781420765025</v>
      </c>
      <c r="F26" s="13"/>
      <c r="G26" s="13"/>
      <c r="I26" s="5"/>
      <c r="J26" s="0" t="s">
        <v>38</v>
      </c>
    </row>
    <row r="27" outlineLevel="2">
      <c r="A27" s="12" t="s">
        <v>43</v>
      </c>
      <c r="B27" s="0" t="s">
        <v>34</v>
      </c>
      <c r="C27" s="13">
        <f>IFERROR(0.16*(1-w),"")</f>
        <v>0.14736000000000002</v>
      </c>
      <c r="D27" s="13">
        <v>0.16</v>
      </c>
      <c r="E27" s="13">
        <v>0.17486338797814208</v>
      </c>
      <c r="F27" s="13"/>
      <c r="G27" s="13"/>
      <c r="I27" s="5"/>
      <c r="J27" s="0" t="s">
        <v>38</v>
      </c>
    </row>
    <row r="28" outlineLevel="2">
      <c r="A28" s="12" t="s">
        <v>44</v>
      </c>
      <c r="B28" s="0" t="s">
        <v>34</v>
      </c>
      <c r="C28" s="13">
        <f>IFERROR(100.31*(1-w)+w*100,"")</f>
        <v>100.28551</v>
      </c>
      <c r="D28" s="13">
        <v>100.30999999999999</v>
      </c>
      <c r="E28" s="13">
        <v>100.33879781420764</v>
      </c>
      <c r="F28" s="13"/>
      <c r="G28" s="13"/>
      <c r="I28" s="5"/>
      <c r="J28" s="0" t="s">
        <v>41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4">
        <f>IFERROR(3500*(1-w),"")</f>
        <v>3223.5</v>
      </c>
      <c r="D30" s="14">
        <v>3500</v>
      </c>
      <c r="E30" s="14">
        <v>3825.1366120218577</v>
      </c>
      <c r="F30" s="14"/>
      <c r="G30" s="14"/>
      <c r="I30" s="5"/>
      <c r="J30" s="0" t="s">
        <v>38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3">
        <f>IFERROR(17.69052*(1-w)-w*2.443,"")</f>
        <v>16.09997192</v>
      </c>
      <c r="D32" s="13">
        <v>17.69052</v>
      </c>
      <c r="E32" s="13">
        <v>19.333901639344262</v>
      </c>
      <c r="F32" s="13"/>
      <c r="G32" s="13"/>
      <c r="I32" s="5"/>
    </row>
    <row r="33" outlineLevel="2">
      <c r="A33" s="12" t="s">
        <v>51</v>
      </c>
      <c r="B33" s="0" t="s">
        <v>50</v>
      </c>
      <c r="C33" s="13">
        <f>IFERROR(18.978*(1-w),"")</f>
        <v>17.478738000000003</v>
      </c>
      <c r="D33" s="13">
        <v>18.978</v>
      </c>
      <c r="E33" s="13">
        <v>20.740983606557378</v>
      </c>
      <c r="F33" s="13"/>
      <c r="G33" s="13"/>
      <c r="I33" s="5"/>
    </row>
    <row r="34" outlineLevel="2">
      <c r="A34" s="12" t="s">
        <v>52</v>
      </c>
      <c r="B34" s="0" t="s">
        <v>50</v>
      </c>
      <c r="C34" s="13">
        <f>IFERROR(18.97248025*(1-w),"")</f>
        <v>17.47365431025</v>
      </c>
      <c r="D34" s="13">
        <v>18.97248025</v>
      </c>
      <c r="E34" s="13">
        <v>20.734951092896175</v>
      </c>
      <c r="F34" s="13"/>
      <c r="G34" s="13"/>
      <c r="I34" s="5"/>
      <c r="J34" s="0" t="s">
        <v>41</v>
      </c>
    </row>
    <row r="35" outlineLevel="1">
      <c r="A35" s="11" t="s">
        <v>53</v>
      </c>
      <c r="I35" s="5"/>
    </row>
    <row r="36" outlineLevel="2">
      <c r="A36" s="15" t="s">
        <v>54</v>
      </c>
      <c r="I36" s="5"/>
    </row>
    <row r="37" outlineLevel="3">
      <c r="A37" s="16" t="s">
        <v>55</v>
      </c>
      <c r="B37" s="0" t="s">
        <v>56</v>
      </c>
      <c r="C37" s="17">
        <v>1550</v>
      </c>
      <c r="D37" s="17"/>
      <c r="E37" s="17"/>
      <c r="F37" s="17"/>
      <c r="G37" s="17"/>
      <c r="I37" s="5"/>
    </row>
    <row r="38" outlineLevel="3">
      <c r="A38" s="16" t="s">
        <v>57</v>
      </c>
      <c r="B38" s="0" t="s">
        <v>56</v>
      </c>
      <c r="C38" s="17">
        <v>1580</v>
      </c>
      <c r="D38" s="17"/>
      <c r="E38" s="17"/>
      <c r="F38" s="17"/>
      <c r="G38" s="17"/>
      <c r="I38" s="5"/>
    </row>
    <row r="39">
      <c r="A39" s="7" t="s">
        <v>58</v>
      </c>
      <c r="I39" s="5"/>
    </row>
    <row r="40" outlineLevel="1">
      <c r="A40" s="11" t="s">
        <v>59</v>
      </c>
      <c r="I40" s="5"/>
    </row>
    <row r="41" outlineLevel="2">
      <c r="A41" s="12" t="s">
        <v>60</v>
      </c>
      <c r="B41" s="0" t="s">
        <v>61</v>
      </c>
      <c r="C41" s="13">
        <v>22.3</v>
      </c>
      <c r="D41" s="13"/>
      <c r="E41" s="13"/>
      <c r="F41" s="13"/>
      <c r="G41" s="13"/>
      <c r="I41" s="5"/>
    </row>
    <row r="42" outlineLevel="2">
      <c r="A42" s="12" t="s">
        <v>62</v>
      </c>
      <c r="B42" s="0" t="s">
        <v>61</v>
      </c>
      <c r="C42" s="13">
        <v>1.9</v>
      </c>
      <c r="D42" s="13"/>
      <c r="E42" s="13"/>
      <c r="F42" s="13"/>
      <c r="G42" s="13"/>
      <c r="I42" s="5"/>
    </row>
    <row r="43" outlineLevel="2">
      <c r="A43" s="12" t="s">
        <v>63</v>
      </c>
      <c r="B43" s="0" t="s">
        <v>61</v>
      </c>
      <c r="C43" s="13">
        <v>4.4</v>
      </c>
      <c r="D43" s="13"/>
      <c r="E43" s="13"/>
      <c r="F43" s="13"/>
      <c r="G43" s="13"/>
      <c r="I43" s="5"/>
    </row>
    <row r="44" outlineLevel="2">
      <c r="A44" s="12" t="s">
        <v>64</v>
      </c>
      <c r="B44" s="0" t="s">
        <v>61</v>
      </c>
      <c r="C44" s="13">
        <v>8.2</v>
      </c>
      <c r="D44" s="13"/>
      <c r="E44" s="13"/>
      <c r="F44" s="13"/>
      <c r="G44" s="13"/>
      <c r="I44" s="5"/>
    </row>
    <row r="45" outlineLevel="2">
      <c r="A45" s="12" t="s">
        <v>65</v>
      </c>
      <c r="B45" s="0" t="s">
        <v>61</v>
      </c>
      <c r="C45" s="13">
        <v>3.3</v>
      </c>
      <c r="D45" s="13"/>
      <c r="E45" s="13"/>
      <c r="F45" s="13"/>
      <c r="G45" s="13"/>
      <c r="I45" s="5"/>
    </row>
    <row r="46" outlineLevel="2">
      <c r="A46" s="12" t="s">
        <v>66</v>
      </c>
      <c r="B46" s="0" t="s">
        <v>61</v>
      </c>
      <c r="C46" s="13">
        <v>0.3</v>
      </c>
      <c r="D46" s="13"/>
      <c r="E46" s="13"/>
      <c r="F46" s="13"/>
      <c r="G46" s="13"/>
      <c r="I46" s="5"/>
    </row>
    <row r="47" outlineLevel="2">
      <c r="A47" s="12" t="s">
        <v>67</v>
      </c>
      <c r="B47" s="0" t="s">
        <v>61</v>
      </c>
      <c r="C47" s="13">
        <v>0.3</v>
      </c>
      <c r="D47" s="13"/>
      <c r="E47" s="13"/>
      <c r="F47" s="13"/>
      <c r="G47" s="13"/>
      <c r="I47" s="5"/>
    </row>
    <row r="48" outlineLevel="2">
      <c r="A48" s="12" t="s">
        <v>68</v>
      </c>
      <c r="B48" s="0" t="s">
        <v>61</v>
      </c>
      <c r="C48" s="13">
        <v>27.7</v>
      </c>
      <c r="D48" s="13"/>
      <c r="E48" s="13"/>
      <c r="F48" s="13"/>
      <c r="G48" s="13"/>
      <c r="I48" s="5"/>
    </row>
    <row r="49" outlineLevel="2">
      <c r="A49" s="12" t="s">
        <v>69</v>
      </c>
      <c r="B49" s="0" t="s">
        <v>61</v>
      </c>
      <c r="C49" s="13">
        <v>3.1</v>
      </c>
      <c r="D49" s="13"/>
      <c r="E49" s="13"/>
      <c r="F49" s="13"/>
      <c r="G49" s="13"/>
      <c r="I49" s="5"/>
    </row>
    <row r="50" outlineLevel="2">
      <c r="A50" s="12" t="s">
        <v>70</v>
      </c>
      <c r="B50" s="0" t="s">
        <v>61</v>
      </c>
      <c r="C50" s="13">
        <v>0.7</v>
      </c>
      <c r="D50" s="13"/>
      <c r="E50" s="13"/>
      <c r="F50" s="13"/>
      <c r="G50" s="13"/>
      <c r="I50" s="5"/>
    </row>
    <row r="51" outlineLevel="2">
      <c r="A51" s="12" t="s">
        <v>71</v>
      </c>
      <c r="B51" s="0" t="s">
        <v>61</v>
      </c>
      <c r="C51" s="13">
        <v>28.4</v>
      </c>
      <c r="D51" s="13"/>
      <c r="E51" s="13"/>
      <c r="F51" s="13"/>
      <c r="G51" s="13"/>
      <c r="I51" s="5"/>
    </row>
    <row r="52">
      <c r="I52" s="5"/>
    </row>
    <row r="53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7:E37"/>
    <mergeCell ref="C38:E38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</mergeCells>
  <dataValidations count="1">
    <dataValidation type="decimal" sqref="C20" errorStyle="stop" promptTitle="Enter moisture content" errorTitle="Invalid moisture content" prompt="Value should be between 0 and 100.&#10;Original value: 7.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https://phyllis.nl/Biomass/View/1902</dc:description>
  <dcterms:created xsi:type="dcterms:W3CDTF">2026-03-04T03:59:01Z</dcterms:created>
  <dc:title>Phyllis2 #1902 lucerne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