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03 wheat straw" sheetId="1" r:id="rId1"/>
  </sheets>
  <definedNames>
    <definedName name="w" localSheetId="0">IF(ISBLANK('Phyllis2 #1903 wheat straw'!$C$20),#N/A,'Phyllis2 #1903 wheat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<sst xmlns="http://schemas.openxmlformats.org/spreadsheetml/2006/main" count="74" uniqueCount="74">
  <si>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</si>
  <si>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https://phyllis.nl/Biomass/View/1903</t>
  </si>
  <si>
    <t>wheat straw (#1903)</t>
  </si>
  <si>
    <t>ID-number</t>
  </si>
  <si>
    <t>#1903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</si>
  <si>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</si>
  <si>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</si>
  <si>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</si>
  <si>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</si>
  <si>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</si>
  <si>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</si>
  <si>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550°C</t>
  </si>
  <si>
    <t>Submitter organisation</t>
  </si>
  <si>
    <t>ECN (Netherlands)</t>
  </si>
  <si>
    <t>Submission date</t>
  </si>
  <si>
    <t>Remarks</t>
  </si>
  <si>
    <t>same data in: Energy &amp; Fuels 19 (2005) 825-832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</si>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</sst>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IFERROR(5.9*(1-w),"")</f>
        <v>5.3277</v>
      </c>
      <c r="D21" s="13">
        <v>5.9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IFERROR(44.8*(1-w),"")</f>
        <v>40.4544</v>
      </c>
      <c r="D23" s="13">
        <v>44.8</v>
      </c>
      <c r="E23" s="13">
        <v>47.608926673751327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IFERROR(5.7*(1-w),"")</f>
        <v>5.1471</v>
      </c>
      <c r="D24" s="13">
        <v>5.7</v>
      </c>
      <c r="E24" s="13">
        <v>6.0573857598299687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IFERROR(42.6*(1-w),"")</f>
        <v>38.467800000000004</v>
      </c>
      <c r="D25" s="13">
        <v>42.6</v>
      </c>
      <c r="E25" s="13">
        <v>45.270988310308184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IFERROR(0.8*(1-w),"")</f>
        <v>0.7224</v>
      </c>
      <c r="D26" s="13">
        <v>0.8</v>
      </c>
      <c r="E26" s="13">
        <v>0.85015940488841668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IFERROR(0.094*(1-w),"")</f>
        <v>0.084882</v>
      </c>
      <c r="D27" s="13">
        <v>0.094</v>
      </c>
      <c r="E27" s="13">
        <v>0.099893730074388953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IFERROR(100.114*(1-w)+w*100,"")</f>
        <v>100.102942</v>
      </c>
      <c r="D28" s="13">
        <v>100.11399999999999</v>
      </c>
      <c r="E28" s="13">
        <v>100.12114771519659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IFERROR(2200*(1-w),"")</f>
        <v>1986.6000000000001</v>
      </c>
      <c r="D30" s="14">
        <v>2200</v>
      </c>
      <c r="E30" s="14">
        <v>2337.9383634431456</v>
      </c>
      <c r="F30" s="14"/>
      <c r="G30" s="14"/>
      <c r="I30" s="5"/>
      <c r="J30" s="0" t="s">
        <v>41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IFERROR(17.50816*(1-w)-w*2.443,"")</f>
        <v>15.57289748</v>
      </c>
      <c r="D32" s="13">
        <v>17.50816</v>
      </c>
      <c r="E32" s="13">
        <v>18.605908607863977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IFERROR(18.752*(1-w),"")</f>
        <v>16.933056</v>
      </c>
      <c r="D33" s="13">
        <v>18.752</v>
      </c>
      <c r="E33" s="13">
        <v>19.927736450584483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IFERROR(17.52570433*(1-w),"")</f>
        <v>15.82571100999</v>
      </c>
      <c r="D34" s="13">
        <v>17.52570433</v>
      </c>
      <c r="E34" s="13">
        <v>18.624552954303933</v>
      </c>
      <c r="F34" s="13"/>
      <c r="G34" s="13"/>
      <c r="I34" s="5"/>
      <c r="J34" s="0" t="s">
        <v>41</v>
      </c>
    </row>
    <row r="35" outlineLevel="1">
      <c r="A35" s="11" t="s">
        <v>53</v>
      </c>
      <c r="I35" s="5"/>
    </row>
    <row r="36" outlineLevel="2">
      <c r="A36" s="15" t="s">
        <v>54</v>
      </c>
      <c r="I36" s="5"/>
    </row>
    <row r="37" outlineLevel="3">
      <c r="A37" s="16" t="s">
        <v>55</v>
      </c>
      <c r="B37" s="0" t="s">
        <v>56</v>
      </c>
      <c r="C37" s="17">
        <v>900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56</v>
      </c>
      <c r="C38" s="17">
        <v>1040</v>
      </c>
      <c r="D38" s="17"/>
      <c r="E38" s="17"/>
      <c r="F38" s="17"/>
      <c r="G38" s="17"/>
      <c r="I38" s="5"/>
    </row>
    <row r="39" outlineLevel="3">
      <c r="A39" s="16" t="s">
        <v>58</v>
      </c>
      <c r="B39" s="0" t="s">
        <v>56</v>
      </c>
      <c r="C39" s="17">
        <v>1170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56</v>
      </c>
      <c r="C40" s="17">
        <v>1190</v>
      </c>
      <c r="D40" s="17"/>
      <c r="E40" s="17"/>
      <c r="F40" s="17"/>
      <c r="G40" s="17"/>
      <c r="I40" s="5"/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5.1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4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3.7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4.7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30.6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0.4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0.5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7.9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2.4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63</v>
      </c>
      <c r="C52" s="13">
        <v>0.7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63</v>
      </c>
      <c r="C53" s="13">
        <v>25.3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20" errorStyle="stop" promptTitle="Enter moisture content" errorTitle="Invalid moisture content" prompt="Value should be between 0 and 100.&#10;Original value: 9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https://phyllis.nl/Biomass/View/1903</dc:description>
  <dcterms:created xsi:type="dcterms:W3CDTF">2026-03-17T06:16:07Z</dcterms:created>
  <dc:title>Phyllis2 #1903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