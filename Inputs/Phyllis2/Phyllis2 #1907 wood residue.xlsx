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07 wood residue" sheetId="1" r:id="rId1"/>
  </sheets>
  <definedNames>
    <definedName name="w" localSheetId="0">IF(ISBLANK('Phyllis2 #1907 wood residue'!$C$20),#N/A,'Phyllis2 #1907 wood residue'!$C$20/100)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<sst xmlns="http://schemas.openxmlformats.org/spreadsheetml/2006/main" count="72" uniqueCount="72">
  <si>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</si>
  <si>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https://phyllis.nl/Biomass/View/1907</t>
  </si>
  <si>
    <t>wood residue (#1907)</t>
  </si>
  <si>
    <t>ID-number</t>
  </si>
  <si>
    <t>#1907</t>
  </si>
  <si>
    <t>Material</t>
  </si>
  <si>
    <t>wood residue</t>
  </si>
  <si>
    <t>Classification</t>
  </si>
  <si>
    <t>ECN Phyllis classification &gt; untreated wood &gt; others</t>
  </si>
  <si>
    <t>NTA 8003 classification &gt; [100] hout &gt; [110] vers hout &gt; [119] overig vers hout</t>
  </si>
  <si>
    <t>Ash type</t>
  </si>
  <si>
    <t>550°C</t>
  </si>
  <si>
    <t>Submitter organisation</t>
  </si>
  <si>
    <t>ECN (Netherlands)</t>
  </si>
  <si>
    <t>Submission date</t>
  </si>
  <si>
    <t>Remarks</t>
  </si>
  <si>
    <t>nordic biomass; S and Cl calculated from ash</t>
  </si>
  <si>
    <t>Literature</t>
  </si>
  <si>
    <t>M. Öhman: A new method to quantify fluidized bed agglomeration in the combustion of biomass fuels. Licantiate thesis.Thesis, Umea University, 23 p.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</si>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</sst>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36930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46.7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IFERROR(3.2*(1-w),"")</f>
        <v>1.7055999999999998</v>
      </c>
      <c r="D21" s="13">
        <v>3.2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IFERROR(51*(1-w),"")</f>
        <v>27.182999999999996</v>
      </c>
      <c r="D23" s="13">
        <v>51</v>
      </c>
      <c r="E23" s="13">
        <v>52.685950413223139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IFERROR(6.2*(1-w),"")</f>
        <v>3.3045999999999998</v>
      </c>
      <c r="D24" s="13">
        <v>6.2</v>
      </c>
      <c r="E24" s="13">
        <v>6.4049586776859506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IFERROR(39.2*(1-w),"")</f>
        <v>20.8936</v>
      </c>
      <c r="D25" s="13">
        <v>39.2</v>
      </c>
      <c r="E25" s="13">
        <v>40.495867768595048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IFERROR(0.4*(1-w),"")</f>
        <v>0.21319999999999997</v>
      </c>
      <c r="D26" s="13">
        <v>0.4</v>
      </c>
      <c r="E26" s="13">
        <v>0.41322314049586778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IFERROR(0.05*(1-w),"")</f>
        <v>0.026649999999999997</v>
      </c>
      <c r="D27" s="13">
        <v>0.05</v>
      </c>
      <c r="E27" s="13">
        <v>0.051652892561983473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IFERROR(100.053*(1-w)+w*100,"")</f>
        <v>100.028249</v>
      </c>
      <c r="D28" s="13">
        <v>100.05300000000001</v>
      </c>
      <c r="E28" s="13">
        <v>100.05475206611571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IFERROR(30*(1-w),"")</f>
        <v>15.989999999999998</v>
      </c>
      <c r="D30" s="14">
        <v>30</v>
      </c>
      <c r="E30" s="14">
        <v>30.991735537190085</v>
      </c>
      <c r="F30" s="14"/>
      <c r="G30" s="14"/>
      <c r="I30" s="5"/>
      <c r="J30" s="0" t="s">
        <v>41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IFERROR(20.79143672*(1-w),"")</f>
        <v>11.08183577176</v>
      </c>
      <c r="D32" s="13">
        <v>20.791436720000004</v>
      </c>
      <c r="E32" s="13">
        <v>21.478756942148763</v>
      </c>
      <c r="F32" s="13"/>
      <c r="G32" s="13"/>
      <c r="I32" s="5"/>
      <c r="J32" s="0" t="s">
        <v>41</v>
      </c>
    </row>
    <row r="33" outlineLevel="1">
      <c r="A33" s="11" t="s">
        <v>51</v>
      </c>
      <c r="I33" s="5"/>
    </row>
    <row r="34" outlineLevel="2">
      <c r="A34" s="15" t="s">
        <v>52</v>
      </c>
      <c r="I34" s="5"/>
    </row>
    <row r="35" outlineLevel="3">
      <c r="A35" s="16" t="s">
        <v>53</v>
      </c>
      <c r="B35" s="0" t="s">
        <v>54</v>
      </c>
      <c r="C35" s="17">
        <v>1150</v>
      </c>
      <c r="D35" s="17"/>
      <c r="E35" s="17"/>
      <c r="F35" s="17"/>
      <c r="G35" s="17"/>
      <c r="I35" s="5"/>
    </row>
    <row r="36" outlineLevel="3">
      <c r="A36" s="16" t="s">
        <v>55</v>
      </c>
      <c r="B36" s="0" t="s">
        <v>54</v>
      </c>
      <c r="C36" s="17">
        <v>1200</v>
      </c>
      <c r="D36" s="17"/>
      <c r="E36" s="17"/>
      <c r="F36" s="17"/>
      <c r="G36" s="17"/>
      <c r="I36" s="5"/>
    </row>
    <row r="37" outlineLevel="3">
      <c r="A37" s="16" t="s">
        <v>56</v>
      </c>
      <c r="B37" s="0" t="s">
        <v>54</v>
      </c>
      <c r="C37" s="17">
        <v>1210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54</v>
      </c>
      <c r="C38" s="17">
        <v>1220</v>
      </c>
      <c r="D38" s="17"/>
      <c r="E38" s="17"/>
      <c r="F38" s="17"/>
      <c r="G38" s="17"/>
      <c r="I38" s="5"/>
    </row>
    <row r="39">
      <c r="A39" s="7" t="s">
        <v>58</v>
      </c>
      <c r="I39" s="5"/>
    </row>
    <row r="40" outlineLevel="1">
      <c r="A40" s="11" t="s">
        <v>59</v>
      </c>
      <c r="I40" s="5"/>
    </row>
    <row r="41" outlineLevel="2">
      <c r="A41" s="12" t="s">
        <v>60</v>
      </c>
      <c r="B41" s="0" t="s">
        <v>61</v>
      </c>
      <c r="C41" s="13">
        <v>15.9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61</v>
      </c>
      <c r="C42" s="13">
        <v>1.6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61</v>
      </c>
      <c r="C43" s="13">
        <v>0.1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61</v>
      </c>
      <c r="C44" s="13">
        <v>3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61</v>
      </c>
      <c r="C45" s="13">
        <v>24.6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61</v>
      </c>
      <c r="C46" s="13">
        <v>3.6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61</v>
      </c>
      <c r="C47" s="13">
        <v>4.3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61</v>
      </c>
      <c r="C48" s="13">
        <v>25.3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61</v>
      </c>
      <c r="C49" s="13">
        <v>2.8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61</v>
      </c>
      <c r="C50" s="13">
        <v>0.3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61</v>
      </c>
      <c r="C51" s="13">
        <v>6.9</v>
      </c>
      <c r="D51" s="13"/>
      <c r="E51" s="13"/>
      <c r="F51" s="13"/>
      <c r="G51" s="13"/>
      <c r="I51" s="5"/>
    </row>
    <row r="52">
      <c r="I52" s="5"/>
    </row>
    <row r="5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0" errorStyle="stop" promptTitle="Enter moisture content" errorTitle="Invalid moisture content" prompt="Value should be between 0 and 100.&#10;Original value: 4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https://phyllis.nl/Biomass/View/1907</dc:description>
  <dcterms:created xsi:type="dcterms:W3CDTF">2026-03-19T07:22:35Z</dcterms:created>
  <dc:title>Phyllis2 #1907 wood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