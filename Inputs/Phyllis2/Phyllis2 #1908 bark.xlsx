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08 bark" sheetId="1" r:id="rId1"/>
  </sheets>
  <definedNames>
    <definedName name="w" localSheetId="0">IF(ISBLANK('Phyllis2 #1908 bark'!$C$20),#N/A,'Phyllis2 #1908 bark'!$C$20/100)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<sst xmlns="http://schemas.openxmlformats.org/spreadsheetml/2006/main" count="72" uniqueCount="72">
  <si>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</si>
  <si>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https://phyllis.nl/Biomass/View/1908</t>
  </si>
  <si>
    <t>bark (#1908)</t>
  </si>
  <si>
    <t>ID-number</t>
  </si>
  <si>
    <t>#1908</t>
  </si>
  <si>
    <t>Material</t>
  </si>
  <si>
    <t>bark</t>
  </si>
  <si>
    <t>Classification</t>
  </si>
  <si>
    <t>ECN Phyllis classification &gt; untreated wood &gt; bark &gt; bark</t>
  </si>
  <si>
    <t>NTA 8003 classification &gt; [100] hout &gt; [110] vers hout &gt; [112] schors</t>
  </si>
  <si>
    <t>Ash type</t>
  </si>
  <si>
    <t>550°C</t>
  </si>
  <si>
    <t>Submitter organisation</t>
  </si>
  <si>
    <t>ECN (Netherlands)</t>
  </si>
  <si>
    <t>Submission date</t>
  </si>
  <si>
    <t>Remarks</t>
  </si>
  <si>
    <t>same data in: Energy &amp; Fuels 19 (2005) 825-832</t>
  </si>
  <si>
    <t>Literature</t>
  </si>
  <si>
    <t>M. Öhman: A new method to quantify fluidized bed agglomeration in the combustion of biomass fuels. Licantiate thesis.Thesis, Umea University, 23 p.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</si>
  <si>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</si>
  <si>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</si>
  <si>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</si>
  <si>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</si>
  <si>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</si>
  <si>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</si>
  <si>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</si>
  <si>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</si>
  <si>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</si>
  <si>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</si>
  <si>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</si>
  <si>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</si>
  <si>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</si>
  <si>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</si>
  <si>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</si>
  <si>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</si>
  <si>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</si>
  <si>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</si>
  <si>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</si>
  <si>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</si>
  <si>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</si>
  <si>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</si>
  <si>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</si>
  <si>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</si>
  <si>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wt% (dry)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</si>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</sst>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36930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IFERROR(3*(1-w),"")</f>
        <v>2.718</v>
      </c>
      <c r="D21" s="13">
        <v>3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IFERROR(51.6*(1-w),"")</f>
        <v>46.7496</v>
      </c>
      <c r="D23" s="13">
        <v>51.6</v>
      </c>
      <c r="E23" s="13">
        <v>53.1958762886598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IFERROR(6*(1-w),"")</f>
        <v>5.436</v>
      </c>
      <c r="D24" s="13">
        <v>6</v>
      </c>
      <c r="E24" s="13">
        <v>6.1855670103092786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IFERROR(39.3*(1-w),"")</f>
        <v>35.605799999999995</v>
      </c>
      <c r="D25" s="13">
        <v>39.3</v>
      </c>
      <c r="E25" s="13">
        <v>40.515463917525771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43</v>
      </c>
      <c r="C26" s="13"/>
      <c r="D26" s="13"/>
      <c r="E26" s="13"/>
      <c r="F26" s="13"/>
      <c r="G26" s="13">
        <v>0.1</v>
      </c>
      <c r="I26" s="5"/>
    </row>
    <row r="27" outlineLevel="2">
      <c r="A27" s="12" t="s">
        <v>44</v>
      </c>
      <c r="B27" s="0" t="s">
        <v>34</v>
      </c>
      <c r="C27" s="13">
        <f>IFERROR(0.017*(1-w),"")</f>
        <v>0.015402</v>
      </c>
      <c r="D27" s="13">
        <v>0.017</v>
      </c>
      <c r="E27" s="13">
        <v>0.017525773195876289</v>
      </c>
      <c r="F27" s="13"/>
      <c r="G27" s="13"/>
      <c r="I27" s="5"/>
      <c r="J27" s="0" t="s">
        <v>41</v>
      </c>
    </row>
    <row r="28" outlineLevel="2">
      <c r="A28" s="12" t="s">
        <v>45</v>
      </c>
      <c r="B28" s="0" t="s">
        <v>34</v>
      </c>
      <c r="C28" s="13">
        <f>IFERROR(99.92*(1-w)+w*100,"")</f>
        <v>99.927520000000015</v>
      </c>
      <c r="D28" s="13">
        <v>99.92</v>
      </c>
      <c r="E28" s="13">
        <v>99.917525773195877</v>
      </c>
      <c r="F28" s="13"/>
      <c r="G28" s="13"/>
      <c r="I28" s="5"/>
      <c r="J28" s="0" t="s">
        <v>41</v>
      </c>
    </row>
    <row r="29" outlineLevel="1">
      <c r="A29" s="11" t="s">
        <v>46</v>
      </c>
      <c r="I29" s="5"/>
    </row>
    <row r="30" outlineLevel="2">
      <c r="A30" s="12" t="s">
        <v>47</v>
      </c>
      <c r="B30" s="0" t="s">
        <v>48</v>
      </c>
      <c r="C30" s="14">
        <f>IFERROR(30*(1-w),"")</f>
        <v>27.18</v>
      </c>
      <c r="D30" s="14">
        <v>30</v>
      </c>
      <c r="E30" s="14">
        <v>30.927835051546392</v>
      </c>
      <c r="F30" s="14"/>
      <c r="G30" s="14"/>
      <c r="I30" s="5"/>
      <c r="J30" s="0" t="s">
        <v>41</v>
      </c>
    </row>
    <row r="31" outlineLevel="1">
      <c r="A31" s="11" t="s">
        <v>49</v>
      </c>
      <c r="I31" s="5"/>
    </row>
    <row r="32" outlineLevel="2">
      <c r="A32" s="12" t="s">
        <v>50</v>
      </c>
      <c r="B32" s="0" t="s">
        <v>51</v>
      </c>
      <c r="C32" s="13">
        <f>IFERROR(20.7682432*(1-w),"")</f>
        <v>18.816028339200003</v>
      </c>
      <c r="D32" s="13">
        <v>20.7682432</v>
      </c>
      <c r="E32" s="13">
        <v>21.41056</v>
      </c>
      <c r="F32" s="13"/>
      <c r="G32" s="13"/>
      <c r="I32" s="5"/>
      <c r="J32" s="0" t="s">
        <v>41</v>
      </c>
    </row>
    <row r="33" outlineLevel="1">
      <c r="A33" s="11" t="s">
        <v>52</v>
      </c>
      <c r="I33" s="5"/>
    </row>
    <row r="34" outlineLevel="2">
      <c r="A34" s="15" t="s">
        <v>53</v>
      </c>
      <c r="I34" s="5"/>
    </row>
    <row r="35" outlineLevel="3">
      <c r="A35" s="16" t="s">
        <v>54</v>
      </c>
      <c r="B35" s="0" t="s">
        <v>55</v>
      </c>
      <c r="C35" s="17">
        <v>1340</v>
      </c>
      <c r="D35" s="17"/>
      <c r="E35" s="17"/>
      <c r="F35" s="17"/>
      <c r="G35" s="17"/>
      <c r="I35" s="5"/>
    </row>
    <row r="36" outlineLevel="3">
      <c r="A36" s="16" t="s">
        <v>56</v>
      </c>
      <c r="B36" s="0" t="s">
        <v>55</v>
      </c>
      <c r="C36" s="17">
        <v>1540</v>
      </c>
      <c r="D36" s="17"/>
      <c r="E36" s="17"/>
      <c r="F36" s="17"/>
      <c r="G36" s="17"/>
      <c r="I36" s="5"/>
    </row>
    <row r="37" outlineLevel="3">
      <c r="A37" s="16" t="s">
        <v>57</v>
      </c>
      <c r="B37" s="0" t="s">
        <v>55</v>
      </c>
      <c r="C37" s="17">
        <v>1540</v>
      </c>
      <c r="D37" s="17"/>
      <c r="E37" s="17"/>
      <c r="F37" s="17"/>
      <c r="G37" s="17"/>
      <c r="I37" s="5"/>
    </row>
    <row r="38" outlineLevel="3">
      <c r="A38" s="16" t="s">
        <v>58</v>
      </c>
      <c r="B38" s="0" t="s">
        <v>55</v>
      </c>
      <c r="C38" s="17">
        <v>1540</v>
      </c>
      <c r="D38" s="17"/>
      <c r="E38" s="17"/>
      <c r="F38" s="17"/>
      <c r="G38" s="17"/>
      <c r="I38" s="5"/>
    </row>
    <row r="39">
      <c r="A39" s="7" t="s">
        <v>59</v>
      </c>
      <c r="I39" s="5"/>
    </row>
    <row r="40" outlineLevel="1">
      <c r="A40" s="11" t="s">
        <v>60</v>
      </c>
      <c r="I40" s="5"/>
    </row>
    <row r="41" outlineLevel="2">
      <c r="A41" s="12" t="s">
        <v>61</v>
      </c>
      <c r="B41" s="0" t="s">
        <v>62</v>
      </c>
      <c r="C41" s="13">
        <v>26.1</v>
      </c>
      <c r="D41" s="13"/>
      <c r="E41" s="13"/>
      <c r="F41" s="13"/>
      <c r="G41" s="13"/>
      <c r="I41" s="5"/>
    </row>
    <row r="42" outlineLevel="2">
      <c r="A42" s="12" t="s">
        <v>63</v>
      </c>
      <c r="B42" s="0" t="s">
        <v>62</v>
      </c>
      <c r="C42" s="13">
        <v>1.4</v>
      </c>
      <c r="D42" s="13"/>
      <c r="E42" s="13"/>
      <c r="F42" s="13"/>
      <c r="G42" s="13"/>
      <c r="I42" s="5"/>
    </row>
    <row r="43" outlineLevel="2">
      <c r="A43" s="12" t="s">
        <v>64</v>
      </c>
      <c r="B43" s="0" t="s">
        <v>62</v>
      </c>
      <c r="C43" s="13">
        <v>0.1</v>
      </c>
      <c r="D43" s="13"/>
      <c r="E43" s="13"/>
      <c r="F43" s="13"/>
      <c r="G43" s="13"/>
      <c r="I43" s="5"/>
    </row>
    <row r="44" outlineLevel="2">
      <c r="A44" s="12" t="s">
        <v>65</v>
      </c>
      <c r="B44" s="0" t="s">
        <v>62</v>
      </c>
      <c r="C44" s="13">
        <v>2.7</v>
      </c>
      <c r="D44" s="13"/>
      <c r="E44" s="13"/>
      <c r="F44" s="13"/>
      <c r="G44" s="13"/>
      <c r="I44" s="5"/>
    </row>
    <row r="45" outlineLevel="2">
      <c r="A45" s="12" t="s">
        <v>66</v>
      </c>
      <c r="B45" s="0" t="s">
        <v>62</v>
      </c>
      <c r="C45" s="13">
        <v>12.2</v>
      </c>
      <c r="D45" s="13"/>
      <c r="E45" s="13"/>
      <c r="F45" s="13"/>
      <c r="G45" s="13"/>
      <c r="I45" s="5"/>
    </row>
    <row r="46" outlineLevel="2">
      <c r="A46" s="12" t="s">
        <v>67</v>
      </c>
      <c r="B46" s="0" t="s">
        <v>62</v>
      </c>
      <c r="C46" s="13">
        <v>1.1</v>
      </c>
      <c r="D46" s="13"/>
      <c r="E46" s="13"/>
      <c r="F46" s="13"/>
      <c r="G46" s="13"/>
      <c r="I46" s="5"/>
    </row>
    <row r="47" outlineLevel="2">
      <c r="A47" s="12" t="s">
        <v>68</v>
      </c>
      <c r="B47" s="0" t="s">
        <v>62</v>
      </c>
      <c r="C47" s="13">
        <v>1.8</v>
      </c>
      <c r="D47" s="13"/>
      <c r="E47" s="13"/>
      <c r="F47" s="13"/>
      <c r="G47" s="13"/>
      <c r="I47" s="5"/>
    </row>
    <row r="48" outlineLevel="2">
      <c r="A48" s="12" t="s">
        <v>69</v>
      </c>
      <c r="B48" s="0" t="s">
        <v>62</v>
      </c>
      <c r="C48" s="13">
        <v>33.3</v>
      </c>
      <c r="D48" s="13"/>
      <c r="E48" s="13"/>
      <c r="F48" s="13"/>
      <c r="G48" s="13"/>
      <c r="I48" s="5"/>
    </row>
    <row r="49" outlineLevel="2">
      <c r="A49" s="12" t="s">
        <v>70</v>
      </c>
      <c r="B49" s="0" t="s">
        <v>62</v>
      </c>
      <c r="C49" s="13">
        <v>3.7</v>
      </c>
      <c r="D49" s="13"/>
      <c r="E49" s="13"/>
      <c r="F49" s="13"/>
      <c r="G49" s="13"/>
      <c r="I49" s="5"/>
    </row>
    <row r="50" outlineLevel="2">
      <c r="A50" s="12" t="s">
        <v>71</v>
      </c>
      <c r="B50" s="0" t="s">
        <v>62</v>
      </c>
      <c r="C50" s="13">
        <v>0.5</v>
      </c>
      <c r="D50" s="13"/>
      <c r="E50" s="13"/>
      <c r="F50" s="13"/>
      <c r="G50" s="13"/>
      <c r="I50" s="5"/>
    </row>
    <row r="51">
      <c r="I51" s="5"/>
    </row>
    <row r="5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26:E26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20" errorStyle="stop" promptTitle="Enter moisture content" errorTitle="Invalid moisture content" prompt="Value should be between 0 and 100.&#10;Original value: 9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https://phyllis.nl/Biomass/View/1908</dc:description>
  <dcterms:created xsi:type="dcterms:W3CDTF">2026-03-19T04:14:59Z</dcterms:created>
  <dc:title>Phyllis2 #1908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