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909 reed canary gras" sheetId="1" r:id="rId1"/>
  </sheets>
  <definedNames>
    <definedName name="w" localSheetId="0">IF(ISBLANK('Phyllis2 #1909 reed canary gras'!$C$20),#N/A,'Phyllis2 #1909 reed canary gras'!$C$20/100)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7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7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7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<sst xmlns="http://schemas.openxmlformats.org/spreadsheetml/2006/main" count="70" uniqueCount="70">
  <si>
    <t>Phyllis2</t>
  </si>
  <si>
    <t>https://phyllis.nl/Biomass/View/1909</t>
  </si>
  <si>
    <t>reed canary grass (#1909)</t>
  </si>
  <si>
    <t>ID-number</t>
  </si>
  <si>
    <t>#1909</t>
  </si>
  <si>
    <t>Material</t>
  </si>
  <si>
    <t>reed canary grass</t>
  </si>
  <si>
    <t>Classification</t>
  </si>
  <si>
    <t>ECN Phyllis classification &gt; grass/plant &gt; reed &gt; reed canary grass</t>
  </si>
  <si>
    <t>NTA 8003 classification &gt; [200] biomassa uit land- en tuinbouw &gt; [210] gras &gt; [219] overig gras</t>
  </si>
  <si>
    <t>Ash type</t>
  </si>
  <si>
    <t>550°C</t>
  </si>
  <si>
    <t>Submitter organisation</t>
  </si>
  <si>
    <t>ECN (Netherlands)</t>
  </si>
  <si>
    <t>Submission date</t>
  </si>
  <si>
    <t>Remarks</t>
  </si>
  <si>
    <t>same data in: Energy &amp; Fuels 19 (2005) 825-832</t>
  </si>
  <si>
    <t>Literature</t>
  </si>
  <si>
    <t>M. Öhman: A new method to quantify fluidized bed agglomeration in the combustion of biomass fuels. Licantiate thesis.Thesis, Umea University, 23 p.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</si>
  <si>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</si>
  <si>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</si>
  <si>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</si>
  <si>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</si>
  <si>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</si>
  <si>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</si>
  <si>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</si>
  <si>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</si>
  <si>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</si>
  <si>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</si>
  <si>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</si>
  <si>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</si>
  <si>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</si>
  <si>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</si>
  <si>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</si>
  <si>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</si>
  <si>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</si>
  <si>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Ultimate analysis (macroelements)</t>
  </si>
  <si>
    <t>Carbon</t>
  </si>
  <si>
    <t>Measured</t>
  </si>
  <si>
    <t>Hydrogen</t>
  </si>
  <si>
    <t>Oxygen</t>
  </si>
  <si>
    <t>Calculated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</si>
  <si>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</si>
  <si>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</si>
  <si>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</si>
  <si>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</si>
  <si>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</si>
  <si>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</si>
  <si>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</si>
  <si>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</si>
  <si>
    <t>Ash melting behaviour</t>
  </si>
  <si>
    <t>American standard method, measured in oxidizing conditions</t>
  </si>
  <si>
    <t>IDT (initial deformation temperature)</t>
  </si>
  <si>
    <t>°C</t>
  </si>
  <si>
    <t>SOT (softening or spherical temperature)</t>
  </si>
  <si>
    <t>HT (hemispherical temperature)</t>
  </si>
  <si>
    <t>Ash Properties</t>
  </si>
  <si>
    <t>Ash composition</t>
  </si>
  <si>
    <t>CO2</t>
  </si>
  <si>
    <t>wt% (ash)</t>
  </si>
  <si>
    <t>SO3</t>
  </si>
  <si>
    <t>Cl</t>
  </si>
  <si>
    <t>P2O5</t>
  </si>
  <si>
    <t>SiO2</t>
  </si>
  <si>
    <t>Fe2O3</t>
  </si>
  <si>
    <t>Al2O3</t>
  </si>
  <si>
    <t>CaO</t>
  </si>
  <si>
    <t>MgO</t>
  </si>
  <si>
    <t>Na2O</t>
  </si>
  <si>
    <t>K2O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</si>
</sst>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909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6">
        <v>36930</v>
      </c>
    </row>
    <row r="12" outlineLevel="1">
      <c r="A12" s="7" t="s">
        <v>15</v>
      </c>
      <c r="B12" s="0" t="s">
        <v>16</v>
      </c>
    </row>
    <row r="13" outlineLevel="1">
      <c r="A13" s="7" t="s">
        <v>17</v>
      </c>
      <c r="B13" s="0" t="s">
        <v>18</v>
      </c>
    </row>
    <row r="14">
      <c r="A14" s="7"/>
    </row>
    <row r="15" s="1" customFormat="1">
      <c r="A15" s="9" t="s">
        <v>19</v>
      </c>
    </row>
    <row r="16" s="1" customFormat="1">
      <c r="A16" s="10" t="s">
        <v>20</v>
      </c>
      <c r="B16" s="10" t="s">
        <v>21</v>
      </c>
      <c r="C16" s="10" t="s">
        <v>22</v>
      </c>
      <c r="D16" s="10"/>
      <c r="E16" s="10"/>
      <c r="F16" s="10" t="s">
        <v>23</v>
      </c>
      <c r="G16" s="10" t="s">
        <v>24</v>
      </c>
      <c r="H16" s="10" t="s">
        <v>25</v>
      </c>
      <c r="I16" s="10" t="s">
        <v>26</v>
      </c>
      <c r="J16" s="10" t="s">
        <v>27</v>
      </c>
      <c r="K16" s="10" t="s">
        <v>15</v>
      </c>
      <c r="L16" s="10"/>
    </row>
    <row r="17" s="1" customFormat="1">
      <c r="A17" s="10"/>
      <c r="B17" s="10"/>
      <c r="C17" s="10" t="s">
        <v>28</v>
      </c>
      <c r="D17" s="10" t="s">
        <v>29</v>
      </c>
      <c r="E17" s="10" t="s">
        <v>30</v>
      </c>
      <c r="F17" s="10"/>
      <c r="G17" s="10"/>
      <c r="H17" s="10"/>
      <c r="I17" s="10"/>
      <c r="J17" s="10"/>
      <c r="K17" s="10"/>
      <c r="L17" s="10"/>
    </row>
    <row r="18">
      <c r="A18" s="7" t="s">
        <v>31</v>
      </c>
      <c r="I18" s="5"/>
    </row>
    <row r="19" outlineLevel="1">
      <c r="A19" s="11" t="s">
        <v>32</v>
      </c>
      <c r="I19" s="5"/>
    </row>
    <row r="20" outlineLevel="2">
      <c r="A20" s="12" t="s">
        <v>33</v>
      </c>
      <c r="B20" s="0" t="s">
        <v>34</v>
      </c>
      <c r="C20" s="13">
        <v>9.5</v>
      </c>
      <c r="D20" s="13"/>
      <c r="E20" s="13"/>
      <c r="F20" s="13"/>
      <c r="G20" s="13"/>
      <c r="I20" s="5"/>
    </row>
    <row r="21" outlineLevel="2">
      <c r="A21" s="12" t="s">
        <v>35</v>
      </c>
      <c r="B21" s="0" t="s">
        <v>34</v>
      </c>
      <c r="C21" s="13">
        <f>IFERROR(5.7*(1-w),"")</f>
        <v>5.1585</v>
      </c>
      <c r="D21" s="13">
        <v>5.7</v>
      </c>
      <c r="E21" s="13">
        <v/>
      </c>
      <c r="F21" s="13"/>
      <c r="G21" s="13"/>
      <c r="I21" s="5"/>
    </row>
    <row r="22" outlineLevel="1">
      <c r="A22" s="11" t="s">
        <v>36</v>
      </c>
      <c r="I22" s="5"/>
    </row>
    <row r="23" outlineLevel="2">
      <c r="A23" s="12" t="s">
        <v>37</v>
      </c>
      <c r="B23" s="0" t="s">
        <v>34</v>
      </c>
      <c r="C23" s="13">
        <f>IFERROR(46.5*(1-w),"")</f>
        <v>42.0825</v>
      </c>
      <c r="D23" s="13">
        <v>46.5</v>
      </c>
      <c r="E23" s="13">
        <v>49.310710498409335</v>
      </c>
      <c r="F23" s="13"/>
      <c r="G23" s="13"/>
      <c r="I23" s="5"/>
      <c r="J23" s="0" t="s">
        <v>38</v>
      </c>
    </row>
    <row r="24" outlineLevel="2">
      <c r="A24" s="12" t="s">
        <v>39</v>
      </c>
      <c r="B24" s="0" t="s">
        <v>34</v>
      </c>
      <c r="C24" s="13">
        <f>IFERROR(5.7*(1-w),"")</f>
        <v>5.1585</v>
      </c>
      <c r="D24" s="13">
        <v>5.7</v>
      </c>
      <c r="E24" s="13">
        <v>6.0445387062566285</v>
      </c>
      <c r="F24" s="13"/>
      <c r="G24" s="13"/>
      <c r="I24" s="5"/>
      <c r="J24" s="0" t="s">
        <v>38</v>
      </c>
    </row>
    <row r="25" outlineLevel="2">
      <c r="A25" s="12" t="s">
        <v>40</v>
      </c>
      <c r="B25" s="0" t="s">
        <v>34</v>
      </c>
      <c r="C25" s="13">
        <f>IFERROR(41.6*(1-w),"")</f>
        <v>37.648</v>
      </c>
      <c r="D25" s="13">
        <v>41.6</v>
      </c>
      <c r="E25" s="13">
        <v>44.114528101802762</v>
      </c>
      <c r="F25" s="13"/>
      <c r="G25" s="13"/>
      <c r="I25" s="5"/>
      <c r="J25" s="0" t="s">
        <v>41</v>
      </c>
    </row>
    <row r="26" outlineLevel="2">
      <c r="A26" s="12" t="s">
        <v>42</v>
      </c>
      <c r="B26" s="0" t="s">
        <v>34</v>
      </c>
      <c r="C26" s="13">
        <f>IFERROR(0.4*(1-w),"")</f>
        <v>0.36200000000000004</v>
      </c>
      <c r="D26" s="13">
        <v>0.4</v>
      </c>
      <c r="E26" s="13">
        <v>0.42417815482502658</v>
      </c>
      <c r="F26" s="13"/>
      <c r="G26" s="13"/>
      <c r="I26" s="5"/>
      <c r="J26" s="0" t="s">
        <v>38</v>
      </c>
    </row>
    <row r="27" outlineLevel="2">
      <c r="A27" s="12" t="s">
        <v>43</v>
      </c>
      <c r="B27" s="0" t="s">
        <v>34</v>
      </c>
      <c r="C27" s="13">
        <f>IFERROR(0.048*(1-w),"")</f>
        <v>0.04344</v>
      </c>
      <c r="D27" s="13">
        <v>0.048</v>
      </c>
      <c r="E27" s="13">
        <v>0.050901378579003183</v>
      </c>
      <c r="F27" s="13"/>
      <c r="G27" s="13"/>
      <c r="I27" s="5"/>
      <c r="J27" s="0" t="s">
        <v>41</v>
      </c>
    </row>
    <row r="28" outlineLevel="2">
      <c r="A28" s="12" t="s">
        <v>44</v>
      </c>
      <c r="B28" s="0" t="s">
        <v>34</v>
      </c>
      <c r="C28" s="13">
        <f>IFERROR(99.948*(1-w)+w*100,"")</f>
        <v>99.952940000000027</v>
      </c>
      <c r="D28" s="13">
        <v>99.948000000000022</v>
      </c>
      <c r="E28" s="13">
        <v>99.94485683987277</v>
      </c>
      <c r="F28" s="13"/>
      <c r="G28" s="13"/>
      <c r="I28" s="5"/>
      <c r="J28" s="0" t="s">
        <v>41</v>
      </c>
    </row>
    <row r="29" outlineLevel="1">
      <c r="A29" s="11" t="s">
        <v>45</v>
      </c>
      <c r="I29" s="5"/>
    </row>
    <row r="30" outlineLevel="2">
      <c r="A30" s="12" t="s">
        <v>46</v>
      </c>
      <c r="B30" s="0" t="s">
        <v>47</v>
      </c>
      <c r="C30" s="13">
        <f>IFERROR(17.71516*(1-w)-w*2.443,"")</f>
        <v>15.8001348</v>
      </c>
      <c r="D30" s="13">
        <v>17.71516</v>
      </c>
      <c r="E30" s="13">
        <v>18.785959703075292</v>
      </c>
      <c r="F30" s="13"/>
      <c r="G30" s="13"/>
      <c r="I30" s="5"/>
    </row>
    <row r="31" outlineLevel="2">
      <c r="A31" s="12" t="s">
        <v>48</v>
      </c>
      <c r="B31" s="0" t="s">
        <v>47</v>
      </c>
      <c r="C31" s="13">
        <f>IFERROR(18.959*(1-w),"")</f>
        <v>17.157895</v>
      </c>
      <c r="D31" s="13">
        <v>18.959</v>
      </c>
      <c r="E31" s="13">
        <v>20.104984093319196</v>
      </c>
      <c r="F31" s="13"/>
      <c r="G31" s="13"/>
      <c r="I31" s="5"/>
    </row>
    <row r="32" outlineLevel="2">
      <c r="A32" s="12" t="s">
        <v>49</v>
      </c>
      <c r="B32" s="0" t="s">
        <v>47</v>
      </c>
      <c r="C32" s="13">
        <f>IFERROR(18.27295377*(1-w),"")</f>
        <v>16.537023161850005</v>
      </c>
      <c r="D32" s="13">
        <v>18.272953770000004</v>
      </c>
      <c r="E32" s="13">
        <v>19.377469533404035</v>
      </c>
      <c r="F32" s="13"/>
      <c r="G32" s="13"/>
      <c r="I32" s="5"/>
      <c r="J32" s="0" t="s">
        <v>41</v>
      </c>
    </row>
    <row r="33" outlineLevel="1">
      <c r="A33" s="11" t="s">
        <v>50</v>
      </c>
      <c r="I33" s="5"/>
    </row>
    <row r="34" outlineLevel="2">
      <c r="A34" s="14" t="s">
        <v>51</v>
      </c>
      <c r="I34" s="5"/>
    </row>
    <row r="35" outlineLevel="3">
      <c r="A35" s="15" t="s">
        <v>52</v>
      </c>
      <c r="B35" s="0" t="s">
        <v>53</v>
      </c>
      <c r="C35" s="16">
        <v>1260</v>
      </c>
      <c r="D35" s="16"/>
      <c r="E35" s="16"/>
      <c r="F35" s="16"/>
      <c r="G35" s="16"/>
      <c r="I35" s="5"/>
    </row>
    <row r="36" outlineLevel="3">
      <c r="A36" s="15" t="s">
        <v>54</v>
      </c>
      <c r="B36" s="0" t="s">
        <v>53</v>
      </c>
      <c r="C36" s="16">
        <v>1520</v>
      </c>
      <c r="D36" s="16"/>
      <c r="E36" s="16"/>
      <c r="F36" s="16"/>
      <c r="G36" s="16"/>
      <c r="I36" s="5"/>
    </row>
    <row r="37" outlineLevel="3">
      <c r="A37" s="15" t="s">
        <v>55</v>
      </c>
      <c r="B37" s="0" t="s">
        <v>53</v>
      </c>
      <c r="C37" s="16">
        <v>1560</v>
      </c>
      <c r="D37" s="16"/>
      <c r="E37" s="16"/>
      <c r="F37" s="16"/>
      <c r="G37" s="16"/>
      <c r="I37" s="5"/>
    </row>
    <row r="38">
      <c r="A38" s="7" t="s">
        <v>56</v>
      </c>
      <c r="I38" s="5"/>
    </row>
    <row r="39" outlineLevel="1">
      <c r="A39" s="11" t="s">
        <v>57</v>
      </c>
      <c r="I39" s="5"/>
    </row>
    <row r="40" outlineLevel="2">
      <c r="A40" s="12" t="s">
        <v>58</v>
      </c>
      <c r="B40" s="0" t="s">
        <v>59</v>
      </c>
      <c r="C40" s="13">
        <v>1.1</v>
      </c>
      <c r="D40" s="13"/>
      <c r="E40" s="13"/>
      <c r="F40" s="13"/>
      <c r="G40" s="13"/>
      <c r="I40" s="5"/>
    </row>
    <row r="41" outlineLevel="2">
      <c r="A41" s="12" t="s">
        <v>60</v>
      </c>
      <c r="B41" s="0" t="s">
        <v>59</v>
      </c>
      <c r="C41" s="13">
        <v>2.1</v>
      </c>
      <c r="D41" s="13"/>
      <c r="E41" s="13"/>
      <c r="F41" s="13"/>
      <c r="G41" s="13"/>
      <c r="I41" s="5"/>
    </row>
    <row r="42" outlineLevel="2">
      <c r="A42" s="12" t="s">
        <v>61</v>
      </c>
      <c r="B42" s="0" t="s">
        <v>59</v>
      </c>
      <c r="C42" s="13">
        <v>0</v>
      </c>
      <c r="D42" s="13"/>
      <c r="E42" s="13"/>
      <c r="F42" s="13"/>
      <c r="G42" s="13"/>
      <c r="I42" s="5"/>
    </row>
    <row r="43" outlineLevel="2">
      <c r="A43" s="12" t="s">
        <v>62</v>
      </c>
      <c r="B43" s="0" t="s">
        <v>59</v>
      </c>
      <c r="C43" s="13">
        <v>2.5</v>
      </c>
      <c r="D43" s="13"/>
      <c r="E43" s="13"/>
      <c r="F43" s="13"/>
      <c r="G43" s="13"/>
      <c r="I43" s="5"/>
    </row>
    <row r="44" outlineLevel="2">
      <c r="A44" s="12" t="s">
        <v>63</v>
      </c>
      <c r="B44" s="0" t="s">
        <v>59</v>
      </c>
      <c r="C44" s="13">
        <v>72.5</v>
      </c>
      <c r="D44" s="13"/>
      <c r="E44" s="13"/>
      <c r="F44" s="13"/>
      <c r="G44" s="13"/>
      <c r="I44" s="5"/>
    </row>
    <row r="45" outlineLevel="2">
      <c r="A45" s="12" t="s">
        <v>64</v>
      </c>
      <c r="B45" s="0" t="s">
        <v>59</v>
      </c>
      <c r="C45" s="13">
        <v>0.7</v>
      </c>
      <c r="D45" s="13"/>
      <c r="E45" s="13"/>
      <c r="F45" s="13"/>
      <c r="G45" s="13"/>
      <c r="I45" s="5"/>
    </row>
    <row r="46" outlineLevel="2">
      <c r="A46" s="12" t="s">
        <v>65</v>
      </c>
      <c r="B46" s="0" t="s">
        <v>59</v>
      </c>
      <c r="C46" s="13">
        <v>1.3</v>
      </c>
      <c r="D46" s="13"/>
      <c r="E46" s="13"/>
      <c r="F46" s="13"/>
      <c r="G46" s="13"/>
      <c r="I46" s="5"/>
    </row>
    <row r="47" outlineLevel="2">
      <c r="A47" s="12" t="s">
        <v>66</v>
      </c>
      <c r="B47" s="0" t="s">
        <v>59</v>
      </c>
      <c r="C47" s="13">
        <v>5.6</v>
      </c>
      <c r="D47" s="13"/>
      <c r="E47" s="13"/>
      <c r="F47" s="13"/>
      <c r="G47" s="13"/>
      <c r="I47" s="5"/>
    </row>
    <row r="48" outlineLevel="2">
      <c r="A48" s="12" t="s">
        <v>67</v>
      </c>
      <c r="B48" s="0" t="s">
        <v>59</v>
      </c>
      <c r="C48" s="13">
        <v>1.2</v>
      </c>
      <c r="D48" s="13"/>
      <c r="E48" s="13"/>
      <c r="F48" s="13"/>
      <c r="G48" s="13"/>
      <c r="I48" s="5"/>
    </row>
    <row r="49" outlineLevel="2">
      <c r="A49" s="12" t="s">
        <v>68</v>
      </c>
      <c r="B49" s="0" t="s">
        <v>59</v>
      </c>
      <c r="C49" s="13">
        <v>0.9</v>
      </c>
      <c r="D49" s="13"/>
      <c r="E49" s="13"/>
      <c r="F49" s="13"/>
      <c r="G49" s="13"/>
      <c r="I49" s="5"/>
    </row>
    <row r="50" outlineLevel="2">
      <c r="A50" s="12" t="s">
        <v>69</v>
      </c>
      <c r="B50" s="0" t="s">
        <v>59</v>
      </c>
      <c r="C50" s="13">
        <v>3.4</v>
      </c>
      <c r="D50" s="13"/>
      <c r="E50" s="13"/>
      <c r="F50" s="13"/>
      <c r="G50" s="13"/>
      <c r="I50" s="5"/>
    </row>
    <row r="51">
      <c r="I51" s="5"/>
    </row>
    <row r="52" s="1" customFormat="1"/>
  </sheetData>
  <mergeCells>
    <mergeCell ref="A7:A8"/>
    <mergeCell ref="C16:E16"/>
    <mergeCell ref="A16:A17"/>
    <mergeCell ref="B16:B17"/>
    <mergeCell ref="F16:F17"/>
    <mergeCell ref="G16:G17"/>
    <mergeCell ref="H16:H17"/>
    <mergeCell ref="I16:I17"/>
    <mergeCell ref="J16:J17"/>
    <mergeCell ref="K16:K17"/>
    <mergeCell ref="C35:E35"/>
    <mergeCell ref="C36:E36"/>
    <mergeCell ref="C37:E37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</mergeCells>
  <dataValidations count="1">
    <dataValidation type="decimal" sqref="C20" errorStyle="stop" promptTitle="Enter moisture content" errorTitle="Invalid moisture content" prompt="Value should be between 0 and 100.&#10;Original value: 9.5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https://phyllis.nl/Biomass/View/1909</dc:description>
  <dcterms:created xsi:type="dcterms:W3CDTF">2026-03-04T04:36:29Z</dcterms:created>
  <dc:title>Phyllis2 #1909 reed canary grass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