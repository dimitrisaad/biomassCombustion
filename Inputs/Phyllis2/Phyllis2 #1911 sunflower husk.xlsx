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1 sunflower husk" sheetId="1" r:id="rId1"/>
  </sheets>
  <definedNames>
    <definedName name="w" localSheetId="0">IF(ISBLANK('Phyllis2 #1911 sunflower husk'!$C$18),#N/A,'Phyllis2 #1911 sunflower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<sst xmlns="http://schemas.openxmlformats.org/spreadsheetml/2006/main" count="59" uniqueCount="59">
  <si>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</si>
  <si>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https://phyllis.nl/Biomass/View/1911</t>
  </si>
  <si>
    <t>sunflower husk (#1911)</t>
  </si>
  <si>
    <t>ID-number</t>
  </si>
  <si>
    <t>#1911</t>
  </si>
  <si>
    <t>Material</t>
  </si>
  <si>
    <t>sunflower husk</t>
  </si>
  <si>
    <t>Classification</t>
  </si>
  <si>
    <t>ECN Phyllis classification &gt; husk/shell/pit &gt; sunflower &gt; sunflower husk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</si>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</sst>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9.1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IFERROR(1.9*(1-w),"")</f>
        <v>1.7271</v>
      </c>
      <c r="D19" s="13">
        <v>1.9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IFERROR(69.1*(1-w),"")</f>
        <v>62.811899999999994</v>
      </c>
      <c r="D20" s="13">
        <v>69.1</v>
      </c>
      <c r="E20" s="13">
        <v>70.438328236493376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IFERROR(29*(1-w),"")</f>
        <v>26.361</v>
      </c>
      <c r="D21" s="13">
        <v>29</v>
      </c>
      <c r="E21" s="13">
        <v>29.561671763506627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IFERROR(50.4234*(1-w),"")</f>
        <v>45.8348706</v>
      </c>
      <c r="D23" s="13">
        <v>50.4234</v>
      </c>
      <c r="E23" s="13">
        <v>51.4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IFERROR(4.905*(1-w),"")</f>
        <v>4.4586450000000006</v>
      </c>
      <c r="D24" s="13">
        <v>4.905</v>
      </c>
      <c r="E24" s="13">
        <v>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IFERROR(42.183*(1-w),"")</f>
        <v>38.344347</v>
      </c>
      <c r="D25" s="13">
        <v>42.183</v>
      </c>
      <c r="E25" s="13">
        <v>43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IFERROR(0.5886*(1-w),"")</f>
        <v>0.5350374</v>
      </c>
      <c r="D26" s="13">
        <v>0.5886</v>
      </c>
      <c r="E26" s="13">
        <v>0.6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IFERROR(100*(1-w)+w*100,"")</f>
        <v>100.00000000000001</v>
      </c>
      <c r="D27" s="13">
        <v>100.00000000000001</v>
      </c>
      <c r="E27" s="13">
        <v>100.00000000000001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IFERROR(18.51767973*(1-w),"")</f>
        <v>16.83257087457</v>
      </c>
      <c r="D29" s="13">
        <v>18.517679729999998</v>
      </c>
      <c r="E29" s="13">
        <v>18.87633</v>
      </c>
      <c r="F29" s="13"/>
      <c r="G29" s="13"/>
      <c r="I29" s="5"/>
      <c r="J29" s="0" t="s">
        <v>35</v>
      </c>
    </row>
    <row r="30">
      <c r="A30" s="7" t="s">
        <v>46</v>
      </c>
      <c r="I30" s="5"/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v>6.8</v>
      </c>
      <c r="D32" s="13"/>
      <c r="E32" s="13"/>
      <c r="F32" s="13"/>
      <c r="G32" s="13"/>
      <c r="I32" s="5"/>
    </row>
    <row r="33" outlineLevel="2">
      <c r="A33" s="12" t="s">
        <v>50</v>
      </c>
      <c r="B33" s="0" t="s">
        <v>49</v>
      </c>
      <c r="C33" s="13">
        <v>9.4</v>
      </c>
      <c r="D33" s="13"/>
      <c r="E33" s="13"/>
      <c r="F33" s="13"/>
      <c r="G33" s="13"/>
      <c r="I33" s="5"/>
    </row>
    <row r="34" outlineLevel="2">
      <c r="A34" s="12" t="s">
        <v>51</v>
      </c>
      <c r="B34" s="0" t="s">
        <v>49</v>
      </c>
      <c r="C34" s="13">
        <v>17.8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49</v>
      </c>
      <c r="C35" s="13">
        <v>6.4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49</v>
      </c>
      <c r="C36" s="13">
        <v>14.5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49</v>
      </c>
      <c r="C37" s="13">
        <v>14.6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49</v>
      </c>
      <c r="C38" s="13">
        <v>8.5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49</v>
      </c>
      <c r="C39" s="13">
        <v>0.1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49</v>
      </c>
      <c r="C40" s="13">
        <v>21.1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49</v>
      </c>
      <c r="C41" s="13">
        <v>0.2</v>
      </c>
      <c r="D41" s="13"/>
      <c r="E41" s="13"/>
      <c r="F41" s="13"/>
      <c r="G41" s="13"/>
      <c r="I41" s="5"/>
    </row>
    <row r="42">
      <c r="I42" s="5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&#10;Original value: 9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https://phyllis.nl/Biomass/View/1911</dc:description>
  <dcterms:created xsi:type="dcterms:W3CDTF">2026-03-17T05:48:05Z</dcterms:created>
  <dc:title>Phyllis2 #1911 sunflower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