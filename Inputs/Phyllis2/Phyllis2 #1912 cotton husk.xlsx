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12 cotton husk" sheetId="1" r:id="rId1"/>
  </sheets>
  <definedNames>
    <definedName name="w" localSheetId="0">IF(ISBLANK('Phyllis2 #1912 cotton husk'!$C$18),#N/A,'Phyllis2 #1912 cotton husk'!$C$18/100)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<sst xmlns="http://schemas.openxmlformats.org/spreadsheetml/2006/main" count="58" uniqueCount="58">
  <si>
    <t>Phyllis2</t>
  </si>
  <si>
    <t>https://phyllis.nl/Biomass/View/1912</t>
  </si>
  <si>
    <t>cotton husk (#1912)</t>
  </si>
  <si>
    <t>ID-number</t>
  </si>
  <si>
    <t>#1912</t>
  </si>
  <si>
    <t>Material</t>
  </si>
  <si>
    <t>cotton husk</t>
  </si>
  <si>
    <t>Classification</t>
  </si>
  <si>
    <t>ECN Phyllis classification &gt; husk/shell/pit &gt; others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</si>
  <si>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</si>
  <si>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</si>
  <si>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</si>
  <si>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</si>
  <si>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Literature</t>
  </si>
  <si>
    <t>Werther,J.; Saenger,M.; Hartge,E.U.; Ogada,T.; Siagi,Z.: Combustion of agricultural residues; Prog.Energy Combust.Sci. 26, 1-27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</si>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</sst>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36931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6.9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IFERROR(3.2*(1-w),"")</f>
        <v>2.9792000000000005</v>
      </c>
      <c r="D19" s="13">
        <v>3.2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IFERROR(73*(1-w),"")</f>
        <v>67.963000000000008</v>
      </c>
      <c r="D20" s="13">
        <v>73</v>
      </c>
      <c r="E20" s="13">
        <v>75.413223140495873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IFERROR(23.8*(1-w),"")</f>
        <v>22.157799999999998</v>
      </c>
      <c r="D21" s="13">
        <v>23.799999999999997</v>
      </c>
      <c r="E21" s="13">
        <v>24.58677685950413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IFERROR(48.7872*(1-w),"")</f>
        <v>45.4208832</v>
      </c>
      <c r="D23" s="13">
        <v>48.7872</v>
      </c>
      <c r="E23" s="13">
        <v>50.4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IFERROR(8.1312*(1-w),"")</f>
        <v>7.5701472</v>
      </c>
      <c r="D24" s="13">
        <v>8.1312</v>
      </c>
      <c r="E24" s="13">
        <v>8.4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IFERROR(38.5264*(1-w),"")</f>
        <v>35.8680784</v>
      </c>
      <c r="D25" s="13">
        <v>38.5264</v>
      </c>
      <c r="E25" s="13">
        <v>39.800000000000004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IFERROR(1.3552*(1-w),"")</f>
        <v>1.2616912</v>
      </c>
      <c r="D26" s="13">
        <v>1.3552</v>
      </c>
      <c r="E26" s="13">
        <v>1.4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IFERROR(100*(1-w)+w*100,"")</f>
        <v>100.00000000000001</v>
      </c>
      <c r="D27" s="13">
        <v>100</v>
      </c>
      <c r="E27" s="13">
        <v>100</v>
      </c>
      <c r="F27" s="13"/>
      <c r="G27" s="13"/>
      <c r="I27" s="5"/>
      <c r="J27" s="0" t="s">
        <v>35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3">
        <f>IFERROR(22.55269632*(1-w),"")</f>
        <v>20.996560273920004</v>
      </c>
      <c r="D29" s="13">
        <v>22.552696320000003</v>
      </c>
      <c r="E29" s="13">
        <v>23.298240000000003</v>
      </c>
      <c r="F29" s="13"/>
      <c r="G29" s="13"/>
      <c r="I29" s="5"/>
      <c r="J29" s="0" t="s">
        <v>35</v>
      </c>
    </row>
    <row r="30">
      <c r="A30" s="7" t="s">
        <v>46</v>
      </c>
      <c r="I30" s="5"/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v>1.7</v>
      </c>
      <c r="D32" s="13"/>
      <c r="E32" s="13"/>
      <c r="F32" s="13"/>
      <c r="G32" s="13"/>
      <c r="I32" s="5"/>
    </row>
    <row r="33" outlineLevel="2">
      <c r="A33" s="12" t="s">
        <v>50</v>
      </c>
      <c r="B33" s="0" t="s">
        <v>49</v>
      </c>
      <c r="C33" s="13">
        <v>4</v>
      </c>
      <c r="D33" s="13"/>
      <c r="E33" s="13"/>
      <c r="F33" s="13"/>
      <c r="G33" s="13"/>
      <c r="I33" s="5"/>
    </row>
    <row r="34" outlineLevel="2">
      <c r="A34" s="12" t="s">
        <v>51</v>
      </c>
      <c r="B34" s="0" t="s">
        <v>49</v>
      </c>
      <c r="C34" s="13">
        <v>10.8</v>
      </c>
      <c r="D34" s="13"/>
      <c r="E34" s="13"/>
      <c r="F34" s="13"/>
      <c r="G34" s="13"/>
      <c r="I34" s="5"/>
    </row>
    <row r="35" outlineLevel="2">
      <c r="A35" s="12" t="s">
        <v>52</v>
      </c>
      <c r="B35" s="0" t="s">
        <v>49</v>
      </c>
      <c r="C35" s="13">
        <v>1.9</v>
      </c>
      <c r="D35" s="13"/>
      <c r="E35" s="13"/>
      <c r="F35" s="13"/>
      <c r="G35" s="13"/>
      <c r="I35" s="5"/>
    </row>
    <row r="36" outlineLevel="2">
      <c r="A36" s="12" t="s">
        <v>53</v>
      </c>
      <c r="B36" s="0" t="s">
        <v>49</v>
      </c>
      <c r="C36" s="13">
        <v>1.3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49</v>
      </c>
      <c r="C37" s="13">
        <v>20.7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49</v>
      </c>
      <c r="C38" s="13">
        <v>7.5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49</v>
      </c>
      <c r="C39" s="13">
        <v>1.3</v>
      </c>
      <c r="D39" s="13"/>
      <c r="E39" s="13"/>
      <c r="F39" s="13"/>
      <c r="G39" s="13"/>
      <c r="I39" s="5"/>
    </row>
    <row r="40" outlineLevel="2">
      <c r="A40" s="12" t="s">
        <v>57</v>
      </c>
      <c r="B40" s="0" t="s">
        <v>49</v>
      </c>
      <c r="C40" s="13">
        <v>49.6</v>
      </c>
      <c r="D40" s="13"/>
      <c r="E40" s="13"/>
      <c r="F40" s="13"/>
      <c r="G40" s="13"/>
      <c r="I40" s="5"/>
    </row>
    <row r="41">
      <c r="I41" s="5"/>
    </row>
    <row r="4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</mergeCells>
  <dataValidations count="1">
    <dataValidation type="decimal" sqref="C18" errorStyle="stop" promptTitle="Enter moisture content" errorTitle="Invalid moisture content" prompt="Value should be between 0 and 100.&#10;Original value: 6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https://phyllis.nl/Biomass/View/1912</dc:description>
  <dcterms:created xsi:type="dcterms:W3CDTF">2026-03-17T05:44:12Z</dcterms:created>
  <dc:title>Phyllis2 #1912 cotton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