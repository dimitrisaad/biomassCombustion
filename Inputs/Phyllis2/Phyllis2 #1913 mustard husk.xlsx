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13 mustard husk" sheetId="1" r:id="rId1"/>
  </sheets>
  <definedNames>
    <definedName name="w" localSheetId="0">IF(ISBLANK('Phyllis2 #1913 mustard husk'!$C$18),#N/A,'Phyllis2 #1913 mustard husk'!$C$18/100)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<sst xmlns="http://schemas.openxmlformats.org/spreadsheetml/2006/main" count="60" uniqueCount="60">
  <si>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</si>
  <si>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https://phyllis.nl/Biomass/View/1913</t>
  </si>
  <si>
    <t>mustard husk (#1913)</t>
  </si>
  <si>
    <t>ID-number</t>
  </si>
  <si>
    <t>#1913</t>
  </si>
  <si>
    <t>Material</t>
  </si>
  <si>
    <t>mustard husk</t>
  </si>
  <si>
    <t>Classification</t>
  </si>
  <si>
    <t>ECN Phyllis classification &gt; husk/shell/pit &gt; others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</si>
  <si>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</si>
  <si>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</si>
  <si>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</si>
  <si>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</si>
  <si>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Literature</t>
  </si>
  <si>
    <t>Werther,J.; Saenger,M.; Hartge,E.U.; Ogada,T.; Siagi,Z.: Combustion of agricultural residues; Prog.Energy Combust.Sci. 26, 1-27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</si>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</sst>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1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36931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5.6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IFERROR(3.9*(1-w),"")</f>
        <v>3.6815999999999995</v>
      </c>
      <c r="D19" s="13">
        <v>3.9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IFERROR(68.6*(1-w),"")</f>
        <v>64.7584</v>
      </c>
      <c r="D20" s="13">
        <v>68.6</v>
      </c>
      <c r="E20" s="13">
        <v>71.383975026014568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IFERROR(27.5*(1-w),"")</f>
        <v>25.959999999999997</v>
      </c>
      <c r="D21" s="13">
        <v>27.5</v>
      </c>
      <c r="E21" s="13">
        <v>28.616024973985432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IFERROR(44.3021*(1-w),"")</f>
        <v>41.8211824</v>
      </c>
      <c r="D23" s="13">
        <v>44.3021</v>
      </c>
      <c r="E23" s="13">
        <v>46.1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IFERROR(8.8412*(1-w),"")</f>
        <v>8.346092800000001</v>
      </c>
      <c r="D24" s="13">
        <v>8.8412</v>
      </c>
      <c r="E24" s="13">
        <v>9.2000000000000011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IFERROR(42.9567*(1-w),"")</f>
        <v>40.5511248</v>
      </c>
      <c r="D25" s="13">
        <v>42.9567</v>
      </c>
      <c r="E25" s="13">
        <v>44.7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31</v>
      </c>
      <c r="C26" s="13">
        <f>IFERROR(0.3844*(1-w),"")</f>
        <v>0.3628736</v>
      </c>
      <c r="D26" s="13">
        <v>0.3844</v>
      </c>
      <c r="E26" s="13">
        <v>0.4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IFERROR(0.1922*(1-w),"")</f>
        <v>0.1814368</v>
      </c>
      <c r="D27" s="13">
        <v>0.1922</v>
      </c>
      <c r="E27" s="13">
        <v>0.2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IFERROR(100.5766*(1-w)+w*100,"")</f>
        <v>100.54431039999999</v>
      </c>
      <c r="D28" s="13">
        <v>100.5766</v>
      </c>
      <c r="E28" s="13">
        <v>100.6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IFERROR(21.54999255*(1-w),"")</f>
        <v>20.3431929672</v>
      </c>
      <c r="D30" s="13">
        <v>21.549992550000002</v>
      </c>
      <c r="E30" s="13">
        <v>22.424550000000004</v>
      </c>
      <c r="F30" s="13"/>
      <c r="G30" s="13"/>
      <c r="I30" s="5"/>
      <c r="J30" s="0" t="s">
        <v>35</v>
      </c>
    </row>
    <row r="31">
      <c r="A31" s="7" t="s">
        <v>47</v>
      </c>
      <c r="I31" s="5"/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v>14.3</v>
      </c>
      <c r="D33" s="13"/>
      <c r="E33" s="13"/>
      <c r="F33" s="13"/>
      <c r="G33" s="13"/>
      <c r="I33" s="5"/>
    </row>
    <row r="34" outlineLevel="2">
      <c r="A34" s="12" t="s">
        <v>51</v>
      </c>
      <c r="B34" s="0" t="s">
        <v>50</v>
      </c>
      <c r="C34" s="13">
        <v>2</v>
      </c>
      <c r="D34" s="13"/>
      <c r="E34" s="13"/>
      <c r="F34" s="13"/>
      <c r="G34" s="13"/>
      <c r="I34" s="5"/>
    </row>
    <row r="35" outlineLevel="2">
      <c r="A35" s="12" t="s">
        <v>52</v>
      </c>
      <c r="B35" s="0" t="s">
        <v>50</v>
      </c>
      <c r="C35" s="13">
        <v>16.9</v>
      </c>
      <c r="D35" s="13"/>
      <c r="E35" s="13"/>
      <c r="F35" s="13"/>
      <c r="G35" s="13"/>
      <c r="I35" s="5"/>
    </row>
    <row r="36" outlineLevel="2">
      <c r="A36" s="12" t="s">
        <v>53</v>
      </c>
      <c r="B36" s="0" t="s">
        <v>50</v>
      </c>
      <c r="C36" s="13">
        <v>0.8</v>
      </c>
      <c r="D36" s="13"/>
      <c r="E36" s="13"/>
      <c r="F36" s="13"/>
      <c r="G36" s="13"/>
      <c r="I36" s="5"/>
    </row>
    <row r="37" outlineLevel="2">
      <c r="A37" s="12" t="s">
        <v>54</v>
      </c>
      <c r="B37" s="0" t="s">
        <v>50</v>
      </c>
      <c r="C37" s="13">
        <v>1.5</v>
      </c>
      <c r="D37" s="13"/>
      <c r="E37" s="13"/>
      <c r="F37" s="13"/>
      <c r="G37" s="13"/>
      <c r="I37" s="5"/>
    </row>
    <row r="38" outlineLevel="2">
      <c r="A38" s="12" t="s">
        <v>55</v>
      </c>
      <c r="B38" s="0" t="s">
        <v>50</v>
      </c>
      <c r="C38" s="13">
        <v>42.8</v>
      </c>
      <c r="D38" s="13"/>
      <c r="E38" s="13"/>
      <c r="F38" s="13"/>
      <c r="G38" s="13"/>
      <c r="I38" s="5"/>
    </row>
    <row r="39" outlineLevel="2">
      <c r="A39" s="12" t="s">
        <v>56</v>
      </c>
      <c r="B39" s="0" t="s">
        <v>50</v>
      </c>
      <c r="C39" s="13">
        <v>9.2</v>
      </c>
      <c r="D39" s="13"/>
      <c r="E39" s="13"/>
      <c r="F39" s="13"/>
      <c r="G39" s="13"/>
      <c r="I39" s="5"/>
    </row>
    <row r="40" outlineLevel="2">
      <c r="A40" s="12" t="s">
        <v>57</v>
      </c>
      <c r="B40" s="0" t="s">
        <v>50</v>
      </c>
      <c r="C40" s="13">
        <v>2</v>
      </c>
      <c r="D40" s="13"/>
      <c r="E40" s="13"/>
      <c r="F40" s="13"/>
      <c r="G40" s="13"/>
      <c r="I40" s="5"/>
    </row>
    <row r="41" outlineLevel="2">
      <c r="A41" s="12" t="s">
        <v>58</v>
      </c>
      <c r="B41" s="0" t="s">
        <v>50</v>
      </c>
      <c r="C41" s="13">
        <v>7.4</v>
      </c>
      <c r="D41" s="13"/>
      <c r="E41" s="13"/>
      <c r="F41" s="13"/>
      <c r="G41" s="13"/>
      <c r="I41" s="5"/>
    </row>
    <row r="42" outlineLevel="2">
      <c r="A42" s="12" t="s">
        <v>59</v>
      </c>
      <c r="B42" s="0" t="s">
        <v>50</v>
      </c>
      <c r="C42" s="13">
        <v>0.1</v>
      </c>
      <c r="D42" s="13"/>
      <c r="E42" s="13"/>
      <c r="F42" s="13"/>
      <c r="G42" s="13"/>
      <c r="I42" s="5"/>
    </row>
    <row r="43">
      <c r="I43" s="5"/>
    </row>
    <row r="4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</mergeCells>
  <dataValidations count="1">
    <dataValidation type="decimal" sqref="C18" errorStyle="stop" promptTitle="Enter moisture content" errorTitle="Invalid moisture content" prompt="Value should be between 0 and 100.&#10;Original value: 5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https://phyllis.nl/Biomass/View/1913</dc:description>
  <dcterms:created xsi:type="dcterms:W3CDTF">2026-03-17T05:45:01Z</dcterms:created>
  <dc:title>Phyllis2 #1913 mustard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