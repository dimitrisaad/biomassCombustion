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7 coffee husk" sheetId="1" r:id="rId1"/>
  </sheets>
  <definedNames>
    <definedName name="w" localSheetId="0">IF(ISBLANK('Phyllis2 #1917 coffee husk'!$C$19),#N/A,'Phyllis2 #1917 coffee husk'!$C$19/100)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<sst xmlns="http://schemas.openxmlformats.org/spreadsheetml/2006/main" count="59" uniqueCount="59">
  <si>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</si>
  <si>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https://phyllis.nl/Biomass/View/1917</t>
  </si>
  <si>
    <t>coffee husk (#1917)</t>
  </si>
  <si>
    <t>ID-number</t>
  </si>
  <si>
    <t>#1917</t>
  </si>
  <si>
    <t>Material</t>
  </si>
  <si>
    <t>coffee husk</t>
  </si>
  <si>
    <t>Classification</t>
  </si>
  <si>
    <t>ECN Phyllis classification &gt; husk/shell/pit &gt; others &gt; coffee husk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</si>
  <si>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</si>
  <si>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</si>
  <si>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</si>
  <si>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</si>
  <si>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Remarks</t>
  </si>
  <si>
    <t>Mbuni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</si>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</sst>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11.4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IFERROR(4.1*(1-w),"")</f>
        <v>3.6325999999999996</v>
      </c>
      <c r="D20" s="13">
        <v>4.1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IFERROR(64.6*(1-w),"")</f>
        <v>57.2356</v>
      </c>
      <c r="D21" s="13">
        <v>64.6</v>
      </c>
      <c r="E21" s="13">
        <v>67.361835245046919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IFERROR(31.3*(1-w),"")</f>
        <v>27.73180000000001</v>
      </c>
      <c r="D22" s="13">
        <v>31.300000000000011</v>
      </c>
      <c r="E22" s="13">
        <v>32.638164754953088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IFERROR(42.1001*(1-w),"")</f>
        <v>37.3006886</v>
      </c>
      <c r="D24" s="13">
        <v>42.1001</v>
      </c>
      <c r="E24" s="13">
        <v>43.9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IFERROR(4.6032*(1-w),"")</f>
        <v>4.0784352</v>
      </c>
      <c r="D25" s="13">
        <v>4.6032</v>
      </c>
      <c r="E25" s="13">
        <v>4.8000000000000007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IFERROR(47.5664*(1-w),"")</f>
        <v>42.1438304</v>
      </c>
      <c r="D26" s="13">
        <v>47.5664</v>
      </c>
      <c r="E26" s="13">
        <v>49.6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IFERROR(1.5344*(1-w),"")</f>
        <v>1.3594784</v>
      </c>
      <c r="D27" s="13">
        <v>1.5344</v>
      </c>
      <c r="E27" s="13">
        <v>1.6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IFERROR(0.0959*(1-w),"")</f>
        <v>0.0849674</v>
      </c>
      <c r="D28" s="13">
        <v>0.0959</v>
      </c>
      <c r="E28" s="13">
        <v>0.1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100</v>
      </c>
      <c r="E29" s="13">
        <v>100.00000000000001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IFERROR(14.49588917*(1-w),"")</f>
        <v>12.843357804619998</v>
      </c>
      <c r="D31" s="13">
        <v>14.495889169999998</v>
      </c>
      <c r="E31" s="13">
        <v>15.11563</v>
      </c>
      <c r="F31" s="13"/>
      <c r="G31" s="13"/>
      <c r="I31" s="5"/>
      <c r="J31" s="0" t="s">
        <v>36</v>
      </c>
    </row>
    <row r="32">
      <c r="A32" s="7" t="s">
        <v>48</v>
      </c>
      <c r="I32" s="5"/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3">
        <v>3.7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51</v>
      </c>
      <c r="C35" s="13">
        <v>13.5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51</v>
      </c>
      <c r="C36" s="13">
        <v>2.2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51</v>
      </c>
      <c r="C37" s="13">
        <v>3.9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51</v>
      </c>
      <c r="C38" s="13">
        <v>10.7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51</v>
      </c>
      <c r="C39" s="13">
        <v>4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51</v>
      </c>
      <c r="C40" s="13">
        <v>0.4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51</v>
      </c>
      <c r="C41" s="13">
        <v>38.1</v>
      </c>
      <c r="D41" s="13"/>
      <c r="E41" s="13"/>
      <c r="F41" s="13"/>
      <c r="G41" s="13"/>
      <c r="I41" s="5"/>
    </row>
    <row r="42">
      <c r="I42" s="5"/>
    </row>
    <row r="4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9" errorStyle="stop" promptTitle="Enter moisture content" errorTitle="Invalid moisture content" prompt="Value should be between 0 and 100.&#10;Original value: 11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https://phyllis.nl/Biomass/View/1917</dc:description>
  <dcterms:created xsi:type="dcterms:W3CDTF">2026-03-17T05:43:23Z</dcterms:created>
  <dc:title>Phyllis2 #1917 coffee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