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8 groundnut shells" sheetId="1" r:id="rId1"/>
  </sheets>
  <definedNames>
    <definedName name="w" localSheetId="0">IF(ISBLANK('Phyllis2 #1918 groundnut shells'!$C$18),#N/A,'Phyllis2 #1918 groundnut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<sst xmlns="http://schemas.openxmlformats.org/spreadsheetml/2006/main" count="60" uniqueCount="60">
  <si>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</si>
  <si>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https://phyllis.nl/Biomass/View/1918</t>
  </si>
  <si>
    <t>groundnut shells (#1918)</t>
  </si>
  <si>
    <t>ID-number</t>
  </si>
  <si>
    <t>#1918</t>
  </si>
  <si>
    <t>Material</t>
  </si>
  <si>
    <t>groundnut shells</t>
  </si>
  <si>
    <t>Classification</t>
  </si>
  <si>
    <t>ECN Phyllis classification &gt; husk/shell/pit &gt; peanut &gt; groundnut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</si>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</sst>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7.88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IFERROR(3.1*(1-w),"")</f>
        <v>2.8557200000000003</v>
      </c>
      <c r="D19" s="13">
        <v>3.1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IFERROR(68.1*(1-w),"")</f>
        <v>62.73372</v>
      </c>
      <c r="D20" s="13">
        <v>68.1</v>
      </c>
      <c r="E20" s="13">
        <v>70.278637770897831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IFERROR(28.8*(1-w),"")</f>
        <v>26.530560000000012</v>
      </c>
      <c r="D21" s="13">
        <v>28.800000000000011</v>
      </c>
      <c r="E21" s="13">
        <v>29.72136222910218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IFERROR(49.3221*(1-w),"")</f>
        <v>45.43551852</v>
      </c>
      <c r="D23" s="13">
        <v>49.3221</v>
      </c>
      <c r="E23" s="13">
        <v>50.9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IFERROR(7.2675*(1-w),"")</f>
        <v>6.694821</v>
      </c>
      <c r="D24" s="13">
        <v>7.2675</v>
      </c>
      <c r="E24" s="13">
        <v>7.5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IFERROR(39.1476*(1-w),"")</f>
        <v>36.06276912</v>
      </c>
      <c r="D25" s="13">
        <v>39.1476</v>
      </c>
      <c r="E25" s="13">
        <v>40.4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IFERROR(1.1628*(1-w),"")</f>
        <v>1.0711713600000001</v>
      </c>
      <c r="D26" s="13">
        <v>1.1628</v>
      </c>
      <c r="E26" s="13">
        <v>1.2000000000000002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IFERROR(0.01938*(1-w),"")</f>
        <v>0.017852856</v>
      </c>
      <c r="D27" s="13">
        <v>0.01938</v>
      </c>
      <c r="E27" s="13">
        <v>0.02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IFERROR(100.01938*(1-w)+w*100,"")</f>
        <v>100.01785285599999</v>
      </c>
      <c r="D28" s="13">
        <v>100.01938</v>
      </c>
      <c r="E28" s="13">
        <v>100.02000000000001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IFERROR(21.544592898*(1-w),"")</f>
        <v>19.846878977637605</v>
      </c>
      <c r="D30" s="13">
        <v>21.544592898000005</v>
      </c>
      <c r="E30" s="13">
        <v>22.233842000000006</v>
      </c>
      <c r="F30" s="13"/>
      <c r="G30" s="13"/>
      <c r="I30" s="5"/>
      <c r="J30" s="0" t="s">
        <v>35</v>
      </c>
    </row>
    <row r="31">
      <c r="A31" s="7" t="s">
        <v>47</v>
      </c>
      <c r="I31" s="5"/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v>10.4</v>
      </c>
      <c r="D33" s="13"/>
      <c r="E33" s="13"/>
      <c r="F33" s="13"/>
      <c r="G33" s="13"/>
      <c r="I33" s="5"/>
    </row>
    <row r="34" outlineLevel="2">
      <c r="A34" s="12" t="s">
        <v>51</v>
      </c>
      <c r="B34" s="0" t="s">
        <v>50</v>
      </c>
      <c r="C34" s="13">
        <v>3.7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50</v>
      </c>
      <c r="C35" s="13">
        <v>27.7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50</v>
      </c>
      <c r="C36" s="13">
        <v>10.3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50</v>
      </c>
      <c r="C37" s="13">
        <v>8.3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50</v>
      </c>
      <c r="C38" s="13">
        <v>24.8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50</v>
      </c>
      <c r="C39" s="13">
        <v>5.4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50</v>
      </c>
      <c r="C40" s="13">
        <v>0.8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50</v>
      </c>
      <c r="C41" s="13">
        <v>8.5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50</v>
      </c>
      <c r="C42" s="13">
        <v>0.1</v>
      </c>
      <c r="D42" s="13"/>
      <c r="E42" s="13"/>
      <c r="F42" s="13"/>
      <c r="G42" s="13"/>
      <c r="I42" s="5"/>
    </row>
    <row r="43">
      <c r="I43" s="5"/>
    </row>
    <row r="4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8" errorStyle="stop" promptTitle="Enter moisture content" errorTitle="Invalid moisture content" prompt="Value should be between 0 and 100.&#10;Original value: 7.8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https://phyllis.nl/Biomass/View/1918</dc:description>
  <dcterms:created xsi:type="dcterms:W3CDTF">2026-03-17T05:46:26Z</dcterms:created>
  <dc:title>Phyllis2 #1918 groundnut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