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19 coconut shell" sheetId="1" r:id="rId1"/>
  </sheets>
  <definedNames>
    <definedName name="w" localSheetId="0">IF(ISBLANK('Phyllis2 #1919 coconut shell'!$C$18),#N/A,'Phyllis2 #1919 coconut shell'!$C$18/100)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<sst xmlns="http://schemas.openxmlformats.org/spreadsheetml/2006/main" count="59" uniqueCount="59">
  <si>
    <t>Phyllis2</t>
  </si>
  <si>
    <t>https://phyllis.nl/Biomass/View/1919</t>
  </si>
  <si>
    <t>coconut shell (#1919)</t>
  </si>
  <si>
    <t>ID-number</t>
  </si>
  <si>
    <t>#1919</t>
  </si>
  <si>
    <t>Material</t>
  </si>
  <si>
    <t>coconut shell</t>
  </si>
  <si>
    <t>Classification</t>
  </si>
  <si>
    <t>ECN Phyllis classification &gt; husk/shell/pit &gt; coconut &gt; coconut shell</t>
  </si>
  <si>
    <t>NTA 8003 classification &gt; [200] biomassa uit land- en tuinbouw &gt; [230] restproducten (doppen) &gt; [239] overige doppen</t>
  </si>
  <si>
    <t>Submitter organisation</t>
  </si>
  <si>
    <t>ECN (Netherlands)</t>
  </si>
  <si>
    <t>Submission date</t>
  </si>
  <si>
    <t>Literature</t>
  </si>
  <si>
    <t>Werther,J.; Saenger,M.; Hartge,E.U.; Ogada,T.; Siagi,Z.: Combustion of agricultural residues; Prog.Energy Combust.Sci. 26, 1-27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</si>
  <si>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</si>
  <si>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</si>
  <si>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</si>
  <si>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</si>
  <si>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</si>
  <si>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</si>
  <si>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</si>
  <si>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</si>
  <si>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</si>
  <si>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</si>
  <si>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</si>
  <si>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</si>
  <si>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</si>
  <si>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</si>
  <si>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</si>
  <si>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</si>
  <si>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</si>
  <si>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</si>
  <si>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</si>
  <si>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</si>
  <si>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</si>
  <si>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</si>
  <si>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</si>
  <si>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</si>
  <si>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</si>
  <si>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</si>
  <si>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Sulphur</t>
  </si>
  <si>
    <t>Total (with halides)</t>
  </si>
  <si>
    <t>Heating value</t>
  </si>
  <si>
    <t>HHVMilne</t>
  </si>
  <si>
    <t>MJ/kg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</si>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</sst>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1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36934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4.4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IFERROR(3.1*(1-w),"")</f>
        <v>2.9636</v>
      </c>
      <c r="D19" s="13">
        <v>3.1</v>
      </c>
      <c r="E19" s="13">
        <v/>
      </c>
      <c r="F19" s="13"/>
      <c r="G19" s="13"/>
      <c r="I19" s="5"/>
    </row>
    <row r="20" outlineLevel="2">
      <c r="A20" s="12" t="s">
        <v>33</v>
      </c>
      <c r="B20" s="0" t="s">
        <v>31</v>
      </c>
      <c r="C20" s="13">
        <f>IFERROR(70.5*(1-w),"")</f>
        <v>67.398</v>
      </c>
      <c r="D20" s="13">
        <v>70.5</v>
      </c>
      <c r="E20" s="13">
        <v>72.755417956656345</v>
      </c>
      <c r="F20" s="13"/>
      <c r="G20" s="13"/>
      <c r="I20" s="5"/>
    </row>
    <row r="21" outlineLevel="2">
      <c r="A21" s="12" t="s">
        <v>34</v>
      </c>
      <c r="B21" s="0" t="s">
        <v>31</v>
      </c>
      <c r="C21" s="13">
        <f>IFERROR(26.4*(1-w),"")</f>
        <v>25.238400000000006</v>
      </c>
      <c r="D21" s="13">
        <v>26.400000000000006</v>
      </c>
      <c r="E21" s="13">
        <v>27.244582043343659</v>
      </c>
      <c r="F21" s="13"/>
      <c r="G21" s="13"/>
      <c r="I21" s="5"/>
      <c r="J21" s="0" t="s">
        <v>35</v>
      </c>
    </row>
    <row r="22" outlineLevel="1">
      <c r="A22" s="11" t="s">
        <v>36</v>
      </c>
      <c r="I22" s="5"/>
    </row>
    <row r="23" outlineLevel="2">
      <c r="A23" s="12" t="s">
        <v>37</v>
      </c>
      <c r="B23" s="0" t="s">
        <v>31</v>
      </c>
      <c r="C23" s="13">
        <f>IFERROR(49.6128*(1-w),"")</f>
        <v>47.4298368</v>
      </c>
      <c r="D23" s="13">
        <v>49.6128</v>
      </c>
      <c r="E23" s="13">
        <v>51.2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31</v>
      </c>
      <c r="C24" s="13">
        <f>IFERROR(5.4264*(1-w),"")</f>
        <v>5.1876384</v>
      </c>
      <c r="D24" s="13">
        <v>5.4264</v>
      </c>
      <c r="E24" s="13">
        <v>5.6000000000000005</v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31</v>
      </c>
      <c r="C25" s="13">
        <f>IFERROR(41.7639*(1-w),"")</f>
        <v>39.9262884</v>
      </c>
      <c r="D25" s="13">
        <v>41.7639</v>
      </c>
      <c r="E25" s="13">
        <v>43.1</v>
      </c>
      <c r="F25" s="13"/>
      <c r="G25" s="13"/>
      <c r="I25" s="5"/>
      <c r="J25" s="0" t="s">
        <v>35</v>
      </c>
    </row>
    <row r="26" outlineLevel="2">
      <c r="A26" s="12" t="s">
        <v>41</v>
      </c>
      <c r="B26" s="0" t="s">
        <v>31</v>
      </c>
      <c r="C26" s="13">
        <f>IFERROR(0.0969*(1-w),"")</f>
        <v>0.0926364</v>
      </c>
      <c r="D26" s="13">
        <v>0.0969</v>
      </c>
      <c r="E26" s="13">
        <v>0.1</v>
      </c>
      <c r="F26" s="13"/>
      <c r="G26" s="13"/>
      <c r="I26" s="5"/>
      <c r="J26" s="0" t="s">
        <v>38</v>
      </c>
    </row>
    <row r="27" outlineLevel="2">
      <c r="A27" s="12" t="s">
        <v>42</v>
      </c>
      <c r="B27" s="0" t="s">
        <v>31</v>
      </c>
      <c r="C27" s="13">
        <f>IFERROR(100*(1-w)+w*100,"")</f>
        <v>100</v>
      </c>
      <c r="D27" s="13">
        <v>100</v>
      </c>
      <c r="E27" s="13">
        <v>100.00000000000001</v>
      </c>
      <c r="F27" s="13"/>
      <c r="G27" s="13"/>
      <c r="I27" s="5"/>
      <c r="J27" s="0" t="s">
        <v>35</v>
      </c>
    </row>
    <row r="28" outlineLevel="1">
      <c r="A28" s="11" t="s">
        <v>43</v>
      </c>
      <c r="I28" s="5"/>
    </row>
    <row r="29" outlineLevel="2">
      <c r="A29" s="12" t="s">
        <v>44</v>
      </c>
      <c r="B29" s="0" t="s">
        <v>45</v>
      </c>
      <c r="C29" s="13">
        <f>IFERROR(19.04068527*(1-w),"")</f>
        <v>18.202895118120004</v>
      </c>
      <c r="D29" s="13">
        <v>19.040685270000004</v>
      </c>
      <c r="E29" s="13">
        <v>19.649830000000005</v>
      </c>
      <c r="F29" s="13"/>
      <c r="G29" s="13"/>
      <c r="I29" s="5"/>
      <c r="J29" s="0" t="s">
        <v>35</v>
      </c>
    </row>
    <row r="30">
      <c r="A30" s="7" t="s">
        <v>46</v>
      </c>
      <c r="I30" s="5"/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3">
        <v>0.01</v>
      </c>
      <c r="D32" s="13"/>
      <c r="E32" s="13"/>
      <c r="F32" s="13"/>
      <c r="G32" s="13"/>
      <c r="I32" s="5"/>
    </row>
    <row r="33" outlineLevel="2">
      <c r="A33" s="12" t="s">
        <v>50</v>
      </c>
      <c r="B33" s="0" t="s">
        <v>49</v>
      </c>
      <c r="C33" s="13">
        <v>1.6</v>
      </c>
      <c r="D33" s="13"/>
      <c r="E33" s="13"/>
      <c r="F33" s="13"/>
      <c r="G33" s="13"/>
      <c r="I33" s="5"/>
    </row>
    <row r="34" outlineLevel="2">
      <c r="A34" s="12" t="s">
        <v>51</v>
      </c>
      <c r="B34" s="0" t="s">
        <v>49</v>
      </c>
      <c r="C34" s="13">
        <v>69.3</v>
      </c>
      <c r="D34" s="13"/>
      <c r="E34" s="13"/>
      <c r="F34" s="13"/>
      <c r="G34" s="13"/>
      <c r="I34" s="5"/>
    </row>
    <row r="35" outlineLevel="2">
      <c r="A35" s="12" t="s">
        <v>52</v>
      </c>
      <c r="B35" s="0" t="s">
        <v>49</v>
      </c>
      <c r="C35" s="13">
        <v>6.4</v>
      </c>
      <c r="D35" s="13"/>
      <c r="E35" s="13"/>
      <c r="F35" s="13"/>
      <c r="G35" s="13"/>
      <c r="I35" s="5"/>
    </row>
    <row r="36" outlineLevel="2">
      <c r="A36" s="12" t="s">
        <v>53</v>
      </c>
      <c r="B36" s="0" t="s">
        <v>49</v>
      </c>
      <c r="C36" s="13">
        <v>8.8</v>
      </c>
      <c r="D36" s="13"/>
      <c r="E36" s="13"/>
      <c r="F36" s="13"/>
      <c r="G36" s="13"/>
      <c r="I36" s="5"/>
    </row>
    <row r="37" outlineLevel="2">
      <c r="A37" s="12" t="s">
        <v>54</v>
      </c>
      <c r="B37" s="0" t="s">
        <v>49</v>
      </c>
      <c r="C37" s="13">
        <v>2.5</v>
      </c>
      <c r="D37" s="13"/>
      <c r="E37" s="13"/>
      <c r="F37" s="13"/>
      <c r="G37" s="13"/>
      <c r="I37" s="5"/>
    </row>
    <row r="38" outlineLevel="2">
      <c r="A38" s="12" t="s">
        <v>55</v>
      </c>
      <c r="B38" s="0" t="s">
        <v>49</v>
      </c>
      <c r="C38" s="13">
        <v>1.6</v>
      </c>
      <c r="D38" s="13"/>
      <c r="E38" s="13"/>
      <c r="F38" s="13"/>
      <c r="G38" s="13"/>
      <c r="I38" s="5"/>
    </row>
    <row r="39" outlineLevel="2">
      <c r="A39" s="12" t="s">
        <v>56</v>
      </c>
      <c r="B39" s="0" t="s">
        <v>49</v>
      </c>
      <c r="C39" s="13">
        <v>4.8</v>
      </c>
      <c r="D39" s="13"/>
      <c r="E39" s="13"/>
      <c r="F39" s="13"/>
      <c r="G39" s="13"/>
      <c r="I39" s="5"/>
    </row>
    <row r="40" outlineLevel="2">
      <c r="A40" s="12" t="s">
        <v>57</v>
      </c>
      <c r="B40" s="0" t="s">
        <v>49</v>
      </c>
      <c r="C40" s="13">
        <v>8.8</v>
      </c>
      <c r="D40" s="13"/>
      <c r="E40" s="13"/>
      <c r="F40" s="13"/>
      <c r="G40" s="13"/>
      <c r="I40" s="5"/>
    </row>
    <row r="41" outlineLevel="2">
      <c r="A41" s="12" t="s">
        <v>58</v>
      </c>
      <c r="B41" s="0" t="s">
        <v>49</v>
      </c>
      <c r="C41" s="13">
        <v>0.01</v>
      </c>
      <c r="D41" s="13"/>
      <c r="E41" s="13"/>
      <c r="F41" s="13"/>
      <c r="G41" s="13"/>
      <c r="I41" s="5"/>
    </row>
    <row r="42">
      <c r="I42" s="5"/>
    </row>
    <row r="43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</mergeCells>
  <dataValidations count="1">
    <dataValidation type="decimal" sqref="C18" errorStyle="stop" promptTitle="Enter moisture content" errorTitle="Invalid moisture content" prompt="Value should be between 0 and 100.&#10;Original value: 4.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https://phyllis.nl/Biomass/View/1919</dc:description>
  <dcterms:created xsi:type="dcterms:W3CDTF">2026-03-17T05:40:43Z</dcterms:created>
  <dc:title>Phyllis2 #1919 coconut shell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