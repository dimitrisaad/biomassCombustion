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2 wood briquettes" sheetId="1" r:id="rId1"/>
  </sheets>
  <definedNames>
    <definedName name="w" localSheetId="0">IF(ISBLANK('Phyllis2 #192 wood briquettes'!$C$17),#N/A,'Phyllis2 #192 wood briquettes'!$C$17/100)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<sst xmlns="http://schemas.openxmlformats.org/spreadsheetml/2006/main" count="46" uniqueCount="46">
  <si>
    <t>Phyllis2</t>
  </si>
  <si>
    <t>https://phyllis.nl/Biomass/View/192</t>
  </si>
  <si>
    <t>wood briquettes (#192)</t>
  </si>
  <si>
    <t>ID-number</t>
  </si>
  <si>
    <t>#192</t>
  </si>
  <si>
    <t>Material</t>
  </si>
  <si>
    <t>wood briquettes</t>
  </si>
  <si>
    <t>Classification</t>
  </si>
  <si>
    <t>ECN Phyllis classification &gt; treated wood &gt; others &gt; wood briquettes</t>
  </si>
  <si>
    <t>NTA 8003 classification &gt; [100] hout &gt; [150] verwerkt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</si>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</sst>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IFERROR(0.3*(1-w),"")</f>
        <v/>
      </c>
      <c r="D18" s="11">
        <v>0.3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IFERROR(51.2*(1-w),"")</f>
        <v/>
      </c>
      <c r="D20" s="11">
        <v>51.2</v>
      </c>
      <c r="E20" s="11">
        <v>51.35406218655968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IFERROR(6.3*(1-w),"")</f>
        <v/>
      </c>
      <c r="D21" s="11">
        <v>6.3</v>
      </c>
      <c r="E21" s="11">
        <v>6.3189568706118351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IFERROR(42*(1-w),"")</f>
        <v/>
      </c>
      <c r="D22" s="11">
        <v>42</v>
      </c>
      <c r="E22" s="11">
        <v>42.126379137412236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IFERROR(0.2*(1-w),"")</f>
        <v/>
      </c>
      <c r="D23" s="11">
        <v>0.2</v>
      </c>
      <c r="E23" s="11">
        <v>0.20060180541624875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IFERROR(100*(1-w)+w*100,"")</f>
        <v/>
      </c>
      <c r="D24" s="11">
        <v>100</v>
      </c>
      <c r="E24" s="11">
        <v>100</v>
      </c>
      <c r="F24" s="11"/>
      <c r="G24" s="11"/>
      <c r="I24" s="12"/>
      <c r="J24" s="0" t="s">
        <v>38</v>
      </c>
    </row>
    <row r="25" outlineLevel="1">
      <c r="A25" s="9" t="s">
        <v>41</v>
      </c>
      <c r="I25" s="12"/>
    </row>
    <row r="26" outlineLevel="2">
      <c r="A26" s="10" t="s">
        <v>42</v>
      </c>
      <c r="B26" s="0" t="s">
        <v>43</v>
      </c>
      <c r="C26" s="11">
        <f>IFERROR(19.03*(1-w)-w*2.443,"")</f>
        <v/>
      </c>
      <c r="D26" s="11">
        <v>19.03</v>
      </c>
      <c r="E26" s="11">
        <v>19.08726178535607</v>
      </c>
      <c r="F26" s="11"/>
      <c r="G26" s="11"/>
      <c r="I26" s="12"/>
    </row>
    <row r="27" outlineLevel="2">
      <c r="A27" s="10" t="s">
        <v>44</v>
      </c>
      <c r="B27" s="0" t="s">
        <v>43</v>
      </c>
      <c r="C27" s="11">
        <f>IFERROR(20.4*(1-w),"")</f>
        <v/>
      </c>
      <c r="D27" s="11">
        <v>20.4</v>
      </c>
      <c r="E27" s="11">
        <v>20.46138415245737</v>
      </c>
      <c r="F27" s="11"/>
      <c r="G27" s="11"/>
      <c r="I27" s="12"/>
    </row>
    <row r="28" outlineLevel="2">
      <c r="A28" s="10" t="s">
        <v>45</v>
      </c>
      <c r="B28" s="0" t="s">
        <v>43</v>
      </c>
      <c r="C28" s="11">
        <f>IFERROR(20.71922377*(1-w),"")</f>
        <v/>
      </c>
      <c r="D28" s="11">
        <v>20.71922377</v>
      </c>
      <c r="E28" s="11">
        <v>20.78156847542628</v>
      </c>
      <c r="F28" s="11"/>
      <c r="G28" s="11"/>
      <c r="I28" s="12"/>
      <c r="J28" s="0" t="s">
        <v>38</v>
      </c>
    </row>
    <row r="29">
      <c r="I29" s="12"/>
    </row>
    <row r="30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https://phyllis.nl/Biomass/View/192</dc:description>
  <dcterms:created xsi:type="dcterms:W3CDTF">2026-03-19T04:04:39Z</dcterms:created>
  <dc:title>Phyllis2 #192 wood briquettes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