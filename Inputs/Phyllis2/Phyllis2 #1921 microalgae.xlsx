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1 microalgae" sheetId="1" r:id="rId1"/>
  </sheets>
  <definedNames>
    <definedName name="w" localSheetId="0">IF(ISBLANK('Phyllis2 #1921 microalgae'!$C$18),#N/A,'Phyllis2 #1921 microalgae'!$C$18/100)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<sst xmlns="http://schemas.openxmlformats.org/spreadsheetml/2006/main" count="65" uniqueCount="65">
  <si>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</si>
  <si>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https://phyllis.nl/Biomass/View/1921</t>
  </si>
  <si>
    <t>microalgae (#1921)</t>
  </si>
  <si>
    <t>ID-number</t>
  </si>
  <si>
    <t>#1921</t>
  </si>
  <si>
    <t>Material</t>
  </si>
  <si>
    <t>microalgae</t>
  </si>
  <si>
    <t>Classification</t>
  </si>
  <si>
    <t>ECN Phyllis classification &gt; Marine biomass (algae) &gt; Microalgae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</si>
  <si>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</si>
  <si>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</si>
  <si>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</si>
  <si>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</si>
  <si>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</si>
  <si>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</si>
  <si>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</si>
  <si>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</si>
  <si>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</si>
  <si>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</si>
  <si>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</si>
  <si>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</si>
  <si>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</si>
  <si>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</si>
  <si>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</si>
  <si>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</si>
  <si>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</si>
  <si>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</si>
  <si>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</si>
  <si>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</si>
  <si>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</si>
  <si>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</si>
  <si>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</si>
  <si>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</si>
  <si>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</si>
  <si>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</si>
  <si>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</si>
  <si>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</si>
  <si>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</si>
  <si>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</si>
  <si>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</si>
  <si>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</si>
  <si>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</si>
  <si>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</si>
  <si>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</si>
  <si>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</si>
  <si>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</si>
  <si>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</si>
  <si>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</si>
  <si>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</si>
  <si>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</si>
  <si>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</si>
  <si>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</si>
  <si>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</si>
  <si>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</si>
  <si>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</si>
  <si>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</si>
  <si>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Magnesium (Mg)</t>
  </si>
  <si>
    <t>Sodium (Na)</t>
  </si>
  <si>
    <t>Phosphorus (P)</t>
  </si>
  <si>
    <t>Silicon (Si)</t>
  </si>
  <si>
    <t>Biochemical analysis</t>
  </si>
  <si>
    <t>Other</t>
  </si>
  <si>
    <t>Protein</t>
  </si>
  <si>
    <t>wt% (dry)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</si>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</sst>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36936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5.22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IFERROR(2.52*(1-w),"")</f>
        <v>2.388456</v>
      </c>
      <c r="D19" s="13">
        <v>2.52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IFERROR(81.8*(1-w),"")</f>
        <v>77.53004</v>
      </c>
      <c r="D20" s="13">
        <v>81.8</v>
      </c>
      <c r="E20" s="13">
        <v>83.914649158801808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IFERROR(15.68*(1-w),"")</f>
        <v>14.861504000000005</v>
      </c>
      <c r="D21" s="13">
        <v>15.680000000000007</v>
      </c>
      <c r="E21" s="13">
        <v>16.085350841198203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IFERROR(52.73*(1-w),"")</f>
        <v>49.977493999999993</v>
      </c>
      <c r="D23" s="13">
        <v>52.73</v>
      </c>
      <c r="E23" s="13">
        <v>54.093147312269181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IFERROR(7.22*(1-w),"")</f>
        <v>6.8431159999999993</v>
      </c>
      <c r="D24" s="13">
        <v>7.22</v>
      </c>
      <c r="E24" s="13">
        <v>7.4066475174394748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IFERROR(28.85*(1-w),"")</f>
        <v>27.34403</v>
      </c>
      <c r="D25" s="13">
        <v>28.85</v>
      </c>
      <c r="E25" s="13">
        <v>29.595814526056628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IFERROR(8.01*(1-w),"")</f>
        <v>7.5918779999999995</v>
      </c>
      <c r="D26" s="13">
        <v>8.01</v>
      </c>
      <c r="E26" s="13">
        <v>8.2170701682396388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IFERROR(0.485*(1-w),"")</f>
        <v>0.45968299999999995</v>
      </c>
      <c r="D27" s="13">
        <v>0.485</v>
      </c>
      <c r="E27" s="13">
        <v>0.4975379565038982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IFERROR(99.992*(1-w)+w*100,"")</f>
        <v>99.9924176</v>
      </c>
      <c r="D28" s="13">
        <v>99.992</v>
      </c>
      <c r="E28" s="13">
        <v>99.991793188346335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IFERROR(1770*(1-w),"")</f>
        <v>1677.606</v>
      </c>
      <c r="D30" s="14">
        <v>1770</v>
      </c>
      <c r="E30" s="14">
        <v>1815.7570783750514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IFERROR(21.90447*(1-w)-w*2.443,"")</f>
        <v>20.633532065999997</v>
      </c>
      <c r="D32" s="13">
        <v>21.90447</v>
      </c>
      <c r="E32" s="13">
        <v>22.470732457940091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IFERROR(23.48*(1-w),"")</f>
        <v>22.254344</v>
      </c>
      <c r="D33" s="13">
        <v>23.48</v>
      </c>
      <c r="E33" s="13">
        <v>24.086992203528929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IFERROR(23.0982566112*(1-w),"")</f>
        <v>21.892527616095361</v>
      </c>
      <c r="D34" s="13">
        <v>23.0982566112</v>
      </c>
      <c r="E34" s="13">
        <v>23.695380192039394</v>
      </c>
      <c r="F34" s="13"/>
      <c r="G34" s="13"/>
      <c r="I34" s="5"/>
      <c r="J34" s="0" t="s">
        <v>35</v>
      </c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4">
        <v>725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55</v>
      </c>
      <c r="B37" s="0" t="s">
        <v>54</v>
      </c>
      <c r="C37" s="14">
        <v>6400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54</v>
      </c>
      <c r="C38" s="14">
        <v>1390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54</v>
      </c>
      <c r="C39" s="14">
        <v>980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54</v>
      </c>
      <c r="C40" s="14">
        <v>2700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54</v>
      </c>
      <c r="C41" s="14">
        <v>125</v>
      </c>
      <c r="D41" s="14"/>
      <c r="E41" s="14"/>
      <c r="F41" s="14"/>
      <c r="G41" s="14"/>
      <c r="I41" s="5"/>
      <c r="J41" s="0" t="s">
        <v>38</v>
      </c>
    </row>
    <row r="42" outlineLevel="1">
      <c r="A42" s="11" t="s">
        <v>60</v>
      </c>
      <c r="I42" s="5"/>
    </row>
    <row r="43" outlineLevel="2">
      <c r="A43" s="15" t="s">
        <v>61</v>
      </c>
      <c r="I43" s="5"/>
    </row>
    <row r="44" outlineLevel="3">
      <c r="A44" s="16" t="s">
        <v>62</v>
      </c>
      <c r="B44" s="0" t="s">
        <v>63</v>
      </c>
      <c r="C44" s="13">
        <v>51.1</v>
      </c>
      <c r="D44" s="13"/>
      <c r="E44" s="13"/>
      <c r="F44" s="13"/>
      <c r="G44" s="13"/>
      <c r="I44" s="5"/>
      <c r="J44" s="0" t="s">
        <v>35</v>
      </c>
    </row>
    <row r="45" outlineLevel="3">
      <c r="A45" s="16" t="s">
        <v>64</v>
      </c>
      <c r="B45" s="0" t="s">
        <v>63</v>
      </c>
      <c r="C45" s="13">
        <v>53.620000000000005</v>
      </c>
      <c r="D45" s="13"/>
      <c r="E45" s="13"/>
      <c r="F45" s="13"/>
      <c r="G45" s="13"/>
      <c r="I45" s="5"/>
      <c r="J45" s="0" t="s">
        <v>35</v>
      </c>
    </row>
    <row r="46">
      <c r="I46" s="5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6:E36"/>
    <mergeCell ref="C37:E37"/>
    <mergeCell ref="C38:E38"/>
    <mergeCell ref="C39:E39"/>
    <mergeCell ref="C40:E40"/>
    <mergeCell ref="C41:E41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5.2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https://phyllis.nl/Biomass/View/1921</dc:description>
  <dcterms:created xsi:type="dcterms:W3CDTF">2026-03-17T05:59:35Z</dcterms:created>
  <dc:title>Phyllis2 #1921 microalgae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