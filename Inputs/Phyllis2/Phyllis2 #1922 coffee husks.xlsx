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22 coffee husks" sheetId="1" r:id="rId1"/>
  </sheets>
  <definedNames>
    <definedName name="w" localSheetId="0">IF(ISBLANK('Phyllis2 #1922 coffee husks'!$C$19),#N/A,'Phyllis2 #1922 coffee husks'!$C$19/100)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<sst xmlns="http://schemas.openxmlformats.org/spreadsheetml/2006/main" count="59" uniqueCount="59">
  <si>
    <t>Phyllis2</t>
  </si>
  <si>
    <t>https://phyllis.nl/Biomass/View/1922</t>
  </si>
  <si>
    <t>coffee husks (#1922)</t>
  </si>
  <si>
    <t>ID-number</t>
  </si>
  <si>
    <t>#1922</t>
  </si>
  <si>
    <t>Material</t>
  </si>
  <si>
    <t>coffee husks</t>
  </si>
  <si>
    <t>Classification</t>
  </si>
  <si>
    <t>ECN Phyllis classification &gt; husk/shell/pit &gt; others</t>
  </si>
  <si>
    <t>NTA 8003 classification &gt; [500] biomassa uit de industrie &gt; [520] schillen/vliezen/pitten &gt; [529] overige schillen/vliezen/pitten</t>
  </si>
  <si>
    <t>Submitter organisation</t>
  </si>
  <si>
    <t>ECN (Netherlands)</t>
  </si>
  <si>
    <t>Submission date</t>
  </si>
  <si>
    <t>Remarks</t>
  </si>
  <si>
    <t>Parchment</t>
  </si>
  <si>
    <t>Literature</t>
  </si>
  <si>
    <t>Werther,J.; Saenger,M.; Hartge,E.U.; Ogada,T.; Siagi,Z.: Combustion of agricultural residues; Prog.Energy Combust.Sci. 26, 1-27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</si>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</sst>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2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36936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10.2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IFERROR(0.9*(1-w),"")</f>
        <v>0.8082</v>
      </c>
      <c r="D20" s="13">
        <v>0.9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IFERROR(72*(1-w),"")</f>
        <v>64.656</v>
      </c>
      <c r="D21" s="13">
        <v>72</v>
      </c>
      <c r="E21" s="13">
        <v>72.653884964682135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IFERROR(27.1*(1-w),"")</f>
        <v>24.335799999999995</v>
      </c>
      <c r="D22" s="13">
        <v>27.099999999999994</v>
      </c>
      <c r="E22" s="13">
        <v>27.346115035317855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IFERROR(46.3788*(1-w),"")</f>
        <v>41.6481624</v>
      </c>
      <c r="D24" s="13">
        <v>46.3788</v>
      </c>
      <c r="E24" s="13">
        <v>46.8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IFERROR(4.8559*(1-w),"")</f>
        <v>4.3605982</v>
      </c>
      <c r="D25" s="13">
        <v>4.8559</v>
      </c>
      <c r="E25" s="13">
        <v>4.9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IFERROR(46.6761*(1-w),"")</f>
        <v>41.9151378</v>
      </c>
      <c r="D26" s="13">
        <v>46.6761</v>
      </c>
      <c r="E26" s="13">
        <v>47.1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IFERROR(0.5946*(1-w),"")</f>
        <v>0.53395080000000006</v>
      </c>
      <c r="D27" s="13">
        <v>0.5946</v>
      </c>
      <c r="E27" s="13">
        <v>0.6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IFERROR(0.5946*(1-w),"")</f>
        <v>0.53395080000000006</v>
      </c>
      <c r="D28" s="13">
        <v>0.5946</v>
      </c>
      <c r="E28" s="13">
        <v>0.6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IFERROR(100*(1-w)+w*100,"")</f>
        <v>100</v>
      </c>
      <c r="D29" s="13">
        <v>100</v>
      </c>
      <c r="E29" s="13">
        <v>100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3">
        <f>IFERROR(16.58933009*(1-w),"")</f>
        <v>14.897218420820002</v>
      </c>
      <c r="D31" s="13">
        <v>16.58933009</v>
      </c>
      <c r="E31" s="13">
        <v>16.739990000000002</v>
      </c>
      <c r="F31" s="13"/>
      <c r="G31" s="13"/>
      <c r="I31" s="5"/>
      <c r="J31" s="0" t="s">
        <v>36</v>
      </c>
    </row>
    <row r="32">
      <c r="A32" s="7" t="s">
        <v>48</v>
      </c>
      <c r="I32" s="5"/>
    </row>
    <row r="33" outlineLevel="1">
      <c r="A33" s="11" t="s">
        <v>49</v>
      </c>
      <c r="I33" s="5"/>
    </row>
    <row r="34" outlineLevel="2">
      <c r="A34" s="12" t="s">
        <v>50</v>
      </c>
      <c r="B34" s="0" t="s">
        <v>51</v>
      </c>
      <c r="C34" s="13">
        <v>3.4</v>
      </c>
      <c r="D34" s="13"/>
      <c r="E34" s="13"/>
      <c r="F34" s="13"/>
      <c r="G34" s="13"/>
      <c r="I34" s="5"/>
    </row>
    <row r="35" outlineLevel="2">
      <c r="A35" s="12" t="s">
        <v>52</v>
      </c>
      <c r="B35" s="0" t="s">
        <v>51</v>
      </c>
      <c r="C35" s="13">
        <v>16.6</v>
      </c>
      <c r="D35" s="13"/>
      <c r="E35" s="13"/>
      <c r="F35" s="13"/>
      <c r="G35" s="13"/>
      <c r="I35" s="5"/>
    </row>
    <row r="36" outlineLevel="2">
      <c r="A36" s="12" t="s">
        <v>53</v>
      </c>
      <c r="B36" s="0" t="s">
        <v>51</v>
      </c>
      <c r="C36" s="13">
        <v>2.4</v>
      </c>
      <c r="D36" s="13"/>
      <c r="E36" s="13"/>
      <c r="F36" s="13"/>
      <c r="G36" s="13"/>
      <c r="I36" s="5"/>
    </row>
    <row r="37" outlineLevel="2">
      <c r="A37" s="12" t="s">
        <v>54</v>
      </c>
      <c r="B37" s="0" t="s">
        <v>51</v>
      </c>
      <c r="C37" s="13">
        <v>4.5</v>
      </c>
      <c r="D37" s="13"/>
      <c r="E37" s="13"/>
      <c r="F37" s="13"/>
      <c r="G37" s="13"/>
      <c r="I37" s="5"/>
    </row>
    <row r="38" outlineLevel="2">
      <c r="A38" s="12" t="s">
        <v>55</v>
      </c>
      <c r="B38" s="0" t="s">
        <v>51</v>
      </c>
      <c r="C38" s="13">
        <v>9.8</v>
      </c>
      <c r="D38" s="13"/>
      <c r="E38" s="13"/>
      <c r="F38" s="13"/>
      <c r="G38" s="13"/>
      <c r="I38" s="5"/>
    </row>
    <row r="39" outlineLevel="2">
      <c r="A39" s="12" t="s">
        <v>56</v>
      </c>
      <c r="B39" s="0" t="s">
        <v>51</v>
      </c>
      <c r="C39" s="13">
        <v>3.7</v>
      </c>
      <c r="D39" s="13"/>
      <c r="E39" s="13"/>
      <c r="F39" s="13"/>
      <c r="G39" s="13"/>
      <c r="I39" s="5"/>
    </row>
    <row r="40" outlineLevel="2">
      <c r="A40" s="12" t="s">
        <v>57</v>
      </c>
      <c r="B40" s="0" t="s">
        <v>51</v>
      </c>
      <c r="C40" s="13">
        <v>0.5</v>
      </c>
      <c r="D40" s="13"/>
      <c r="E40" s="13"/>
      <c r="F40" s="13"/>
      <c r="G40" s="13"/>
      <c r="I40" s="5"/>
    </row>
    <row r="41" outlineLevel="2">
      <c r="A41" s="12" t="s">
        <v>58</v>
      </c>
      <c r="B41" s="0" t="s">
        <v>51</v>
      </c>
      <c r="C41" s="13">
        <v>36.9</v>
      </c>
      <c r="D41" s="13"/>
      <c r="E41" s="13"/>
      <c r="F41" s="13"/>
      <c r="G41" s="13"/>
      <c r="I41" s="5"/>
    </row>
    <row r="42">
      <c r="I42" s="5"/>
    </row>
    <row r="4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5:E35"/>
    <mergeCell ref="C36:E36"/>
    <mergeCell ref="C37:E37"/>
    <mergeCell ref="C38:E38"/>
    <mergeCell ref="C39:E39"/>
    <mergeCell ref="C40:E40"/>
    <mergeCell ref="C41:E41"/>
  </mergeCells>
  <dataValidations count="1">
    <dataValidation type="decimal" sqref="C19" errorStyle="stop" promptTitle="Enter moisture content" errorTitle="Invalid moisture content" prompt="Value should be between 0 and 100.&#10;Original value: 10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https://phyllis.nl/Biomass/View/1922</dc:description>
  <dcterms:created xsi:type="dcterms:W3CDTF">2026-03-17T05:44:06Z</dcterms:created>
  <dc:title>Phyllis2 #1922 coffee husks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