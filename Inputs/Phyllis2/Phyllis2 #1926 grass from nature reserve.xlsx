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26 grass from natur" sheetId="1" r:id="rId1"/>
  </sheets>
  <definedNames>
    <definedName name="w" localSheetId="0">IF(ISBLANK('Phyllis2 #1926 grass from natur'!$C$20),#N/A,'Phyllis2 #1926 grass from natur'!$C$20/100)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<sst xmlns="http://schemas.openxmlformats.org/spreadsheetml/2006/main" count="63" uniqueCount="63">
  <si>
    <t>Phyllis2</t>
  </si>
  <si>
    <t>https://phyllis.nl/Biomass/View/1926</t>
  </si>
  <si>
    <t>grass from nature reserve (#1926)</t>
  </si>
  <si>
    <t>ID-number</t>
  </si>
  <si>
    <t>#1926</t>
  </si>
  <si>
    <t>Material</t>
  </si>
  <si>
    <t>grass from nature reserve</t>
  </si>
  <si>
    <t>Classification</t>
  </si>
  <si>
    <t>ECN Phyllis classification &gt; grass/plant &gt; other grass &gt; grass from nature reserve</t>
  </si>
  <si>
    <t>NTA 8003 classification &gt; [200] biomassa uit land- en tuinbouw &gt; [210] gras &gt; [211] mengsel gras</t>
  </si>
  <si>
    <t>Ash type</t>
  </si>
  <si>
    <t>550 degC</t>
  </si>
  <si>
    <t>Submitter organisation</t>
  </si>
  <si>
    <t>ECN (Netherlands)</t>
  </si>
  <si>
    <t>Submission date</t>
  </si>
  <si>
    <t>Remarks</t>
  </si>
  <si>
    <t>grasses from Baarle-Nassau, the Netherlands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</si>
  <si>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</si>
  <si>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</si>
  <si>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</si>
  <si>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</si>
  <si>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</si>
  <si>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</si>
  <si>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</si>
  <si>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</si>
  <si>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</si>
  <si>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</si>
  <si>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</si>
  <si>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</si>
  <si>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</si>
  <si>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</si>
  <si>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</si>
  <si>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</si>
  <si>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</si>
  <si>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</si>
  <si>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</si>
  <si>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</si>
  <si>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</si>
  <si>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</si>
  <si>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</si>
  <si>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</si>
  <si>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</si>
  <si>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</si>
  <si>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</si>
  <si>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</si>
  <si>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</si>
  <si>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</si>
  <si>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</si>
  <si>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</si>
  <si>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</si>
  <si>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</si>
  <si>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</si>
  <si>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</si>
  <si>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</si>
  <si>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</si>
  <si>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</si>
  <si>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</si>
  <si>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Calcium (Ca)</t>
  </si>
  <si>
    <t>mg/kg (dry)</t>
  </si>
  <si>
    <t>Potassium (K)</t>
  </si>
  <si>
    <t>Sodium (Na)</t>
  </si>
  <si>
    <t>Phosphorus (P)</t>
  </si>
  <si>
    <t>Silicon (Si)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</si>
</sst>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2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36941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/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36</v>
      </c>
      <c r="C21" s="13">
        <f>IFERROR(9.6*(1-w),"")</f>
        <v/>
      </c>
      <c r="D21" s="13">
        <v>9.6</v>
      </c>
      <c r="E21" s="13">
        <v/>
      </c>
      <c r="F21" s="13"/>
      <c r="G21" s="13"/>
      <c r="I21" s="5"/>
    </row>
    <row r="22" outlineLevel="2">
      <c r="A22" s="12" t="s">
        <v>37</v>
      </c>
      <c r="B22" s="0" t="s">
        <v>36</v>
      </c>
      <c r="C22" s="13">
        <f>IFERROR(70.6*(1-w),"")</f>
        <v/>
      </c>
      <c r="D22" s="13">
        <v>70.6</v>
      </c>
      <c r="E22" s="13">
        <v>78.097345132743357</v>
      </c>
      <c r="F22" s="13"/>
      <c r="G22" s="13"/>
      <c r="I22" s="5"/>
    </row>
    <row r="23" outlineLevel="2">
      <c r="A23" s="12" t="s">
        <v>38</v>
      </c>
      <c r="B23" s="0" t="s">
        <v>36</v>
      </c>
      <c r="C23" s="13">
        <f>IFERROR(19.8*(1-w),"")</f>
        <v/>
      </c>
      <c r="D23" s="13">
        <v>19.800000000000011</v>
      </c>
      <c r="E23" s="13">
        <v>21.902654867256651</v>
      </c>
      <c r="F23" s="13"/>
      <c r="G23" s="13"/>
      <c r="I23" s="5"/>
      <c r="J23" s="0" t="s">
        <v>39</v>
      </c>
    </row>
    <row r="24" outlineLevel="1">
      <c r="A24" s="11" t="s">
        <v>40</v>
      </c>
      <c r="I24" s="5"/>
    </row>
    <row r="25" outlineLevel="2">
      <c r="A25" s="12" t="s">
        <v>41</v>
      </c>
      <c r="B25" s="0" t="s">
        <v>36</v>
      </c>
      <c r="C25" s="13">
        <f>IFERROR(45.4*(1-w),"")</f>
        <v/>
      </c>
      <c r="D25" s="13">
        <v>45.4</v>
      </c>
      <c r="E25" s="13">
        <v>50.221238938053091</v>
      </c>
      <c r="F25" s="13"/>
      <c r="G25" s="13"/>
      <c r="I25" s="5"/>
      <c r="J25" s="0" t="s">
        <v>42</v>
      </c>
    </row>
    <row r="26" outlineLevel="2">
      <c r="A26" s="12" t="s">
        <v>43</v>
      </c>
      <c r="B26" s="0" t="s">
        <v>36</v>
      </c>
      <c r="C26" s="13">
        <f>IFERROR(5.7*(1-w),"")</f>
        <v/>
      </c>
      <c r="D26" s="13">
        <v>5.7</v>
      </c>
      <c r="E26" s="13">
        <v>6.3053097345132745</v>
      </c>
      <c r="F26" s="13"/>
      <c r="G26" s="13"/>
      <c r="I26" s="5"/>
      <c r="J26" s="0" t="s">
        <v>42</v>
      </c>
    </row>
    <row r="27" outlineLevel="2">
      <c r="A27" s="12" t="s">
        <v>44</v>
      </c>
      <c r="B27" s="0" t="s">
        <v>36</v>
      </c>
      <c r="C27" s="13">
        <f>IFERROR(38.5*(1-w),"")</f>
        <v/>
      </c>
      <c r="D27" s="13">
        <v>38.5</v>
      </c>
      <c r="E27" s="13">
        <v>42.588495575221238</v>
      </c>
      <c r="F27" s="13"/>
      <c r="G27" s="13"/>
      <c r="I27" s="5"/>
      <c r="J27" s="0" t="s">
        <v>42</v>
      </c>
    </row>
    <row r="28" outlineLevel="2">
      <c r="A28" s="12" t="s">
        <v>45</v>
      </c>
      <c r="B28" s="0" t="s">
        <v>36</v>
      </c>
      <c r="C28" s="13">
        <f>IFERROR(2.5*(1-w),"")</f>
        <v/>
      </c>
      <c r="D28" s="13">
        <v>2.5</v>
      </c>
      <c r="E28" s="13">
        <v>2.7654867256637168</v>
      </c>
      <c r="F28" s="13"/>
      <c r="G28" s="13"/>
      <c r="I28" s="5"/>
      <c r="J28" s="0" t="s">
        <v>42</v>
      </c>
    </row>
    <row r="29" outlineLevel="2">
      <c r="A29" s="12" t="s">
        <v>46</v>
      </c>
      <c r="B29" s="0" t="s">
        <v>36</v>
      </c>
      <c r="C29" s="13">
        <f>IFERROR(0.256*(1-w),"")</f>
        <v/>
      </c>
      <c r="D29" s="13">
        <v>0.256</v>
      </c>
      <c r="E29" s="13">
        <v>0.2831858407079646</v>
      </c>
      <c r="F29" s="13"/>
      <c r="G29" s="13"/>
      <c r="I29" s="5"/>
      <c r="J29" s="0" t="s">
        <v>42</v>
      </c>
    </row>
    <row r="30" outlineLevel="2">
      <c r="A30" s="12" t="s">
        <v>47</v>
      </c>
      <c r="B30" s="0" t="s">
        <v>36</v>
      </c>
      <c r="C30" s="13">
        <f>IFERROR(102.636*(1-w)+w*100,"")</f>
        <v/>
      </c>
      <c r="D30" s="13">
        <v>102.636</v>
      </c>
      <c r="E30" s="13">
        <v>102.91592920353982</v>
      </c>
      <c r="F30" s="13"/>
      <c r="G30" s="13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4">
        <f>IFERROR(6800*(1-w),"")</f>
        <v/>
      </c>
      <c r="D32" s="14">
        <v>6800</v>
      </c>
      <c r="E32" s="14">
        <v>7522.1238938053093</v>
      </c>
      <c r="F32" s="14"/>
      <c r="G32" s="14"/>
      <c r="I32" s="5"/>
      <c r="J32" s="0" t="s">
        <v>42</v>
      </c>
    </row>
    <row r="33" outlineLevel="1">
      <c r="A33" s="11" t="s">
        <v>51</v>
      </c>
      <c r="I33" s="5"/>
    </row>
    <row r="34" outlineLevel="2">
      <c r="A34" s="12" t="s">
        <v>52</v>
      </c>
      <c r="B34" s="0" t="s">
        <v>53</v>
      </c>
      <c r="C34" s="13">
        <f>IFERROR(17.17516*(1-w)-w*2.443,"")</f>
        <v/>
      </c>
      <c r="D34" s="13">
        <v>17.17516</v>
      </c>
      <c r="E34" s="13">
        <v>18.999070796460177</v>
      </c>
      <c r="F34" s="13"/>
      <c r="G34" s="13"/>
      <c r="I34" s="5"/>
    </row>
    <row r="35" outlineLevel="2">
      <c r="A35" s="12" t="s">
        <v>54</v>
      </c>
      <c r="B35" s="0" t="s">
        <v>53</v>
      </c>
      <c r="C35" s="13">
        <f>IFERROR(18.419*(1-w),"")</f>
        <v/>
      </c>
      <c r="D35" s="13">
        <v>18.419</v>
      </c>
      <c r="E35" s="13">
        <v>20.375</v>
      </c>
      <c r="F35" s="13"/>
      <c r="G35" s="13"/>
      <c r="I35" s="5"/>
    </row>
    <row r="36" outlineLevel="2">
      <c r="A36" s="12" t="s">
        <v>55</v>
      </c>
      <c r="B36" s="0" t="s">
        <v>53</v>
      </c>
      <c r="C36" s="13">
        <f>IFERROR(17.98158208*(1-w),"")</f>
        <v/>
      </c>
      <c r="D36" s="13">
        <v>17.98158208</v>
      </c>
      <c r="E36" s="13">
        <v>19.891130619469024</v>
      </c>
      <c r="F36" s="13"/>
      <c r="G36" s="13"/>
      <c r="I36" s="5"/>
      <c r="J36" s="0" t="s">
        <v>39</v>
      </c>
    </row>
    <row r="37" outlineLevel="1">
      <c r="A37" s="11" t="s">
        <v>56</v>
      </c>
      <c r="I37" s="5"/>
    </row>
    <row r="38" outlineLevel="2">
      <c r="A38" s="12" t="s">
        <v>57</v>
      </c>
      <c r="B38" s="0" t="s">
        <v>58</v>
      </c>
      <c r="C38" s="14">
        <v>5900</v>
      </c>
      <c r="D38" s="14"/>
      <c r="E38" s="14"/>
      <c r="F38" s="14"/>
      <c r="G38" s="14"/>
      <c r="I38" s="5"/>
      <c r="J38" s="0" t="s">
        <v>42</v>
      </c>
    </row>
    <row r="39" outlineLevel="2">
      <c r="A39" s="12" t="s">
        <v>59</v>
      </c>
      <c r="B39" s="0" t="s">
        <v>58</v>
      </c>
      <c r="C39" s="14">
        <v>20700</v>
      </c>
      <c r="D39" s="14"/>
      <c r="E39" s="14"/>
      <c r="F39" s="14"/>
      <c r="G39" s="14"/>
      <c r="I39" s="5"/>
      <c r="J39" s="0" t="s">
        <v>42</v>
      </c>
    </row>
    <row r="40" outlineLevel="2">
      <c r="A40" s="12" t="s">
        <v>60</v>
      </c>
      <c r="B40" s="0" t="s">
        <v>58</v>
      </c>
      <c r="C40" s="14">
        <v>340</v>
      </c>
      <c r="D40" s="14"/>
      <c r="E40" s="14"/>
      <c r="F40" s="14"/>
      <c r="G40" s="14"/>
      <c r="I40" s="5"/>
      <c r="J40" s="0" t="s">
        <v>42</v>
      </c>
    </row>
    <row r="41" outlineLevel="2">
      <c r="A41" s="12" t="s">
        <v>61</v>
      </c>
      <c r="B41" s="0" t="s">
        <v>58</v>
      </c>
      <c r="C41" s="14">
        <v>3070</v>
      </c>
      <c r="D41" s="14"/>
      <c r="E41" s="14"/>
      <c r="F41" s="14"/>
      <c r="G41" s="14"/>
      <c r="I41" s="5"/>
      <c r="J41" s="0" t="s">
        <v>42</v>
      </c>
    </row>
    <row r="42" outlineLevel="2">
      <c r="A42" s="12" t="s">
        <v>62</v>
      </c>
      <c r="B42" s="0" t="s">
        <v>58</v>
      </c>
      <c r="C42" s="14">
        <v>3900</v>
      </c>
      <c r="D42" s="14"/>
      <c r="E42" s="14"/>
      <c r="F42" s="14"/>
      <c r="G42" s="14"/>
      <c r="I42" s="5"/>
      <c r="J42" s="0" t="s">
        <v>42</v>
      </c>
    </row>
    <row r="43">
      <c r="I43" s="5"/>
    </row>
    <row r="44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8:E38"/>
    <mergeCell ref="C39:E39"/>
    <mergeCell ref="C40:E40"/>
    <mergeCell ref="C41:E41"/>
    <mergeCell ref="C42:E42"/>
  </mergeCells>
  <dataValidations count="1">
    <dataValidation type="decimal" sqref="C20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https://phyllis.nl/Biomass/View/1926</dc:description>
  <dcterms:created xsi:type="dcterms:W3CDTF">2026-03-04T04:25:02Z</dcterms:created>
  <dc:title>Phyllis2 #1926 grass from nature reserve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