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30 wood, poplar" sheetId="1" r:id="rId1"/>
  </sheets>
  <definedNames>
    <definedName name="w" localSheetId="0">IF(ISBLANK('Phyllis2 #1930 wood, poplar'!$C$19),#N/A,'Phyllis2 #1930 wood, poplar'!$C$19/100)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<sst xmlns="http://schemas.openxmlformats.org/spreadsheetml/2006/main" count="51" uniqueCount="51">
  <si>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</si>
  <si>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https://phyllis.nl/Biomass/View/1930</t>
  </si>
  <si>
    <t>wood, poplar (#1930)</t>
  </si>
  <si>
    <t>ID-number</t>
  </si>
  <si>
    <t>#1930</t>
  </si>
  <si>
    <t>Material</t>
  </si>
  <si>
    <t>wood, poplar</t>
  </si>
  <si>
    <t>Classification</t>
  </si>
  <si>
    <t>ECN Phyllis classification &gt; untreated wood &gt; poplar &gt; wood, poplar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</si>
  <si>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</si>
  <si>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</si>
  <si>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</si>
  <si>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</si>
  <si>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Remarks</t>
  </si>
  <si>
    <t>report JOU2-CT93-0397; data from K. Lassing, E. Olsson and L. Waldheim, TPS</t>
  </si>
  <si>
    <t>Literature</t>
  </si>
  <si>
    <t>R. van Ree et al.: Modelling of a biomass-integrated-gasifier/combined-cycle (BIG/CC) system with the flowsheet simulation programme Aspen+; final report JOU2-CT93-0397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</si>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</sst>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3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IFERROR(1.3*(1-w),"")</f>
        <v>1.105</v>
      </c>
      <c r="D20" s="13">
        <v>1.3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IFERROR(48.4617*(1-w),"")</f>
        <v>41.192445</v>
      </c>
      <c r="D22" s="13">
        <v>48.4617</v>
      </c>
      <c r="E22" s="13">
        <v>49.1</v>
      </c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32</v>
      </c>
      <c r="C23" s="13">
        <f>IFERROR(5.922*(1-w),"")</f>
        <v>5.0337</v>
      </c>
      <c r="D23" s="13">
        <v>5.922</v>
      </c>
      <c r="E23" s="13">
        <v>6</v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32</v>
      </c>
      <c r="C24" s="13">
        <f>IFERROR(43.7241*(1-w),"")</f>
        <v>37.165485</v>
      </c>
      <c r="D24" s="13">
        <v>43.7241</v>
      </c>
      <c r="E24" s="13">
        <v>44.3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IFERROR(0.47376*(1-w),"")</f>
        <v>0.402696</v>
      </c>
      <c r="D25" s="13">
        <v>0.47376</v>
      </c>
      <c r="E25" s="13">
        <v>0.48000000000000004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32</v>
      </c>
      <c r="C26" s="13">
        <f>IFERROR(0.00987*(1-w),"")</f>
        <v>0.0083895</v>
      </c>
      <c r="D26" s="13">
        <v>0.00987</v>
      </c>
      <c r="E26" s="13">
        <v>0.01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IFERROR(99.99013*(1-w)+w*100,"")</f>
        <v>99.9916105</v>
      </c>
      <c r="D27" s="13">
        <v>99.99013</v>
      </c>
      <c r="E27" s="13">
        <v>99.99</v>
      </c>
      <c r="F27" s="13"/>
      <c r="G27" s="13"/>
      <c r="I27" s="5"/>
      <c r="J27" s="0" t="s">
        <v>39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4">
        <f>IFERROR(987*(1-w),"")</f>
        <v>838.94999999999993</v>
      </c>
      <c r="D29" s="14">
        <v>987</v>
      </c>
      <c r="E29" s="14">
        <v>1000</v>
      </c>
      <c r="F29" s="14"/>
      <c r="G29" s="14"/>
      <c r="I29" s="5"/>
      <c r="J29" s="0" t="s">
        <v>36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IFERROR(18.00288*(1-w)-w*2.443,"")</f>
        <v>14.935998</v>
      </c>
      <c r="D31" s="13">
        <v>18.00288</v>
      </c>
      <c r="E31" s="13">
        <v>18.240000000000002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IFERROR(19.29516*(1-w),"")</f>
        <v>16.400886</v>
      </c>
      <c r="D32" s="13">
        <v>19.29516</v>
      </c>
      <c r="E32" s="13">
        <v>19.549300911854104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IFERROR(19.031626152*(1-w),"")</f>
        <v>16.1768822292</v>
      </c>
      <c r="D33" s="13">
        <v>19.031626152</v>
      </c>
      <c r="E33" s="13">
        <v>19.282296000000002</v>
      </c>
      <c r="F33" s="13"/>
      <c r="G33" s="13"/>
      <c r="I33" s="5"/>
      <c r="J33" s="0" t="s">
        <v>39</v>
      </c>
    </row>
    <row r="34">
      <c r="I34" s="5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https://phyllis.nl/Biomass/View/1930</dc:description>
  <dcterms:created xsi:type="dcterms:W3CDTF">2026-03-19T07:24:57Z</dcterms:created>
  <dc:title>Phyllis2 #1930 wood,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