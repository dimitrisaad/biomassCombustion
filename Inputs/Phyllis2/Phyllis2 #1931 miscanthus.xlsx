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1 miscanthus" sheetId="1" r:id="rId1"/>
  </sheets>
  <definedNames>
    <definedName name="w" localSheetId="0">IF(ISBLANK('Phyllis2 #1931 miscanthus'!$C$19),#N/A,'Phyllis2 #1931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<sst xmlns="http://schemas.openxmlformats.org/spreadsheetml/2006/main" count="51" uniqueCount="51">
  <si>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</si>
  <si>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https://phyllis.nl/Biomass/View/1931</t>
  </si>
  <si>
    <t>miscanthus (#1931)</t>
  </si>
  <si>
    <t>ID-number</t>
  </si>
  <si>
    <t>#1931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</si>
  <si>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</si>
  <si>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</si>
  <si>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</si>
  <si>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</si>
  <si>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</si>
  <si>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Submitter organisation</t>
  </si>
  <si>
    <t>ECN (Netherlands)</t>
  </si>
  <si>
    <t>Submission date</t>
  </si>
  <si>
    <t>Remarks</t>
  </si>
  <si>
    <t>report JOU2-CT93-0397; data from K. Lassing, E. Olsson and L. Waldheim, TPS</t>
  </si>
  <si>
    <t>Literature</t>
  </si>
  <si>
    <t>R. van Ree et al.: Modelling of a biomass-integrated-gasifier/combined-cycle (BIG/CC) system with the flowsheet simulation programme Aspen+; final report JOU2-CT93-0397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</si>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</sst>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IFERROR(1.5*(1-w),"")</f>
        <v>1.275</v>
      </c>
      <c r="D20" s="13">
        <v>1.5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IFERROR(48.9545*(1-w),"")</f>
        <v>41.611325</v>
      </c>
      <c r="D22" s="13">
        <v>48.9545</v>
      </c>
      <c r="E22" s="13">
        <v>49.7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IFERROR(6.0479*(1-w),"")</f>
        <v>5.140715</v>
      </c>
      <c r="D23" s="13">
        <v>6.0479</v>
      </c>
      <c r="E23" s="13">
        <v>6.1400000000000006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IFERROR(42.749*(1-w),"")</f>
        <v>36.33665</v>
      </c>
      <c r="D24" s="13">
        <v>42.749</v>
      </c>
      <c r="E24" s="13">
        <v>43.400000000000006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IFERROR(0.6895*(1-w),"")</f>
        <v>0.586075</v>
      </c>
      <c r="D25" s="13">
        <v>0.6895</v>
      </c>
      <c r="E25" s="13">
        <v>0.70000000000000007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IFERROR(0.02955*(1-w),"")</f>
        <v>0.0251175</v>
      </c>
      <c r="D26" s="13">
        <v>0.02955</v>
      </c>
      <c r="E26" s="13">
        <v>0.03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IFERROR(99.99015*(1-w)+w*100,"")</f>
        <v>99.991627499999993</v>
      </c>
      <c r="D27" s="13">
        <v>99.99015</v>
      </c>
      <c r="E27" s="13">
        <v>99.99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4">
        <f>IFERROR(197*(1-w),"")</f>
        <v>167.45</v>
      </c>
      <c r="D29" s="14">
        <v>197</v>
      </c>
      <c r="E29" s="14">
        <v>200</v>
      </c>
      <c r="F29" s="14"/>
      <c r="G29" s="14"/>
      <c r="I29" s="5"/>
      <c r="J29" s="0" t="s">
        <v>36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IFERROR(18.3604*(1-w)-w*2.443,"")</f>
        <v>15.239889999999997</v>
      </c>
      <c r="D31" s="13">
        <v>18.3604</v>
      </c>
      <c r="E31" s="13">
        <v>18.639999999999997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IFERROR(19.68016*(1-w),"")</f>
        <v>16.728136</v>
      </c>
      <c r="D32" s="13">
        <v>19.68016</v>
      </c>
      <c r="E32" s="13">
        <v>19.979857868020307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IFERROR(19.45560968*(1-w),"")</f>
        <v>16.537268228000002</v>
      </c>
      <c r="D33" s="13">
        <v>19.455609680000002</v>
      </c>
      <c r="E33" s="13">
        <v>19.751888</v>
      </c>
      <c r="F33" s="13"/>
      <c r="G33" s="13"/>
      <c r="I33" s="5"/>
      <c r="J33" s="0" t="s">
        <v>39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https://phyllis.nl/Biomass/View/1931</dc:description>
  <dcterms:created xsi:type="dcterms:W3CDTF">2026-03-04T04:13:36Z</dcterms:created>
  <dc:title>Phyllis2 #1931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