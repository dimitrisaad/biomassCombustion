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2 cacao shells" sheetId="1" r:id="rId1"/>
  </sheets>
  <definedNames>
    <definedName name="w" localSheetId="0">IF(ISBLANK('Phyllis2 #1932 cacao shells'!$C$19),#N/A,'Phyllis2 #1932 cacao shells'!$C$19/100)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<sst xmlns="http://schemas.openxmlformats.org/spreadsheetml/2006/main" count="48" uniqueCount="48">
  <si>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</si>
  <si>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https://phyllis.nl/Biomass/View/1932</t>
  </si>
  <si>
    <t>cacao shells (#1932)</t>
  </si>
  <si>
    <t>ID-number</t>
  </si>
  <si>
    <t>#1932</t>
  </si>
  <si>
    <t>Material</t>
  </si>
  <si>
    <t>cacao shells</t>
  </si>
  <si>
    <t>Classification</t>
  </si>
  <si>
    <t>ECN Phyllis classification &gt; husk/shell/pit &gt; cacao &gt; cacao shells</t>
  </si>
  <si>
    <t>NTA 8003 classification &gt; [200] biomassa uit land- en tuinbouw &gt; [230] restproducten (doppen) &gt; [232] cacaodoppen</t>
  </si>
  <si>
    <t>Submitter organisation</t>
  </si>
  <si>
    <t>ECN (Netherlands)</t>
  </si>
  <si>
    <t>Submission date</t>
  </si>
  <si>
    <t>Remarks</t>
  </si>
  <si>
    <t>report JOU2-CT93-0397; data from K. Lassing, E. Olsson and L. Waldheim, TPS</t>
  </si>
  <si>
    <t>Literature</t>
  </si>
  <si>
    <t>R. van Ree et al.: Modelling of a biomass-integrated-gasifier/combined-cycle (BIG/CC) system with the flowsheet simulation programme Aspen+; final report JOU2-CT93-0397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</si>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</sst>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6.7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IFERROR(9.2*(1-w),"")</f>
        <v>8.5836</v>
      </c>
      <c r="D20" s="13">
        <v>9.2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IFERROR(45.5816*(1-w),"")</f>
        <v>42.527632800000006</v>
      </c>
      <c r="D22" s="13">
        <v>45.5816</v>
      </c>
      <c r="E22" s="13">
        <v>50.2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IFERROR(5.6296*(1-w),"")</f>
        <v>5.2524168000000007</v>
      </c>
      <c r="D23" s="13">
        <v>5.6296</v>
      </c>
      <c r="E23" s="13">
        <v>6.1999999999999993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IFERROR(36.0476*(1-w),"")</f>
        <v>33.6324108</v>
      </c>
      <c r="D24" s="13">
        <v>36.0476</v>
      </c>
      <c r="E24" s="13">
        <v>39.7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IFERROR(3.3596*(1-w),"")</f>
        <v>3.1345068</v>
      </c>
      <c r="D25" s="13">
        <v>3.3596</v>
      </c>
      <c r="E25" s="13">
        <v>3.6999999999999997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IFERROR(0.17252*(1-w),"")</f>
        <v>0.16096116000000002</v>
      </c>
      <c r="D26" s="13">
        <v>0.17252</v>
      </c>
      <c r="E26" s="13">
        <v>0.19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IFERROR(99.99092*(1-w)+w*100,"")</f>
        <v>99.991528360000018</v>
      </c>
      <c r="D27" s="13">
        <v>99.990920000000017</v>
      </c>
      <c r="E27" s="13">
        <v>99.990000000000009</v>
      </c>
      <c r="F27" s="13"/>
      <c r="G27" s="13"/>
      <c r="I27" s="5"/>
      <c r="J27" s="0" t="s">
        <v>39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IFERROR(16.9796*(1-w)-w*2.443,"")</f>
        <v>15.678285800000001</v>
      </c>
      <c r="D29" s="13">
        <v>16.9796</v>
      </c>
      <c r="E29" s="13">
        <v>18.7</v>
      </c>
      <c r="F29" s="13"/>
      <c r="G29" s="13"/>
      <c r="I29" s="5"/>
    </row>
    <row r="30" outlineLevel="2">
      <c r="A30" s="12" t="s">
        <v>46</v>
      </c>
      <c r="B30" s="0" t="s">
        <v>45</v>
      </c>
      <c r="C30" s="13">
        <f>IFERROR(18.20807*(1-w),"")</f>
        <v>16.98812931</v>
      </c>
      <c r="D30" s="13">
        <v>18.20807</v>
      </c>
      <c r="E30" s="13">
        <v>20.052940528634359</v>
      </c>
      <c r="F30" s="13"/>
      <c r="G30" s="13"/>
      <c r="I30" s="5"/>
    </row>
    <row r="31" outlineLevel="2">
      <c r="A31" s="12" t="s">
        <v>47</v>
      </c>
      <c r="B31" s="0" t="s">
        <v>45</v>
      </c>
      <c r="C31" s="13">
        <f>IFERROR(18.140817592*(1-w),"")</f>
        <v>16.925382813336004</v>
      </c>
      <c r="D31" s="13">
        <v>18.140817592</v>
      </c>
      <c r="E31" s="13">
        <v>19.978874</v>
      </c>
      <c r="F31" s="13"/>
      <c r="G31" s="13"/>
      <c r="I31" s="5"/>
      <c r="J31" s="0" t="s">
        <v>39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6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https://phyllis.nl/Biomass/View/1932</dc:description>
  <dcterms:created xsi:type="dcterms:W3CDTF">2026-03-17T05:39:58Z</dcterms:created>
  <dc:title>Phyllis2 #1932 cacao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