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33 wheat straw" sheetId="1" r:id="rId1"/>
  </sheets>
  <definedNames>
    <definedName name="w" localSheetId="0">IF(ISBLANK('Phyllis2 #1933 wheat straw'!$C$19),#N/A,'Phyllis2 #1933 wheat straw'!$C$19/100)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<sst xmlns="http://schemas.openxmlformats.org/spreadsheetml/2006/main" count="48" uniqueCount="48">
  <si>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</si>
  <si>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https://phyllis.nl/Biomass/View/1933</t>
  </si>
  <si>
    <t>wheat straw (#1933)</t>
  </si>
  <si>
    <t>ID-number</t>
  </si>
  <si>
    <t>#1933</t>
  </si>
  <si>
    <t>Material</t>
  </si>
  <si>
    <t>wheat straw</t>
  </si>
  <si>
    <t>Classification</t>
  </si>
  <si>
    <t>ECN Phyllis classification &gt; straw (stalk/cob/ear) &gt; wheat &gt; wheat straw</t>
  </si>
  <si>
    <t>NTA 8003 classification &gt; [200] biomassa uit land- en tuinbouw &gt; [220] stro &gt; [223] tarwestro</t>
  </si>
  <si>
    <t>Submitter organisation</t>
  </si>
  <si>
    <t>ECN (Netherlands)</t>
  </si>
  <si>
    <t>Submission date</t>
  </si>
  <si>
    <t>Remarks</t>
  </si>
  <si>
    <t>report JOU2-CT93-0397; data from K. Lassing, E. Olsson and L. Waldheim, TPS</t>
  </si>
  <si>
    <t>Literature</t>
  </si>
  <si>
    <t>R. van Ree et al.: Modelling of a biomass-integrated-gasifier/combined-cycle (BIG/CC) system with the flowsheet simulation programme Aspen+; final report JOU2-CT93-0397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</si>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</sst>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3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36941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15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IFERROR(8.9*(1-w),"")</f>
        <v>7.565</v>
      </c>
      <c r="D20" s="13">
        <v>8.9</v>
      </c>
      <c r="E20" s="13">
        <v/>
      </c>
      <c r="F20" s="13"/>
      <c r="G20" s="13"/>
      <c r="I20" s="5"/>
    </row>
    <row r="21" outlineLevel="1">
      <c r="A21" s="11" t="s">
        <v>34</v>
      </c>
      <c r="I21" s="5"/>
    </row>
    <row r="22" outlineLevel="2">
      <c r="A22" s="12" t="s">
        <v>35</v>
      </c>
      <c r="B22" s="0" t="s">
        <v>32</v>
      </c>
      <c r="C22" s="13">
        <f>IFERROR(44.5479*(1-w),"")</f>
        <v>37.865714999999994</v>
      </c>
      <c r="D22" s="13">
        <v>44.5479</v>
      </c>
      <c r="E22" s="13">
        <v>48.9</v>
      </c>
      <c r="F22" s="13"/>
      <c r="G22" s="13"/>
      <c r="I22" s="5"/>
      <c r="J22" s="0" t="s">
        <v>36</v>
      </c>
    </row>
    <row r="23" outlineLevel="2">
      <c r="A23" s="12" t="s">
        <v>37</v>
      </c>
      <c r="B23" s="0" t="s">
        <v>32</v>
      </c>
      <c r="C23" s="13">
        <f>IFERROR(5.1927*(1-w),"")</f>
        <v>4.413795</v>
      </c>
      <c r="D23" s="13">
        <v>5.1927</v>
      </c>
      <c r="E23" s="13">
        <v>5.7</v>
      </c>
      <c r="F23" s="13"/>
      <c r="G23" s="13"/>
      <c r="I23" s="5"/>
      <c r="J23" s="0" t="s">
        <v>36</v>
      </c>
    </row>
    <row r="24" outlineLevel="2">
      <c r="A24" s="12" t="s">
        <v>38</v>
      </c>
      <c r="B24" s="0" t="s">
        <v>32</v>
      </c>
      <c r="C24" s="13">
        <f>IFERROR(40.5395*(1-w),"")</f>
        <v>34.458574999999996</v>
      </c>
      <c r="D24" s="13">
        <v>40.5395</v>
      </c>
      <c r="E24" s="13">
        <v>44.499999999999993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IFERROR(0.6377*(1-w),"")</f>
        <v>0.542045</v>
      </c>
      <c r="D25" s="13">
        <v>0.6377</v>
      </c>
      <c r="E25" s="13">
        <v>0.70000000000000007</v>
      </c>
      <c r="F25" s="13"/>
      <c r="G25" s="13"/>
      <c r="I25" s="5"/>
      <c r="J25" s="0" t="s">
        <v>36</v>
      </c>
    </row>
    <row r="26" outlineLevel="2">
      <c r="A26" s="12" t="s">
        <v>41</v>
      </c>
      <c r="B26" s="0" t="s">
        <v>32</v>
      </c>
      <c r="C26" s="13">
        <f>IFERROR(0.10932*(1-w),"")</f>
        <v>0.092922</v>
      </c>
      <c r="D26" s="13">
        <v>0.10932</v>
      </c>
      <c r="E26" s="13">
        <v>0.12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IFERROR(99.92712*(1-w)+w*100,"")</f>
        <v>99.938052</v>
      </c>
      <c r="D27" s="13">
        <v>99.92712</v>
      </c>
      <c r="E27" s="13">
        <v>99.919999999999987</v>
      </c>
      <c r="F27" s="13"/>
      <c r="G27" s="13"/>
      <c r="I27" s="5"/>
      <c r="J27" s="0" t="s">
        <v>39</v>
      </c>
    </row>
    <row r="28" outlineLevel="1">
      <c r="A28" s="11" t="s">
        <v>43</v>
      </c>
      <c r="I28" s="5"/>
    </row>
    <row r="29" outlineLevel="2">
      <c r="A29" s="12" t="s">
        <v>44</v>
      </c>
      <c r="B29" s="0" t="s">
        <v>45</v>
      </c>
      <c r="C29" s="13">
        <f>IFERROR(16.3069*(1-w)-w*2.443,"")</f>
        <v>13.494414999999998</v>
      </c>
      <c r="D29" s="13">
        <v>16.3069</v>
      </c>
      <c r="E29" s="13">
        <v>17.9</v>
      </c>
      <c r="F29" s="13"/>
      <c r="G29" s="13"/>
      <c r="I29" s="5"/>
    </row>
    <row r="30" outlineLevel="2">
      <c r="A30" s="12" t="s">
        <v>46</v>
      </c>
      <c r="B30" s="0" t="s">
        <v>45</v>
      </c>
      <c r="C30" s="13">
        <f>IFERROR(17.44004*(1-w),"")</f>
        <v>14.824034</v>
      </c>
      <c r="D30" s="13">
        <v>17.44004</v>
      </c>
      <c r="E30" s="13">
        <v>19.143841931942919</v>
      </c>
      <c r="F30" s="13"/>
      <c r="G30" s="13"/>
      <c r="I30" s="5"/>
    </row>
    <row r="31" outlineLevel="2">
      <c r="A31" s="12" t="s">
        <v>47</v>
      </c>
      <c r="B31" s="0" t="s">
        <v>45</v>
      </c>
      <c r="C31" s="13">
        <f>IFERROR(16.997767782*(1-w),"")</f>
        <v>14.448102614700003</v>
      </c>
      <c r="D31" s="13">
        <v>16.997767782000004</v>
      </c>
      <c r="E31" s="13">
        <v>18.658362000000004</v>
      </c>
      <c r="F31" s="13"/>
      <c r="G31" s="13"/>
      <c r="I31" s="5"/>
      <c r="J31" s="0" t="s">
        <v>39</v>
      </c>
    </row>
    <row r="32">
      <c r="I32" s="5"/>
    </row>
    <row r="3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1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https://phyllis.nl/Biomass/View/1933</dc:description>
  <dcterms:created xsi:type="dcterms:W3CDTF">2026-03-17T06:16:10Z</dcterms:created>
  <dc:title>Phyllis2 #1933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