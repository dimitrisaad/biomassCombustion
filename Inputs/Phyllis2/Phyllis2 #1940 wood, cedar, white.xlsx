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0 wood, cedar, whi" sheetId="1" r:id="rId1"/>
  </sheets>
  <definedNames>
    <definedName name="w" localSheetId="0">IF(ISBLANK('Phyllis2 #1940 wood, cedar, whi'!$C$18),#N/A,'Phyllis2 #1940 wood, cedar, whi'!$C$18/100)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<sst xmlns="http://schemas.openxmlformats.org/spreadsheetml/2006/main" count="46" uniqueCount="46">
  <si>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</si>
  <si>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https://phyllis.nl/Biomass/View/1940</t>
  </si>
  <si>
    <t>wood, cedar, white (#1940)</t>
  </si>
  <si>
    <t>ID-number</t>
  </si>
  <si>
    <t>#1940</t>
  </si>
  <si>
    <t>Material</t>
  </si>
  <si>
    <t>wood, cedar, white</t>
  </si>
  <si>
    <t>Classification</t>
  </si>
  <si>
    <t>ECN Phyllis classification &gt; untreated wood &gt; other soft wood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</si>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</sst>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IFERROR(0.4*(1-w),"")</f>
        <v/>
      </c>
      <c r="D19" s="13">
        <v>0.4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IFERROR(48.8*(1-w),"")</f>
        <v/>
      </c>
      <c r="D21" s="13">
        <v>48.8</v>
      </c>
      <c r="E21" s="13">
        <v>48.99598393574297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IFERROR(6.4*(1-w),"")</f>
        <v/>
      </c>
      <c r="D22" s="13">
        <v>6.4</v>
      </c>
      <c r="E22" s="13">
        <v>6.42570281124498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IFERROR(44.4*(1-w),"")</f>
        <v/>
      </c>
      <c r="D23" s="13">
        <v>44.4</v>
      </c>
      <c r="E23" s="13">
        <v>44.578313253012048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IFERROR(100*(1-w)+w*100,"")</f>
        <v/>
      </c>
      <c r="D24" s="13">
        <v>100</v>
      </c>
      <c r="E24" s="13">
        <v>100</v>
      </c>
      <c r="F24" s="13"/>
      <c r="G24" s="13"/>
      <c r="I24" s="5"/>
      <c r="J24" s="0" t="s">
        <v>39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43</v>
      </c>
      <c r="C26" s="13">
        <f>IFERROR(18.14341*(1-w)-w*2.443,"")</f>
        <v/>
      </c>
      <c r="D26" s="13">
        <v>18.14341</v>
      </c>
      <c r="E26" s="13">
        <v>18.216275100401607</v>
      </c>
      <c r="F26" s="13"/>
      <c r="G26" s="13"/>
      <c r="I26" s="5"/>
    </row>
    <row r="27" outlineLevel="2">
      <c r="A27" s="12" t="s">
        <v>44</v>
      </c>
      <c r="B27" s="0" t="s">
        <v>43</v>
      </c>
      <c r="C27" s="13">
        <f>IFERROR(19.54*(1-w),"")</f>
        <v/>
      </c>
      <c r="D27" s="13">
        <v>19.54</v>
      </c>
      <c r="E27" s="13">
        <v>19.61847389558233</v>
      </c>
      <c r="F27" s="13"/>
      <c r="G27" s="13"/>
      <c r="I27" s="5"/>
    </row>
    <row r="28" outlineLevel="2">
      <c r="A28" s="12" t="s">
        <v>45</v>
      </c>
      <c r="B28" s="0" t="s">
        <v>43</v>
      </c>
      <c r="C28" s="13">
        <f>IFERROR(19.76750448*(1-w),"")</f>
        <v/>
      </c>
      <c r="D28" s="13">
        <v>19.767504480000003</v>
      </c>
      <c r="E28" s="13">
        <v>19.846892048192775</v>
      </c>
      <c r="F28" s="13"/>
      <c r="G28" s="13"/>
      <c r="I28" s="5"/>
      <c r="J28" s="0" t="s">
        <v>39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https://phyllis.nl/Biomass/View/1940</dc:description>
  <dcterms:created xsi:type="dcterms:W3CDTF">2026-03-19T07:19:17Z</dcterms:created>
  <dc:title>Phyllis2 #1940 wood, cedar,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