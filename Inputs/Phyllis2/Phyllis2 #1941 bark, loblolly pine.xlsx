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41 bark, loblolly p" sheetId="1" r:id="rId1"/>
  </sheets>
  <definedNames>
    <definedName name="w" localSheetId="0">IF(ISBLANK('Phyllis2 #1941 bark, loblolly p'!$C$18),#N/A,'Phyllis2 #1941 bark, loblolly p'!$C$18/100)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<sst xmlns="http://schemas.openxmlformats.org/spreadsheetml/2006/main" count="48" uniqueCount="48">
  <si>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</si>
  <si>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https://phyllis.nl/Biomass/View/1941</t>
  </si>
  <si>
    <t>bark, loblolly pine (#1941)</t>
  </si>
  <si>
    <t>ID-number</t>
  </si>
  <si>
    <t>#1941</t>
  </si>
  <si>
    <t>Material</t>
  </si>
  <si>
    <t>bark, loblolly pine</t>
  </si>
  <si>
    <t>Classification</t>
  </si>
  <si>
    <t>ECN Phyllis classification &gt; untreated wood &gt; bark</t>
  </si>
  <si>
    <t>NTA 8003 classification &gt; [100] hout &gt; [110] vers hout &gt; [112] schors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</si>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</sst>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4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IFERROR(0.4*(1-w),"")</f>
        <v/>
      </c>
      <c r="D19" s="13">
        <v>0.4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IFERROR(54.7*(1-w),"")</f>
        <v/>
      </c>
      <c r="D20" s="13">
        <v>54.7</v>
      </c>
      <c r="E20" s="13">
        <v>54.919678714859444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IFERROR(44.9*(1-w),"")</f>
        <v/>
      </c>
      <c r="D21" s="13">
        <v>44.899999999999991</v>
      </c>
      <c r="E21" s="13">
        <v>45.080321285140556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IFERROR(56.3*(1-w),"")</f>
        <v/>
      </c>
      <c r="D23" s="13">
        <v>56.3</v>
      </c>
      <c r="E23" s="13">
        <v>56.52610441767068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IFERROR(5.6*(1-w),"")</f>
        <v/>
      </c>
      <c r="D24" s="13">
        <v>5.6</v>
      </c>
      <c r="E24" s="13">
        <v>5.6224899598393572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IFERROR(37.7*(1-w),"")</f>
        <v/>
      </c>
      <c r="D25" s="13">
        <v>37.7</v>
      </c>
      <c r="E25" s="13">
        <v>37.851405622489963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IFERROR(100*(1-w)+w*100,"")</f>
        <v/>
      </c>
      <c r="D26" s="13">
        <v>100</v>
      </c>
      <c r="E26" s="13">
        <v>100</v>
      </c>
      <c r="F26" s="13"/>
      <c r="G26" s="13"/>
      <c r="I26" s="5"/>
      <c r="J26" s="0" t="s">
        <v>36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IFERROR(20.55798*(1-w)-w*2.443,"")</f>
        <v/>
      </c>
      <c r="D28" s="13">
        <v>20.55798</v>
      </c>
      <c r="E28" s="13">
        <v>20.6405421686747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IFERROR(21.78*(1-w),"")</f>
        <v/>
      </c>
      <c r="D29" s="13">
        <v>21.78</v>
      </c>
      <c r="E29" s="13">
        <v>21.867469879518072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IFERROR(22.07140448*(1-w),"")</f>
        <v/>
      </c>
      <c r="D30" s="13">
        <v>22.07140448</v>
      </c>
      <c r="E30" s="13">
        <v>22.16004465863454</v>
      </c>
      <c r="F30" s="13"/>
      <c r="G30" s="13"/>
      <c r="I30" s="5"/>
      <c r="J30" s="0" t="s">
        <v>36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https://phyllis.nl/Biomass/View/1941</dc:description>
  <dcterms:created xsi:type="dcterms:W3CDTF">2026-03-19T04:17:50Z</dcterms:created>
  <dc:title>Phyllis2 #1941 bark, loblolly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