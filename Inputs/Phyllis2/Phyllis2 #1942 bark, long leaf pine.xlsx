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42 bark, long leaf " sheetId="1" r:id="rId1"/>
  </sheets>
  <definedNames>
    <definedName name="w" localSheetId="0">IF(ISBLANK('Phyllis2 #1942 bark, long leaf '!$C$18),#N/A,'Phyllis2 #1942 bark, long leaf 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<sst xmlns="http://schemas.openxmlformats.org/spreadsheetml/2006/main" count="48" uniqueCount="48">
  <si>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</si>
  <si>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https://phyllis.nl/Biomass/View/1942</t>
  </si>
  <si>
    <t>bark, long leaf pine (#1942)</t>
  </si>
  <si>
    <t>ID-number</t>
  </si>
  <si>
    <t>#1942</t>
  </si>
  <si>
    <t>Material</t>
  </si>
  <si>
    <t>bark, long leaf pine</t>
  </si>
  <si>
    <t>Classification</t>
  </si>
  <si>
    <t>ECN Phyllis classification &gt; untreated wood &gt; bark</t>
  </si>
  <si>
    <t>NTA 8003 classification &gt; [100] hout &gt; [110] vers hout &gt; [112] schors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</si>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</sst>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4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IFERROR(0.7*(1-w),"")</f>
        <v/>
      </c>
      <c r="D19" s="13">
        <v>0.7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IFERROR(67*(1-w),"")</f>
        <v/>
      </c>
      <c r="D20" s="13">
        <v>67</v>
      </c>
      <c r="E20" s="13">
        <v>67.472306143001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IFERROR(32.3*(1-w),"")</f>
        <v/>
      </c>
      <c r="D21" s="13">
        <v>32.3</v>
      </c>
      <c r="E21" s="13">
        <v>32.527693856998994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IFERROR(56.4*(1-w),"")</f>
        <v/>
      </c>
      <c r="D23" s="13">
        <v>56.4</v>
      </c>
      <c r="E23" s="13">
        <v>56.797583081571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IFERROR(5.5*(1-w),"")</f>
        <v/>
      </c>
      <c r="D24" s="13">
        <v>5.5</v>
      </c>
      <c r="E24" s="13">
        <v>5.53877139979859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IFERROR(37.4*(1-w),"")</f>
        <v/>
      </c>
      <c r="D25" s="13">
        <v>37.4</v>
      </c>
      <c r="E25" s="13">
        <v>37.66364551863041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IFERROR(100*(1-w)+w*100,"")</f>
        <v/>
      </c>
      <c r="D26" s="13">
        <v>100</v>
      </c>
      <c r="E26" s="13">
        <v>100</v>
      </c>
      <c r="F26" s="13"/>
      <c r="G26" s="13"/>
      <c r="I26" s="5"/>
      <c r="J26" s="0" t="s">
        <v>36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IFERROR(20.56981*(1-w)-w*2.443,"")</f>
        <v/>
      </c>
      <c r="D28" s="13">
        <v>20.56981</v>
      </c>
      <c r="E28" s="13">
        <v>20.714813695871097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IFERROR(21.77*(1-w),"")</f>
        <v/>
      </c>
      <c r="D29" s="13">
        <v>21.77</v>
      </c>
      <c r="E29" s="13">
        <v>21.923464249748239</v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IFERROR(22.00476497*(1-w),"")</f>
        <v/>
      </c>
      <c r="D30" s="13">
        <v>22.00476497</v>
      </c>
      <c r="E30" s="13">
        <v>22.159884159113798</v>
      </c>
      <c r="F30" s="13"/>
      <c r="G30" s="13"/>
      <c r="I30" s="5"/>
      <c r="J30" s="0" t="s">
        <v>36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https://phyllis.nl/Biomass/View/1942</dc:description>
  <dcterms:created xsi:type="dcterms:W3CDTF">2026-03-19T04:17:53Z</dcterms:created>
  <dc:title>Phyllis2 #1942 bark, long leaf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