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43 bark, slash pine" sheetId="1" r:id="rId1"/>
  </sheets>
  <definedNames>
    <definedName name="w" localSheetId="0">IF(ISBLANK('Phyllis2 #1943 bark, slash pine'!$C$18),#N/A,'Phyllis2 #1943 bark, slash pine'!$C$18/100)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<sst xmlns="http://schemas.openxmlformats.org/spreadsheetml/2006/main" count="48" uniqueCount="48">
  <si>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</si>
  <si>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https://phyllis.nl/Biomass/View/1943</t>
  </si>
  <si>
    <t>bark, slash pine (#1943)</t>
  </si>
  <si>
    <t>ID-number</t>
  </si>
  <si>
    <t>#1943</t>
  </si>
  <si>
    <t>Material</t>
  </si>
  <si>
    <t>bark, slash pine</t>
  </si>
  <si>
    <t>Classification</t>
  </si>
  <si>
    <t>ECN Phyllis classification &gt; untreated wood &gt; bark</t>
  </si>
  <si>
    <t>NTA 8003 classification &gt; [100] hout &gt; [110] vers hout &gt; [112] schors</t>
  </si>
  <si>
    <t>Submitter organisation</t>
  </si>
  <si>
    <t>ECN (Netherlands)</t>
  </si>
  <si>
    <t>Submission date</t>
  </si>
  <si>
    <t>Literature</t>
  </si>
  <si>
    <t>S. Gaur and T.B. Reed; An Atlas of Thermal Data For Biomass and Other Fuels. NREL/TP-433-7965, June 1995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</si>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</sst>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4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36942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IFERROR(0.7*(1-w),"")</f>
        <v/>
      </c>
      <c r="D19" s="13">
        <v>0.7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IFERROR(56.9*(1-w),"")</f>
        <v/>
      </c>
      <c r="D20" s="13">
        <v>56.9</v>
      </c>
      <c r="E20" s="13">
        <v>57.301107754279961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IFERROR(42.4*(1-w),"")</f>
        <v/>
      </c>
      <c r="D21" s="13">
        <v>42.4</v>
      </c>
      <c r="E21" s="13">
        <v>42.698892245720039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IFERROR(56.2*(1-w),"")</f>
        <v/>
      </c>
      <c r="D23" s="13">
        <v>56.2</v>
      </c>
      <c r="E23" s="13">
        <v>56.596173212487415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IFERROR(5.4*(1-w),"")</f>
        <v/>
      </c>
      <c r="D24" s="13">
        <v>5.4</v>
      </c>
      <c r="E24" s="13">
        <v>5.4380664652567976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IFERROR(37.3*(1-w),"")</f>
        <v/>
      </c>
      <c r="D25" s="13">
        <v>37.3</v>
      </c>
      <c r="E25" s="13">
        <v>37.562940584088615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IFERROR(99.6*(1-w)+w*100,"")</f>
        <v/>
      </c>
      <c r="D26" s="13">
        <v>99.600000000000009</v>
      </c>
      <c r="E26" s="13">
        <v>99.597180261832833</v>
      </c>
      <c r="F26" s="13"/>
      <c r="G26" s="13"/>
      <c r="I26" s="5"/>
      <c r="J26" s="0" t="s">
        <v>36</v>
      </c>
    </row>
    <row r="27" outlineLevel="1">
      <c r="A27" s="11" t="s">
        <v>43</v>
      </c>
      <c r="I27" s="5"/>
    </row>
    <row r="28" outlineLevel="2">
      <c r="A28" s="12" t="s">
        <v>44</v>
      </c>
      <c r="B28" s="0" t="s">
        <v>45</v>
      </c>
      <c r="C28" s="13">
        <f>IFERROR(20.59163*(1-w)-w*2.443,"")</f>
        <v/>
      </c>
      <c r="D28" s="13">
        <v>20.59163</v>
      </c>
      <c r="E28" s="13">
        <v>20.736787512588116</v>
      </c>
      <c r="F28" s="13"/>
      <c r="G28" s="13"/>
      <c r="I28" s="5"/>
    </row>
    <row r="29" outlineLevel="2">
      <c r="A29" s="12" t="s">
        <v>46</v>
      </c>
      <c r="B29" s="0" t="s">
        <v>45</v>
      </c>
      <c r="C29" s="13">
        <f>IFERROR(21.77*(1-w),"")</f>
        <v/>
      </c>
      <c r="D29" s="13">
        <v>21.77</v>
      </c>
      <c r="E29" s="13">
        <v>21.923464249748239</v>
      </c>
      <c r="F29" s="13"/>
      <c r="G29" s="13"/>
      <c r="I29" s="5"/>
    </row>
    <row r="30" outlineLevel="2">
      <c r="A30" s="12" t="s">
        <v>47</v>
      </c>
      <c r="B30" s="0" t="s">
        <v>45</v>
      </c>
      <c r="C30" s="13">
        <f>IFERROR(21.81636497*(1-w),"")</f>
        <v/>
      </c>
      <c r="D30" s="13">
        <v>21.816364970000002</v>
      </c>
      <c r="E30" s="13">
        <v>21.970156062437063</v>
      </c>
      <c r="F30" s="13"/>
      <c r="G30" s="13"/>
      <c r="I30" s="5"/>
      <c r="J30" s="0" t="s">
        <v>36</v>
      </c>
    </row>
    <row r="31">
      <c r="I31" s="5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https://phyllis.nl/Biomass/View/1943</dc:description>
  <dcterms:created xsi:type="dcterms:W3CDTF">2026-03-19T04:18:32Z</dcterms:created>
  <dc:title>Phyllis2 #1943 bark, slash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