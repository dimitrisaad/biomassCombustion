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45 bark, spruce" sheetId="1" r:id="rId1"/>
  </sheets>
  <definedNames>
    <definedName name="w" localSheetId="0">IF(ISBLANK('Phyllis2 #1945 bark, spruce'!$C$18),#N/A,'Phyllis2 #1945 bark,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<sst xmlns="http://schemas.openxmlformats.org/spreadsheetml/2006/main" count="48" uniqueCount="48">
  <si>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</si>
  <si>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https://phyllis.nl/Biomass/View/1945</t>
  </si>
  <si>
    <t>bark, spruce (#1945)</t>
  </si>
  <si>
    <t>ID-number</t>
  </si>
  <si>
    <t>#1945</t>
  </si>
  <si>
    <t>Material</t>
  </si>
  <si>
    <t>bark, spruce</t>
  </si>
  <si>
    <t>Classification</t>
  </si>
  <si>
    <t>ECN Phyllis classification &gt; untreated wood &gt; bark &gt; bark, spruce</t>
  </si>
  <si>
    <t>NTA 8003 classification &gt; [100] hout &gt; [110] vers hout &gt; [112] schors</t>
  </si>
  <si>
    <t>Submitter organisation</t>
  </si>
  <si>
    <t>ECN (Netherlands)</t>
  </si>
  <si>
    <t>Submission date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</si>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</sst>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36942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IFERROR(3.8*(1-w),"")</f>
        <v/>
      </c>
      <c r="D19" s="13">
        <v>3.8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IFERROR(69.6*(1-w),"")</f>
        <v/>
      </c>
      <c r="D20" s="13">
        <v>69.6</v>
      </c>
      <c r="E20" s="13">
        <v>72.34927234927234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IFERROR(26.6*(1-w),"")</f>
        <v/>
      </c>
      <c r="D21" s="13">
        <v>26.600000000000009</v>
      </c>
      <c r="E21" s="13">
        <v>27.65072765072766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IFERROR(51.8*(1-w),"")</f>
        <v/>
      </c>
      <c r="D23" s="13">
        <v>51.8</v>
      </c>
      <c r="E23" s="13">
        <v>53.846153846153847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IFERROR(5.7*(1-w),"")</f>
        <v/>
      </c>
      <c r="D24" s="13">
        <v>5.7</v>
      </c>
      <c r="E24" s="13">
        <v>5.9251559251559254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IFERROR(38.6*(1-w),"")</f>
        <v/>
      </c>
      <c r="D25" s="13">
        <v>38.6</v>
      </c>
      <c r="E25" s="13">
        <v>40.124740124740129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IFERROR(99.9*(1-w)+w*100,"")</f>
        <v/>
      </c>
      <c r="D26" s="13">
        <v>99.899999999999991</v>
      </c>
      <c r="E26" s="13">
        <v>99.896049896049888</v>
      </c>
      <c r="F26" s="13"/>
      <c r="G26" s="13"/>
      <c r="I26" s="5"/>
      <c r="J26" s="0" t="s">
        <v>36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IFERROR(19.08616*(1-w)-w*2.443,"")</f>
        <v/>
      </c>
      <c r="D28" s="13">
        <v>19.08616</v>
      </c>
      <c r="E28" s="13">
        <v>19.840083160083161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IFERROR(20.33*(1-w),"")</f>
        <v/>
      </c>
      <c r="D29" s="13">
        <v>20.33</v>
      </c>
      <c r="E29" s="13">
        <v>21.133056133056133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IFERROR(20.51126932*(1-w),"")</f>
        <v/>
      </c>
      <c r="D30" s="13">
        <v>20.51126932</v>
      </c>
      <c r="E30" s="13">
        <v>21.321485779625782</v>
      </c>
      <c r="F30" s="13"/>
      <c r="G30" s="13"/>
      <c r="I30" s="5"/>
      <c r="J30" s="0" t="s">
        <v>36</v>
      </c>
    </row>
    <row r="31">
      <c r="I31" s="5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https://phyllis.nl/Biomass/View/1945</dc:description>
  <dcterms:created xsi:type="dcterms:W3CDTF">2026-03-19T04:16:07Z</dcterms:created>
  <dc:title>Phyllis2 #1945 bark,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