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49 rice husk" sheetId="1" r:id="rId1"/>
  </sheets>
  <definedNames>
    <definedName name="w" localSheetId="0">IF(ISBLANK('Phyllis2 #1949 rice husk'!$C$18),#N/A,'Phyllis2 #1949 rice husk'!$C$18/100)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<sst xmlns="http://schemas.openxmlformats.org/spreadsheetml/2006/main" count="50" uniqueCount="50">
  <si>
    <t>Phyllis2</t>
  </si>
  <si>
    <t>https://phyllis.nl/Biomass/View/1949</t>
  </si>
  <si>
    <t>rice husk (#1949)</t>
  </si>
  <si>
    <t>ID-number</t>
  </si>
  <si>
    <t>#1949</t>
  </si>
  <si>
    <t>Material</t>
  </si>
  <si>
    <t>rice husk</t>
  </si>
  <si>
    <t>Classification</t>
  </si>
  <si>
    <t>ECN Phyllis classification &gt; husk/shell/pit &gt; rice &gt; rice husk</t>
  </si>
  <si>
    <t>NTA 8003 classification &gt; [500] biomassa uit de industrie &gt; [520] schillen/vliezen/pitten &gt; [523] rijstvliezen</t>
  </si>
  <si>
    <t>Submitter organisation</t>
  </si>
  <si>
    <t>ECN (Netherlands)</t>
  </si>
  <si>
    <t>Submission date</t>
  </si>
  <si>
    <t>Literature</t>
  </si>
  <si>
    <t>S. Gaur and T.B. Reed; An Atlas of Thermal Data For Biomass and Other Fuels. NREL/TP-433-7965, June 1995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</si>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</sst>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4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36943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IFERROR(15.8*(1-w),"")</f>
        <v/>
      </c>
      <c r="D19" s="13">
        <v>15.8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IFERROR(69.3*(1-w),"")</f>
        <v/>
      </c>
      <c r="D20" s="13">
        <v>69.3</v>
      </c>
      <c r="E20" s="13">
        <v>82.3040380047506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IFERROR(14.9*(1-w),"")</f>
        <v/>
      </c>
      <c r="D21" s="13">
        <v>14.900000000000006</v>
      </c>
      <c r="E21" s="13">
        <v>17.695961995249412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IFERROR(38.92*(1-w),"")</f>
        <v/>
      </c>
      <c r="D23" s="13">
        <v>38.92</v>
      </c>
      <c r="E23" s="13">
        <v>46.223277909738719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IFERROR(5.1*(1-w),"")</f>
        <v/>
      </c>
      <c r="D24" s="13">
        <v>5.1</v>
      </c>
      <c r="E24" s="13">
        <v>6.0570071258907365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IFERROR(37.89*(1-w),"")</f>
        <v/>
      </c>
      <c r="D25" s="13">
        <v>37.89</v>
      </c>
      <c r="E25" s="13">
        <v>45</v>
      </c>
      <c r="F25" s="13"/>
      <c r="G25" s="13"/>
      <c r="I25" s="5"/>
      <c r="J25" s="0" t="s">
        <v>36</v>
      </c>
    </row>
    <row r="26" outlineLevel="2">
      <c r="A26" s="12" t="s">
        <v>42</v>
      </c>
      <c r="B26" s="0" t="s">
        <v>33</v>
      </c>
      <c r="C26" s="13">
        <f>IFERROR(2.17*(1-w),"")</f>
        <v/>
      </c>
      <c r="D26" s="13">
        <v>2.17</v>
      </c>
      <c r="E26" s="13">
        <v>2.5771971496437054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IFERROR(0.12*(1-w),"")</f>
        <v/>
      </c>
      <c r="D27" s="13">
        <v>0.12</v>
      </c>
      <c r="E27" s="13">
        <v>0.14251781472684086</v>
      </c>
      <c r="F27" s="13"/>
      <c r="G27" s="13"/>
      <c r="I27" s="5"/>
      <c r="J27" s="0" t="s">
        <v>39</v>
      </c>
    </row>
    <row r="28" outlineLevel="2">
      <c r="A28" s="12" t="s">
        <v>44</v>
      </c>
      <c r="B28" s="0" t="s">
        <v>33</v>
      </c>
      <c r="C28" s="13">
        <f>IFERROR(100*(1-w)+w*100,"")</f>
        <v/>
      </c>
      <c r="D28" s="13">
        <v>100</v>
      </c>
      <c r="E28" s="13">
        <v>100</v>
      </c>
      <c r="F28" s="13"/>
      <c r="G28" s="13"/>
      <c r="I28" s="5"/>
      <c r="J28" s="0" t="s">
        <v>36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3">
        <f>IFERROR(14.55709*(1-w)-w*2.443,"")</f>
        <v/>
      </c>
      <c r="D30" s="13">
        <v>14.55709</v>
      </c>
      <c r="E30" s="13">
        <v>17.2887054631829</v>
      </c>
      <c r="F30" s="13"/>
      <c r="G30" s="13"/>
      <c r="I30" s="5"/>
    </row>
    <row r="31" outlineLevel="2">
      <c r="A31" s="12" t="s">
        <v>48</v>
      </c>
      <c r="B31" s="0" t="s">
        <v>47</v>
      </c>
      <c r="C31" s="13">
        <f>IFERROR(15.67*(1-w),"")</f>
        <v/>
      </c>
      <c r="D31" s="13">
        <v>15.67</v>
      </c>
      <c r="E31" s="13">
        <v>18.610451306413303</v>
      </c>
      <c r="F31" s="13"/>
      <c r="G31" s="13"/>
      <c r="I31" s="5"/>
    </row>
    <row r="32" outlineLevel="2">
      <c r="A32" s="12" t="s">
        <v>49</v>
      </c>
      <c r="B32" s="0" t="s">
        <v>47</v>
      </c>
      <c r="C32" s="13">
        <f>IFERROR(15.01140692*(1-w),"")</f>
        <v/>
      </c>
      <c r="D32" s="13">
        <v>15.011406920000002</v>
      </c>
      <c r="E32" s="13">
        <v>17.828274251781476</v>
      </c>
      <c r="F32" s="13"/>
      <c r="G32" s="13"/>
      <c r="I32" s="5"/>
      <c r="J32" s="0" t="s">
        <v>36</v>
      </c>
    </row>
    <row r="33">
      <c r="I33" s="5"/>
    </row>
    <row r="3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https://phyllis.nl/Biomass/View/1949</dc:description>
  <dcterms:created xsi:type="dcterms:W3CDTF">2026-03-17T05:47:39Z</dcterms:created>
  <dc:title>Phyllis2 #1949 rice husk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