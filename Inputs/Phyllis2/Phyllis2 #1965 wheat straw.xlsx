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65 wheat straw" sheetId="1" r:id="rId1"/>
  </sheets>
  <definedNames>
    <definedName name="w" localSheetId="0">IF(ISBLANK('Phyllis2 #1965 wheat straw'!$C$19),#N/A,'Phyllis2 #1965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<sst xmlns="http://schemas.openxmlformats.org/spreadsheetml/2006/main" count="64" uniqueCount="64">
  <si>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</si>
  <si>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https://phyllis.nl/Biomass/View/1965</t>
  </si>
  <si>
    <t>wheat straw (#1965)</t>
  </si>
  <si>
    <t>ID-number</t>
  </si>
  <si>
    <t>#1965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</si>
  <si>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</si>
  <si>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</si>
  <si>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</si>
  <si>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</si>
  <si>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</si>
  <si>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</si>
  <si>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</si>
  <si>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</si>
  <si>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</si>
  <si>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 xml:space="preserve">Cl calculated from ash (assuming Cl in biomass/Cl in ash = 3, like for ID 1764); ash sintering starts at 750°C, at 900°C  hard fused material</t>
  </si>
  <si>
    <t>Literature</t>
  </si>
  <si>
    <t>Koukios,E.G.; Arvelakis,S.; Georgali,B.: Physico-chemical upgrading of agroresidues as solid biofuels; Proc. 4th biomass conference of the Americas, p.299-304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</si>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</sst>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6.5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IFERROR(7.5*(1-w),"")</f>
        <v>7.0125</v>
      </c>
      <c r="D20" s="13">
        <v>7.5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IFERROR(76*(1-w),"")</f>
        <v>71.06</v>
      </c>
      <c r="D21" s="13">
        <v>76</v>
      </c>
      <c r="E21" s="13">
        <v>82.162162162162161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IFERROR(16.5*(1-w),"")</f>
        <v>15.4275</v>
      </c>
      <c r="D22" s="13">
        <v>16.5</v>
      </c>
      <c r="E22" s="13">
        <v>17.837837837837839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IFERROR(43.7*(1-w),"")</f>
        <v>40.859500000000004</v>
      </c>
      <c r="D24" s="13">
        <v>43.7</v>
      </c>
      <c r="E24" s="13">
        <v>47.243243243243242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IFERROR(5.08*(1-w),"")</f>
        <v>4.7498000000000005</v>
      </c>
      <c r="D25" s="13">
        <v>5.08</v>
      </c>
      <c r="E25" s="13">
        <v>5.4918918918918918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IFERROR(42.1*(1-w),"")</f>
        <v>39.3635</v>
      </c>
      <c r="D26" s="13">
        <v>42.1</v>
      </c>
      <c r="E26" s="13">
        <v>45.513513513513516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IFERROR(0.79*(1-w),"")</f>
        <v>0.73865</v>
      </c>
      <c r="D27" s="13">
        <v>0.79</v>
      </c>
      <c r="E27" s="13">
        <v>0.8540540540540541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IFERROR(0.43*(1-w),"")</f>
        <v>0.40205</v>
      </c>
      <c r="D28" s="13">
        <v>0.43</v>
      </c>
      <c r="E28" s="13">
        <v>0.46486486486486484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IFERROR(100.2*(1-w)+w*100,"")</f>
        <v>100.18700000000001</v>
      </c>
      <c r="D29" s="13">
        <v>100.2</v>
      </c>
      <c r="E29" s="13">
        <v>100.21621621621621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IFERROR(6000*(1-w),"")</f>
        <v>5610</v>
      </c>
      <c r="D31" s="14">
        <v>6000</v>
      </c>
      <c r="E31" s="14">
        <v>6486.4864864864858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IFERROR(17.80346*(1-w)-w*2.443,"")</f>
        <v>16.4874401</v>
      </c>
      <c r="D33" s="13">
        <v>17.80346</v>
      </c>
      <c r="E33" s="13">
        <v>19.246983783783783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IFERROR(18.912*(1-w),"")</f>
        <v>17.68272</v>
      </c>
      <c r="D34" s="13">
        <v>18.912</v>
      </c>
      <c r="E34" s="13">
        <v>20.445405405405403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IFERROR(16.39401425*(1-w),"")</f>
        <v>15.328403323750003</v>
      </c>
      <c r="D35" s="13">
        <v>16.39401425</v>
      </c>
      <c r="E35" s="13">
        <v>17.723258648648649</v>
      </c>
      <c r="F35" s="13"/>
      <c r="G35" s="13"/>
      <c r="I35" s="5"/>
      <c r="J35" s="0" t="s">
        <v>36</v>
      </c>
    </row>
    <row r="36">
      <c r="A36" s="7" t="s">
        <v>53</v>
      </c>
      <c r="I36" s="5"/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3">
        <v>5.27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56</v>
      </c>
      <c r="C39" s="13">
        <v>2.73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56</v>
      </c>
      <c r="C40" s="13">
        <v>39.2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56</v>
      </c>
      <c r="C41" s="13">
        <v>3.85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56</v>
      </c>
      <c r="C42" s="13">
        <v>14.4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56</v>
      </c>
      <c r="C43" s="13">
        <v>4.3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56</v>
      </c>
      <c r="C44" s="13">
        <v>4.3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56</v>
      </c>
      <c r="C45" s="13">
        <v>14.06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6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https://phyllis.nl/Biomass/View/1965</dc:description>
  <dcterms:created xsi:type="dcterms:W3CDTF">2026-03-17T06:16:13Z</dcterms:created>
  <dc:title>Phyllis2 #1965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