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66 wheat straw, fra" sheetId="1" r:id="rId1"/>
  </sheets>
  <definedNames>
    <definedName name="w" localSheetId="0">IF(ISBLANK('Phyllis2 #1966 wheat straw, fra'!$C$19),#N/A,'Phyllis2 #1966 wheat straw, fra'!$C$19/100)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<sst xmlns="http://schemas.openxmlformats.org/spreadsheetml/2006/main" count="64" uniqueCount="64">
  <si>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</si>
  <si>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https://phyllis.nl/Biomass/View/1966</t>
  </si>
  <si>
    <t>wheat straw, fraction &gt; 1mm (#1966)</t>
  </si>
  <si>
    <t>ID-number</t>
  </si>
  <si>
    <t>#1966</t>
  </si>
  <si>
    <t>Material</t>
  </si>
  <si>
    <t>wheat straw, fraction &gt; 1mm</t>
  </si>
  <si>
    <t>Classification</t>
  </si>
  <si>
    <t>ECN Phyllis classification &gt; straw (stalk/cob/ear) &gt; wheat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</si>
  <si>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</si>
  <si>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</si>
  <si>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</si>
  <si>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</si>
  <si>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Remarks</t>
  </si>
  <si>
    <t>Cl calculated from ash (assuming CL in biomass/Cl in ash = 3, like for ID 1764); ash sintering starts at 750°C, at 800°C hard fused material</t>
  </si>
  <si>
    <t>Literature</t>
  </si>
  <si>
    <t>Koukios,E.G.; Arvelakis,S.; Georgali,B.: Physico-chemical upgrading of agroresidues as solid biofuels; Proc. 4th biomass conference of the Americas, p.299-304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</si>
  <si>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</si>
  <si>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</si>
  <si>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</si>
  <si>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</si>
  <si>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</si>
  <si>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</si>
  <si>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</si>
  <si>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</si>
  <si>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</si>
  <si>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</si>
  <si>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</si>
  <si>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</si>
  <si>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</si>
  <si>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</si>
  <si>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</si>
  <si>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</si>
  <si>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</si>
  <si>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</si>
  <si>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</si>
  <si>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</si>
  <si>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</si>
  <si>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</si>
  <si>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</si>
  <si>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</si>
  <si>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</si>
  <si>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</si>
  <si>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</si>
  <si>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</si>
  <si>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</si>
  <si>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</si>
  <si>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</si>
  <si>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</si>
  <si>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</si>
  <si>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</si>
  <si>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</si>
  <si>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</si>
  <si>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</si>
  <si>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</si>
  <si>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</si>
  <si>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</si>
  <si>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Cl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</si>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</sst>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6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7.5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IFERROR(5.04*(1-w),"")</f>
        <v>4.662</v>
      </c>
      <c r="D20" s="13">
        <v>5.04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IFERROR(77.23*(1-w),"")</f>
        <v>71.437750000000008</v>
      </c>
      <c r="D21" s="13">
        <v>77.23</v>
      </c>
      <c r="E21" s="13">
        <v>81.328980623420392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IFERROR(17.73*(1-w),"")</f>
        <v>16.400249999999993</v>
      </c>
      <c r="D22" s="13">
        <v>17.72999999999999</v>
      </c>
      <c r="E22" s="13">
        <v>18.6710193765796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IFERROR(47.8*(1-w),"")</f>
        <v>44.214999999999996</v>
      </c>
      <c r="D24" s="13">
        <v>47.8</v>
      </c>
      <c r="E24" s="13">
        <v>50.336983993260318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IFERROR(6.023*(1-w),"")</f>
        <v>5.571275</v>
      </c>
      <c r="D25" s="13">
        <v>6.023</v>
      </c>
      <c r="E25" s="13">
        <v>6.3426705981465874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IFERROR(39.95*(1-w),"")</f>
        <v>36.953750000000007</v>
      </c>
      <c r="D26" s="13">
        <v>39.95</v>
      </c>
      <c r="E26" s="13">
        <v>42.070345408593091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IFERROR(0.63*(1-w),"")</f>
        <v>0.58275</v>
      </c>
      <c r="D27" s="13">
        <v>0.63</v>
      </c>
      <c r="E27" s="13">
        <v>0.66343723673125532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IFERROR(0.25*(1-w),"")</f>
        <v>0.23125</v>
      </c>
      <c r="D28" s="13">
        <v>0.25</v>
      </c>
      <c r="E28" s="13">
        <v>0.26326874473462508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IFERROR(100.143*(1-w)+w*100,"")</f>
        <v>100.132275</v>
      </c>
      <c r="D29" s="13">
        <v>100.143</v>
      </c>
      <c r="E29" s="13">
        <v>100.1505897219882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IFERROR(4500*(1-w),"")</f>
        <v>4162.5</v>
      </c>
      <c r="D31" s="14">
        <v>4500</v>
      </c>
      <c r="E31" s="14">
        <v>4738.8374052232521</v>
      </c>
      <c r="F31" s="14"/>
      <c r="G31" s="14"/>
      <c r="I31" s="5"/>
      <c r="J31" s="0" t="s">
        <v>36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IFERROR(18.34568*(1-w)-w*2.443,"")</f>
        <v>16.786529</v>
      </c>
      <c r="D33" s="13">
        <v>18.34568</v>
      </c>
      <c r="E33" s="13">
        <v>19.31937657961247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IFERROR(19.66*(1-w),"")</f>
        <v>18.1855</v>
      </c>
      <c r="D34" s="13">
        <v>19.66</v>
      </c>
      <c r="E34" s="13">
        <v>20.703454085930918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IFERROR(19.3365304448*(1-w),"")</f>
        <v>17.886290661440004</v>
      </c>
      <c r="D35" s="13">
        <v>19.336530444800005</v>
      </c>
      <c r="E35" s="13">
        <v>20.362816390901436</v>
      </c>
      <c r="F35" s="13"/>
      <c r="G35" s="13"/>
      <c r="I35" s="5"/>
      <c r="J35" s="0" t="s">
        <v>36</v>
      </c>
    </row>
    <row r="36">
      <c r="A36" s="7" t="s">
        <v>53</v>
      </c>
      <c r="I36" s="5"/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3">
        <v>5.9</v>
      </c>
      <c r="D38" s="13"/>
      <c r="E38" s="13"/>
      <c r="F38" s="13"/>
      <c r="G38" s="13"/>
      <c r="I38" s="5"/>
    </row>
    <row r="39" outlineLevel="2">
      <c r="A39" s="12" t="s">
        <v>57</v>
      </c>
      <c r="B39" s="0" t="s">
        <v>56</v>
      </c>
      <c r="C39" s="13">
        <v>2.98</v>
      </c>
      <c r="D39" s="13"/>
      <c r="E39" s="13"/>
      <c r="F39" s="13"/>
      <c r="G39" s="13"/>
      <c r="I39" s="5"/>
    </row>
    <row r="40" outlineLevel="2">
      <c r="A40" s="12" t="s">
        <v>58</v>
      </c>
      <c r="B40" s="0" t="s">
        <v>56</v>
      </c>
      <c r="C40" s="13">
        <v>38.5</v>
      </c>
      <c r="D40" s="13"/>
      <c r="E40" s="13"/>
      <c r="F40" s="13"/>
      <c r="G40" s="13"/>
      <c r="I40" s="5"/>
    </row>
    <row r="41" outlineLevel="2">
      <c r="A41" s="12" t="s">
        <v>59</v>
      </c>
      <c r="B41" s="0" t="s">
        <v>56</v>
      </c>
      <c r="C41" s="13">
        <v>1.73</v>
      </c>
      <c r="D41" s="13"/>
      <c r="E41" s="13"/>
      <c r="F41" s="13"/>
      <c r="G41" s="13"/>
      <c r="I41" s="5"/>
    </row>
    <row r="42" outlineLevel="2">
      <c r="A42" s="12" t="s">
        <v>60</v>
      </c>
      <c r="B42" s="0" t="s">
        <v>56</v>
      </c>
      <c r="C42" s="13">
        <v>4.43</v>
      </c>
      <c r="D42" s="13"/>
      <c r="E42" s="13"/>
      <c r="F42" s="13"/>
      <c r="G42" s="13"/>
      <c r="I42" s="5"/>
    </row>
    <row r="43" outlineLevel="2">
      <c r="A43" s="12" t="s">
        <v>61</v>
      </c>
      <c r="B43" s="0" t="s">
        <v>56</v>
      </c>
      <c r="C43" s="13">
        <v>0.92</v>
      </c>
      <c r="D43" s="13"/>
      <c r="E43" s="13"/>
      <c r="F43" s="13"/>
      <c r="G43" s="13"/>
      <c r="I43" s="5"/>
    </row>
    <row r="44" outlineLevel="2">
      <c r="A44" s="12" t="s">
        <v>62</v>
      </c>
      <c r="B44" s="0" t="s">
        <v>56</v>
      </c>
      <c r="C44" s="13">
        <v>3.3</v>
      </c>
      <c r="D44" s="13"/>
      <c r="E44" s="13"/>
      <c r="F44" s="13"/>
      <c r="G44" s="13"/>
      <c r="I44" s="5"/>
    </row>
    <row r="45" outlineLevel="2">
      <c r="A45" s="12" t="s">
        <v>63</v>
      </c>
      <c r="B45" s="0" t="s">
        <v>56</v>
      </c>
      <c r="C45" s="13">
        <v>13.12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9" errorStyle="stop" promptTitle="Enter moisture content" errorTitle="Invalid moisture content" prompt="Value should be between 0 and 100.&#10;Original value: 7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https://phyllis.nl/Biomass/View/1966</dc:description>
  <dcterms:created xsi:type="dcterms:W3CDTF">2026-03-17T06:18:37Z</dcterms:created>
  <dc:title>Phyllis2 #1966 wheat straw, fraction &gt; 1mm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