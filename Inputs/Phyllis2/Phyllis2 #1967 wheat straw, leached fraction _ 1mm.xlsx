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67 wheat straw, lea" sheetId="1" r:id="rId1"/>
  </sheets>
  <definedNames>
    <definedName name="w" localSheetId="0">IF(ISBLANK('Phyllis2 #1967 wheat straw, lea'!$C$19),#N/A,'Phyllis2 #1967 wheat straw, lea'!$C$19/100)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<sst xmlns="http://schemas.openxmlformats.org/spreadsheetml/2006/main" count="50" uniqueCount="50">
  <si>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</si>
  <si>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https://phyllis.nl/Biomass/View/1967</t>
  </si>
  <si>
    <t>wheat straw, leached fraction &gt; 1mm (#1967)</t>
  </si>
  <si>
    <t>ID-number</t>
  </si>
  <si>
    <t>#1967</t>
  </si>
  <si>
    <t>Material</t>
  </si>
  <si>
    <t>wheat straw, leached fraction &gt; 1mm</t>
  </si>
  <si>
    <t>Classification</t>
  </si>
  <si>
    <t>ECN Phyllis classification &gt; straw (stalk/cob/ear) &gt; wheat</t>
  </si>
  <si>
    <t>NTA 8003 classification &gt; [200] biomassa uit land- en tuinbouw &gt; [220] stro &gt; [223] tarwestro</t>
  </si>
  <si>
    <t>Submitter organisation</t>
  </si>
  <si>
    <t>ECN (Netherlands)</t>
  </si>
  <si>
    <t>Submission date</t>
  </si>
  <si>
    <t>Remarks</t>
  </si>
  <si>
    <t xml:space="preserve">ash sintering starts at 750°C,  to white sintered material at 900°C</t>
  </si>
  <si>
    <t>Literature</t>
  </si>
  <si>
    <t>Koukios,E.G.; Arvelakis,S.; Georgali,B.: Physico-chemical upgrading of agroresidues as solid biofuels; Proc. 4th biomass conference of the Americas, p.299-304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</si>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</sst>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6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36943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17.95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IFERROR(3.43*(1-w),"")</f>
        <v>2.814315</v>
      </c>
      <c r="D20" s="13">
        <v>3.43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IFERROR(80*(1-w),"")</f>
        <v>65.64</v>
      </c>
      <c r="D21" s="13">
        <v>80</v>
      </c>
      <c r="E21" s="13">
        <v>82.841462151806979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IFERROR(16.57*(1-w),"")</f>
        <v>13.595684999999994</v>
      </c>
      <c r="D22" s="13">
        <v>16.569999999999993</v>
      </c>
      <c r="E22" s="13">
        <v>17.158537848193014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IFERROR(48.7*(1-w),"")</f>
        <v>39.95835</v>
      </c>
      <c r="D24" s="13">
        <v>48.7</v>
      </c>
      <c r="E24" s="13">
        <v>50.4297400849125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IFERROR(4.42*(1-w),"")</f>
        <v>3.62661</v>
      </c>
      <c r="D25" s="13">
        <v>4.42</v>
      </c>
      <c r="E25" s="13">
        <v>4.5769907838873358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IFERROR(43.2*(1-w),"")</f>
        <v>35.445600000000006</v>
      </c>
      <c r="D26" s="13">
        <v>43.2</v>
      </c>
      <c r="E26" s="13">
        <v>44.734389561975775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IFERROR(0.29*(1-w),"")</f>
        <v>0.237945</v>
      </c>
      <c r="D27" s="13">
        <v>0.29</v>
      </c>
      <c r="E27" s="13">
        <v>0.3003003003003003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IFERROR(0*(1-w),"")</f>
        <v>0</v>
      </c>
      <c r="D28" s="13">
        <v>0</v>
      </c>
      <c r="E28" s="13">
        <v>0</v>
      </c>
      <c r="F28" s="13"/>
      <c r="G28" s="13"/>
      <c r="I28" s="5"/>
      <c r="J28" s="0" t="s">
        <v>39</v>
      </c>
    </row>
    <row r="29" outlineLevel="2">
      <c r="A29" s="12" t="s">
        <v>44</v>
      </c>
      <c r="B29" s="0" t="s">
        <v>32</v>
      </c>
      <c r="C29" s="13">
        <f>IFERROR(100.04*(1-w)+w*100,"")</f>
        <v>100.03282000000002</v>
      </c>
      <c r="D29" s="13">
        <v>100.04000000000002</v>
      </c>
      <c r="E29" s="13">
        <v>100.04142073107592</v>
      </c>
      <c r="F29" s="13"/>
      <c r="G29" s="13"/>
      <c r="I29" s="5"/>
      <c r="J29" s="0" t="s">
        <v>36</v>
      </c>
    </row>
    <row r="30" outlineLevel="1">
      <c r="A30" s="11" t="s">
        <v>45</v>
      </c>
      <c r="I30" s="5"/>
    </row>
    <row r="31" outlineLevel="2">
      <c r="A31" s="12" t="s">
        <v>46</v>
      </c>
      <c r="B31" s="0" t="s">
        <v>47</v>
      </c>
      <c r="C31" s="13">
        <f>IFERROR(19.32548*(1-w)-w*2.443,"")</f>
        <v>15.418037839999998</v>
      </c>
      <c r="D31" s="13">
        <v>19.32548</v>
      </c>
      <c r="E31" s="13">
        <v>20.011887749818783</v>
      </c>
      <c r="F31" s="13"/>
      <c r="G31" s="13"/>
      <c r="I31" s="5"/>
    </row>
    <row r="32" outlineLevel="2">
      <c r="A32" s="12" t="s">
        <v>48</v>
      </c>
      <c r="B32" s="0" t="s">
        <v>47</v>
      </c>
      <c r="C32" s="13">
        <f>IFERROR(20.29*(1-w),"")</f>
        <v>16.647945</v>
      </c>
      <c r="D32" s="13">
        <v>20.29</v>
      </c>
      <c r="E32" s="13">
        <v>21.010665838252045</v>
      </c>
      <c r="F32" s="13"/>
      <c r="G32" s="13"/>
      <c r="I32" s="5"/>
    </row>
    <row r="33" outlineLevel="2">
      <c r="A33" s="12" t="s">
        <v>49</v>
      </c>
      <c r="B33" s="0" t="s">
        <v>47</v>
      </c>
      <c r="C33" s="13">
        <f>IFERROR(17.1804610297*(1-w),"")</f>
        <v>14.096568274868849</v>
      </c>
      <c r="D33" s="13">
        <v>17.180461029699998</v>
      </c>
      <c r="E33" s="13">
        <v>17.790681401781089</v>
      </c>
      <c r="F33" s="13"/>
      <c r="G33" s="13"/>
      <c r="I33" s="5"/>
      <c r="J33" s="0" t="s">
        <v>36</v>
      </c>
    </row>
    <row r="34">
      <c r="I34" s="5"/>
    </row>
    <row r="35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17.9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https://phyllis.nl/Biomass/View/1967</dc:description>
  <dcterms:created xsi:type="dcterms:W3CDTF">2026-03-17T06:18:39Z</dcterms:created>
  <dc:title>Phyllis2 #1967 wheat straw, leached fraction &gt; 1mm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