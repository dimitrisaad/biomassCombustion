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68 olive residue, l" sheetId="1" r:id="rId1"/>
  </sheets>
  <definedNames>
    <definedName name="w" localSheetId="0">IF(ISBLANK('Phyllis2 #1968 olive residue, l'!$C$19),#N/A,'Phyllis2 #1968 olive residue, 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<sst xmlns="http://schemas.openxmlformats.org/spreadsheetml/2006/main" count="66" uniqueCount="66">
  <si>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</si>
  <si>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https://phyllis.nl/Biomass/View/1968</t>
  </si>
  <si>
    <t>olive residue, leached (#1968)</t>
  </si>
  <si>
    <t>ID-number</t>
  </si>
  <si>
    <t>#1968</t>
  </si>
  <si>
    <t>Material</t>
  </si>
  <si>
    <t>olive residue, leached</t>
  </si>
  <si>
    <t>Classification</t>
  </si>
  <si>
    <t>ECN Phyllis classification &gt; husk/shell/pit &gt; olive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</si>
  <si>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</si>
  <si>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</si>
  <si>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</si>
  <si>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</si>
  <si>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Remarks</t>
  </si>
  <si>
    <t>Ash composition from Arvelakis et al., Biomass and Bioenergy 22 (2002) 55-69.</t>
  </si>
  <si>
    <t>Literature</t>
  </si>
  <si>
    <t>Arvelakis,S.; Gehrmann,H.;Beckman,M.; Koukios,E.G.: Effect of leaching on the ash behaviour of olive residue during fluidised bed gasification. Proc. 5th Eur. Conf. on Industrial Furnaces&amp;Boilers 2000,vol.2,p.163-172.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</si>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</sst>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7.83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IFERROR(2.43*(1-w),"")</f>
        <v>2.239731</v>
      </c>
      <c r="D20" s="13">
        <v>2.43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IFERROR(78.3*(1-w),"")</f>
        <v>72.169109999999989</v>
      </c>
      <c r="D21" s="13">
        <v>78.3</v>
      </c>
      <c r="E21" s="13">
        <v>80.250076867889717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IFERROR(19.27*(1-w),"")</f>
        <v>17.761158999999996</v>
      </c>
      <c r="D22" s="13">
        <v>19.269999999999996</v>
      </c>
      <c r="E22" s="13">
        <v>19.749923132110276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IFERROR(54.05*(1-w),"")</f>
        <v>49.817885</v>
      </c>
      <c r="D24" s="13">
        <v>54.05</v>
      </c>
      <c r="E24" s="13">
        <v>55.3961258583581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IFERROR(5.8*(1-w),"")</f>
        <v>5.34586</v>
      </c>
      <c r="D25" s="13">
        <v>5.8</v>
      </c>
      <c r="E25" s="13">
        <v>5.9444501383622015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IFERROR(35.48*(1-w),"")</f>
        <v>32.701916</v>
      </c>
      <c r="D26" s="13">
        <v>35.48</v>
      </c>
      <c r="E26" s="13">
        <v>36.36363636363636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IFERROR(1.9*(1-w),"")</f>
        <v>1.7512299999999998</v>
      </c>
      <c r="D27" s="13">
        <v>1.9</v>
      </c>
      <c r="E27" s="13">
        <v>1.9473198729117556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IFERROR(0.3*(1-w),"")</f>
        <v>0.27651</v>
      </c>
      <c r="D28" s="13">
        <v>0.3</v>
      </c>
      <c r="E28" s="13">
        <v>0.30747155888080352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IFERROR(100*(1-w)+w*100,"")</f>
        <v>100</v>
      </c>
      <c r="D29" s="13">
        <v>100</v>
      </c>
      <c r="E29" s="13">
        <v>99.999999999999986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IFERROR(400*(1-w),"")</f>
        <v>368.68</v>
      </c>
      <c r="D31" s="14">
        <v>400</v>
      </c>
      <c r="E31" s="14">
        <v>409.96207850773806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IFERROR(19.52434*(1-w)-w*2.443,"")</f>
        <v>17.804297277999996</v>
      </c>
      <c r="D33" s="13">
        <v>19.52434</v>
      </c>
      <c r="E33" s="13">
        <v>20.010597519729423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IFERROR(20.79*(1-w),"")</f>
        <v>19.162142999999997</v>
      </c>
      <c r="D34" s="13">
        <v>20.79</v>
      </c>
      <c r="E34" s="13">
        <v>21.307779030439683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IFERROR(21.5973544497*(1-w),"")</f>
        <v>19.90628159628849</v>
      </c>
      <c r="D35" s="13">
        <v>21.597354449700003</v>
      </c>
      <c r="E35" s="13">
        <v>22.135240801168393</v>
      </c>
      <c r="F35" s="13"/>
      <c r="G35" s="13"/>
      <c r="I35" s="5"/>
      <c r="J35" s="0" t="s">
        <v>36</v>
      </c>
    </row>
    <row r="36">
      <c r="A36" s="7" t="s">
        <v>53</v>
      </c>
      <c r="I36" s="5"/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3">
        <v>3.29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56</v>
      </c>
      <c r="C39" s="13">
        <v>0.03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56</v>
      </c>
      <c r="C40" s="13">
        <v>43.57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56</v>
      </c>
      <c r="C41" s="13">
        <v>2.4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56</v>
      </c>
      <c r="C42" s="13">
        <v>0.62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56</v>
      </c>
      <c r="C43" s="13">
        <v>23.38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56</v>
      </c>
      <c r="C44" s="13">
        <v>1.12</v>
      </c>
      <c r="D44" s="13"/>
      <c r="E44" s="13"/>
      <c r="F44" s="13"/>
      <c r="G44" s="13"/>
      <c r="I44" s="5"/>
    </row>
    <row r="45" outlineLevel="2">
      <c r="A45" s="12" t="s">
        <v>63</v>
      </c>
      <c r="B45" s="0" t="s">
        <v>56</v>
      </c>
      <c r="C45" s="13">
        <v>0.05</v>
      </c>
      <c r="D45" s="13"/>
      <c r="E45" s="13"/>
      <c r="F45" s="13"/>
      <c r="G45" s="13"/>
      <c r="I45" s="5"/>
    </row>
    <row r="46" outlineLevel="2">
      <c r="A46" s="12" t="s">
        <v>64</v>
      </c>
      <c r="B46" s="0" t="s">
        <v>56</v>
      </c>
      <c r="C46" s="13">
        <v>4.9</v>
      </c>
      <c r="D46" s="13"/>
      <c r="E46" s="13"/>
      <c r="F46" s="13"/>
      <c r="G46" s="13"/>
      <c r="I46" s="5"/>
    </row>
    <row r="47" outlineLevel="2">
      <c r="A47" s="12" t="s">
        <v>65</v>
      </c>
      <c r="B47" s="0" t="s">
        <v>56</v>
      </c>
      <c r="C47" s="13">
        <v>0.14</v>
      </c>
      <c r="D47" s="13"/>
      <c r="E47" s="13"/>
      <c r="F47" s="13"/>
      <c r="G47" s="13"/>
      <c r="I47" s="5"/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7.8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https://phyllis.nl/Biomass/View/1968</dc:description>
  <dcterms:created xsi:type="dcterms:W3CDTF">2026-03-17T05:43:12Z</dcterms:created>
  <dc:title>Phyllis2 #1968 olive residue, leached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