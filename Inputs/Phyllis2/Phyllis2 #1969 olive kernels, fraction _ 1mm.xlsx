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69 olive kernels, f" sheetId="1" r:id="rId1"/>
  </sheets>
  <definedNames>
    <definedName name="w" localSheetId="0">IF(ISBLANK('Phyllis2 #1969 olive kernels, f'!$C$19),#N/A,'Phyllis2 #1969 olive kernels, f'!$C$19/100)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<sst xmlns="http://schemas.openxmlformats.org/spreadsheetml/2006/main" count="64" uniqueCount="64">
  <si>
    <t>Phyllis2</t>
  </si>
  <si>
    <t>https://phyllis.nl/Biomass/View/1969</t>
  </si>
  <si>
    <t>olive kernels, fraction &gt; 1mm (#1969)</t>
  </si>
  <si>
    <t>ID-number</t>
  </si>
  <si>
    <t>#1969</t>
  </si>
  <si>
    <t>Material</t>
  </si>
  <si>
    <t>olive kernels, fraction &gt; 1mm</t>
  </si>
  <si>
    <t>Classification</t>
  </si>
  <si>
    <t>ECN Phyllis classification &gt; husk/shell/pit &gt; olive</t>
  </si>
  <si>
    <t>NTA 8003 classification &gt; [500] biomassa uit de industrie &gt; [520] schillen/vliezen/pitten &gt; [524] olijven</t>
  </si>
  <si>
    <t>Submitter organisation</t>
  </si>
  <si>
    <t>ECN (Netherlands)</t>
  </si>
  <si>
    <t>Submission date</t>
  </si>
  <si>
    <t>Remarks</t>
  </si>
  <si>
    <t>Cl calculated from ash (assuming Cl in biomass/Cl in ash = 3, like ID 1764); ash sintering starts at 750°C, fully fused at 900°C</t>
  </si>
  <si>
    <t>Literature</t>
  </si>
  <si>
    <t>Koukios,E.G.; Arvelakis,S.; Georgali,B.: Physico-chemical upgrading of agroresidues as solid biofuels; Proc. 4th biomass conference of the Americas, p.299-304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</si>
  <si>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</si>
  <si>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</si>
  <si>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</si>
  <si>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</si>
  <si>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</si>
  <si>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</si>
  <si>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</si>
  <si>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</si>
  <si>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</si>
  <si>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</si>
  <si>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</si>
  <si>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</si>
  <si>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</si>
  <si>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</si>
  <si>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</si>
  <si>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</si>
  <si>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</si>
  <si>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</si>
  <si>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</si>
  <si>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</si>
  <si>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</si>
  <si>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</si>
  <si>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</si>
  <si>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</si>
  <si>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</si>
  <si>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</si>
  <si>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</si>
  <si>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</si>
  <si>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</si>
  <si>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</si>
  <si>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</si>
  <si>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</si>
  <si>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</si>
  <si>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</si>
  <si>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</si>
  <si>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</si>
  <si>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</si>
  <si>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</si>
  <si>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</si>
  <si>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</si>
  <si>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Cl</t>
  </si>
  <si>
    <t>SiO2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</si>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</sst>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6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36943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8.76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IFERROR(2.58*(1-w),"")</f>
        <v>2.353992</v>
      </c>
      <c r="D20" s="13">
        <v>2.58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IFERROR(77.9*(1-w),"")</f>
        <v>71.075960000000009</v>
      </c>
      <c r="D21" s="13">
        <v>77.9</v>
      </c>
      <c r="E21" s="13">
        <v>79.9630466023404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IFERROR(19.52*(1-w),"")</f>
        <v>17.810047999999995</v>
      </c>
      <c r="D22" s="13">
        <v>19.519999999999996</v>
      </c>
      <c r="E22" s="13">
        <v>20.036953397659616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IFERROR(51.31*(1-w),"")</f>
        <v>46.815244</v>
      </c>
      <c r="D24" s="13">
        <v>51.31</v>
      </c>
      <c r="E24" s="13">
        <v>52.668856497639091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IFERROR(5.82*(1-w),"")</f>
        <v>5.310168</v>
      </c>
      <c r="D25" s="13">
        <v>5.82</v>
      </c>
      <c r="E25" s="13">
        <v>5.974132621638268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IFERROR(38.95*(1-w),"")</f>
        <v>35.537980000000005</v>
      </c>
      <c r="D26" s="13">
        <v>38.95</v>
      </c>
      <c r="E26" s="13">
        <v>39.9815233011702</v>
      </c>
      <c r="F26" s="13"/>
      <c r="G26" s="13"/>
      <c r="I26" s="5"/>
      <c r="J26" s="0" t="s">
        <v>36</v>
      </c>
    </row>
    <row r="27" outlineLevel="2">
      <c r="A27" s="12" t="s">
        <v>42</v>
      </c>
      <c r="B27" s="0" t="s">
        <v>32</v>
      </c>
      <c r="C27" s="13">
        <f>IFERROR(1*(1-w),"")</f>
        <v>0.9124</v>
      </c>
      <c r="D27" s="13">
        <v>1</v>
      </c>
      <c r="E27" s="13">
        <v>1.0264832683227263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IFERROR(0.28*(1-w),"")</f>
        <v>0.25547200000000003</v>
      </c>
      <c r="D28" s="13">
        <v>0.28</v>
      </c>
      <c r="E28" s="13">
        <v>0.28741531513036339</v>
      </c>
      <c r="F28" s="13"/>
      <c r="G28" s="13"/>
      <c r="I28" s="5"/>
      <c r="J28" s="0" t="s">
        <v>39</v>
      </c>
    </row>
    <row r="29" outlineLevel="2">
      <c r="A29" s="12" t="s">
        <v>44</v>
      </c>
      <c r="B29" s="0" t="s">
        <v>32</v>
      </c>
      <c r="C29" s="13">
        <f>IFERROR(100.05*(1-w)+w*100,"")</f>
        <v>100.04562000000001</v>
      </c>
      <c r="D29" s="13">
        <v>100.05000000000001</v>
      </c>
      <c r="E29" s="13">
        <v>100.05132416341615</v>
      </c>
      <c r="F29" s="13"/>
      <c r="G29" s="13"/>
      <c r="I29" s="5"/>
      <c r="J29" s="0" t="s">
        <v>36</v>
      </c>
    </row>
    <row r="30" outlineLevel="1">
      <c r="A30" s="11" t="s">
        <v>45</v>
      </c>
      <c r="I30" s="5"/>
    </row>
    <row r="31" outlineLevel="2">
      <c r="A31" s="12" t="s">
        <v>46</v>
      </c>
      <c r="B31" s="0" t="s">
        <v>47</v>
      </c>
      <c r="C31" s="14">
        <f>IFERROR(1100*(1-w),"")</f>
        <v>1003.64</v>
      </c>
      <c r="D31" s="14">
        <v>1100</v>
      </c>
      <c r="E31" s="14">
        <v>1129.1315951549991</v>
      </c>
      <c r="F31" s="14"/>
      <c r="G31" s="14"/>
      <c r="I31" s="5"/>
      <c r="J31" s="0" t="s">
        <v>36</v>
      </c>
    </row>
    <row r="32" outlineLevel="1">
      <c r="A32" s="11" t="s">
        <v>48</v>
      </c>
      <c r="I32" s="5"/>
    </row>
    <row r="33" outlineLevel="2">
      <c r="A33" s="12" t="s">
        <v>49</v>
      </c>
      <c r="B33" s="0" t="s">
        <v>50</v>
      </c>
      <c r="C33" s="13">
        <f>IFERROR(18.56998*(1-w)-w*2.443,"")</f>
        <v>16.729242952</v>
      </c>
      <c r="D33" s="13">
        <v>18.56998</v>
      </c>
      <c r="E33" s="13">
        <v>19.061773763087665</v>
      </c>
      <c r="F33" s="13"/>
      <c r="G33" s="13"/>
      <c r="I33" s="5"/>
    </row>
    <row r="34" outlineLevel="2">
      <c r="A34" s="12" t="s">
        <v>51</v>
      </c>
      <c r="B34" s="0" t="s">
        <v>50</v>
      </c>
      <c r="C34" s="13">
        <f>IFERROR(19.84*(1-w),"")</f>
        <v>18.102016</v>
      </c>
      <c r="D34" s="13">
        <v>19.84</v>
      </c>
      <c r="E34" s="13">
        <v>20.36542804352289</v>
      </c>
      <c r="F34" s="13"/>
      <c r="G34" s="13"/>
      <c r="I34" s="5"/>
    </row>
    <row r="35" outlineLevel="2">
      <c r="A35" s="12" t="s">
        <v>52</v>
      </c>
      <c r="B35" s="0" t="s">
        <v>50</v>
      </c>
      <c r="C35" s="13">
        <f>IFERROR(20.3775024292*(1-w),"")</f>
        <v>18.592433216402082</v>
      </c>
      <c r="D35" s="13">
        <v>20.377502429200003</v>
      </c>
      <c r="E35" s="13">
        <v>20.917165293779515</v>
      </c>
      <c r="F35" s="13"/>
      <c r="G35" s="13"/>
      <c r="I35" s="5"/>
      <c r="J35" s="0" t="s">
        <v>36</v>
      </c>
    </row>
    <row r="36">
      <c r="A36" s="7" t="s">
        <v>53</v>
      </c>
      <c r="I36" s="5"/>
    </row>
    <row r="37" outlineLevel="1">
      <c r="A37" s="11" t="s">
        <v>54</v>
      </c>
      <c r="I37" s="5"/>
    </row>
    <row r="38" outlineLevel="2">
      <c r="A38" s="12" t="s">
        <v>55</v>
      </c>
      <c r="B38" s="0" t="s">
        <v>56</v>
      </c>
      <c r="C38" s="13">
        <v>0.68</v>
      </c>
      <c r="D38" s="13"/>
      <c r="E38" s="13"/>
      <c r="F38" s="13"/>
      <c r="G38" s="13"/>
      <c r="I38" s="5"/>
    </row>
    <row r="39" outlineLevel="2">
      <c r="A39" s="12" t="s">
        <v>57</v>
      </c>
      <c r="B39" s="0" t="s">
        <v>56</v>
      </c>
      <c r="C39" s="13">
        <v>1.42</v>
      </c>
      <c r="D39" s="13"/>
      <c r="E39" s="13"/>
      <c r="F39" s="13"/>
      <c r="G39" s="13"/>
      <c r="I39" s="5"/>
    </row>
    <row r="40" outlineLevel="2">
      <c r="A40" s="12" t="s">
        <v>58</v>
      </c>
      <c r="B40" s="0" t="s">
        <v>56</v>
      </c>
      <c r="C40" s="13">
        <v>18.86</v>
      </c>
      <c r="D40" s="13"/>
      <c r="E40" s="13"/>
      <c r="F40" s="13"/>
      <c r="G40" s="13"/>
      <c r="I40" s="5"/>
    </row>
    <row r="41" outlineLevel="2">
      <c r="A41" s="12" t="s">
        <v>59</v>
      </c>
      <c r="B41" s="0" t="s">
        <v>56</v>
      </c>
      <c r="C41" s="13">
        <v>2.52</v>
      </c>
      <c r="D41" s="13"/>
      <c r="E41" s="13"/>
      <c r="F41" s="13"/>
      <c r="G41" s="13"/>
      <c r="I41" s="5"/>
    </row>
    <row r="42" outlineLevel="2">
      <c r="A42" s="12" t="s">
        <v>60</v>
      </c>
      <c r="B42" s="0" t="s">
        <v>56</v>
      </c>
      <c r="C42" s="13">
        <v>9.79</v>
      </c>
      <c r="D42" s="13"/>
      <c r="E42" s="13"/>
      <c r="F42" s="13"/>
      <c r="G42" s="13"/>
      <c r="I42" s="5"/>
    </row>
    <row r="43" outlineLevel="2">
      <c r="A43" s="12" t="s">
        <v>61</v>
      </c>
      <c r="B43" s="0" t="s">
        <v>56</v>
      </c>
      <c r="C43" s="13">
        <v>3.32</v>
      </c>
      <c r="D43" s="13"/>
      <c r="E43" s="13"/>
      <c r="F43" s="13"/>
      <c r="G43" s="13"/>
      <c r="I43" s="5"/>
    </row>
    <row r="44" outlineLevel="2">
      <c r="A44" s="12" t="s">
        <v>62</v>
      </c>
      <c r="B44" s="0" t="s">
        <v>56</v>
      </c>
      <c r="C44" s="13">
        <v>3.94</v>
      </c>
      <c r="D44" s="13"/>
      <c r="E44" s="13"/>
      <c r="F44" s="13"/>
      <c r="G44" s="13"/>
      <c r="I44" s="5"/>
    </row>
    <row r="45" outlineLevel="2">
      <c r="A45" s="12" t="s">
        <v>63</v>
      </c>
      <c r="B45" s="0" t="s">
        <v>56</v>
      </c>
      <c r="C45" s="13">
        <v>41.82</v>
      </c>
      <c r="D45" s="13"/>
      <c r="E45" s="13"/>
      <c r="F45" s="13"/>
      <c r="G45" s="13"/>
      <c r="I45" s="5"/>
    </row>
    <row r="46">
      <c r="I46" s="5"/>
    </row>
    <row r="47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2:E42"/>
    <mergeCell ref="C43:E43"/>
    <mergeCell ref="C44:E44"/>
    <mergeCell ref="C45:E45"/>
  </mergeCells>
  <dataValidations count="1">
    <dataValidation type="decimal" sqref="C19" errorStyle="stop" promptTitle="Enter moisture content" errorTitle="Invalid moisture content" prompt="Value should be between 0 and 100.&#10;Original value: 8.7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https://phyllis.nl/Biomass/View/1969</dc:description>
  <dcterms:created xsi:type="dcterms:W3CDTF">2026-03-17T05:43:05Z</dcterms:created>
  <dc:title>Phyllis2 #1969 olive kernels, fraction &gt; 1mm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