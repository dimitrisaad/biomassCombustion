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0 olive kernels, f" sheetId="1" r:id="rId1"/>
  </sheets>
  <definedNames>
    <definedName name="w" localSheetId="0">IF(ISBLANK('Phyllis2 #1970 olive kernels, f'!$C$19),#N/A,'Phyllis2 #1970 olive kernels, f'!$C$19/100)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<sst xmlns="http://schemas.openxmlformats.org/spreadsheetml/2006/main" count="64" uniqueCount="64">
  <si>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</si>
  <si>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https://phyllis.nl/Biomass/View/1970</t>
  </si>
  <si>
    <t>olive kernels, fraction &gt; 1mm, leached (#1970)</t>
  </si>
  <si>
    <t>ID-number</t>
  </si>
  <si>
    <t>#1970</t>
  </si>
  <si>
    <t>Material</t>
  </si>
  <si>
    <t>olive kernels, fraction &gt; 1mm, leached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</si>
  <si>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</si>
  <si>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</si>
  <si>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</si>
  <si>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</si>
  <si>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</si>
  <si>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</si>
  <si>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</si>
  <si>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ash does not sinter between 750°C and 900°C</t>
  </si>
  <si>
    <t>Literature</t>
  </si>
  <si>
    <t>Koukios,E.G.; Arvelakis,S.; Georgali,B.: Physico-chemical upgrading of agroresidues as solid biofuels; Proc. 4th biomass conference of the Americas, p.299-304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</si>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</sst>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9.33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IFERROR(1.53*(1-w),"")</f>
        <v>1.387251</v>
      </c>
      <c r="D20" s="13">
        <v>1.53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IFERROR(80.84*(1-w),"")</f>
        <v>73.297628</v>
      </c>
      <c r="D21" s="13">
        <v>80.84</v>
      </c>
      <c r="E21" s="13">
        <v>82.096069868995642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IFERROR(17.63*(1-w),"")</f>
        <v>15.985120999999998</v>
      </c>
      <c r="D22" s="13">
        <v>17.629999999999995</v>
      </c>
      <c r="E22" s="13">
        <v>17.903930131004362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IFERROR(54.1*(1-w),"")</f>
        <v>49.052470000000007</v>
      </c>
      <c r="D24" s="13">
        <v>54.1</v>
      </c>
      <c r="E24" s="13">
        <v>54.940591042957244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IFERROR(5.98*(1-w),"")</f>
        <v>5.4220660000000009</v>
      </c>
      <c r="D25" s="13">
        <v>5.98</v>
      </c>
      <c r="E25" s="13">
        <v>6.0729156088148679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IFERROR(37.1*(1-w),"")</f>
        <v>33.63857</v>
      </c>
      <c r="D26" s="13">
        <v>37.1</v>
      </c>
      <c r="E26" s="13">
        <v>37.67644968010562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IFERROR(1.1*(1-w),"")</f>
        <v>0.9973700000000002</v>
      </c>
      <c r="D27" s="13">
        <v>1.1</v>
      </c>
      <c r="E27" s="13">
        <v>1.1170914999492232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IFERROR(0.22*(1-w),"")</f>
        <v>0.199474</v>
      </c>
      <c r="D28" s="13">
        <v>0.22</v>
      </c>
      <c r="E28" s="13">
        <v>0.22341829998984461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IFERROR(100.03*(1-w)+w*100,"")</f>
        <v>100.027201</v>
      </c>
      <c r="D29" s="13">
        <v>100.03</v>
      </c>
      <c r="E29" s="13">
        <v>100.03046613181679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IFERROR(0*(1-w),"")</f>
        <v>0</v>
      </c>
      <c r="D31" s="14">
        <v>0</v>
      </c>
      <c r="E31" s="14">
        <v>0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IFERROR(19.90506*(1-w)-w*2.443,"")</f>
        <v>17.819986002</v>
      </c>
      <c r="D33" s="13">
        <v>19.90506</v>
      </c>
      <c r="E33" s="13">
        <v>20.214339392708439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IFERROR(21.21*(1-w),"")</f>
        <v>19.231107</v>
      </c>
      <c r="D34" s="13">
        <v>21.21</v>
      </c>
      <c r="E34" s="13">
        <v>21.539555194475476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IFERROR(21.7617011577*(1-w),"")</f>
        <v>19.731334439686592</v>
      </c>
      <c r="D35" s="13">
        <v>21.7617011577</v>
      </c>
      <c r="E35" s="13">
        <v>22.099828534274398</v>
      </c>
      <c r="F35" s="13"/>
      <c r="G35" s="13"/>
      <c r="I35" s="5"/>
      <c r="J35" s="0" t="s">
        <v>36</v>
      </c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0.2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0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22.72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3.7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22.89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2.54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1.44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5.89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9.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https://phyllis.nl/Biomass/View/1970</dc:description>
  <dcterms:created xsi:type="dcterms:W3CDTF">2026-03-17T05:43:07Z</dcterms:created>
  <dc:title>Phyllis2 #1970 olive kernels, fraction &gt; 1mm, leached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