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72 switchgrass" sheetId="1" r:id="rId1"/>
  </sheets>
  <definedNames>
    <definedName name="w" localSheetId="0">IF(ISBLANK('Phyllis2 #1972 switchgrass'!$C$18),#N/A,'Phyllis2 #1972 switchgrass'!$C$18/100)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<sst xmlns="http://schemas.openxmlformats.org/spreadsheetml/2006/main" count="54" uniqueCount="54">
  <si>
    <t>Phyllis2</t>
  </si>
  <si>
    <t>https://phyllis.nl/Biomass/View/1972</t>
  </si>
  <si>
    <t>switchgrass (#1972)</t>
  </si>
  <si>
    <t>ID-number</t>
  </si>
  <si>
    <t>#1972</t>
  </si>
  <si>
    <t>Material</t>
  </si>
  <si>
    <t>switchgrass</t>
  </si>
  <si>
    <t>Classification</t>
  </si>
  <si>
    <t>ECN Phyllis classification &gt; grass/plant &gt; switch grass &gt; switchgrass</t>
  </si>
  <si>
    <t>NTA 8003 classification &gt; [200] biomassa uit land- en tuinbouw &gt; [210] gras &gt; [219] overig gras</t>
  </si>
  <si>
    <t>Submitter organisation</t>
  </si>
  <si>
    <t>ECN (Netherlands)</t>
  </si>
  <si>
    <t>Submission date</t>
  </si>
  <si>
    <t>Literature</t>
  </si>
  <si>
    <t>Smeenk,J.; Brown,R.C.; Eckels,D.: Determination of vapor phase alkali content during biomass gasification; Proc. 4th biomass conference of the Americas, p.961-967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</si>
  <si>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</si>
  <si>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</si>
  <si>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</si>
  <si>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</si>
  <si>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</si>
  <si>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</si>
  <si>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</si>
  <si>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</si>
  <si>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</si>
  <si>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</si>
  <si>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</si>
  <si>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</si>
  <si>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</si>
  <si>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</si>
  <si>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</si>
  <si>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</si>
  <si>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</si>
  <si>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</si>
  <si>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</si>
  <si>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</si>
  <si>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</si>
  <si>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</si>
  <si>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</si>
  <si>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</si>
  <si>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</si>
  <si>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</si>
  <si>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</si>
  <si>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</si>
  <si>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</si>
  <si>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</si>
  <si>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</si>
  <si>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</si>
  <si>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</si>
  <si>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HHVMilne</t>
  </si>
  <si>
    <t>MJ/kg</t>
  </si>
  <si>
    <t>Trace elements composition</t>
  </si>
  <si>
    <t>Potassium (K)</t>
  </si>
  <si>
    <t>mg/kg (dry)</t>
  </si>
  <si>
    <t>Sodium (Na)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</si>
</sst>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7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36943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>11.9</v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31</v>
      </c>
      <c r="C19" s="13">
        <f>IFERROR(4.4*(1-w),"")</f>
        <v>3.8764000000000003</v>
      </c>
      <c r="D19" s="13">
        <v>4.4</v>
      </c>
      <c r="E19" s="13">
        <v/>
      </c>
      <c r="F19" s="13"/>
      <c r="G19" s="13"/>
      <c r="I19" s="5"/>
    </row>
    <row r="20" outlineLevel="2">
      <c r="A20" s="12" t="s">
        <v>33</v>
      </c>
      <c r="B20" s="0" t="s">
        <v>31</v>
      </c>
      <c r="C20" s="13">
        <f>IFERROR(69.7*(1-w),"")</f>
        <v>61.4057</v>
      </c>
      <c r="D20" s="13">
        <v>69.7</v>
      </c>
      <c r="E20" s="13">
        <v>72.907949790794987</v>
      </c>
      <c r="F20" s="13"/>
      <c r="G20" s="13"/>
      <c r="I20" s="5"/>
    </row>
    <row r="21" outlineLevel="2">
      <c r="A21" s="12" t="s">
        <v>34</v>
      </c>
      <c r="B21" s="0" t="s">
        <v>31</v>
      </c>
      <c r="C21" s="13">
        <f>IFERROR(25.9*(1-w),"")</f>
        <v>22.817899999999991</v>
      </c>
      <c r="D21" s="13">
        <v>25.899999999999991</v>
      </c>
      <c r="E21" s="13">
        <v>27.092050209205013</v>
      </c>
      <c r="F21" s="13"/>
      <c r="G21" s="13"/>
      <c r="I21" s="5"/>
      <c r="J21" s="0" t="s">
        <v>35</v>
      </c>
    </row>
    <row r="22" outlineLevel="1">
      <c r="A22" s="11" t="s">
        <v>36</v>
      </c>
      <c r="I22" s="5"/>
    </row>
    <row r="23" outlineLevel="2">
      <c r="A23" s="12" t="s">
        <v>37</v>
      </c>
      <c r="B23" s="0" t="s">
        <v>31</v>
      </c>
      <c r="C23" s="13">
        <f>IFERROR(43.2*(1-w),"")</f>
        <v>38.059200000000004</v>
      </c>
      <c r="D23" s="13">
        <v>43.2</v>
      </c>
      <c r="E23" s="13">
        <v>45.188284518828453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31</v>
      </c>
      <c r="C24" s="13">
        <f>IFERROR(5.4*(1-w),"")</f>
        <v>4.7574000000000005</v>
      </c>
      <c r="D24" s="13">
        <v>5.4</v>
      </c>
      <c r="E24" s="13">
        <v>5.6485355648535567</v>
      </c>
      <c r="F24" s="13"/>
      <c r="G24" s="13"/>
      <c r="I24" s="5"/>
      <c r="J24" s="0" t="s">
        <v>38</v>
      </c>
    </row>
    <row r="25" outlineLevel="2">
      <c r="A25" s="12" t="s">
        <v>40</v>
      </c>
      <c r="B25" s="0" t="s">
        <v>31</v>
      </c>
      <c r="C25" s="13">
        <f>IFERROR(46.5*(1-w),"")</f>
        <v>40.9665</v>
      </c>
      <c r="D25" s="13">
        <v>46.5</v>
      </c>
      <c r="E25" s="13">
        <v>48.64016736401674</v>
      </c>
      <c r="F25" s="13"/>
      <c r="G25" s="13"/>
      <c r="I25" s="5"/>
      <c r="J25" s="0" t="s">
        <v>35</v>
      </c>
    </row>
    <row r="26" outlineLevel="2">
      <c r="A26" s="12" t="s">
        <v>41</v>
      </c>
      <c r="B26" s="0" t="s">
        <v>31</v>
      </c>
      <c r="C26" s="13">
        <f>IFERROR(0.5*(1-w),"")</f>
        <v>0.4405</v>
      </c>
      <c r="D26" s="13">
        <v>0.5</v>
      </c>
      <c r="E26" s="13">
        <v>0.52301255230125521</v>
      </c>
      <c r="F26" s="13"/>
      <c r="G26" s="13"/>
      <c r="I26" s="5"/>
      <c r="J26" s="0" t="s">
        <v>38</v>
      </c>
    </row>
    <row r="27" outlineLevel="2">
      <c r="A27" s="12" t="s">
        <v>42</v>
      </c>
      <c r="B27" s="0" t="s">
        <v>31</v>
      </c>
      <c r="C27" s="13">
        <f>IFERROR(0*(1-w),"")</f>
        <v>0</v>
      </c>
      <c r="D27" s="13">
        <v>0</v>
      </c>
      <c r="E27" s="13">
        <v>0</v>
      </c>
      <c r="F27" s="13"/>
      <c r="G27" s="13"/>
      <c r="I27" s="5"/>
      <c r="J27" s="0" t="s">
        <v>38</v>
      </c>
    </row>
    <row r="28" outlineLevel="2">
      <c r="A28" s="12" t="s">
        <v>43</v>
      </c>
      <c r="B28" s="0" t="s">
        <v>31</v>
      </c>
      <c r="C28" s="13">
        <f>IFERROR(100.0354*(1-w)+w*100,"")</f>
        <v>100.03118740000001</v>
      </c>
      <c r="D28" s="13">
        <v>100.0354</v>
      </c>
      <c r="E28" s="13">
        <v>100.03702928870293</v>
      </c>
      <c r="F28" s="13"/>
      <c r="G28" s="13"/>
      <c r="I28" s="5"/>
      <c r="J28" s="0" t="s">
        <v>35</v>
      </c>
    </row>
    <row r="29" outlineLevel="1">
      <c r="A29" s="11" t="s">
        <v>44</v>
      </c>
      <c r="I29" s="5"/>
    </row>
    <row r="30" outlineLevel="2">
      <c r="A30" s="12" t="s">
        <v>45</v>
      </c>
      <c r="B30" s="0" t="s">
        <v>46</v>
      </c>
      <c r="C30" s="14">
        <f>IFERROR(354*(1-w),"")</f>
        <v>311.874</v>
      </c>
      <c r="D30" s="14">
        <v>354</v>
      </c>
      <c r="E30" s="14">
        <v>370.29288702928869</v>
      </c>
      <c r="F30" s="14"/>
      <c r="G30" s="14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3">
        <f>IFERROR(16.16564208*(1-w),"")</f>
        <v>14.241930672480004</v>
      </c>
      <c r="D32" s="13">
        <v>16.165642080000005</v>
      </c>
      <c r="E32" s="13">
        <v>16.909667447698752</v>
      </c>
      <c r="F32" s="13"/>
      <c r="G32" s="13"/>
      <c r="I32" s="5"/>
      <c r="J32" s="0" t="s">
        <v>35</v>
      </c>
    </row>
    <row r="33" outlineLevel="1">
      <c r="A33" s="11" t="s">
        <v>50</v>
      </c>
      <c r="I33" s="5"/>
    </row>
    <row r="34" outlineLevel="2">
      <c r="A34" s="12" t="s">
        <v>51</v>
      </c>
      <c r="B34" s="0" t="s">
        <v>52</v>
      </c>
      <c r="C34" s="14">
        <v>3400</v>
      </c>
      <c r="D34" s="14"/>
      <c r="E34" s="14"/>
      <c r="F34" s="14"/>
      <c r="G34" s="14"/>
      <c r="I34" s="5"/>
      <c r="J34" s="0" t="s">
        <v>38</v>
      </c>
    </row>
    <row r="35" outlineLevel="2">
      <c r="A35" s="12" t="s">
        <v>53</v>
      </c>
      <c r="B35" s="0" t="s">
        <v>52</v>
      </c>
      <c r="C35" s="14">
        <v>33</v>
      </c>
      <c r="D35" s="14"/>
      <c r="E35" s="14"/>
      <c r="F35" s="14"/>
      <c r="G35" s="14"/>
      <c r="I35" s="5"/>
      <c r="J35" s="0" t="s">
        <v>38</v>
      </c>
    </row>
    <row r="36">
      <c r="I36" s="5"/>
    </row>
    <row r="37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</mergeCells>
  <dataValidations count="1">
    <dataValidation type="decimal" sqref="C18" errorStyle="stop" promptTitle="Enter moisture content" errorTitle="Invalid moisture content" prompt="Value should be between 0 and 100.&#10;Original value: 11.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https://phyllis.nl/Biomass/View/1972</dc:description>
  <dcterms:created xsi:type="dcterms:W3CDTF">2026-03-04T04:41:07Z</dcterms:created>
  <dc:title>Phyllis2 #1972 switchgrass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