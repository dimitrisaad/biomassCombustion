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74 wood, birch, 1-3" sheetId="1" r:id="rId1"/>
  </sheets>
  <definedNames>
    <definedName name="w" localSheetId="0">IF(ISBLANK('Phyllis2 #1974 wood, birch, 1-3'!$C$18),#N/A,'Phyllis2 #1974 wood, birch, 1-3'!$C$18/100)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<sst xmlns="http://schemas.openxmlformats.org/spreadsheetml/2006/main" count="48" uniqueCount="48">
  <si>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</si>
  <si>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https://phyllis.nl/Biomass/View/1974</t>
  </si>
  <si>
    <t>wood, birch, 1-3 mm (#1974)</t>
  </si>
  <si>
    <t>ID-number</t>
  </si>
  <si>
    <t>#1974</t>
  </si>
  <si>
    <t>Material</t>
  </si>
  <si>
    <t>wood, birch, 1-3 mm</t>
  </si>
  <si>
    <t>Classification</t>
  </si>
  <si>
    <t>ECN Phyllis classification &gt; untreated wood &gt; birch</t>
  </si>
  <si>
    <t>NTA 8003 classification &gt; [100] hout &gt; [110] vers hout &gt; [120] loofhout &gt; [122] zacht loofhout</t>
  </si>
  <si>
    <t>Submitter organisation</t>
  </si>
  <si>
    <t>ECN (Netherlands)</t>
  </si>
  <si>
    <t>Submission date</t>
  </si>
  <si>
    <t>Literature</t>
  </si>
  <si>
    <t>Guanxing,C.; Qizhuang,Y.; Brage,C.; Rosen,C.; Sjostrom,K.: Biomass co- gasification with coal: the process benefit due to positive synergistic effects; Proc. 4th biomass conference of the Americas p.1017-1023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</si>
  <si>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</si>
  <si>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</si>
  <si>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</si>
  <si>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</si>
  <si>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</si>
  <si>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</si>
  <si>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</si>
  <si>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</si>
  <si>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</si>
  <si>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</si>
  <si>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</si>
  <si>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</si>
  <si>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</si>
  <si>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</si>
  <si>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</si>
  <si>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</si>
  <si>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</si>
  <si>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</si>
  <si>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</si>
  <si>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</si>
  <si>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</si>
  <si>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</si>
  <si>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</si>
  <si>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</si>
  <si>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</si>
  <si>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</si>
  <si>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wt% (dry)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</si>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</sst>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7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5.3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IFERROR(0.4*(1-w),"")</f>
        <v>0.3788</v>
      </c>
      <c r="D19" s="13">
        <v>0.4</v>
      </c>
      <c r="E19" s="13">
        <v/>
      </c>
      <c r="F19" s="13"/>
      <c r="G19" s="13"/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31</v>
      </c>
      <c r="C21" s="13">
        <f>IFERROR(49*(1-w),"")</f>
        <v>46.403</v>
      </c>
      <c r="D21" s="13">
        <v>49</v>
      </c>
      <c r="E21" s="13">
        <v>49.196787148594375</v>
      </c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31</v>
      </c>
      <c r="C22" s="13">
        <f>IFERROR(6.1*(1-w),"")</f>
        <v>5.7766999999999991</v>
      </c>
      <c r="D22" s="13">
        <v>6.1</v>
      </c>
      <c r="E22" s="13">
        <v>6.1244979919678713</v>
      </c>
      <c r="F22" s="13"/>
      <c r="G22" s="13"/>
      <c r="I22" s="5"/>
      <c r="J22" s="0" t="s">
        <v>35</v>
      </c>
    </row>
    <row r="23" outlineLevel="2">
      <c r="A23" s="12" t="s">
        <v>37</v>
      </c>
      <c r="B23" s="0" t="s">
        <v>31</v>
      </c>
      <c r="C23" s="13">
        <f>IFERROR(44.5*(1-w),"")</f>
        <v>42.1415</v>
      </c>
      <c r="D23" s="13">
        <v>44.5</v>
      </c>
      <c r="E23" s="13">
        <v>44.678714859437754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IFERROR(0.1*(1-w),"")</f>
        <v>0.0947</v>
      </c>
      <c r="D24" s="13">
        <v>0.1</v>
      </c>
      <c r="E24" s="13">
        <v>0.10040160642570281</v>
      </c>
      <c r="F24" s="13"/>
      <c r="G24" s="13"/>
      <c r="I24" s="5"/>
      <c r="J24" s="0" t="s">
        <v>35</v>
      </c>
    </row>
    <row r="25" outlineLevel="2">
      <c r="A25" s="12" t="s">
        <v>40</v>
      </c>
      <c r="B25" s="0" t="s">
        <v>41</v>
      </c>
      <c r="C25" s="13"/>
      <c r="D25" s="13"/>
      <c r="E25" s="13"/>
      <c r="F25" s="13"/>
      <c r="G25" s="13">
        <v>0.01</v>
      </c>
      <c r="I25" s="5"/>
    </row>
    <row r="26" outlineLevel="2">
      <c r="A26" s="12" t="s">
        <v>42</v>
      </c>
      <c r="B26" s="0" t="s">
        <v>31</v>
      </c>
      <c r="C26" s="13">
        <f>IFERROR(100.1*(1-w)+w*100,"")</f>
        <v>100.09469999999999</v>
      </c>
      <c r="D26" s="13">
        <v>100.1</v>
      </c>
      <c r="E26" s="13">
        <v>100.10040160642569</v>
      </c>
      <c r="F26" s="13"/>
      <c r="G26" s="13"/>
      <c r="I26" s="5"/>
      <c r="J26" s="0" t="s">
        <v>38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IFERROR(17.89168*(1-w)-w*2.443,"")</f>
        <v>16.81394196</v>
      </c>
      <c r="D28" s="13">
        <v>17.89168</v>
      </c>
      <c r="E28" s="13">
        <v>17.963534136546187</v>
      </c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IFERROR(19.2228*(1-w),"")</f>
        <v>18.2039916</v>
      </c>
      <c r="D29" s="13">
        <v>19.2228</v>
      </c>
      <c r="E29" s="13">
        <v>19.3</v>
      </c>
      <c r="F29" s="13"/>
      <c r="G29" s="13"/>
      <c r="I29" s="5"/>
    </row>
    <row r="30" outlineLevel="2">
      <c r="A30" s="12" t="s">
        <v>47</v>
      </c>
      <c r="B30" s="0" t="s">
        <v>45</v>
      </c>
      <c r="C30" s="13">
        <f>IFERROR(19.41510448*(1-w),"")</f>
        <v>18.386103942560002</v>
      </c>
      <c r="D30" s="13">
        <v>19.415104480000004</v>
      </c>
      <c r="E30" s="13">
        <v>19.4930767871486</v>
      </c>
      <c r="F30" s="13"/>
      <c r="G30" s="13"/>
      <c r="I30" s="5"/>
      <c r="J30" s="0" t="s">
        <v>38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25:E25"/>
  </mergeCells>
  <dataValidations count="1">
    <dataValidation type="decimal" sqref="C18" errorStyle="stop" promptTitle="Enter moisture content" errorTitle="Invalid moisture content" prompt="Value should be between 0 and 100.&#10;Original value: 5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https://phyllis.nl/Biomass/View/1974</dc:description>
  <dcterms:created xsi:type="dcterms:W3CDTF">2026-03-19T04:21:38Z</dcterms:created>
  <dc:title>Phyllis2 #1974 wood, birch, 1-3 mm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