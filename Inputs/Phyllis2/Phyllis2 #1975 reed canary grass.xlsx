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5 reed canary gras" sheetId="1" r:id="rId1"/>
  </sheets>
  <definedNames>
    <definedName name="w" localSheetId="0">IF(ISBLANK('Phyllis2 #1975 reed canary gras'!$C$19),#N/A,'Phyllis2 #1975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<sst xmlns="http://schemas.openxmlformats.org/spreadsheetml/2006/main" count="48" uniqueCount="48">
  <si>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</si>
  <si>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https://phyllis.nl/Biomass/View/1975</t>
  </si>
  <si>
    <t>reed canary grass (#1975)</t>
  </si>
  <si>
    <t>ID-number</t>
  </si>
  <si>
    <t>#1975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</si>
  <si>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</si>
  <si>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</si>
  <si>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</si>
  <si>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</si>
  <si>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</si>
  <si>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</si>
  <si>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</si>
  <si>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</si>
  <si>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</si>
  <si>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authors from same group report 10% higher H and N content and double S content for the same material at p. 1034 of same Conference Proceedings.</t>
  </si>
  <si>
    <t>Literature</t>
  </si>
  <si>
    <t>Guanxing,C.; Qizhuang,Y.; Brage,C.; Rosen,C.; Sjostrom,K.: Biomass co- gasification with coal: the process benefit due to positive synergistic effects; Proc. 4th biomass conference of the Americas p.1017-1023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</si>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</sst>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IFERROR(8.8*(1-w),"")</f>
        <v>8.184</v>
      </c>
      <c r="D20" s="13">
        <v>8.8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IFERROR(44.4*(1-w),"")</f>
        <v>41.291999999999994</v>
      </c>
      <c r="D22" s="13">
        <v>44.4</v>
      </c>
      <c r="E22" s="13">
        <v>48.684210526315788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IFERROR(5.5*(1-w),"")</f>
        <v>5.1149999999999993</v>
      </c>
      <c r="D23" s="13">
        <v>5.5</v>
      </c>
      <c r="E23" s="13">
        <v>6.0307017543859649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IFERROR(42*(1-w),"")</f>
        <v>39.059999999999995</v>
      </c>
      <c r="D24" s="13">
        <v>42</v>
      </c>
      <c r="E24" s="13">
        <v>46.05263157894737</v>
      </c>
      <c r="F24" s="13"/>
      <c r="G24" s="13"/>
      <c r="I24" s="5"/>
      <c r="J24" s="0" t="s">
        <v>36</v>
      </c>
    </row>
    <row r="25" outlineLevel="2">
      <c r="A25" s="12" t="s">
        <v>39</v>
      </c>
      <c r="B25" s="0" t="s">
        <v>32</v>
      </c>
      <c r="C25" s="13">
        <f>IFERROR(0.9*(1-w),"")</f>
        <v>0.837</v>
      </c>
      <c r="D25" s="13">
        <v>0.9</v>
      </c>
      <c r="E25" s="13">
        <v>0.98684210526315785</v>
      </c>
      <c r="F25" s="13"/>
      <c r="G25" s="13"/>
      <c r="I25" s="5"/>
      <c r="J25" s="0" t="s">
        <v>36</v>
      </c>
    </row>
    <row r="26" outlineLevel="2">
      <c r="A26" s="12" t="s">
        <v>40</v>
      </c>
      <c r="B26" s="0" t="s">
        <v>32</v>
      </c>
      <c r="C26" s="13">
        <f>IFERROR(0.09*(1-w),"")</f>
        <v>0.0837</v>
      </c>
      <c r="D26" s="13">
        <v>0.09</v>
      </c>
      <c r="E26" s="13">
        <v>0.098684210526315777</v>
      </c>
      <c r="F26" s="13"/>
      <c r="G26" s="13"/>
      <c r="I26" s="5"/>
      <c r="J26" s="0" t="s">
        <v>36</v>
      </c>
    </row>
    <row r="27" outlineLevel="2">
      <c r="A27" s="12" t="s">
        <v>41</v>
      </c>
      <c r="B27" s="0" t="s">
        <v>32</v>
      </c>
      <c r="C27" s="13">
        <f>IFERROR(101.69*(1-w)+w*100,"")</f>
        <v>101.5717</v>
      </c>
      <c r="D27" s="13">
        <v>101.69000000000001</v>
      </c>
      <c r="E27" s="13">
        <v>101.8530701754386</v>
      </c>
      <c r="F27" s="13"/>
      <c r="G27" s="13"/>
      <c r="I27" s="5"/>
      <c r="J27" s="0" t="s">
        <v>42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IFERROR(14.85101*(1-w)-w*2.443,"")</f>
        <v>13.6404293</v>
      </c>
      <c r="D29" s="13">
        <v>14.85101</v>
      </c>
      <c r="E29" s="13">
        <v>16.284002192982456</v>
      </c>
      <c r="F29" s="13"/>
      <c r="G29" s="13"/>
      <c r="I29" s="5"/>
    </row>
    <row r="30" outlineLevel="2">
      <c r="A30" s="12" t="s">
        <v>46</v>
      </c>
      <c r="B30" s="0" t="s">
        <v>45</v>
      </c>
      <c r="C30" s="13">
        <f>IFERROR(16.0512*(1-w),"")</f>
        <v>14.927616</v>
      </c>
      <c r="D30" s="13">
        <v>16.0512</v>
      </c>
      <c r="E30" s="13">
        <v>17.6</v>
      </c>
      <c r="F30" s="13"/>
      <c r="G30" s="13"/>
      <c r="I30" s="5"/>
    </row>
    <row r="31" outlineLevel="2">
      <c r="A31" s="12" t="s">
        <v>47</v>
      </c>
      <c r="B31" s="0" t="s">
        <v>45</v>
      </c>
      <c r="C31" s="13">
        <f>IFERROR(17.14678232*(1-w),"")</f>
        <v>15.946507557599999</v>
      </c>
      <c r="D31" s="13">
        <v>17.14678232</v>
      </c>
      <c r="E31" s="13">
        <v>18.801296403508772</v>
      </c>
      <c r="F31" s="13"/>
      <c r="G31" s="13"/>
      <c r="I31" s="5"/>
      <c r="J31" s="0" t="s">
        <v>42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https://phyllis.nl/Biomass/View/1975</dc:description>
  <dcterms:created xsi:type="dcterms:W3CDTF">2026-03-04T04:36:34Z</dcterms:created>
  <dc:title>Phyllis2 #1975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