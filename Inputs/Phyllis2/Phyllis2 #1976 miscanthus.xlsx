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6 miscanthus" sheetId="1" r:id="rId1"/>
  </sheets>
  <definedNames>
    <definedName name="w" localSheetId="0">IF(ISBLANK('Phyllis2 #1976 miscanthus'!$C$18),#N/A,'Phyllis2 #1976 miscanthus'!$C$18/100)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<sst xmlns="http://schemas.openxmlformats.org/spreadsheetml/2006/main" count="47" uniqueCount="47">
  <si>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</si>
  <si>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https://phyllis.nl/Biomass/View/1976</t>
  </si>
  <si>
    <t>miscanthus (#1976)</t>
  </si>
  <si>
    <t>ID-number</t>
  </si>
  <si>
    <t>#1976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</si>
  <si>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</si>
  <si>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</si>
  <si>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</si>
  <si>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</si>
  <si>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</si>
  <si>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Submitter organisation</t>
  </si>
  <si>
    <t>ECN (Netherlands)</t>
  </si>
  <si>
    <t>Submission date</t>
  </si>
  <si>
    <t>Literature</t>
  </si>
  <si>
    <t>Guanxing,C.; Qizhuang,Y.; Brage,C.; Rosen,C.; Sjostrom,K.: Biomass co- gasification with coal: the process benefit due to positive synergistic effects; Proc. 4th biomass conference of the Americas p.1017-1023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</si>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</sst>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IFERROR(2.8*(1-w),"")</f>
        <v>2.5956</v>
      </c>
      <c r="D19" s="13">
        <v>2.8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IFERROR(47.9*(1-w),"")</f>
        <v>44.4033</v>
      </c>
      <c r="D21" s="13">
        <v>47.9</v>
      </c>
      <c r="E21" s="13">
        <v>49.2798353909465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IFERROR(6.3*(1-w),"")</f>
        <v>5.8401000000000005</v>
      </c>
      <c r="D22" s="13">
        <v>6.3</v>
      </c>
      <c r="E22" s="13">
        <v>6.4814814814814818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IFERROR(43.8*(1-w),"")</f>
        <v>40.6026</v>
      </c>
      <c r="D23" s="13">
        <v>43.8</v>
      </c>
      <c r="E23" s="13">
        <v>45.061728395061728</v>
      </c>
      <c r="F23" s="13"/>
      <c r="G23" s="13"/>
      <c r="I23" s="5"/>
      <c r="J23" s="0" t="s">
        <v>35</v>
      </c>
    </row>
    <row r="24" outlineLevel="2">
      <c r="A24" s="12" t="s">
        <v>38</v>
      </c>
      <c r="B24" s="0" t="s">
        <v>31</v>
      </c>
      <c r="C24" s="13">
        <f>IFERROR(0.7*(1-w),"")</f>
        <v>0.6489</v>
      </c>
      <c r="D24" s="13">
        <v>0.7</v>
      </c>
      <c r="E24" s="13">
        <v>0.72016460905349788</v>
      </c>
      <c r="F24" s="13"/>
      <c r="G24" s="13"/>
      <c r="I24" s="5"/>
      <c r="J24" s="0" t="s">
        <v>35</v>
      </c>
    </row>
    <row r="25" outlineLevel="2">
      <c r="A25" s="12" t="s">
        <v>39</v>
      </c>
      <c r="B25" s="0" t="s">
        <v>31</v>
      </c>
      <c r="C25" s="13">
        <f>IFERROR(0.11*(1-w),"")</f>
        <v>0.10197</v>
      </c>
      <c r="D25" s="13">
        <v>0.11</v>
      </c>
      <c r="E25" s="13">
        <v>0.11316872427983539</v>
      </c>
      <c r="F25" s="13"/>
      <c r="G25" s="13"/>
      <c r="I25" s="5"/>
      <c r="J25" s="0" t="s">
        <v>35</v>
      </c>
    </row>
    <row r="26" outlineLevel="2">
      <c r="A26" s="12" t="s">
        <v>40</v>
      </c>
      <c r="B26" s="0" t="s">
        <v>31</v>
      </c>
      <c r="C26" s="13">
        <f>IFERROR(101.61*(1-w)+w*100,"")</f>
        <v>101.49247</v>
      </c>
      <c r="D26" s="13">
        <v>101.61</v>
      </c>
      <c r="E26" s="13">
        <v>101.65637860082305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IFERROR(15.14923*(1-w)-w*2.443,"")</f>
        <v>13.86499721</v>
      </c>
      <c r="D28" s="13">
        <v>15.14923</v>
      </c>
      <c r="E28" s="13">
        <v>15.585627572016461</v>
      </c>
      <c r="F28" s="13"/>
      <c r="G28" s="13"/>
      <c r="I28" s="5"/>
    </row>
    <row r="29" outlineLevel="2">
      <c r="A29" s="12" t="s">
        <v>45</v>
      </c>
      <c r="B29" s="0" t="s">
        <v>44</v>
      </c>
      <c r="C29" s="13">
        <f>IFERROR(16.524*(1-w),"")</f>
        <v>15.317748000000002</v>
      </c>
      <c r="D29" s="13">
        <v>16.524</v>
      </c>
      <c r="E29" s="13">
        <v>17</v>
      </c>
      <c r="F29" s="13"/>
      <c r="G29" s="13"/>
      <c r="I29" s="5"/>
    </row>
    <row r="30" outlineLevel="2">
      <c r="A30" s="12" t="s">
        <v>46</v>
      </c>
      <c r="B30" s="0" t="s">
        <v>44</v>
      </c>
      <c r="C30" s="13">
        <f>IFERROR(19.28840552*(1-w),"")</f>
        <v>17.880351917039995</v>
      </c>
      <c r="D30" s="13">
        <v>19.288405519999994</v>
      </c>
      <c r="E30" s="13">
        <v>19.84403860082304</v>
      </c>
      <c r="F30" s="13"/>
      <c r="G30" s="13"/>
      <c r="I30" s="5"/>
      <c r="J30" s="0" t="s">
        <v>41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https://phyllis.nl/Biomass/View/1976</dc:description>
  <dcterms:created xsi:type="dcterms:W3CDTF">2026-03-04T04:13:39Z</dcterms:created>
  <dc:title>Phyllis2 #1976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