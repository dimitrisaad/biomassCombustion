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77 wood, salix" sheetId="1" r:id="rId1"/>
  </sheets>
  <definedNames>
    <definedName name="w" localSheetId="0">IF(ISBLANK('Phyllis2 #1977 wood, salix'!$C$18),#N/A,'Phyllis2 #1977 wood, salix'!$C$18/100)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<sst xmlns="http://schemas.openxmlformats.org/spreadsheetml/2006/main" count="47" uniqueCount="47">
  <si>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</si>
  <si>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https://phyllis.nl/Biomass/View/1977</t>
  </si>
  <si>
    <t>wood, salix (#1977)</t>
  </si>
  <si>
    <t>ID-number</t>
  </si>
  <si>
    <t>#1977</t>
  </si>
  <si>
    <t>Material</t>
  </si>
  <si>
    <t>wood, salix</t>
  </si>
  <si>
    <t>Classification</t>
  </si>
  <si>
    <t>ECN Phyllis classification &gt; untreated wood &gt; willow &gt; wood, salix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</si>
  <si>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</si>
  <si>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</si>
  <si>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</si>
  <si>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</si>
  <si>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</si>
  <si>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Yu,Q.; Brage,C.; Chen,G.; Sjostrom,K.: Synergistic effect on tar formation in Co- gasification of energy crops and coal; Proc. 4th biomass conference of the Americas p.1033-1040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</si>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</sst>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7.6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IFERROR(2.5*(1-w),"")</f>
        <v>2.31</v>
      </c>
      <c r="D19" s="13">
        <v>2.5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IFERROR(48.1*(1-w),"")</f>
        <v>44.4444</v>
      </c>
      <c r="D21" s="13">
        <v>48.1</v>
      </c>
      <c r="E21" s="13">
        <v>49.333333333333336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IFERROR(6.2*(1-w),"")</f>
        <v>5.7288000000000006</v>
      </c>
      <c r="D22" s="13">
        <v>6.2</v>
      </c>
      <c r="E22" s="13">
        <v>6.3589743589743595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IFERROR(43.9*(1-w),"")</f>
        <v>40.5636</v>
      </c>
      <c r="D23" s="13">
        <v>43.9</v>
      </c>
      <c r="E23" s="13">
        <v>45.025641025641022</v>
      </c>
      <c r="F23" s="13"/>
      <c r="G23" s="13"/>
      <c r="I23" s="5"/>
      <c r="J23" s="0" t="s">
        <v>35</v>
      </c>
    </row>
    <row r="24" outlineLevel="2">
      <c r="A24" s="12" t="s">
        <v>38</v>
      </c>
      <c r="B24" s="0" t="s">
        <v>31</v>
      </c>
      <c r="C24" s="13">
        <f>IFERROR(0.4*(1-w),"")</f>
        <v>0.36960000000000004</v>
      </c>
      <c r="D24" s="13">
        <v>0.4</v>
      </c>
      <c r="E24" s="13">
        <v>0.4102564102564103</v>
      </c>
      <c r="F24" s="13"/>
      <c r="G24" s="13"/>
      <c r="I24" s="5"/>
      <c r="J24" s="0" t="s">
        <v>35</v>
      </c>
    </row>
    <row r="25" outlineLevel="2">
      <c r="A25" s="12" t="s">
        <v>39</v>
      </c>
      <c r="B25" s="0" t="s">
        <v>31</v>
      </c>
      <c r="C25" s="13">
        <f>IFERROR(0.036*(1-w),"")</f>
        <v>0.033264</v>
      </c>
      <c r="D25" s="13">
        <v>0.036</v>
      </c>
      <c r="E25" s="13">
        <v>0.03692307692307692</v>
      </c>
      <c r="F25" s="13"/>
      <c r="G25" s="13"/>
      <c r="I25" s="5"/>
      <c r="J25" s="0" t="s">
        <v>35</v>
      </c>
    </row>
    <row r="26" outlineLevel="2">
      <c r="A26" s="12" t="s">
        <v>40</v>
      </c>
      <c r="B26" s="0" t="s">
        <v>31</v>
      </c>
      <c r="C26" s="13">
        <f>IFERROR(101.136*(1-w)+w*100,"")</f>
        <v>101.049664</v>
      </c>
      <c r="D26" s="13">
        <v>101.13600000000001</v>
      </c>
      <c r="E26" s="13">
        <v>101.16512820512821</v>
      </c>
      <c r="F26" s="13"/>
      <c r="G26" s="13"/>
      <c r="I26" s="5"/>
      <c r="J26" s="0" t="s">
        <v>41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IFERROR(17.36705*(1-w)-w*2.443,"")</f>
        <v>15.861486200000002</v>
      </c>
      <c r="D28" s="13">
        <v>17.36705</v>
      </c>
      <c r="E28" s="13">
        <v>17.812358974358975</v>
      </c>
      <c r="F28" s="13"/>
      <c r="G28" s="13"/>
      <c r="I28" s="5"/>
    </row>
    <row r="29" outlineLevel="2">
      <c r="A29" s="12" t="s">
        <v>45</v>
      </c>
      <c r="B29" s="0" t="s">
        <v>44</v>
      </c>
      <c r="C29" s="13">
        <f>IFERROR(18.72*(1-w),"")</f>
        <v>17.29728</v>
      </c>
      <c r="D29" s="13">
        <v>18.72</v>
      </c>
      <c r="E29" s="13">
        <v>19.2</v>
      </c>
      <c r="F29" s="13"/>
      <c r="G29" s="13"/>
      <c r="I29" s="5"/>
    </row>
    <row r="30" outlineLevel="2">
      <c r="A30" s="12" t="s">
        <v>46</v>
      </c>
      <c r="B30" s="0" t="s">
        <v>44</v>
      </c>
      <c r="C30" s="13">
        <f>IFERROR(19.24767585*(1-w),"")</f>
        <v>17.784852485400005</v>
      </c>
      <c r="D30" s="13">
        <v>19.247675850000004</v>
      </c>
      <c r="E30" s="13">
        <v>19.741206000000005</v>
      </c>
      <c r="F30" s="13"/>
      <c r="G30" s="13"/>
      <c r="I30" s="5"/>
      <c r="J30" s="0" t="s">
        <v>41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https://phyllis.nl/Biomass/View/1977</dc:description>
  <dcterms:created xsi:type="dcterms:W3CDTF">2026-03-19T07:26:40Z</dcterms:created>
  <dc:title>Phyllis2 #1977 wood, salix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