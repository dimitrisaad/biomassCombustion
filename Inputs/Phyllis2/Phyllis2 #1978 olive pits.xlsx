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978 olive pits" sheetId="1" r:id="rId1"/>
  </sheets>
  <definedNames>
    <definedName name="w" localSheetId="0">IF(ISBLANK('Phyllis2 #1978 olive pits'!$C$18),#N/A,'Phyllis2 #1978 olive pits'!$C$18/100)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<sst xmlns="http://schemas.openxmlformats.org/spreadsheetml/2006/main" count="51" uniqueCount="51">
  <si>
    <t>Phyllis2</t>
  </si>
  <si>
    <t>https://phyllis.nl/Biomass/View/1978</t>
  </si>
  <si>
    <t>olive pits (#1978)</t>
  </si>
  <si>
    <t>ID-number</t>
  </si>
  <si>
    <t>#1978</t>
  </si>
  <si>
    <t>Material</t>
  </si>
  <si>
    <t>olive pits</t>
  </si>
  <si>
    <t>Classification</t>
  </si>
  <si>
    <t>ECN Phyllis classification &gt; husk/shell/pit &gt; olive &gt; olive pits</t>
  </si>
  <si>
    <t>NTA 8003 classification &gt; [500] biomassa uit de industrie &gt; [520] schillen/vliezen/pitten &gt; [524] olijven</t>
  </si>
  <si>
    <t>Submitter organisation</t>
  </si>
  <si>
    <t>ECN (Netherlands)</t>
  </si>
  <si>
    <t>Submission date</t>
  </si>
  <si>
    <t>Literature</t>
  </si>
  <si>
    <t>Ruiz,J.; Sanz,M.J.; Gomez,J.; Arauzo,J.: Pyrolysis of olive stones in different reactors; Proceedings 4th biomass conference of the americas, p.1193-1198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</si>
  <si>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</si>
  <si>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</si>
  <si>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</si>
  <si>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</si>
  <si>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</si>
  <si>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</si>
  <si>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</si>
  <si>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</si>
  <si>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</si>
  <si>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</si>
  <si>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</si>
  <si>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</si>
  <si>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</si>
  <si>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</si>
  <si>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</si>
  <si>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</si>
  <si>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</si>
  <si>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Ultimate analysis (macroelements)</t>
  </si>
  <si>
    <t>Carbon</t>
  </si>
  <si>
    <t>Measured</t>
  </si>
  <si>
    <t>Hydrogen</t>
  </si>
  <si>
    <t>Oxygen</t>
  </si>
  <si>
    <t>Calculated</t>
  </si>
  <si>
    <t>Nitrogen</t>
  </si>
  <si>
    <t>Sulphur</t>
  </si>
  <si>
    <t>Total (with halides)</t>
  </si>
  <si>
    <t>Heating value</t>
  </si>
  <si>
    <t>Net calorific value (LHV)</t>
  </si>
  <si>
    <t>MJ/kg</t>
  </si>
  <si>
    <t>Gross calorific value (HHV)</t>
  </si>
  <si>
    <t>Biochemical analysis</t>
  </si>
  <si>
    <t>Cellulose, hemicellulose, lignin</t>
  </si>
  <si>
    <t>Lignin</t>
  </si>
  <si>
    <t>wt% (dry)</t>
  </si>
  <si>
    <t>Other</t>
  </si>
  <si>
    <t>Total ash + biochemical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</si>
</sst>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0.0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6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978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4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6">
        <v>36943</v>
      </c>
    </row>
    <row r="11" outlineLevel="1">
      <c r="A11" s="7" t="s">
        <v>13</v>
      </c>
      <c r="B11" s="0" t="s">
        <v>14</v>
      </c>
    </row>
    <row r="12">
      <c r="A12" s="7"/>
    </row>
    <row r="13" s="1" customFormat="1">
      <c r="A13" s="9" t="s">
        <v>15</v>
      </c>
    </row>
    <row r="14" s="1" customFormat="1">
      <c r="A14" s="10" t="s">
        <v>16</v>
      </c>
      <c r="B14" s="10" t="s">
        <v>17</v>
      </c>
      <c r="C14" s="10" t="s">
        <v>18</v>
      </c>
      <c r="D14" s="10"/>
      <c r="E14" s="10"/>
      <c r="F14" s="10" t="s">
        <v>19</v>
      </c>
      <c r="G14" s="10" t="s">
        <v>20</v>
      </c>
      <c r="H14" s="10" t="s">
        <v>21</v>
      </c>
      <c r="I14" s="10" t="s">
        <v>22</v>
      </c>
      <c r="J14" s="10" t="s">
        <v>23</v>
      </c>
      <c r="K14" s="10" t="s">
        <v>24</v>
      </c>
      <c r="L14" s="10"/>
    </row>
    <row r="15" s="1" customFormat="1">
      <c r="A15" s="10"/>
      <c r="B15" s="10"/>
      <c r="C15" s="10" t="s">
        <v>25</v>
      </c>
      <c r="D15" s="10" t="s">
        <v>26</v>
      </c>
      <c r="E15" s="10" t="s">
        <v>27</v>
      </c>
      <c r="F15" s="10"/>
      <c r="G15" s="10"/>
      <c r="H15" s="10"/>
      <c r="I15" s="10"/>
      <c r="J15" s="10"/>
      <c r="K15" s="10"/>
      <c r="L15" s="10"/>
    </row>
    <row r="16">
      <c r="A16" s="7" t="s">
        <v>28</v>
      </c>
      <c r="I16" s="5"/>
    </row>
    <row r="17" outlineLevel="1">
      <c r="A17" s="11" t="s">
        <v>29</v>
      </c>
      <c r="I17" s="5"/>
    </row>
    <row r="18" outlineLevel="2">
      <c r="A18" s="12" t="s">
        <v>30</v>
      </c>
      <c r="B18" s="0" t="s">
        <v>31</v>
      </c>
      <c r="C18" s="13">
        <v>8</v>
      </c>
      <c r="D18" s="13"/>
      <c r="E18" s="13"/>
      <c r="F18" s="13"/>
      <c r="G18" s="13"/>
      <c r="I18" s="5"/>
    </row>
    <row r="19" outlineLevel="1">
      <c r="A19" s="11" t="s">
        <v>32</v>
      </c>
      <c r="I19" s="5"/>
    </row>
    <row r="20" outlineLevel="2">
      <c r="A20" s="12" t="s">
        <v>33</v>
      </c>
      <c r="B20" s="0" t="s">
        <v>31</v>
      </c>
      <c r="C20" s="13">
        <f>IFERROR(47.07*(1-w),"")</f>
        <v>43.3044</v>
      </c>
      <c r="D20" s="13">
        <v>47.07</v>
      </c>
      <c r="E20" s="13">
        <v/>
      </c>
      <c r="F20" s="13"/>
      <c r="G20" s="13"/>
      <c r="I20" s="5"/>
      <c r="J20" s="0" t="s">
        <v>34</v>
      </c>
    </row>
    <row r="21" outlineLevel="2">
      <c r="A21" s="12" t="s">
        <v>35</v>
      </c>
      <c r="B21" s="0" t="s">
        <v>31</v>
      </c>
      <c r="C21" s="13">
        <f>IFERROR(5.95*(1-w),"")</f>
        <v>5.474</v>
      </c>
      <c r="D21" s="13">
        <v>5.95</v>
      </c>
      <c r="E21" s="13">
        <v/>
      </c>
      <c r="F21" s="13"/>
      <c r="G21" s="13"/>
      <c r="I21" s="5"/>
      <c r="J21" s="0" t="s">
        <v>34</v>
      </c>
    </row>
    <row r="22" outlineLevel="2">
      <c r="A22" s="12" t="s">
        <v>36</v>
      </c>
      <c r="B22" s="0" t="s">
        <v>31</v>
      </c>
      <c r="C22" s="13">
        <f>IFERROR(44.38*(1-w),"")</f>
        <v>40.829600000000006</v>
      </c>
      <c r="D22" s="13">
        <v>44.38</v>
      </c>
      <c r="E22" s="13">
        <v/>
      </c>
      <c r="F22" s="13"/>
      <c r="G22" s="13"/>
      <c r="I22" s="5"/>
      <c r="J22" s="0" t="s">
        <v>37</v>
      </c>
    </row>
    <row r="23" outlineLevel="2">
      <c r="A23" s="12" t="s">
        <v>38</v>
      </c>
      <c r="B23" s="0" t="s">
        <v>31</v>
      </c>
      <c r="C23" s="13">
        <f>IFERROR(2.4*(1-w),"")</f>
        <v>2.208</v>
      </c>
      <c r="D23" s="13">
        <v>2.4</v>
      </c>
      <c r="E23" s="13">
        <v/>
      </c>
      <c r="F23" s="13"/>
      <c r="G23" s="13"/>
      <c r="I23" s="5"/>
      <c r="J23" s="0" t="s">
        <v>34</v>
      </c>
    </row>
    <row r="24" outlineLevel="2">
      <c r="A24" s="12" t="s">
        <v>39</v>
      </c>
      <c r="B24" s="0" t="s">
        <v>31</v>
      </c>
      <c r="C24" s="13">
        <f>IFERROR(0.21*(1-w),"")</f>
        <v>0.1932</v>
      </c>
      <c r="D24" s="13">
        <v>0.21</v>
      </c>
      <c r="E24" s="13">
        <v/>
      </c>
      <c r="F24" s="13"/>
      <c r="G24" s="13"/>
      <c r="I24" s="5"/>
      <c r="J24" s="0" t="s">
        <v>34</v>
      </c>
    </row>
    <row r="25" outlineLevel="2">
      <c r="A25" s="12" t="s">
        <v>40</v>
      </c>
      <c r="B25" s="0" t="s">
        <v>31</v>
      </c>
      <c r="C25" s="13">
        <f>IFERROR(100.01*(1-w)+w*100,"")</f>
        <v>100.0092</v>
      </c>
      <c r="D25" s="13">
        <v>100.01</v>
      </c>
      <c r="E25" s="13">
        <v/>
      </c>
      <c r="F25" s="13"/>
      <c r="G25" s="13"/>
      <c r="I25" s="5"/>
      <c r="J25" s="0" t="s">
        <v>37</v>
      </c>
    </row>
    <row r="26" outlineLevel="1">
      <c r="A26" s="11" t="s">
        <v>41</v>
      </c>
      <c r="I26" s="5"/>
    </row>
    <row r="27" outlineLevel="2">
      <c r="A27" s="12" t="s">
        <v>42</v>
      </c>
      <c r="B27" s="0" t="s">
        <v>43</v>
      </c>
      <c r="C27" s="13">
        <f>IFERROR(17.40256*(1-w)-w*2.443,"")</f>
        <v>15.814915200000003</v>
      </c>
      <c r="D27" s="13">
        <v>17.40256</v>
      </c>
      <c r="E27" s="13">
        <v/>
      </c>
      <c r="F27" s="13"/>
      <c r="G27" s="13"/>
      <c r="I27" s="5"/>
    </row>
    <row r="28" outlineLevel="2">
      <c r="A28" s="12" t="s">
        <v>44</v>
      </c>
      <c r="B28" s="0" t="s">
        <v>43</v>
      </c>
      <c r="C28" s="13">
        <f>IFERROR(18.70096*(1-w),"")</f>
        <v>17.204883199999998</v>
      </c>
      <c r="D28" s="13">
        <v>18.70096</v>
      </c>
      <c r="E28" s="13">
        <v/>
      </c>
      <c r="F28" s="13"/>
      <c r="G28" s="13"/>
      <c r="I28" s="5"/>
    </row>
    <row r="29" outlineLevel="1">
      <c r="A29" s="11" t="s">
        <v>45</v>
      </c>
      <c r="I29" s="5"/>
    </row>
    <row r="30" outlineLevel="2">
      <c r="A30" s="14" t="s">
        <v>46</v>
      </c>
      <c r="I30" s="5"/>
    </row>
    <row r="31" outlineLevel="3">
      <c r="A31" s="15" t="s">
        <v>47</v>
      </c>
      <c r="B31" s="0" t="s">
        <v>48</v>
      </c>
      <c r="C31" s="13">
        <v>31.2</v>
      </c>
      <c r="D31" s="13"/>
      <c r="E31" s="13"/>
      <c r="F31" s="13"/>
      <c r="G31" s="13"/>
      <c r="I31" s="5"/>
      <c r="J31" s="0" t="s">
        <v>34</v>
      </c>
    </row>
    <row r="32" outlineLevel="2">
      <c r="A32" s="14" t="s">
        <v>49</v>
      </c>
      <c r="I32" s="5"/>
    </row>
    <row r="33" outlineLevel="3">
      <c r="A33" s="15" t="s">
        <v>50</v>
      </c>
      <c r="B33" s="0" t="s">
        <v>48</v>
      </c>
      <c r="C33" s="13">
        <v>31.2</v>
      </c>
      <c r="D33" s="13"/>
      <c r="E33" s="13"/>
      <c r="F33" s="13"/>
      <c r="G33" s="13"/>
      <c r="I33" s="5"/>
      <c r="J33" s="0" t="s">
        <v>37</v>
      </c>
    </row>
    <row r="34">
      <c r="I34" s="5"/>
    </row>
    <row r="35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  <mergeCell ref="C31:E31"/>
    <mergeCell ref="C33:E33"/>
  </mergeCells>
  <dataValidations count="1">
    <dataValidation type="decimal" sqref="C18" errorStyle="stop" promptTitle="Enter moisture content" errorTitle="Invalid moisture content" prompt="Value should be between 0 and 100.&#10;Original value: 8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https://phyllis.nl/Biomass/View/1978</dc:description>
  <dcterms:created xsi:type="dcterms:W3CDTF">2026-03-17T05:42:10Z</dcterms:created>
  <dc:title>Phyllis2 #1978 olive pits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