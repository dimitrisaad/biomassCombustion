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79 peanut shells" sheetId="1" r:id="rId1"/>
  </sheets>
  <definedNames>
    <definedName name="w" localSheetId="0">IF(ISBLANK('Phyllis2 #1979 peanut shells'!$C$19),#N/A,'Phyllis2 #1979 peanut shells'!$C$19/100)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<sst xmlns="http://schemas.openxmlformats.org/spreadsheetml/2006/main" count="48" uniqueCount="48">
  <si>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</si>
  <si>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https://phyllis.nl/Biomass/View/1979</t>
  </si>
  <si>
    <t>peanut shells (#1979)</t>
  </si>
  <si>
    <t>ID-number</t>
  </si>
  <si>
    <t>#1979</t>
  </si>
  <si>
    <t>Material</t>
  </si>
  <si>
    <t>peanut shells</t>
  </si>
  <si>
    <t>Classification</t>
  </si>
  <si>
    <t>ECN Phyllis classification &gt; husk/shell/pit &gt; peanut &gt; peanut shells</t>
  </si>
  <si>
    <t>NTA 8003 classification &gt; [200] biomassa uit land- en tuinbouw &gt; [230] restproducten (doppen) &gt; [233] pindadoppen</t>
  </si>
  <si>
    <t>Submitter organisation</t>
  </si>
  <si>
    <t>ECN (Netherlands)</t>
  </si>
  <si>
    <t>Submission date</t>
  </si>
  <si>
    <t>Remarks</t>
  </si>
  <si>
    <t>data on char in records 1980 to 1982</t>
  </si>
  <si>
    <t>Literature</t>
  </si>
  <si>
    <t>Cukierman,A.L.; Della Rocca,P.A.; Bonelli,P.; Cerrella,E.G.: Pyrolysis of an agricultural by-product: a characterization study; Proc. 4th biomass conference of the Americas, p.1201-1207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</si>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</sst>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7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IFERROR(1.7*(1-w),"")</f>
        <v/>
      </c>
      <c r="D20" s="13">
        <v>1.7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IFERROR(84.9*(1-w),"")</f>
        <v/>
      </c>
      <c r="D21" s="13">
        <v>84.9</v>
      </c>
      <c r="E21" s="13">
        <v>86.3682604272635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IFERROR(13.4*(1-w),"")</f>
        <v/>
      </c>
      <c r="D22" s="13">
        <v>13.399999999999991</v>
      </c>
      <c r="E22" s="13">
        <v>13.631739572736512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IFERROR(46.5942*(1-w),"")</f>
        <v/>
      </c>
      <c r="D24" s="13">
        <v>46.5942</v>
      </c>
      <c r="E24" s="13">
        <v>47.4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IFERROR(5.9963*(1-w),"")</f>
        <v/>
      </c>
      <c r="D25" s="13">
        <v>5.9963</v>
      </c>
      <c r="E25" s="13">
        <v>6.1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IFERROR(43.6452*(1-w),"")</f>
        <v/>
      </c>
      <c r="D26" s="13">
        <v>43.6452</v>
      </c>
      <c r="E26" s="13">
        <v>44.400000000000006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IFERROR(2.0643*(1-w),"")</f>
        <v/>
      </c>
      <c r="D27" s="13">
        <v>2.0643</v>
      </c>
      <c r="E27" s="13">
        <v>2.0999999999999996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IFERROR(100*(1-w)+w*100,"")</f>
        <v/>
      </c>
      <c r="D28" s="13">
        <v>100.00000000000001</v>
      </c>
      <c r="E28" s="13">
        <v>100.00000000000001</v>
      </c>
      <c r="F28" s="13"/>
      <c r="G28" s="13"/>
      <c r="I28" s="5"/>
      <c r="J28" s="0" t="s">
        <v>37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IFERROR(18.30502297*(1-w),"")</f>
        <v/>
      </c>
      <c r="D30" s="13">
        <v>18.30502297</v>
      </c>
      <c r="E30" s="13">
        <v>18.62159</v>
      </c>
      <c r="F30" s="13"/>
      <c r="G30" s="13"/>
      <c r="I30" s="5"/>
      <c r="J30" s="0" t="s">
        <v>37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https://phyllis.nl/Biomass/View/1979</dc:description>
  <dcterms:created xsi:type="dcterms:W3CDTF">2026-03-17T05:46:37Z</dcterms:created>
  <dc:title>Phyllis2 #1979 peanut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