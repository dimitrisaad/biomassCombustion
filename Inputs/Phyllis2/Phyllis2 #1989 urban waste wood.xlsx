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89 urban waste wood" sheetId="1" r:id="rId1"/>
  </sheets>
  <definedNames>
    <definedName name="w" localSheetId="0">IF(ISBLANK('Phyllis2 #1989 urban waste wood'!$C$18),#N/A,'Phyllis2 #1989 urban waste wood'!$C$18/100)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<sst xmlns="http://schemas.openxmlformats.org/spreadsheetml/2006/main" count="49" uniqueCount="49">
  <si>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</si>
  <si>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https://phyllis.nl/Biomass/View/1989</t>
  </si>
  <si>
    <t>urban waste wood (#1989)</t>
  </si>
  <si>
    <t>ID-number</t>
  </si>
  <si>
    <t>#1989</t>
  </si>
  <si>
    <t>Material</t>
  </si>
  <si>
    <t>urban waste wood</t>
  </si>
  <si>
    <t>Classification</t>
  </si>
  <si>
    <t>ECN Phyllis classification &gt; treated wood &gt; others &gt; urban waste wood</t>
  </si>
  <si>
    <t>NTA 8003 classification &gt; [100] hout &gt; [150] verwerkt hout</t>
  </si>
  <si>
    <t>Submitter organisation</t>
  </si>
  <si>
    <t>ECN (Netherlands)</t>
  </si>
  <si>
    <t>Submission date</t>
  </si>
  <si>
    <t>Literature</t>
  </si>
  <si>
    <t>Tillman,D.A.; Hus,P.J.: Cofiring multiple oppurtunity fuels for cost-effective biomass utilization; Proc. 4th biomass conference of the Americas, p.1349-1354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</si>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</sst>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8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36944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14.64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IFERROR(3.19*(1-w),"")</f>
        <v>2.722984</v>
      </c>
      <c r="D19" s="13">
        <v>3.19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IFERROR(74.63*(1-w),"")</f>
        <v>63.704167999999996</v>
      </c>
      <c r="D20" s="13">
        <v>74.63</v>
      </c>
      <c r="E20" s="13">
        <v>77.089143683503764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IFERROR(22.18*(1-w),"")</f>
        <v>18.932848000000007</v>
      </c>
      <c r="D21" s="13">
        <v>22.180000000000007</v>
      </c>
      <c r="E21" s="13">
        <v>22.910856316496236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IFERROR(51.55811*(1-w),"")</f>
        <v>44.010002696</v>
      </c>
      <c r="D23" s="13">
        <v>51.55811</v>
      </c>
      <c r="E23" s="13">
        <v>53.257008573494474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IFERROR(6.326148*(1-w),"")</f>
        <v>5.3999999328</v>
      </c>
      <c r="D24" s="13">
        <v>6.326148</v>
      </c>
      <c r="E24" s="13">
        <v>6.5346017973349859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IFERROR(36.55108*(1-w),"")</f>
        <v>31.200001888</v>
      </c>
      <c r="D25" s="13">
        <v>36.55108</v>
      </c>
      <c r="E25" s="13">
        <v>37.755479805805187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IFERROR(1.452671*(1-w),"")</f>
        <v>1.2399999656</v>
      </c>
      <c r="D26" s="13">
        <v>1.452671</v>
      </c>
      <c r="E26" s="13">
        <v>1.5005381675446752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IFERROR(0.2225867*(1-w),"")</f>
        <v>0.19000000712</v>
      </c>
      <c r="D27" s="13">
        <v>0.2225867</v>
      </c>
      <c r="E27" s="13">
        <v>0.22992118582791035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IFERROR(99.3005957*(1-w)+w*100,"")</f>
        <v>99.40298848952</v>
      </c>
      <c r="D28" s="13">
        <v>99.300595699999988</v>
      </c>
      <c r="E28" s="13">
        <v>99.277549530007221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IFERROR(18.76245*(1-w)-w*2.443,"")</f>
        <v>15.65797212</v>
      </c>
      <c r="D30" s="13">
        <v>18.76245</v>
      </c>
      <c r="E30" s="13">
        <v>19.38069414316703</v>
      </c>
      <c r="F30" s="13"/>
      <c r="G30" s="13"/>
      <c r="I30" s="5"/>
    </row>
    <row r="31" outlineLevel="2">
      <c r="A31" s="12" t="s">
        <v>47</v>
      </c>
      <c r="B31" s="0" t="s">
        <v>46</v>
      </c>
      <c r="C31" s="13">
        <f>IFERROR(20.14292*(1-w),"")</f>
        <v>17.193996512000002</v>
      </c>
      <c r="D31" s="13">
        <v>20.14292</v>
      </c>
      <c r="E31" s="13">
        <v>20.806652205350687</v>
      </c>
      <c r="F31" s="13"/>
      <c r="G31" s="13"/>
      <c r="I31" s="5"/>
    </row>
    <row r="32" outlineLevel="2">
      <c r="A32" s="12" t="s">
        <v>48</v>
      </c>
      <c r="B32" s="0" t="s">
        <v>46</v>
      </c>
      <c r="C32" s="13">
        <f>IFERROR(21.35205243692*(1-w),"")</f>
        <v>18.226111960154913</v>
      </c>
      <c r="D32" s="13">
        <v>21.35205243692</v>
      </c>
      <c r="E32" s="13">
        <v>22.055626936184279</v>
      </c>
      <c r="F32" s="13"/>
      <c r="G32" s="13"/>
      <c r="I32" s="5"/>
      <c r="J32" s="0" t="s">
        <v>35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14.6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https://phyllis.nl/Biomass/View/1989</dc:description>
  <dcterms:created xsi:type="dcterms:W3CDTF">2026-03-19T04:04:25Z</dcterms:created>
  <dc:title>Phyllis2 #1989 urban waste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