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0 miscanthus, low " sheetId="1" r:id="rId1"/>
  </sheets>
  <definedNames>
    <definedName name="w" localSheetId="0">IF(ISBLANK('Phyllis2 #1990 miscanthus, low '!$C$19),#N/A,'Phyllis2 #1990 miscanthus, low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<sst xmlns="http://schemas.openxmlformats.org/spreadsheetml/2006/main" count="66" uniqueCount="66">
  <si>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</si>
  <si>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https://phyllis.nl/Biomass/View/1990</t>
  </si>
  <si>
    <t>miscanthus, low K (#1990)</t>
  </si>
  <si>
    <t>ID-number</t>
  </si>
  <si>
    <t>#1990</t>
  </si>
  <si>
    <t>Material</t>
  </si>
  <si>
    <t>miscanthus, low K</t>
  </si>
  <si>
    <t>Classification</t>
  </si>
  <si>
    <t>ECN Phyllis classification &gt; grass/plant &gt; miscanthus</t>
  </si>
  <si>
    <t>NTA 8003 classification &gt; [200] biomassa uit land- en tuinbouw &gt; [210] gras &gt; [212] olifantsgras/miscanthus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</si>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</sst>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25.6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IFERROR(1.1*(1-w),"")</f>
        <v>0.8184</v>
      </c>
      <c r="D20" s="13">
        <v>1.1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IFERROR(77.9*(1-w),"")</f>
        <v>57.957600000000006</v>
      </c>
      <c r="D21" s="13">
        <v>77.9</v>
      </c>
      <c r="E21" s="13">
        <v>78.766430738119325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IFERROR(21*(1-w),"")</f>
        <v>15.624</v>
      </c>
      <c r="D22" s="13">
        <v>21</v>
      </c>
      <c r="E22" s="13">
        <v>21.233569261880689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IFERROR(49*(1-w),"")</f>
        <v>36.456</v>
      </c>
      <c r="D24" s="13">
        <v>49</v>
      </c>
      <c r="E24" s="13">
        <v>49.544994944388272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IFERROR(6*(1-w),"")</f>
        <v>4.464</v>
      </c>
      <c r="D25" s="13">
        <v>6</v>
      </c>
      <c r="E25" s="13">
        <v>6.0667340748230538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IFERROR(43.8*(1-w),"")</f>
        <v>32.587199999999996</v>
      </c>
      <c r="D26" s="13">
        <v>43.8</v>
      </c>
      <c r="E26" s="13">
        <v>44.287158746208291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IFERROR(0.6*(1-w),"")</f>
        <v>0.44639999999999996</v>
      </c>
      <c r="D27" s="13">
        <v>0.6</v>
      </c>
      <c r="E27" s="13">
        <v>0.60667340748230536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45</v>
      </c>
      <c r="C28" s="13"/>
      <c r="D28" s="13"/>
      <c r="E28" s="13"/>
      <c r="F28" s="13"/>
      <c r="G28" s="13">
        <v>0.1</v>
      </c>
      <c r="I28" s="5"/>
    </row>
    <row r="29" outlineLevel="2">
      <c r="A29" s="12" t="s">
        <v>46</v>
      </c>
      <c r="B29" s="0" t="s">
        <v>33</v>
      </c>
      <c r="C29" s="13">
        <f>IFERROR(100.5*(1-w)+w*100,"")</f>
        <v>100.37199999999999</v>
      </c>
      <c r="D29" s="13">
        <v>100.49999999999999</v>
      </c>
      <c r="E29" s="13">
        <v>100.50556117290192</v>
      </c>
      <c r="F29" s="13"/>
      <c r="G29" s="13"/>
      <c r="I29" s="5"/>
      <c r="J29" s="0" t="s">
        <v>37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4"/>
      <c r="D31" s="14"/>
      <c r="E31" s="14"/>
      <c r="F31" s="14"/>
      <c r="G31" s="14">
        <v>1000</v>
      </c>
      <c r="I31" s="5"/>
    </row>
    <row r="32" outlineLevel="1">
      <c r="A32" s="11" t="s">
        <v>50</v>
      </c>
      <c r="I32" s="5"/>
    </row>
    <row r="33" outlineLevel="2">
      <c r="A33" s="12" t="s">
        <v>51</v>
      </c>
      <c r="B33" s="0" t="s">
        <v>52</v>
      </c>
      <c r="C33" s="13">
        <f>IFERROR(18.0907*(1-w)-w*2.443,"")</f>
        <v>12.834072799999998</v>
      </c>
      <c r="D33" s="13">
        <v>18.0907</v>
      </c>
      <c r="E33" s="13">
        <v>18.291911021233567</v>
      </c>
      <c r="F33" s="13"/>
      <c r="G33" s="13"/>
      <c r="I33" s="5"/>
    </row>
    <row r="34" outlineLevel="2">
      <c r="A34" s="12" t="s">
        <v>53</v>
      </c>
      <c r="B34" s="0" t="s">
        <v>52</v>
      </c>
      <c r="C34" s="13">
        <f>IFERROR(19.4*(1-w),"")</f>
        <v>14.433599999999998</v>
      </c>
      <c r="D34" s="13">
        <v>19.4</v>
      </c>
      <c r="E34" s="13">
        <v>19.61577350859454</v>
      </c>
      <c r="F34" s="13"/>
      <c r="G34" s="13"/>
      <c r="I34" s="5"/>
    </row>
    <row r="35" outlineLevel="2">
      <c r="A35" s="12" t="s">
        <v>54</v>
      </c>
      <c r="B35" s="0" t="s">
        <v>52</v>
      </c>
      <c r="C35" s="13">
        <f>IFERROR(19.29635513*(1-w),"")</f>
        <v>14.35648821672</v>
      </c>
      <c r="D35" s="13">
        <v>19.296355130000002</v>
      </c>
      <c r="E35" s="13">
        <v>19.510975864509607</v>
      </c>
      <c r="F35" s="13"/>
      <c r="G35" s="13"/>
      <c r="I35" s="5"/>
      <c r="J35" s="0" t="s">
        <v>37</v>
      </c>
    </row>
    <row r="36">
      <c r="A36" s="7" t="s">
        <v>55</v>
      </c>
      <c r="I36" s="5"/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3">
        <v>6.5</v>
      </c>
      <c r="D38" s="13"/>
      <c r="E38" s="13"/>
      <c r="F38" s="13"/>
      <c r="G38" s="13"/>
      <c r="I38" s="5"/>
    </row>
    <row r="39" outlineLevel="2">
      <c r="A39" s="12" t="s">
        <v>59</v>
      </c>
      <c r="B39" s="0" t="s">
        <v>58</v>
      </c>
      <c r="C39" s="13">
        <v>53.3</v>
      </c>
      <c r="D39" s="13"/>
      <c r="E39" s="13"/>
      <c r="F39" s="13"/>
      <c r="G39" s="13"/>
      <c r="I39" s="5"/>
    </row>
    <row r="40" outlineLevel="2">
      <c r="A40" s="12" t="s">
        <v>60</v>
      </c>
      <c r="B40" s="0" t="s">
        <v>58</v>
      </c>
      <c r="C40" s="13">
        <v>1.2</v>
      </c>
      <c r="D40" s="13"/>
      <c r="E40" s="13"/>
      <c r="F40" s="13"/>
      <c r="G40" s="13"/>
      <c r="I40" s="5"/>
    </row>
    <row r="41" outlineLevel="2">
      <c r="A41" s="12" t="s">
        <v>61</v>
      </c>
      <c r="B41" s="0" t="s">
        <v>58</v>
      </c>
      <c r="C41" s="13">
        <v>2.4</v>
      </c>
      <c r="D41" s="13"/>
      <c r="E41" s="13"/>
      <c r="F41" s="13"/>
      <c r="G41" s="13"/>
      <c r="I41" s="5"/>
    </row>
    <row r="42" outlineLevel="2">
      <c r="A42" s="12" t="s">
        <v>62</v>
      </c>
      <c r="B42" s="0" t="s">
        <v>58</v>
      </c>
      <c r="C42" s="13">
        <v>12.7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58</v>
      </c>
      <c r="C43" s="13">
        <v>10.8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58</v>
      </c>
      <c r="C44" s="13">
        <v>1.3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58</v>
      </c>
      <c r="C45" s="13">
        <v>5.2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8:E28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25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https://phyllis.nl/Biomass/View/1990</dc:description>
  <dcterms:created xsi:type="dcterms:W3CDTF">2026-03-04T04:16:15Z</dcterms:created>
  <dc:title>Phyllis2 #1990 miscanthus, low 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