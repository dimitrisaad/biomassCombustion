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91 miscanthus, high" sheetId="1" r:id="rId1"/>
  </sheets>
  <definedNames>
    <definedName name="w" localSheetId="0">IF(ISBLANK('Phyllis2 #1991 miscanthus, high'!$C$19),#N/A,'Phyllis2 #1991 miscanthus, high'!$C$19/100)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<sst xmlns="http://schemas.openxmlformats.org/spreadsheetml/2006/main" count="65" uniqueCount="65">
  <si>
    <t>Phyllis2</t>
  </si>
  <si>
    <t>https://phyllis.nl/Biomass/View/1991</t>
  </si>
  <si>
    <t>miscanthus, high K (#1991)</t>
  </si>
  <si>
    <t>ID-number</t>
  </si>
  <si>
    <t>#1991</t>
  </si>
  <si>
    <t>Material</t>
  </si>
  <si>
    <t>miscanthus, high K</t>
  </si>
  <si>
    <t>Classification</t>
  </si>
  <si>
    <t>ECN Phyllis classification &gt; grass/plant &gt; miscanthus</t>
  </si>
  <si>
    <t>NTA 8003 classification &gt; [200] biomassa uit land- en tuinbouw &gt; [210] gras &gt; [212] olifantsgras/miscanthus</t>
  </si>
  <si>
    <t>Ash type</t>
  </si>
  <si>
    <t>Swedish ash standard Biobränslen-Bestämning av askhalt SS 18 71 71</t>
  </si>
  <si>
    <t>Submitter organisation</t>
  </si>
  <si>
    <t>ECN (Netherlands)</t>
  </si>
  <si>
    <t>Submission date</t>
  </si>
  <si>
    <t>Literature</t>
  </si>
  <si>
    <t>Hallgren,A.L.; Engvall,K.; Skrifvars,B.-J.: Ash-induced operational difficulties in fluidised bed firing of biofuels and waste; Proc. 4th biomass conference of the Americas, p.1365-1370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</si>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</sst>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9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36945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26</v>
      </c>
      <c r="L15" s="10"/>
    </row>
    <row r="16" s="1" customFormat="1">
      <c r="A16" s="10"/>
      <c r="B16" s="10"/>
      <c r="C16" s="10" t="s">
        <v>27</v>
      </c>
      <c r="D16" s="10" t="s">
        <v>28</v>
      </c>
      <c r="E16" s="10" t="s">
        <v>29</v>
      </c>
      <c r="F16" s="10"/>
      <c r="G16" s="10"/>
      <c r="H16" s="10"/>
      <c r="I16" s="10"/>
      <c r="J16" s="10"/>
      <c r="K16" s="10"/>
      <c r="L16" s="10"/>
    </row>
    <row r="17">
      <c r="A17" s="7" t="s">
        <v>30</v>
      </c>
      <c r="I17" s="5"/>
    </row>
    <row r="18" outlineLevel="1">
      <c r="A18" s="11" t="s">
        <v>31</v>
      </c>
      <c r="I18" s="5"/>
    </row>
    <row r="19" outlineLevel="2">
      <c r="A19" s="12" t="s">
        <v>32</v>
      </c>
      <c r="B19" s="0" t="s">
        <v>33</v>
      </c>
      <c r="C19" s="13">
        <v>9.8</v>
      </c>
      <c r="D19" s="13"/>
      <c r="E19" s="13"/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IFERROR(1.5*(1-w),"")</f>
        <v>1.353</v>
      </c>
      <c r="D20" s="13">
        <v>1.5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IFERROR(82.4*(1-w),"")</f>
        <v>74.32480000000001</v>
      </c>
      <c r="D21" s="13">
        <v>82.4</v>
      </c>
      <c r="E21" s="13">
        <v>83.654822335025386</v>
      </c>
      <c r="F21" s="13"/>
      <c r="G21" s="13"/>
      <c r="I21" s="5"/>
    </row>
    <row r="22" outlineLevel="2">
      <c r="A22" s="12" t="s">
        <v>36</v>
      </c>
      <c r="B22" s="0" t="s">
        <v>33</v>
      </c>
      <c r="C22" s="13">
        <f>IFERROR(16.1*(1-w),"")</f>
        <v>14.522199999999994</v>
      </c>
      <c r="D22" s="13">
        <v>16.099999999999994</v>
      </c>
      <c r="E22" s="13">
        <v>16.345177664974614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33</v>
      </c>
      <c r="C24" s="13">
        <f>IFERROR(48.1*(1-w),"")</f>
        <v>43.3862</v>
      </c>
      <c r="D24" s="13">
        <v>48.1</v>
      </c>
      <c r="E24" s="13">
        <v>48.832487309644669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33</v>
      </c>
      <c r="C25" s="13">
        <f>IFERROR(5.8*(1-w),"")</f>
        <v>5.2316</v>
      </c>
      <c r="D25" s="13">
        <v>5.8</v>
      </c>
      <c r="E25" s="13">
        <v>5.8883248730964466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33</v>
      </c>
      <c r="C26" s="13">
        <f>IFERROR(41.9*(1-w),"")</f>
        <v>37.7938</v>
      </c>
      <c r="D26" s="13">
        <v>41.9</v>
      </c>
      <c r="E26" s="13">
        <v>42.538071065989847</v>
      </c>
      <c r="F26" s="13"/>
      <c r="G26" s="13"/>
      <c r="I26" s="5"/>
      <c r="J26" s="0" t="s">
        <v>40</v>
      </c>
    </row>
    <row r="27" outlineLevel="2">
      <c r="A27" s="12" t="s">
        <v>43</v>
      </c>
      <c r="B27" s="0" t="s">
        <v>33</v>
      </c>
      <c r="C27" s="13">
        <f>IFERROR(0.3*(1-w),"")</f>
        <v>0.2706</v>
      </c>
      <c r="D27" s="13">
        <v>0.3</v>
      </c>
      <c r="E27" s="13">
        <v>0.3045685279187817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33</v>
      </c>
      <c r="C28" s="13">
        <f>IFERROR(0.1*(1-w),"")</f>
        <v>0.0902</v>
      </c>
      <c r="D28" s="13">
        <v>0.1</v>
      </c>
      <c r="E28" s="13">
        <v>0.10152284263959392</v>
      </c>
      <c r="F28" s="13"/>
      <c r="G28" s="13"/>
      <c r="I28" s="5"/>
      <c r="J28" s="0" t="s">
        <v>40</v>
      </c>
    </row>
    <row r="29" outlineLevel="2">
      <c r="A29" s="12" t="s">
        <v>45</v>
      </c>
      <c r="B29" s="0" t="s">
        <v>33</v>
      </c>
      <c r="C29" s="13">
        <f>IFERROR(97.86*(1-w)+w*100,"")</f>
        <v>98.06971999999999</v>
      </c>
      <c r="D29" s="13">
        <v>97.859999999999985</v>
      </c>
      <c r="E29" s="13">
        <v>97.827411167512679</v>
      </c>
      <c r="F29" s="13"/>
      <c r="G29" s="13"/>
      <c r="I29" s="5"/>
      <c r="J29" s="0" t="s">
        <v>37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4">
        <f>IFERROR(1600*(1-w),"")</f>
        <v>1443.2</v>
      </c>
      <c r="D31" s="14">
        <v>1600</v>
      </c>
      <c r="E31" s="14">
        <v>1624.3654822335025</v>
      </c>
      <c r="F31" s="14"/>
      <c r="G31" s="14"/>
      <c r="I31" s="5"/>
      <c r="J31" s="0" t="s">
        <v>40</v>
      </c>
    </row>
    <row r="32" outlineLevel="1">
      <c r="A32" s="11" t="s">
        <v>49</v>
      </c>
      <c r="I32" s="5"/>
    </row>
    <row r="33" outlineLevel="2">
      <c r="A33" s="12" t="s">
        <v>50</v>
      </c>
      <c r="B33" s="0" t="s">
        <v>51</v>
      </c>
      <c r="C33" s="13">
        <f>IFERROR(16.83434*(1-w)-w*2.443,"")</f>
        <v>14.94516068</v>
      </c>
      <c r="D33" s="13">
        <v>16.83434</v>
      </c>
      <c r="E33" s="13">
        <v>17.090700507614216</v>
      </c>
      <c r="F33" s="13"/>
      <c r="G33" s="13"/>
      <c r="I33" s="5"/>
    </row>
    <row r="34" outlineLevel="2">
      <c r="A34" s="12" t="s">
        <v>52</v>
      </c>
      <c r="B34" s="0" t="s">
        <v>51</v>
      </c>
      <c r="C34" s="13">
        <f>IFERROR(18.1*(1-w),"")</f>
        <v>16.3262</v>
      </c>
      <c r="D34" s="13">
        <v>18.1</v>
      </c>
      <c r="E34" s="13">
        <v>18.3756345177665</v>
      </c>
      <c r="F34" s="13"/>
      <c r="G34" s="13"/>
      <c r="I34" s="5"/>
    </row>
    <row r="35" outlineLevel="2">
      <c r="A35" s="12" t="s">
        <v>53</v>
      </c>
      <c r="B35" s="0" t="s">
        <v>51</v>
      </c>
      <c r="C35" s="13">
        <f>IFERROR(18.98995425*(1-w),"")</f>
        <v>17.128938733499997</v>
      </c>
      <c r="D35" s="13">
        <v>18.989954249999997</v>
      </c>
      <c r="E35" s="13">
        <v>19.279141370558374</v>
      </c>
      <c r="F35" s="13"/>
      <c r="G35" s="13"/>
      <c r="I35" s="5"/>
      <c r="J35" s="0" t="s">
        <v>37</v>
      </c>
    </row>
    <row r="36">
      <c r="A36" s="7" t="s">
        <v>54</v>
      </c>
      <c r="I36" s="5"/>
    </row>
    <row r="37" outlineLevel="1">
      <c r="A37" s="11" t="s">
        <v>55</v>
      </c>
      <c r="I37" s="5"/>
    </row>
    <row r="38" outlineLevel="2">
      <c r="A38" s="12" t="s">
        <v>56</v>
      </c>
      <c r="B38" s="0" t="s">
        <v>57</v>
      </c>
      <c r="C38" s="13">
        <v>6.2</v>
      </c>
      <c r="D38" s="13"/>
      <c r="E38" s="13"/>
      <c r="F38" s="13"/>
      <c r="G38" s="13"/>
      <c r="I38" s="5"/>
    </row>
    <row r="39" outlineLevel="2">
      <c r="A39" s="12" t="s">
        <v>58</v>
      </c>
      <c r="B39" s="0" t="s">
        <v>57</v>
      </c>
      <c r="C39" s="13">
        <v>26.3</v>
      </c>
      <c r="D39" s="13"/>
      <c r="E39" s="13"/>
      <c r="F39" s="13"/>
      <c r="G39" s="13"/>
      <c r="I39" s="5"/>
    </row>
    <row r="40" outlineLevel="2">
      <c r="A40" s="12" t="s">
        <v>59</v>
      </c>
      <c r="B40" s="0" t="s">
        <v>57</v>
      </c>
      <c r="C40" s="13">
        <v>1.8</v>
      </c>
      <c r="D40" s="13"/>
      <c r="E40" s="13"/>
      <c r="F40" s="13"/>
      <c r="G40" s="13"/>
      <c r="I40" s="5"/>
    </row>
    <row r="41" outlineLevel="2">
      <c r="A41" s="12" t="s">
        <v>60</v>
      </c>
      <c r="B41" s="0" t="s">
        <v>57</v>
      </c>
      <c r="C41" s="13">
        <v>2.2</v>
      </c>
      <c r="D41" s="13"/>
      <c r="E41" s="13"/>
      <c r="F41" s="13"/>
      <c r="G41" s="13"/>
      <c r="I41" s="5"/>
    </row>
    <row r="42" outlineLevel="2">
      <c r="A42" s="12" t="s">
        <v>61</v>
      </c>
      <c r="B42" s="0" t="s">
        <v>57</v>
      </c>
      <c r="C42" s="13">
        <v>6.3</v>
      </c>
      <c r="D42" s="13"/>
      <c r="E42" s="13"/>
      <c r="F42" s="13"/>
      <c r="G42" s="13"/>
      <c r="I42" s="5"/>
    </row>
    <row r="43" outlineLevel="2">
      <c r="A43" s="12" t="s">
        <v>62</v>
      </c>
      <c r="B43" s="0" t="s">
        <v>57</v>
      </c>
      <c r="C43" s="13">
        <v>4.3</v>
      </c>
      <c r="D43" s="13"/>
      <c r="E43" s="13"/>
      <c r="F43" s="13"/>
      <c r="G43" s="13"/>
      <c r="I43" s="5"/>
    </row>
    <row r="44" outlineLevel="2">
      <c r="A44" s="12" t="s">
        <v>63</v>
      </c>
      <c r="B44" s="0" t="s">
        <v>57</v>
      </c>
      <c r="C44" s="13">
        <v>1.2</v>
      </c>
      <c r="D44" s="13"/>
      <c r="E44" s="13"/>
      <c r="F44" s="13"/>
      <c r="G44" s="13"/>
      <c r="I44" s="5"/>
    </row>
    <row r="45" outlineLevel="2">
      <c r="A45" s="12" t="s">
        <v>64</v>
      </c>
      <c r="B45" s="0" t="s">
        <v>57</v>
      </c>
      <c r="C45" s="13">
        <v>22.3</v>
      </c>
      <c r="D45" s="13"/>
      <c r="E45" s="13"/>
      <c r="F45" s="13"/>
      <c r="G45" s="13"/>
      <c r="I45" s="5"/>
    </row>
    <row r="46">
      <c r="I46" s="5"/>
    </row>
    <row r="47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1:E41"/>
    <mergeCell ref="C42:E42"/>
    <mergeCell ref="C43:E43"/>
    <mergeCell ref="C44:E44"/>
    <mergeCell ref="C45:E45"/>
  </mergeCells>
  <dataValidations count="1">
    <dataValidation type="decimal" sqref="C19" errorStyle="stop" promptTitle="Enter moisture content" errorTitle="Invalid moisture content" prompt="Value should be between 0 and 100.&#10;Original value: 9.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https://phyllis.nl/Biomass/View/1991</dc:description>
  <dcterms:created xsi:type="dcterms:W3CDTF">2026-03-04T04:16:06Z</dcterms:created>
  <dc:title>Phyllis2 #1991 miscanthus, high 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