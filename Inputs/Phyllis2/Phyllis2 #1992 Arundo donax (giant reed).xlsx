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2 Arundo donax (gi" sheetId="1" r:id="rId1"/>
  </sheets>
  <definedNames>
    <definedName name="w" localSheetId="0">IF(ISBLANK('Phyllis2 #1992 Arundo donax (gi'!$C$19),#N/A,'Phyllis2 #1992 Arundo donax (gi'!$C$19/100)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<sst xmlns="http://schemas.openxmlformats.org/spreadsheetml/2006/main" count="59" uniqueCount="59">
  <si>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</si>
  <si>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https://phyllis.nl/Biomass/View/1992</t>
  </si>
  <si>
    <t>Arundo donax (giant reed) (#1992)</t>
  </si>
  <si>
    <t>ID-number</t>
  </si>
  <si>
    <t>#1992</t>
  </si>
  <si>
    <t>Material</t>
  </si>
  <si>
    <t>Arundo donax (giant reed)</t>
  </si>
  <si>
    <t>Classification</t>
  </si>
  <si>
    <t>ECN Phyllis classification &gt; grass/plant &gt; reed &gt; Arundo donax (giant reed)</t>
  </si>
  <si>
    <t>NTA 8003 classification &gt; [200] biomassa uit land- en tuinbouw &gt; [210] gras &gt; [219] overig gras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</si>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</sst>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36.1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IFERROR(3.6*(1-w),"")</f>
        <v>2.3004000000000002</v>
      </c>
      <c r="D20" s="13">
        <v>3.6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IFERROR(77.4*(1-w),"")</f>
        <v>49.458600000000004</v>
      </c>
      <c r="D21" s="13">
        <v>77.4</v>
      </c>
      <c r="E21" s="13">
        <v>80.290456431535276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IFERROR(19*(1-w),"")</f>
        <v>12.141</v>
      </c>
      <c r="D22" s="13">
        <v>19</v>
      </c>
      <c r="E22" s="13">
        <v>19.709543568464731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IFERROR(44.1*(1-w),"")</f>
        <v>28.1799</v>
      </c>
      <c r="D24" s="13">
        <v>44.1</v>
      </c>
      <c r="E24" s="13">
        <v>45.746887966804984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IFERROR(5.2*(1-w),"")</f>
        <v>3.3228</v>
      </c>
      <c r="D25" s="13">
        <v>5.2</v>
      </c>
      <c r="E25" s="13">
        <v>5.394190871369295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IFERROR(47.4*(1-w),"")</f>
        <v>30.2886</v>
      </c>
      <c r="D26" s="13">
        <v>47.4</v>
      </c>
      <c r="E26" s="13">
        <v>49.170124481327804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IFERROR(0.3*(1-w),"")</f>
        <v>0.1917</v>
      </c>
      <c r="D27" s="13">
        <v>0.3</v>
      </c>
      <c r="E27" s="13">
        <v>0.31120331950207469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IFERROR(0.1*(1-w),"")</f>
        <v>0.0639</v>
      </c>
      <c r="D28" s="13">
        <v>0.1</v>
      </c>
      <c r="E28" s="13">
        <v>0.1037344398340249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IFERROR(100.7*(1-w)+w*100,"")</f>
        <v>100.44729999999998</v>
      </c>
      <c r="D29" s="13">
        <v>100.69999999999999</v>
      </c>
      <c r="E29" s="13">
        <v>100.72614107883817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IFERROR(17.16527*(1-w)-w*2.443,"")</f>
        <v>10.08668453</v>
      </c>
      <c r="D31" s="13">
        <v>17.16527</v>
      </c>
      <c r="E31" s="13">
        <v>17.806296680497926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IFERROR(18.3*(1-w),"")</f>
        <v>11.693700000000002</v>
      </c>
      <c r="D32" s="13">
        <v>18.3</v>
      </c>
      <c r="E32" s="13">
        <v>18.983402489626556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IFERROR(16.14226288*(1-w),"")</f>
        <v>10.31490598032</v>
      </c>
      <c r="D33" s="13">
        <v>16.14226288</v>
      </c>
      <c r="E33" s="13">
        <v>16.745085975103734</v>
      </c>
      <c r="F33" s="13"/>
      <c r="G33" s="13"/>
      <c r="I33" s="5"/>
      <c r="J33" s="0" t="s">
        <v>37</v>
      </c>
    </row>
    <row r="34">
      <c r="A34" s="7" t="s">
        <v>51</v>
      </c>
      <c r="I34" s="5"/>
    </row>
    <row r="35" outlineLevel="1">
      <c r="A35" s="11" t="s">
        <v>52</v>
      </c>
      <c r="I35" s="5"/>
    </row>
    <row r="36" outlineLevel="2">
      <c r="A36" s="12" t="s">
        <v>53</v>
      </c>
      <c r="B36" s="0" t="s">
        <v>54</v>
      </c>
      <c r="C36" s="13">
        <v>5.9</v>
      </c>
      <c r="D36" s="13"/>
      <c r="E36" s="13"/>
      <c r="F36" s="13"/>
      <c r="G36" s="13"/>
      <c r="I36" s="5"/>
    </row>
    <row r="37" outlineLevel="2">
      <c r="A37" s="12" t="s">
        <v>55</v>
      </c>
      <c r="B37" s="0" t="s">
        <v>54</v>
      </c>
      <c r="C37" s="13">
        <v>3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54</v>
      </c>
      <c r="C38" s="13">
        <v>8.2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54</v>
      </c>
      <c r="C39" s="13">
        <v>0.3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54</v>
      </c>
      <c r="C40" s="13">
        <v>29</v>
      </c>
      <c r="D40" s="13"/>
      <c r="E40" s="13"/>
      <c r="F40" s="13"/>
      <c r="G40" s="13"/>
      <c r="I40" s="5"/>
    </row>
    <row r="41">
      <c r="I41" s="5"/>
    </row>
    <row r="4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</mergeCells>
  <dataValidations count="1">
    <dataValidation type="decimal" sqref="C19" errorStyle="stop" promptTitle="Enter moisture content" errorTitle="Invalid moisture content" prompt="Value should be between 0 and 100.&#10;Original value: 36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https://phyllis.nl/Biomass/View/1992</dc:description>
  <dcterms:created xsi:type="dcterms:W3CDTF">2026-03-04T04:34:58Z</dcterms:created>
  <dc:title>Phyllis2 #1992 Arundo donax (giant reed)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