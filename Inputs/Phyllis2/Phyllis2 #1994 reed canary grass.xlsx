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4 reed canary gras" sheetId="1" r:id="rId1"/>
  </sheets>
  <definedNames>
    <definedName name="w" localSheetId="0">IF(ISBLANK('Phyllis2 #1994 reed canary gras'!$C$19),#N/A,'Phyllis2 #1994 reed canary gras'!$C$19/100)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<sst xmlns="http://schemas.openxmlformats.org/spreadsheetml/2006/main" count="64" uniqueCount="64">
  <si>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</si>
  <si>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https://phyllis.nl/Biomass/View/1994</t>
  </si>
  <si>
    <t>reed canary grass (#1994)</t>
  </si>
  <si>
    <t>ID-number</t>
  </si>
  <si>
    <t>#1994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</si>
  <si>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</si>
  <si>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</si>
  <si>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</si>
  <si>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</si>
  <si>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</si>
  <si>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Ash type</t>
  </si>
  <si>
    <t>Swedish ash standard Biobränslen-Bestämning av askhalt SS 18 71 71</t>
  </si>
  <si>
    <t>Submitter organisation</t>
  </si>
  <si>
    <t>ECN (Netherlands)</t>
  </si>
  <si>
    <t>Submission date</t>
  </si>
  <si>
    <t>Literature</t>
  </si>
  <si>
    <t>Hallgren,A.L.; Engvall,K.; Skrifvars,B.-J.: Ash-induced operational difficulties in fluidised bed firing of biofuels and waste; Proc. 4th biomass conference of the Americas, p.1365-1370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</si>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</sst>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8.2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IFERROR(7.4*(1-w),"")</f>
        <v>6.7932000000000006</v>
      </c>
      <c r="D20" s="13">
        <v>7.4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IFERROR(75.9*(1-w),"")</f>
        <v>69.676200000000009</v>
      </c>
      <c r="D21" s="13">
        <v>75.9</v>
      </c>
      <c r="E21" s="13">
        <v>81.965442764578839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IFERROR(16.7*(1-w),"")</f>
        <v>15.33059999999999</v>
      </c>
      <c r="D22" s="13">
        <v>16.699999999999989</v>
      </c>
      <c r="E22" s="13">
        <v>18.034557235421154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IFERROR(44.5*(1-w),"")</f>
        <v>40.851</v>
      </c>
      <c r="D24" s="13">
        <v>44.5</v>
      </c>
      <c r="E24" s="13">
        <v>48.056155507559396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IFERROR(5.8*(1-w),"")</f>
        <v>5.3244</v>
      </c>
      <c r="D25" s="13">
        <v>5.8</v>
      </c>
      <c r="E25" s="13">
        <v>6.2634989200863931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IFERROR(41.1*(1-w),"")</f>
        <v>37.729800000000004</v>
      </c>
      <c r="D26" s="13">
        <v>41.1</v>
      </c>
      <c r="E26" s="13">
        <v>44.384449244060477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IFERROR(0.7*(1-w),"")</f>
        <v>0.6426</v>
      </c>
      <c r="D27" s="13">
        <v>0.7</v>
      </c>
      <c r="E27" s="13">
        <v>0.755939524838013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IFERROR(0.1*(1-w),"")</f>
        <v>0.0918</v>
      </c>
      <c r="D28" s="13">
        <v>0.1</v>
      </c>
      <c r="E28" s="13">
        <v>0.10799136069114472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IFERROR(99.6*(1-w)+w*100,"")</f>
        <v>99.632800000000017</v>
      </c>
      <c r="D29" s="13">
        <v>99.600000000000009</v>
      </c>
      <c r="E29" s="13">
        <v>99.568034557235435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/>
      <c r="D31" s="14"/>
      <c r="E31" s="14"/>
      <c r="F31" s="14"/>
      <c r="G31" s="14">
        <v>500</v>
      </c>
      <c r="I31" s="5"/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IFERROR(18.13434*(1-w)-w*2.443,"")</f>
        <v>16.446998120000003</v>
      </c>
      <c r="D33" s="13">
        <v>18.13434</v>
      </c>
      <c r="E33" s="13">
        <v>19.583520518358533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IFERROR(19.4*(1-w),"")</f>
        <v>17.8092</v>
      </c>
      <c r="D34" s="13">
        <v>19.4</v>
      </c>
      <c r="E34" s="13">
        <v>20.950323974082075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IFERROR(17.72811828*(1-w),"")</f>
        <v>16.27441258104</v>
      </c>
      <c r="D35" s="13">
        <v>17.72811828</v>
      </c>
      <c r="E35" s="13">
        <v>19.144836155507562</v>
      </c>
      <c r="F35" s="13"/>
      <c r="G35" s="13"/>
      <c r="I35" s="5"/>
      <c r="J35" s="0" t="s">
        <v>37</v>
      </c>
    </row>
    <row r="36">
      <c r="A36" s="7" t="s">
        <v>54</v>
      </c>
      <c r="I36" s="5"/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3">
        <v>37.2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57</v>
      </c>
      <c r="C39" s="13">
        <v>0.2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57</v>
      </c>
      <c r="C40" s="13">
        <v>0.2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57</v>
      </c>
      <c r="C41" s="13">
        <v>3.8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57</v>
      </c>
      <c r="C42" s="13">
        <v>0.6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57</v>
      </c>
      <c r="C43" s="13">
        <v>0.05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57</v>
      </c>
      <c r="C44" s="13">
        <v>2.5</v>
      </c>
      <c r="D44" s="13"/>
      <c r="E44" s="13"/>
      <c r="F44" s="13"/>
      <c r="G44" s="13"/>
      <c r="I44" s="5"/>
    </row>
    <row r="45">
      <c r="I45" s="5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&#10;Original value: 8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https://phyllis.nl/Biomass/View/1994</dc:description>
  <dcterms:created xsi:type="dcterms:W3CDTF">2026-03-04T04:36:37Z</dcterms:created>
  <dc:title>Phyllis2 #1994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