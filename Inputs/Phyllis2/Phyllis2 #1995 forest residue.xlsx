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5 forest residue" sheetId="1" r:id="rId1"/>
  </sheets>
  <definedNames>
    <definedName name="w" localSheetId="0">IF(ISBLANK('Phyllis2 #1995 forest residue'!$C$19),#N/A,'Phyllis2 #1995 forest residue'!$C$19/100)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<sst xmlns="http://schemas.openxmlformats.org/spreadsheetml/2006/main" count="67" uniqueCount="67">
  <si>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</si>
  <si>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https://phyllis.nl/Biomass/View/1995</t>
  </si>
  <si>
    <t>forest residue (#1995)</t>
  </si>
  <si>
    <t>ID-number</t>
  </si>
  <si>
    <t>#1995</t>
  </si>
  <si>
    <t>Material</t>
  </si>
  <si>
    <t>forest residue</t>
  </si>
  <si>
    <t>Classification</t>
  </si>
  <si>
    <t>ECN Phyllis classification &gt; untreated wood &gt; other soft wood</t>
  </si>
  <si>
    <t>NTA 8003 classification &gt; [100] hout &gt; [110] vers hout &gt; [130] naaldhout &gt; [132] naaldhout met schors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</si>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</sst>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29.6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IFERROR(1.2*(1-w),"")</f>
        <v>0.84479999999999988</v>
      </c>
      <c r="D20" s="13">
        <v>1.2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IFERROR(75.9*(1-w),"")</f>
        <v>53.4336</v>
      </c>
      <c r="D21" s="13">
        <v>75.9</v>
      </c>
      <c r="E21" s="13">
        <v>76.821862348178144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IFERROR(22.9*(1-w),"")</f>
        <v>16.121599999999994</v>
      </c>
      <c r="D22" s="13">
        <v>22.899999999999991</v>
      </c>
      <c r="E22" s="13">
        <v>23.178137651821853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IFERROR(48.2*(1-w),"")</f>
        <v>33.9328</v>
      </c>
      <c r="D24" s="13">
        <v>48.2</v>
      </c>
      <c r="E24" s="13">
        <v>48.785425101214578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IFERROR(6*(1-w),"")</f>
        <v>4.224</v>
      </c>
      <c r="D25" s="13">
        <v>6</v>
      </c>
      <c r="E25" s="13">
        <v>6.0728744939271255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IFERROR(44.6*(1-w),"")</f>
        <v>31.3984</v>
      </c>
      <c r="D26" s="13">
        <v>44.6</v>
      </c>
      <c r="E26" s="13">
        <v>45.1417004048583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IFERROR(0.7*(1-w),"")</f>
        <v>0.49279999999999996</v>
      </c>
      <c r="D27" s="13">
        <v>0.7</v>
      </c>
      <c r="E27" s="13">
        <v>0.70850202429149789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45</v>
      </c>
      <c r="C28" s="13"/>
      <c r="D28" s="13"/>
      <c r="E28" s="13"/>
      <c r="F28" s="13"/>
      <c r="G28" s="13">
        <v>0.1</v>
      </c>
      <c r="I28" s="5"/>
    </row>
    <row r="29" outlineLevel="2">
      <c r="A29" s="12" t="s">
        <v>46</v>
      </c>
      <c r="B29" s="0" t="s">
        <v>33</v>
      </c>
      <c r="C29" s="13">
        <f>IFERROR(100.7*(1-w)+w*100,"")</f>
        <v>100.49280000000002</v>
      </c>
      <c r="D29" s="13">
        <v>100.70000000000002</v>
      </c>
      <c r="E29" s="13">
        <v>100.70850202429152</v>
      </c>
      <c r="F29" s="13"/>
      <c r="G29" s="13"/>
      <c r="I29" s="5"/>
      <c r="J29" s="0" t="s">
        <v>37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4"/>
      <c r="D31" s="14"/>
      <c r="E31" s="14"/>
      <c r="F31" s="14"/>
      <c r="G31" s="14">
        <v>1000</v>
      </c>
      <c r="I31" s="5"/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3">
        <f>IFERROR(16.7907*(1-w)-w*2.443,"")</f>
        <v>11.097524799999999</v>
      </c>
      <c r="D33" s="13">
        <v>16.7907</v>
      </c>
      <c r="E33" s="13">
        <v>16.994635627530364</v>
      </c>
      <c r="F33" s="13"/>
      <c r="G33" s="13"/>
      <c r="I33" s="5"/>
    </row>
    <row r="34" outlineLevel="2">
      <c r="A34" s="12" t="s">
        <v>53</v>
      </c>
      <c r="B34" s="0" t="s">
        <v>52</v>
      </c>
      <c r="C34" s="13">
        <f>IFERROR(18.1*(1-w),"")</f>
        <v>12.7424</v>
      </c>
      <c r="D34" s="13">
        <v>18.1</v>
      </c>
      <c r="E34" s="13">
        <v>18.319838056680165</v>
      </c>
      <c r="F34" s="13"/>
      <c r="G34" s="13"/>
      <c r="I34" s="5"/>
    </row>
    <row r="35" outlineLevel="2">
      <c r="A35" s="12" t="s">
        <v>54</v>
      </c>
      <c r="B35" s="0" t="s">
        <v>52</v>
      </c>
      <c r="C35" s="13">
        <f>IFERROR(18.91406032*(1-w),"")</f>
        <v>13.31549846528</v>
      </c>
      <c r="D35" s="13">
        <v>18.91406032</v>
      </c>
      <c r="E35" s="13">
        <v>19.143785748987856</v>
      </c>
      <c r="F35" s="13"/>
      <c r="G35" s="13"/>
      <c r="I35" s="5"/>
      <c r="J35" s="0" t="s">
        <v>37</v>
      </c>
    </row>
    <row r="36">
      <c r="A36" s="7" t="s">
        <v>55</v>
      </c>
      <c r="I36" s="5"/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3">
        <v>11.6</v>
      </c>
      <c r="D38" s="13"/>
      <c r="E38" s="13"/>
      <c r="F38" s="13"/>
      <c r="G38" s="13"/>
      <c r="I38" s="5"/>
    </row>
    <row r="39" outlineLevel="2">
      <c r="A39" s="12" t="s">
        <v>59</v>
      </c>
      <c r="B39" s="0" t="s">
        <v>58</v>
      </c>
      <c r="C39" s="13">
        <v>2.77</v>
      </c>
      <c r="D39" s="13"/>
      <c r="E39" s="13"/>
      <c r="F39" s="13"/>
      <c r="G39" s="13"/>
      <c r="I39" s="5"/>
    </row>
    <row r="40" outlineLevel="2">
      <c r="A40" s="12" t="s">
        <v>60</v>
      </c>
      <c r="B40" s="0" t="s">
        <v>58</v>
      </c>
      <c r="C40" s="13">
        <v>0.4</v>
      </c>
      <c r="D40" s="13"/>
      <c r="E40" s="13"/>
      <c r="F40" s="13"/>
      <c r="G40" s="13"/>
      <c r="I40" s="5"/>
    </row>
    <row r="41" outlineLevel="2">
      <c r="A41" s="12" t="s">
        <v>61</v>
      </c>
      <c r="B41" s="0" t="s">
        <v>58</v>
      </c>
      <c r="C41" s="13">
        <v>0.7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58</v>
      </c>
      <c r="C42" s="13">
        <v>28.6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58</v>
      </c>
      <c r="C43" s="13">
        <v>6.7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58</v>
      </c>
      <c r="C44" s="13">
        <v>0.9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58</v>
      </c>
      <c r="C45" s="13">
        <v>23.9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58</v>
      </c>
      <c r="C46" s="13">
        <v>0.1</v>
      </c>
      <c r="D46" s="13"/>
      <c r="E46" s="13"/>
      <c r="F46" s="13"/>
      <c r="G46" s="13"/>
      <c r="I46" s="5"/>
    </row>
    <row r="47">
      <c r="I47" s="5"/>
    </row>
    <row r="4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8:E28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9" errorStyle="stop" promptTitle="Enter moisture content" errorTitle="Invalid moisture content" prompt="Value should be between 0 and 100.&#10;Original value: 29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https://phyllis.nl/Biomass/View/1995</dc:description>
  <dcterms:created xsi:type="dcterms:W3CDTF">2026-03-19T07:18:58Z</dcterms:created>
  <dc:title>Phyllis2 #1995 forest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