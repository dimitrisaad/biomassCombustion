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96 wood, pine" sheetId="1" r:id="rId1"/>
  </sheets>
  <definedNames>
    <definedName name="w" localSheetId="0">IF(ISBLANK('Phyllis2 #1996 wood, pine'!$C$19),#N/A,'Phyllis2 #1996 wood, pine'!$C$19/100)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<sst xmlns="http://schemas.openxmlformats.org/spreadsheetml/2006/main" count="59" uniqueCount="59">
  <si>
    <t>Phyllis2</t>
  </si>
  <si>
    <t>https://phyllis.nl/Biomass/View/1996</t>
  </si>
  <si>
    <t>wood, pine (#1996)</t>
  </si>
  <si>
    <t>ID-number</t>
  </si>
  <si>
    <t>#1996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</si>
  <si>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</si>
  <si>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</si>
  <si>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</si>
  <si>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</si>
  <si>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</si>
  <si>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Ash type</t>
  </si>
  <si>
    <t>Swedish ash standard Biobränslen-Bestämning av askhalt SS 18 71 71</t>
  </si>
  <si>
    <t>Submitter organisation</t>
  </si>
  <si>
    <t>ECN (Netherlands)</t>
  </si>
  <si>
    <t>Submission date</t>
  </si>
  <si>
    <t>Literature</t>
  </si>
  <si>
    <t>Hallgren,A.L.; Engvall,K.; Skrifvars,B.-J.: Ash-induced operational difficulties in fluidised bed firing of biofuels and waste; Proc. 4th biomass conference of the Americas, p.1365-1370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</si>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</sst>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9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36945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35</v>
      </c>
      <c r="C20" s="13">
        <f>IFERROR(0.9*(1-w),"")</f>
        <v/>
      </c>
      <c r="D20" s="13">
        <v>0.9</v>
      </c>
      <c r="E20" s="13">
        <v/>
      </c>
      <c r="F20" s="13"/>
      <c r="G20" s="13"/>
      <c r="I20" s="5"/>
    </row>
    <row r="21" outlineLevel="2">
      <c r="A21" s="12" t="s">
        <v>36</v>
      </c>
      <c r="B21" s="0" t="s">
        <v>35</v>
      </c>
      <c r="C21" s="13">
        <f>IFERROR(81.9*(1-w),"")</f>
        <v/>
      </c>
      <c r="D21" s="13">
        <v>81.9</v>
      </c>
      <c r="E21" s="13">
        <v>82.643794147325934</v>
      </c>
      <c r="F21" s="13"/>
      <c r="G21" s="13"/>
      <c r="I21" s="5"/>
    </row>
    <row r="22" outlineLevel="2">
      <c r="A22" s="12" t="s">
        <v>37</v>
      </c>
      <c r="B22" s="0" t="s">
        <v>35</v>
      </c>
      <c r="C22" s="13">
        <f>IFERROR(17.2*(1-w),"")</f>
        <v/>
      </c>
      <c r="D22" s="13">
        <v>17.199999999999989</v>
      </c>
      <c r="E22" s="13">
        <v>17.356205852674055</v>
      </c>
      <c r="F22" s="13"/>
      <c r="G22" s="13"/>
      <c r="I22" s="5"/>
      <c r="J22" s="0" t="s">
        <v>38</v>
      </c>
    </row>
    <row r="23" outlineLevel="1">
      <c r="A23" s="11" t="s">
        <v>39</v>
      </c>
      <c r="I23" s="5"/>
    </row>
    <row r="24" outlineLevel="2">
      <c r="A24" s="12" t="s">
        <v>40</v>
      </c>
      <c r="B24" s="0" t="s">
        <v>35</v>
      </c>
      <c r="C24" s="13">
        <f>IFERROR(52.3*(1-w),"")</f>
        <v/>
      </c>
      <c r="D24" s="13">
        <v>52.3</v>
      </c>
      <c r="E24" s="13">
        <v>52.774974772956604</v>
      </c>
      <c r="F24" s="13"/>
      <c r="G24" s="13"/>
      <c r="I24" s="5"/>
      <c r="J24" s="0" t="s">
        <v>41</v>
      </c>
    </row>
    <row r="25" outlineLevel="2">
      <c r="A25" s="12" t="s">
        <v>42</v>
      </c>
      <c r="B25" s="0" t="s">
        <v>35</v>
      </c>
      <c r="C25" s="13">
        <f>IFERROR(5.8*(1-w),"")</f>
        <v/>
      </c>
      <c r="D25" s="13">
        <v>5.8</v>
      </c>
      <c r="E25" s="13">
        <v>5.8526740665993948</v>
      </c>
      <c r="F25" s="13"/>
      <c r="G25" s="13"/>
      <c r="I25" s="5"/>
      <c r="J25" s="0" t="s">
        <v>41</v>
      </c>
    </row>
    <row r="26" outlineLevel="2">
      <c r="A26" s="12" t="s">
        <v>43</v>
      </c>
      <c r="B26" s="0" t="s">
        <v>35</v>
      </c>
      <c r="C26" s="13">
        <f>IFERROR(40.9*(1-w),"")</f>
        <v/>
      </c>
      <c r="D26" s="13">
        <v>40.9</v>
      </c>
      <c r="E26" s="13">
        <v>41.271442986881937</v>
      </c>
      <c r="F26" s="13"/>
      <c r="G26" s="13"/>
      <c r="I26" s="5"/>
      <c r="J26" s="0" t="s">
        <v>41</v>
      </c>
    </row>
    <row r="27" outlineLevel="2">
      <c r="A27" s="12" t="s">
        <v>44</v>
      </c>
      <c r="B27" s="0" t="s">
        <v>35</v>
      </c>
      <c r="C27" s="13">
        <f>IFERROR(0.2*(1-w),"")</f>
        <v/>
      </c>
      <c r="D27" s="13">
        <v>0.2</v>
      </c>
      <c r="E27" s="13">
        <v>0.20181634712411706</v>
      </c>
      <c r="F27" s="13"/>
      <c r="G27" s="13"/>
      <c r="I27" s="5"/>
      <c r="J27" s="0" t="s">
        <v>41</v>
      </c>
    </row>
    <row r="28" outlineLevel="2">
      <c r="A28" s="12" t="s">
        <v>45</v>
      </c>
      <c r="B28" s="0" t="s">
        <v>35</v>
      </c>
      <c r="C28" s="13">
        <f>IFERROR(100.1*(1-w)+w*100,"")</f>
        <v/>
      </c>
      <c r="D28" s="13">
        <v>100.10000000000001</v>
      </c>
      <c r="E28" s="13">
        <v>100.10090817356206</v>
      </c>
      <c r="F28" s="13"/>
      <c r="G28" s="13"/>
      <c r="I28" s="5"/>
      <c r="J28" s="0" t="s">
        <v>38</v>
      </c>
    </row>
    <row r="29" outlineLevel="1">
      <c r="A29" s="11" t="s">
        <v>46</v>
      </c>
      <c r="I29" s="5"/>
    </row>
    <row r="30" outlineLevel="2">
      <c r="A30" s="12" t="s">
        <v>47</v>
      </c>
      <c r="B30" s="0" t="s">
        <v>48</v>
      </c>
      <c r="C30" s="13">
        <f>IFERROR(19.03434*(1-w)-w*2.443,"")</f>
        <v/>
      </c>
      <c r="D30" s="13">
        <v>19.03434</v>
      </c>
      <c r="E30" s="13">
        <v>19.207204843592333</v>
      </c>
      <c r="F30" s="13"/>
      <c r="G30" s="13"/>
      <c r="I30" s="5"/>
    </row>
    <row r="31" outlineLevel="2">
      <c r="A31" s="12" t="s">
        <v>49</v>
      </c>
      <c r="B31" s="0" t="s">
        <v>48</v>
      </c>
      <c r="C31" s="13">
        <f>IFERROR(20.3*(1-w),"")</f>
        <v/>
      </c>
      <c r="D31" s="13">
        <v>20.3</v>
      </c>
      <c r="E31" s="13">
        <v>20.48435923309788</v>
      </c>
      <c r="F31" s="13"/>
      <c r="G31" s="13"/>
      <c r="I31" s="5"/>
    </row>
    <row r="32" outlineLevel="2">
      <c r="A32" s="12" t="s">
        <v>50</v>
      </c>
      <c r="B32" s="0" t="s">
        <v>48</v>
      </c>
      <c r="C32" s="13">
        <f>IFERROR(20.55625393*(1-w),"")</f>
        <v/>
      </c>
      <c r="D32" s="13">
        <v>20.556253929999997</v>
      </c>
      <c r="E32" s="13">
        <v>20.742940393541875</v>
      </c>
      <c r="F32" s="13"/>
      <c r="G32" s="13"/>
      <c r="I32" s="5"/>
      <c r="J32" s="0" t="s">
        <v>38</v>
      </c>
    </row>
    <row r="33">
      <c r="A33" s="7" t="s">
        <v>51</v>
      </c>
      <c r="I33" s="5"/>
    </row>
    <row r="34" outlineLevel="1">
      <c r="A34" s="11" t="s">
        <v>52</v>
      </c>
      <c r="I34" s="5"/>
    </row>
    <row r="35" outlineLevel="2">
      <c r="A35" s="12" t="s">
        <v>53</v>
      </c>
      <c r="B35" s="0" t="s">
        <v>54</v>
      </c>
      <c r="C35" s="13">
        <v>0.1</v>
      </c>
      <c r="D35" s="13"/>
      <c r="E35" s="13"/>
      <c r="F35" s="13"/>
      <c r="G35" s="13"/>
      <c r="I35" s="5"/>
    </row>
    <row r="36" outlineLevel="2">
      <c r="A36" s="12" t="s">
        <v>55</v>
      </c>
      <c r="B36" s="0" t="s">
        <v>54</v>
      </c>
      <c r="C36" s="13">
        <v>12.3</v>
      </c>
      <c r="D36" s="13"/>
      <c r="E36" s="13"/>
      <c r="F36" s="13"/>
      <c r="G36" s="13"/>
      <c r="I36" s="5"/>
    </row>
    <row r="37" outlineLevel="2">
      <c r="A37" s="12" t="s">
        <v>56</v>
      </c>
      <c r="B37" s="0" t="s">
        <v>54</v>
      </c>
      <c r="C37" s="13">
        <v>0.6</v>
      </c>
      <c r="D37" s="13"/>
      <c r="E37" s="13"/>
      <c r="F37" s="13"/>
      <c r="G37" s="13"/>
      <c r="I37" s="5"/>
    </row>
    <row r="38" outlineLevel="2">
      <c r="A38" s="12" t="s">
        <v>57</v>
      </c>
      <c r="B38" s="0" t="s">
        <v>54</v>
      </c>
      <c r="C38" s="13">
        <v>0.2</v>
      </c>
      <c r="D38" s="13"/>
      <c r="E38" s="13"/>
      <c r="F38" s="13"/>
      <c r="G38" s="13"/>
      <c r="I38" s="5"/>
    </row>
    <row r="39" outlineLevel="2">
      <c r="A39" s="12" t="s">
        <v>58</v>
      </c>
      <c r="B39" s="0" t="s">
        <v>54</v>
      </c>
      <c r="C39" s="13">
        <v>1</v>
      </c>
      <c r="D39" s="13"/>
      <c r="E39" s="13"/>
      <c r="F39" s="13"/>
      <c r="G39" s="13"/>
      <c r="I39" s="5"/>
    </row>
    <row r="40">
      <c r="I40" s="5"/>
    </row>
    <row r="4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39:E39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https://phyllis.nl/Biomass/View/1996</dc:description>
  <dcterms:created xsi:type="dcterms:W3CDTF">2026-03-19T04:25:00Z</dcterms:created>
  <dc:title>Phyllis2 #1996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