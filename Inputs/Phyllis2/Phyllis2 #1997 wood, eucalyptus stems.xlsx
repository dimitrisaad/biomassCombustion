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7 wood, eucalyptus" sheetId="1" r:id="rId1"/>
  </sheets>
  <definedNames>
    <definedName name="w" localSheetId="0">IF(ISBLANK('Phyllis2 #1997 wood, eucalyptus'!$C$19),#N/A,'Phyllis2 #1997 wood,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<sst xmlns="http://schemas.openxmlformats.org/spreadsheetml/2006/main" count="60" uniqueCount="60">
  <si>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</si>
  <si>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https://phyllis.nl/Biomass/View/1997</t>
  </si>
  <si>
    <t>wood, eucalyptus stems (#1997)</t>
  </si>
  <si>
    <t>ID-number</t>
  </si>
  <si>
    <t>#1997</t>
  </si>
  <si>
    <t>Material</t>
  </si>
  <si>
    <t>wood, eucalyptus stems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</si>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</sst>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35</v>
      </c>
      <c r="C20" s="13">
        <f>IFERROR(1.4*(1-w),"")</f>
        <v/>
      </c>
      <c r="D20" s="13">
        <v>1.4</v>
      </c>
      <c r="E20" s="13">
        <v/>
      </c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IFERROR(78.2*(1-w),"")</f>
        <v/>
      </c>
      <c r="D21" s="13">
        <v>78.2</v>
      </c>
      <c r="E21" s="13">
        <v>79.3103448275862</v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IFERROR(20.4*(1-w),"")</f>
        <v/>
      </c>
      <c r="D22" s="13">
        <v>20.399999999999991</v>
      </c>
      <c r="E22" s="13">
        <v>20.689655172413786</v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35</v>
      </c>
      <c r="C24" s="13">
        <f>IFERROR(47.2*(1-w),"")</f>
        <v/>
      </c>
      <c r="D24" s="13">
        <v>47.2</v>
      </c>
      <c r="E24" s="13">
        <v>47.870182555780936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35</v>
      </c>
      <c r="C25" s="13">
        <f>IFERROR(6.5*(1-w),"")</f>
        <v/>
      </c>
      <c r="D25" s="13">
        <v>6.5</v>
      </c>
      <c r="E25" s="13">
        <v>6.5922920892494927</v>
      </c>
      <c r="F25" s="13"/>
      <c r="G25" s="13"/>
      <c r="I25" s="5"/>
      <c r="J25" s="0" t="s">
        <v>41</v>
      </c>
    </row>
    <row r="26" outlineLevel="2">
      <c r="A26" s="12" t="s">
        <v>43</v>
      </c>
      <c r="B26" s="0" t="s">
        <v>35</v>
      </c>
      <c r="C26" s="13">
        <f>IFERROR(44*(1-w),"")</f>
        <v/>
      </c>
      <c r="D26" s="13">
        <v>44</v>
      </c>
      <c r="E26" s="13">
        <v>44.624746450304258</v>
      </c>
      <c r="F26" s="13"/>
      <c r="G26" s="13"/>
      <c r="I26" s="5"/>
      <c r="J26" s="0" t="s">
        <v>41</v>
      </c>
    </row>
    <row r="27" outlineLevel="2">
      <c r="A27" s="12" t="s">
        <v>44</v>
      </c>
      <c r="B27" s="0" t="s">
        <v>35</v>
      </c>
      <c r="C27" s="13">
        <f>IFERROR(0.5*(1-w),"")</f>
        <v/>
      </c>
      <c r="D27" s="13">
        <v>0.5</v>
      </c>
      <c r="E27" s="13">
        <v>0.50709939148073024</v>
      </c>
      <c r="F27" s="13"/>
      <c r="G27" s="13"/>
      <c r="I27" s="5"/>
      <c r="J27" s="0" t="s">
        <v>41</v>
      </c>
    </row>
    <row r="28" outlineLevel="2">
      <c r="A28" s="12" t="s">
        <v>45</v>
      </c>
      <c r="B28" s="0" t="s">
        <v>35</v>
      </c>
      <c r="C28" s="13">
        <f>IFERROR(0.1*(1-w),"")</f>
        <v/>
      </c>
      <c r="D28" s="13">
        <v>0.1</v>
      </c>
      <c r="E28" s="13">
        <v>0.10141987829614606</v>
      </c>
      <c r="F28" s="13"/>
      <c r="G28" s="13"/>
      <c r="I28" s="5"/>
      <c r="J28" s="0" t="s">
        <v>41</v>
      </c>
    </row>
    <row r="29" outlineLevel="2">
      <c r="A29" s="12" t="s">
        <v>46</v>
      </c>
      <c r="B29" s="0" t="s">
        <v>35</v>
      </c>
      <c r="C29" s="13">
        <f>IFERROR(99.7*(1-w)+w*100,"")</f>
        <v/>
      </c>
      <c r="D29" s="13">
        <v>99.7</v>
      </c>
      <c r="E29" s="13">
        <v>99.695740365111561</v>
      </c>
      <c r="F29" s="13"/>
      <c r="G29" s="13"/>
      <c r="I29" s="5"/>
      <c r="J29" s="0" t="s">
        <v>38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3">
        <f>IFERROR(17.58159*(1-w)-w*2.443,"")</f>
        <v/>
      </c>
      <c r="D31" s="13">
        <v>17.58159</v>
      </c>
      <c r="E31" s="13">
        <v>17.831227180527382</v>
      </c>
      <c r="F31" s="13"/>
      <c r="G31" s="13"/>
      <c r="I31" s="5"/>
    </row>
    <row r="32" outlineLevel="2">
      <c r="A32" s="12" t="s">
        <v>50</v>
      </c>
      <c r="B32" s="0" t="s">
        <v>49</v>
      </c>
      <c r="C32" s="13">
        <f>IFERROR(19*(1-w),"")</f>
        <v/>
      </c>
      <c r="D32" s="13">
        <v>19</v>
      </c>
      <c r="E32" s="13">
        <v>19.269776876267748</v>
      </c>
      <c r="F32" s="13"/>
      <c r="G32" s="13"/>
      <c r="I32" s="5"/>
    </row>
    <row r="33" outlineLevel="2">
      <c r="A33" s="12" t="s">
        <v>51</v>
      </c>
      <c r="B33" s="0" t="s">
        <v>49</v>
      </c>
      <c r="C33" s="13">
        <f>IFERROR(19.33393988*(1-w),"")</f>
        <v/>
      </c>
      <c r="D33" s="13">
        <v>19.333939880000003</v>
      </c>
      <c r="E33" s="13">
        <v>19.608458296146047</v>
      </c>
      <c r="F33" s="13"/>
      <c r="G33" s="13"/>
      <c r="I33" s="5"/>
      <c r="J33" s="0" t="s">
        <v>38</v>
      </c>
    </row>
    <row r="34">
      <c r="A34" s="7" t="s">
        <v>52</v>
      </c>
      <c r="I34" s="5"/>
    </row>
    <row r="35" outlineLevel="1">
      <c r="A35" s="11" t="s">
        <v>53</v>
      </c>
      <c r="I35" s="5"/>
    </row>
    <row r="36" outlineLevel="2">
      <c r="A36" s="12" t="s">
        <v>54</v>
      </c>
      <c r="B36" s="0" t="s">
        <v>55</v>
      </c>
      <c r="C36" s="13">
        <v>3.3</v>
      </c>
      <c r="D36" s="13"/>
      <c r="E36" s="13"/>
      <c r="F36" s="13"/>
      <c r="G36" s="13"/>
      <c r="I36" s="5"/>
    </row>
    <row r="37" outlineLevel="2">
      <c r="A37" s="12" t="s">
        <v>56</v>
      </c>
      <c r="B37" s="0" t="s">
        <v>55</v>
      </c>
      <c r="C37" s="13">
        <v>10.8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55</v>
      </c>
      <c r="C38" s="13">
        <v>7.8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55</v>
      </c>
      <c r="C39" s="13">
        <v>1.7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55</v>
      </c>
      <c r="C40" s="13">
        <v>8</v>
      </c>
      <c r="D40" s="13"/>
      <c r="E40" s="13"/>
      <c r="F40" s="13"/>
      <c r="G40" s="13"/>
      <c r="I40" s="5"/>
    </row>
    <row r="41">
      <c r="I41" s="5"/>
    </row>
    <row r="4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https://phyllis.nl/Biomass/View/1997</dc:description>
  <dcterms:created xsi:type="dcterms:W3CDTF">2026-03-19T07:17:53Z</dcterms:created>
  <dc:title>Phyllis2 #1997 wood, eucalyptus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