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8 wood, salix" sheetId="1" r:id="rId1"/>
  </sheets>
  <definedNames>
    <definedName name="w" localSheetId="0">IF(ISBLANK('Phyllis2 #1998 wood, salix'!$C$19),#N/A,'Phyllis2 #1998 wood, salix'!$C$19/100)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<sst xmlns="http://schemas.openxmlformats.org/spreadsheetml/2006/main" count="66" uniqueCount="66">
  <si>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</si>
  <si>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https://phyllis.nl/Biomass/View/1998</t>
  </si>
  <si>
    <t>wood, salix (#1998)</t>
  </si>
  <si>
    <t>ID-number</t>
  </si>
  <si>
    <t>#1998</t>
  </si>
  <si>
    <t>Material</t>
  </si>
  <si>
    <t>wood, salix</t>
  </si>
  <si>
    <t>Classification</t>
  </si>
  <si>
    <t>ECN Phyllis classification &gt; untreated wood &gt; willow &gt; wood, salix</t>
  </si>
  <si>
    <t>NTA 8003 classification &gt; [100] hout &gt; [110] vers hout &gt; [120] loofhout &gt; [122] zacht loofhout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</si>
  <si>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</si>
  <si>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</si>
  <si>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</si>
  <si>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</si>
  <si>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</si>
  <si>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</si>
  <si>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</si>
  <si>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</si>
  <si>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</si>
  <si>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</si>
  <si>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</si>
  <si>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</si>
  <si>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</si>
  <si>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</si>
  <si>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</si>
  <si>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</si>
  <si>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</si>
  <si>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</si>
  <si>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</si>
  <si>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</si>
  <si>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</si>
  <si>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</si>
  <si>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</si>
  <si>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</si>
  <si>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</si>
  <si>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</si>
  <si>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</si>
  <si>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</si>
  <si>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</si>
  <si>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</si>
  <si>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</si>
  <si>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</si>
  <si>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</si>
  <si>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</si>
  <si>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</si>
  <si>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</si>
  <si>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</si>
  <si>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</si>
  <si>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 (dry)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</si>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</sst>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11.4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IFERROR(1.9*(1-w),"")</f>
        <v>1.6834</v>
      </c>
      <c r="D20" s="13">
        <v>1.9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IFERROR(82.6*(1-w),"")</f>
        <v>73.1836</v>
      </c>
      <c r="D21" s="13">
        <v>82.6</v>
      </c>
      <c r="E21" s="13">
        <v>84.199796126401623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IFERROR(15.5*(1-w),"")</f>
        <v>13.733</v>
      </c>
      <c r="D22" s="13">
        <v>15.5</v>
      </c>
      <c r="E22" s="13">
        <v>15.800203873598369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IFERROR(48.6*(1-w),"")</f>
        <v>43.0596</v>
      </c>
      <c r="D24" s="13">
        <v>48.6</v>
      </c>
      <c r="E24" s="13">
        <v>49.541284403669728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IFERROR(6.2*(1-w),"")</f>
        <v>5.4932</v>
      </c>
      <c r="D25" s="13">
        <v>6.2</v>
      </c>
      <c r="E25" s="13">
        <v>6.3200815494393483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IFERROR(43.3*(1-w),"")</f>
        <v>38.3638</v>
      </c>
      <c r="D26" s="13">
        <v>43.3</v>
      </c>
      <c r="E26" s="13">
        <v>44.138634046890928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IFERROR(0.5*(1-w),"")</f>
        <v>0.443</v>
      </c>
      <c r="D27" s="13">
        <v>0.5</v>
      </c>
      <c r="E27" s="13">
        <v>0.509683995922528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IFERROR(0*(1-w),"")</f>
        <v>0</v>
      </c>
      <c r="D28" s="13">
        <v>0</v>
      </c>
      <c r="E28" s="13">
        <v>0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IFERROR(100.5*(1-w)+w*100,"")</f>
        <v>100.44300000000001</v>
      </c>
      <c r="D29" s="13">
        <v>100.5</v>
      </c>
      <c r="E29" s="13">
        <v>100.50968399592253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/>
      <c r="D31" s="14"/>
      <c r="E31" s="14"/>
      <c r="F31" s="14"/>
      <c r="G31" s="14">
        <v>1000</v>
      </c>
      <c r="I31" s="5"/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IFERROR(18.04705*(1-w)-w*2.443,"")</f>
        <v>15.7111843</v>
      </c>
      <c r="D33" s="13">
        <v>18.04705</v>
      </c>
      <c r="E33" s="13">
        <v>18.396585117227318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IFERROR(19.4*(1-w),"")</f>
        <v>17.188399999999998</v>
      </c>
      <c r="D34" s="13">
        <v>19.4</v>
      </c>
      <c r="E34" s="13">
        <v>19.775739041794086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IFERROR(19.48448233*(1-w),"")</f>
        <v>17.263251344380002</v>
      </c>
      <c r="D35" s="13">
        <v>19.484482330000002</v>
      </c>
      <c r="E35" s="13">
        <v>19.861857624872581</v>
      </c>
      <c r="F35" s="13"/>
      <c r="G35" s="13"/>
      <c r="I35" s="5"/>
      <c r="J35" s="0" t="s">
        <v>37</v>
      </c>
    </row>
    <row r="36">
      <c r="A36" s="7" t="s">
        <v>54</v>
      </c>
      <c r="I36" s="5"/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3">
        <v>9.3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57</v>
      </c>
      <c r="C39" s="13">
        <v>22.7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57</v>
      </c>
      <c r="C40" s="13">
        <v>0.4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57</v>
      </c>
      <c r="C41" s="13">
        <v>0.6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57</v>
      </c>
      <c r="C42" s="13">
        <v>38.5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57</v>
      </c>
      <c r="C43" s="13">
        <v>3.6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57</v>
      </c>
      <c r="C44" s="13">
        <v>0.8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57</v>
      </c>
      <c r="C45" s="13">
        <v>15.2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57</v>
      </c>
      <c r="C46" s="13">
        <v>0.1</v>
      </c>
      <c r="D46" s="13"/>
      <c r="E46" s="13"/>
      <c r="F46" s="13"/>
      <c r="G46" s="13"/>
      <c r="I46" s="5"/>
    </row>
    <row r="47">
      <c r="I47" s="5"/>
    </row>
    <row r="4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1:E3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dataValidations count="1">
    <dataValidation type="decimal" sqref="C19" errorStyle="stop" promptTitle="Enter moisture content" errorTitle="Invalid moisture content" prompt="Value should be between 0 and 100.&#10;Original value: 11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https://phyllis.nl/Biomass/View/1998</dc:description>
  <dcterms:created xsi:type="dcterms:W3CDTF">2026-03-19T07:26:43Z</dcterms:created>
  <dc:title>Phyllis2 #1998 wood, salix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