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01 rice straw" sheetId="1" r:id="rId1"/>
  </sheets>
  <definedNames>
    <definedName name="w" localSheetId="0">IF(ISBLANK('Phyllis2 #2001 rice straw'!$C$20),#N/A,'Phyllis2 #2001 rice straw'!$C$20/100)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<sst xmlns="http://schemas.openxmlformats.org/spreadsheetml/2006/main" count="60" uniqueCount="60">
  <si>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</si>
  <si>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https://phyllis.nl/Biomass/View/2001</t>
  </si>
  <si>
    <t>rice straw (#2001)</t>
  </si>
  <si>
    <t>ID-number</t>
  </si>
  <si>
    <t>#2001</t>
  </si>
  <si>
    <t>Material</t>
  </si>
  <si>
    <t>rice straw</t>
  </si>
  <si>
    <t>Classification</t>
  </si>
  <si>
    <t>ECN Phyllis classification &gt; straw (stalk/cob/ear) &gt; rice &gt; rice straw</t>
  </si>
  <si>
    <t>NTA 8003 classification &gt; [200] biomassa uit land- en tuinbouw &gt; [220] stro &gt; [224] rijsthalm</t>
  </si>
  <si>
    <t>Sample lot size</t>
  </si>
  <si>
    <t>milled, smaller than 2 mm</t>
  </si>
  <si>
    <t>Submitter organisation</t>
  </si>
  <si>
    <t>ECN (Netherlands)</t>
  </si>
  <si>
    <t>Submission date</t>
  </si>
  <si>
    <t>Remarks</t>
  </si>
  <si>
    <t xml:space="preserve">gathered from same field as leached straw,  ID 2002; fouling study of heat exchangers</t>
  </si>
  <si>
    <t>Literature</t>
  </si>
  <si>
    <t>Bakker,R.R.; Jenkins,B.M.; Williams,R.B.; Pfaff,D.: Fluidized bed combustion of leached rice straw; Proc. 4th biomass conference of the Americas, p.1425-1431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</si>
  <si>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</si>
  <si>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</si>
  <si>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</si>
  <si>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</si>
  <si>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</si>
  <si>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</si>
  <si>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</si>
  <si>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</si>
  <si>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</si>
  <si>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</si>
  <si>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</si>
  <si>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</si>
  <si>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</si>
  <si>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</si>
  <si>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</si>
  <si>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</si>
  <si>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</si>
  <si>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</si>
  <si>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</si>
  <si>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</si>
  <si>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</si>
  <si>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</si>
  <si>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</si>
  <si>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</si>
  <si>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</si>
  <si>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</si>
  <si>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</si>
  <si>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</si>
  <si>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</si>
  <si>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</si>
  <si>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</si>
  <si>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</si>
  <si>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</si>
  <si>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</si>
  <si>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</si>
  <si>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</si>
  <si>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SiO2</t>
  </si>
  <si>
    <t>wt% (ash)</t>
  </si>
  <si>
    <t>Al2O3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</si>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</sst>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0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36945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IFERROR(18.3*(1-w),"")</f>
        <v>16.653000000000002</v>
      </c>
      <c r="D21" s="13">
        <v>18.3</v>
      </c>
      <c r="E21" s="13">
        <v/>
      </c>
      <c r="F21" s="13"/>
      <c r="G21" s="13"/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34</v>
      </c>
      <c r="C23" s="13">
        <f>IFERROR(39.6*(1-w),"")</f>
        <v>36.036</v>
      </c>
      <c r="D23" s="13">
        <v>39.6</v>
      </c>
      <c r="E23" s="13">
        <v>48.470012239902083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34</v>
      </c>
      <c r="C24" s="13">
        <f>IFERROR(4.6*(1-w),"")</f>
        <v>4.186</v>
      </c>
      <c r="D24" s="13">
        <v>4.6</v>
      </c>
      <c r="E24" s="13">
        <v>5.6303549571603426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34</v>
      </c>
      <c r="C25" s="13">
        <f>IFERROR(36.4*(1-w),"")</f>
        <v>33.124</v>
      </c>
      <c r="D25" s="13">
        <v>36.4</v>
      </c>
      <c r="E25" s="13">
        <v>44.553243574051407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IFERROR(0.7*(1-w),"")</f>
        <v>0.637</v>
      </c>
      <c r="D26" s="13">
        <v>0.7</v>
      </c>
      <c r="E26" s="13">
        <v>0.85679314565483478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34</v>
      </c>
      <c r="C27" s="13">
        <f>IFERROR(0.11*(1-w),"")</f>
        <v>0.10010000000000001</v>
      </c>
      <c r="D27" s="13">
        <v>0.11</v>
      </c>
      <c r="E27" s="13">
        <v>0.1346389228886169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IFERROR(99.97*(1-w)+w*100,"")</f>
        <v>99.9727</v>
      </c>
      <c r="D28" s="13">
        <v>99.97</v>
      </c>
      <c r="E28" s="13">
        <v>99.963280293757663</v>
      </c>
      <c r="F28" s="13"/>
      <c r="G28" s="13"/>
      <c r="I28" s="5"/>
      <c r="J28" s="0" t="s">
        <v>41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IFERROR(2600*(1-w),"")</f>
        <v>2366</v>
      </c>
      <c r="D30" s="14">
        <v>2600</v>
      </c>
      <c r="E30" s="14">
        <v>3182.3745410036722</v>
      </c>
      <c r="F30" s="14"/>
      <c r="G30" s="14"/>
      <c r="I30" s="5"/>
      <c r="J30" s="0" t="s">
        <v>38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IFERROR(14.0962*(1-w)-w*2.443,"")</f>
        <v>12.607671999999999</v>
      </c>
      <c r="D32" s="13">
        <v>14.0962</v>
      </c>
      <c r="E32" s="13">
        <v>17.253610771113831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IFERROR(15.1*(1-w),"")</f>
        <v>13.741</v>
      </c>
      <c r="D33" s="13">
        <v>15.1</v>
      </c>
      <c r="E33" s="13">
        <v>18.482252141982865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IFERROR(14.91159417*(1-w),"")</f>
        <v>13.5695506947</v>
      </c>
      <c r="D34" s="13">
        <v>14.911594169999999</v>
      </c>
      <c r="E34" s="13">
        <v>18.251645250917992</v>
      </c>
      <c r="F34" s="13"/>
      <c r="G34" s="13"/>
      <c r="I34" s="5"/>
      <c r="J34" s="0" t="s">
        <v>41</v>
      </c>
    </row>
    <row r="35">
      <c r="A35" s="7" t="s">
        <v>53</v>
      </c>
      <c r="I35" s="5"/>
    </row>
    <row r="36" outlineLevel="1">
      <c r="A36" s="11" t="s">
        <v>54</v>
      </c>
      <c r="I36" s="5"/>
    </row>
    <row r="37" outlineLevel="2">
      <c r="A37" s="12" t="s">
        <v>55</v>
      </c>
      <c r="B37" s="0" t="s">
        <v>56</v>
      </c>
      <c r="C37" s="13">
        <v>72.2</v>
      </c>
      <c r="D37" s="13"/>
      <c r="E37" s="13"/>
      <c r="F37" s="13"/>
      <c r="G37" s="13"/>
      <c r="I37" s="5"/>
    </row>
    <row r="38" outlineLevel="2">
      <c r="A38" s="12" t="s">
        <v>57</v>
      </c>
      <c r="B38" s="0" t="s">
        <v>56</v>
      </c>
      <c r="C38" s="13">
        <v>0.1</v>
      </c>
      <c r="D38" s="13"/>
      <c r="E38" s="13"/>
      <c r="F38" s="13"/>
      <c r="G38" s="13"/>
      <c r="I38" s="5"/>
    </row>
    <row r="39" outlineLevel="2">
      <c r="A39" s="12" t="s">
        <v>58</v>
      </c>
      <c r="B39" s="0" t="s">
        <v>56</v>
      </c>
      <c r="C39" s="13">
        <v>0.4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56</v>
      </c>
      <c r="C40" s="13">
        <v>16.6</v>
      </c>
      <c r="D40" s="13"/>
      <c r="E40" s="13"/>
      <c r="F40" s="13"/>
      <c r="G40" s="13"/>
      <c r="I40" s="5"/>
    </row>
    <row r="41">
      <c r="I41" s="5"/>
    </row>
    <row r="42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7:E37"/>
    <mergeCell ref="C38:E38"/>
    <mergeCell ref="C39:E39"/>
    <mergeCell ref="C40:E40"/>
  </mergeCells>
  <dataValidations count="1">
    <dataValidation type="decimal" sqref="C20" errorStyle="stop" promptTitle="Enter moisture content" errorTitle="Invalid moisture content" prompt="Value should be between 0 and 100.&#10;Original value: 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https://phyllis.nl/Biomass/View/2001</dc:description>
  <dcterms:created xsi:type="dcterms:W3CDTF">2026-03-17T06:09:47Z</dcterms:created>
  <dc:title>Phyllis2 #2001 rice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