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02 rice straw, leac" sheetId="1" r:id="rId1"/>
  </sheets>
  <definedNames>
    <definedName name="w" localSheetId="0">IF(ISBLANK('Phyllis2 #2002 rice straw, leac'!$C$20),#N/A,'Phyllis2 #2002 rice straw, leac'!$C$20/100)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<sst xmlns="http://schemas.openxmlformats.org/spreadsheetml/2006/main" count="60" uniqueCount="60">
  <si>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</si>
  <si>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https://phyllis.nl/Biomass/View/2002</t>
  </si>
  <si>
    <t>rice straw, leached (#2002)</t>
  </si>
  <si>
    <t>ID-number</t>
  </si>
  <si>
    <t>#2002</t>
  </si>
  <si>
    <t>Material</t>
  </si>
  <si>
    <t>rice straw, leached</t>
  </si>
  <si>
    <t>Classification</t>
  </si>
  <si>
    <t>ECN Phyllis classification &gt; straw (stalk/cob/ear) &gt; rice</t>
  </si>
  <si>
    <t>NTA 8003 classification &gt; [200] biomassa uit land- en tuinbouw &gt; [220] stro &gt; [224] rijsthalm</t>
  </si>
  <si>
    <t>Sample lot size</t>
  </si>
  <si>
    <t>milled, smaller than 2 mm</t>
  </si>
  <si>
    <t>Submitter organisation</t>
  </si>
  <si>
    <t>ECN (Netherlands)</t>
  </si>
  <si>
    <t>Submission date</t>
  </si>
  <si>
    <t>Remarks</t>
  </si>
  <si>
    <t xml:space="preserve">gathered from same field as unleached straw,  ID 2001; fouling study of heat exchangers</t>
  </si>
  <si>
    <t>Literature</t>
  </si>
  <si>
    <t>Bakker,R.R.; Jenkins,B.M.; Williams,R.B.; Pfaff,D.: Fluidized bed combustion of leached rice straw; Proc. 4th biomass conference of the Americas, p.1425-1431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</si>
  <si>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</si>
  <si>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</si>
  <si>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</si>
  <si>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</si>
  <si>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</si>
  <si>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</si>
  <si>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</si>
  <si>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</si>
  <si>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</si>
  <si>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</si>
  <si>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</si>
  <si>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</si>
  <si>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</si>
  <si>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</si>
  <si>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</si>
  <si>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</si>
  <si>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</si>
  <si>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</si>
  <si>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</si>
  <si>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</si>
  <si>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</si>
  <si>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</si>
  <si>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</si>
  <si>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</si>
  <si>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</si>
  <si>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</si>
  <si>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</si>
  <si>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</si>
  <si>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</si>
  <si>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</si>
  <si>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</si>
  <si>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</si>
  <si>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</si>
  <si>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</si>
  <si>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</si>
  <si>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</si>
  <si>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SiO2</t>
  </si>
  <si>
    <t>wt% (ash)</t>
  </si>
  <si>
    <t>Al2O3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</si>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</sst>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IFERROR(22*(1-w),"")</f>
        <v>20.02</v>
      </c>
      <c r="D21" s="13">
        <v>22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IFERROR(38*(1-w),"")</f>
        <v>34.58</v>
      </c>
      <c r="D23" s="13">
        <v>38</v>
      </c>
      <c r="E23" s="13">
        <v>48.717948717948715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IFERROR(4.7*(1-w),"")</f>
        <v>4.277</v>
      </c>
      <c r="D24" s="13">
        <v>4.7</v>
      </c>
      <c r="E24" s="13">
        <v>6.0256410256410255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IFERROR(34.6*(1-w),"")</f>
        <v>31.486</v>
      </c>
      <c r="D25" s="13">
        <v>34.6</v>
      </c>
      <c r="E25" s="13">
        <v>44.358974358974358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IFERROR(0.6*(1-w),"")</f>
        <v>0.546</v>
      </c>
      <c r="D26" s="13">
        <v>0.6</v>
      </c>
      <c r="E26" s="13">
        <v>0.76923076923076916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34</v>
      </c>
      <c r="C27" s="13">
        <f>IFERROR(0.12*(1-w),"")</f>
        <v>0.1092</v>
      </c>
      <c r="D27" s="13">
        <v>0.12</v>
      </c>
      <c r="E27" s="13">
        <v>0.15384615384615383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IFERROR(100.02*(1-w)+w*100,"")</f>
        <v>100.01820000000001</v>
      </c>
      <c r="D28" s="13">
        <v>100.02000000000001</v>
      </c>
      <c r="E28" s="13">
        <v>100.02564102564104</v>
      </c>
      <c r="F28" s="13"/>
      <c r="G28" s="13"/>
      <c r="I28" s="5"/>
      <c r="J28" s="0" t="s">
        <v>41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/>
      <c r="D30" s="14"/>
      <c r="E30" s="14"/>
      <c r="F30" s="14"/>
      <c r="G30" s="14">
        <v>100</v>
      </c>
      <c r="I30" s="5"/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IFERROR(13.87438*(1-w)-w*2.443,"")</f>
        <v>12.405815800000001</v>
      </c>
      <c r="D32" s="13">
        <v>13.87438</v>
      </c>
      <c r="E32" s="13">
        <v>17.787666666666667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IFERROR(14.9*(1-w),"")</f>
        <v>13.559000000000001</v>
      </c>
      <c r="D33" s="13">
        <v>14.9</v>
      </c>
      <c r="E33" s="13">
        <v>19.102564102564102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IFERROR(14.693084*(1-w),"")</f>
        <v>13.370706440000001</v>
      </c>
      <c r="D34" s="13">
        <v>14.693084</v>
      </c>
      <c r="E34" s="13">
        <v>18.837287179487181</v>
      </c>
      <c r="F34" s="13"/>
      <c r="G34" s="13"/>
      <c r="I34" s="5"/>
      <c r="J34" s="0" t="s">
        <v>41</v>
      </c>
    </row>
    <row r="35">
      <c r="A35" s="7" t="s">
        <v>53</v>
      </c>
      <c r="I35" s="5"/>
    </row>
    <row r="36" outlineLevel="1">
      <c r="A36" s="11" t="s">
        <v>54</v>
      </c>
      <c r="I36" s="5"/>
    </row>
    <row r="37" outlineLevel="2">
      <c r="A37" s="12" t="s">
        <v>55</v>
      </c>
      <c r="B37" s="0" t="s">
        <v>56</v>
      </c>
      <c r="C37" s="13">
        <v>82.2</v>
      </c>
      <c r="D37" s="13"/>
      <c r="E37" s="13"/>
      <c r="F37" s="13"/>
      <c r="G37" s="13"/>
      <c r="I37" s="5"/>
    </row>
    <row r="38" outlineLevel="2">
      <c r="A38" s="12" t="s">
        <v>57</v>
      </c>
      <c r="B38" s="0" t="s">
        <v>56</v>
      </c>
      <c r="C38" s="13">
        <v>4.4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56</v>
      </c>
      <c r="C39" s="13">
        <v>0.6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56</v>
      </c>
      <c r="C40" s="13">
        <v>2</v>
      </c>
      <c r="D40" s="13"/>
      <c r="E40" s="13"/>
      <c r="F40" s="13"/>
      <c r="G40" s="13"/>
      <c r="I40" s="5"/>
    </row>
    <row r="41">
      <c r="I41" s="5"/>
    </row>
    <row r="4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0:E30"/>
    <mergeCell ref="C37:E37"/>
    <mergeCell ref="C38:E38"/>
    <mergeCell ref="C39:E39"/>
    <mergeCell ref="C40:E40"/>
  </mergeCells>
  <dataValidations count="1">
    <dataValidation type="decimal" sqref="C20" errorStyle="stop" promptTitle="Enter moisture content" errorTitle="Invalid moisture content" prompt="Value should be between 0 and 100.&#10;Original value: 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https://phyllis.nl/Biomass/View/2002</dc:description>
  <dcterms:created xsi:type="dcterms:W3CDTF">2026-03-17T06:10:32Z</dcterms:created>
  <dc:title>Phyllis2 #2002 rice straw, leached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