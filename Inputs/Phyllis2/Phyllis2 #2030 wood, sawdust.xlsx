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30 wood, sawdust" sheetId="1" r:id="rId1"/>
  </sheets>
  <definedNames>
    <definedName name="w" localSheetId="0">IF(ISBLANK('Phyllis2 #2030 wood, sawdust'!$C$19),#N/A,'Phyllis2 #2030 wood, sawdust'!$C$19/100)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<sst xmlns="http://schemas.openxmlformats.org/spreadsheetml/2006/main" count="63" uniqueCount="63">
  <si>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</si>
  <si>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https://phyllis.nl/Biomass/View/2030</t>
  </si>
  <si>
    <t>wood, sawdust (#2030)</t>
  </si>
  <si>
    <t>ID-number</t>
  </si>
  <si>
    <t>#2030</t>
  </si>
  <si>
    <t>Material</t>
  </si>
  <si>
    <t>wood, sawdust</t>
  </si>
  <si>
    <t>Classification</t>
  </si>
  <si>
    <t>ECN Phyllis classification &gt; untreated wood &gt; other soft wood</t>
  </si>
  <si>
    <t>NTA 8003 classification &gt; [100] hout &gt; [110] vers hout &gt; [115] zaagsel</t>
  </si>
  <si>
    <t>Submitter organisation</t>
  </si>
  <si>
    <t>ECN (Netherlands)</t>
  </si>
  <si>
    <t>Submission date</t>
  </si>
  <si>
    <t>Remarks</t>
  </si>
  <si>
    <t>HHV recalculated from value in Btu/lb</t>
  </si>
  <si>
    <t>Literature</t>
  </si>
  <si>
    <t>Tillman,D.A.: Biomass cofiring: The technology, the experience, the combustion consequences; Biomass and Bioenergy 19 (2000) 365-384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</si>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</sst>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3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36948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34.93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IFERROR(1.06*(1-w),"")</f>
        <v>0.68974200000000008</v>
      </c>
      <c r="D20" s="13">
        <v>1.06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IFERROR(84.57*(1-w),"")</f>
        <v>55.029699</v>
      </c>
      <c r="D21" s="13">
        <v>84.57</v>
      </c>
      <c r="E21" s="13">
        <v>85.47604608853851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IFERROR(14.37*(1-w),"")</f>
        <v>9.3505590000000041</v>
      </c>
      <c r="D22" s="13">
        <v>14.370000000000005</v>
      </c>
      <c r="E22" s="13">
        <v>14.523953911461497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IFERROR(49.27002*(1-w),"")</f>
        <v>32.060002014000005</v>
      </c>
      <c r="D24" s="13">
        <v>49.27002</v>
      </c>
      <c r="E24" s="13">
        <v>49.797877501516076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IFERROR(5.932073*(1-w),"")</f>
        <v>3.8599999011</v>
      </c>
      <c r="D25" s="13">
        <v>5.932073</v>
      </c>
      <c r="E25" s="13">
        <v>5.9956266424095412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IFERROR(43.29184*(1-w),"")</f>
        <v>28.170000288000004</v>
      </c>
      <c r="D26" s="13">
        <v>43.29184</v>
      </c>
      <c r="E26" s="13">
        <v>43.755649888821509</v>
      </c>
      <c r="F26" s="13"/>
      <c r="G26" s="13"/>
      <c r="I26" s="5"/>
      <c r="J26" s="0" t="s">
        <v>39</v>
      </c>
    </row>
    <row r="27" outlineLevel="2">
      <c r="A27" s="12" t="s">
        <v>42</v>
      </c>
      <c r="B27" s="0" t="s">
        <v>32</v>
      </c>
      <c r="C27" s="13">
        <f>IFERROR(0.3995697*(1-w),"")</f>
        <v>0.26000000379000004</v>
      </c>
      <c r="D27" s="13">
        <v>0.3995697</v>
      </c>
      <c r="E27" s="13">
        <v>0.40385051546391759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IFERROR(0.01536806*(1-w),"")</f>
        <v>0.009999996642</v>
      </c>
      <c r="D28" s="13">
        <v>0.01536806</v>
      </c>
      <c r="E28" s="13">
        <v>0.015532706690923792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IFERROR(99.96887076*(1-w)+w*100,"")</f>
        <v>99.979744203532</v>
      </c>
      <c r="D29" s="13">
        <v>99.96887076</v>
      </c>
      <c r="E29" s="13">
        <v>99.96853725490196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3">
        <f>IFERROR(18.11539*(1-w)-w*2.443,"")</f>
        <v>10.934344373000002</v>
      </c>
      <c r="D31" s="13">
        <v>18.11539</v>
      </c>
      <c r="E31" s="13">
        <v>18.309470386092585</v>
      </c>
      <c r="F31" s="13"/>
      <c r="G31" s="13"/>
      <c r="I31" s="5"/>
    </row>
    <row r="32" outlineLevel="2">
      <c r="A32" s="12" t="s">
        <v>48</v>
      </c>
      <c r="B32" s="0" t="s">
        <v>47</v>
      </c>
      <c r="C32" s="13">
        <f>IFERROR(19.40987*(1-w),"")</f>
        <v>12.630002409000003</v>
      </c>
      <c r="D32" s="13">
        <v>19.40987</v>
      </c>
      <c r="E32" s="13">
        <v>19.617818880129374</v>
      </c>
      <c r="F32" s="13"/>
      <c r="G32" s="13"/>
      <c r="I32" s="5"/>
    </row>
    <row r="33" outlineLevel="2">
      <c r="A33" s="12" t="s">
        <v>49</v>
      </c>
      <c r="B33" s="0" t="s">
        <v>47</v>
      </c>
      <c r="C33" s="13">
        <f>IFERROR(19.385316321716*(1-w),"")</f>
        <v>12.614025330540608</v>
      </c>
      <c r="D33" s="13">
        <v>19.385316321716008</v>
      </c>
      <c r="E33" s="13">
        <v>19.593002144447148</v>
      </c>
      <c r="F33" s="13"/>
      <c r="G33" s="13"/>
      <c r="I33" s="5"/>
      <c r="J33" s="0" t="s">
        <v>36</v>
      </c>
    </row>
    <row r="34">
      <c r="A34" s="7" t="s">
        <v>50</v>
      </c>
      <c r="I34" s="5"/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3">
        <v>1.86</v>
      </c>
      <c r="D36" s="13"/>
      <c r="E36" s="13"/>
      <c r="F36" s="13"/>
      <c r="G36" s="13"/>
      <c r="I36" s="5"/>
    </row>
    <row r="37" outlineLevel="2">
      <c r="A37" s="12" t="s">
        <v>54</v>
      </c>
      <c r="B37" s="0" t="s">
        <v>53</v>
      </c>
      <c r="C37" s="13">
        <v>2.06</v>
      </c>
      <c r="D37" s="13"/>
      <c r="E37" s="13"/>
      <c r="F37" s="13"/>
      <c r="G37" s="13"/>
      <c r="I37" s="5"/>
    </row>
    <row r="38" outlineLevel="2">
      <c r="A38" s="12" t="s">
        <v>55</v>
      </c>
      <c r="B38" s="0" t="s">
        <v>53</v>
      </c>
      <c r="C38" s="13">
        <v>23.7</v>
      </c>
      <c r="D38" s="13"/>
      <c r="E38" s="13"/>
      <c r="F38" s="13"/>
      <c r="G38" s="13"/>
      <c r="I38" s="5"/>
    </row>
    <row r="39" outlineLevel="2">
      <c r="A39" s="12" t="s">
        <v>56</v>
      </c>
      <c r="B39" s="0" t="s">
        <v>53</v>
      </c>
      <c r="C39" s="13">
        <v>1.65</v>
      </c>
      <c r="D39" s="13"/>
      <c r="E39" s="13"/>
      <c r="F39" s="13"/>
      <c r="G39" s="13"/>
      <c r="I39" s="5"/>
    </row>
    <row r="40" outlineLevel="2">
      <c r="A40" s="12" t="s">
        <v>57</v>
      </c>
      <c r="B40" s="0" t="s">
        <v>53</v>
      </c>
      <c r="C40" s="13">
        <v>4.1</v>
      </c>
      <c r="D40" s="13"/>
      <c r="E40" s="13"/>
      <c r="F40" s="13"/>
      <c r="G40" s="13"/>
      <c r="I40" s="5"/>
    </row>
    <row r="41" outlineLevel="2">
      <c r="A41" s="12" t="s">
        <v>58</v>
      </c>
      <c r="B41" s="0" t="s">
        <v>53</v>
      </c>
      <c r="C41" s="13">
        <v>39.95</v>
      </c>
      <c r="D41" s="13"/>
      <c r="E41" s="13"/>
      <c r="F41" s="13"/>
      <c r="G41" s="13"/>
      <c r="I41" s="5"/>
    </row>
    <row r="42" outlineLevel="2">
      <c r="A42" s="12" t="s">
        <v>59</v>
      </c>
      <c r="B42" s="0" t="s">
        <v>53</v>
      </c>
      <c r="C42" s="13">
        <v>4.84</v>
      </c>
      <c r="D42" s="13"/>
      <c r="E42" s="13"/>
      <c r="F42" s="13"/>
      <c r="G42" s="13"/>
      <c r="I42" s="5"/>
    </row>
    <row r="43" outlineLevel="2">
      <c r="A43" s="12" t="s">
        <v>60</v>
      </c>
      <c r="B43" s="0" t="s">
        <v>53</v>
      </c>
      <c r="C43" s="13">
        <v>2.25</v>
      </c>
      <c r="D43" s="13"/>
      <c r="E43" s="13"/>
      <c r="F43" s="13"/>
      <c r="G43" s="13"/>
      <c r="I43" s="5"/>
    </row>
    <row r="44" outlineLevel="2">
      <c r="A44" s="12" t="s">
        <v>61</v>
      </c>
      <c r="B44" s="0" t="s">
        <v>53</v>
      </c>
      <c r="C44" s="13">
        <v>9.81</v>
      </c>
      <c r="D44" s="13"/>
      <c r="E44" s="13"/>
      <c r="F44" s="13"/>
      <c r="G44" s="13"/>
      <c r="I44" s="5"/>
    </row>
    <row r="45" outlineLevel="2">
      <c r="A45" s="12" t="s">
        <v>62</v>
      </c>
      <c r="B45" s="0" t="s">
        <v>53</v>
      </c>
      <c r="C45" s="13">
        <v>0.36</v>
      </c>
      <c r="D45" s="13"/>
      <c r="E45" s="13"/>
      <c r="F45" s="13"/>
      <c r="G45" s="13"/>
      <c r="I45" s="5"/>
    </row>
    <row r="46">
      <c r="I46" s="5"/>
    </row>
    <row r="4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19" errorStyle="stop" promptTitle="Enter moisture content" errorTitle="Invalid moisture content" prompt="Value should be between 0 and 100.&#10;Original value: 34.9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https://phyllis.nl/Biomass/View/2030</dc:description>
  <dcterms:created xsi:type="dcterms:W3CDTF">2026-03-19T07:19:31Z</dcterms:created>
  <dc:title>Phyllis2 #2030 wood, sawdust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