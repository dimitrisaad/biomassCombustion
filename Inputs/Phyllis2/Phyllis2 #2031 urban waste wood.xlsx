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1 urban waste wood" sheetId="1" r:id="rId1"/>
  </sheets>
  <definedNames>
    <definedName name="w" localSheetId="0">IF(ISBLANK('Phyllis2 #2031 urban waste wood'!$C$19),#N/A,'Phyllis2 #2031 urban waste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<sst xmlns="http://schemas.openxmlformats.org/spreadsheetml/2006/main" count="58" uniqueCount="58">
  <si>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</si>
  <si>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https://phyllis.nl/Biomass/View/2031</t>
  </si>
  <si>
    <t>urban waste wood (#2031)</t>
  </si>
  <si>
    <t>ID-number</t>
  </si>
  <si>
    <t>#2031</t>
  </si>
  <si>
    <t>Material</t>
  </si>
  <si>
    <t>urban waste wood</t>
  </si>
  <si>
    <t>Classification</t>
  </si>
  <si>
    <t>ECN Phyllis classification &gt; treated wood &gt; others &gt; urban waste wood</t>
  </si>
  <si>
    <t>NTA 8003 classification &gt; [100] hout &gt; [150] verwerkt hout</t>
  </si>
  <si>
    <t>Submitter organisation</t>
  </si>
  <si>
    <t>ECN (Netherlands)</t>
  </si>
  <si>
    <t>Submission date</t>
  </si>
  <si>
    <t>Remarks</t>
  </si>
  <si>
    <t>HHV recalculated from value in Btu/lb; trace metal contents from Hus, P.J. and Tillman,D.A. in Biomass and Bioenergy 19 (2000) 385-394</t>
  </si>
  <si>
    <t>Literature</t>
  </si>
  <si>
    <t>Tillman,D.A.: Biomass cofiring: The technology, the experience, the combustion consequences; Biomass and Bioenergy 19 (2000) 365-384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</si>
  <si>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</si>
  <si>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</si>
  <si>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</si>
  <si>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</si>
  <si>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</si>
  <si>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</si>
  <si>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</si>
  <si>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</si>
  <si>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</si>
  <si>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</si>
  <si>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</si>
  <si>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</si>
  <si>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</si>
  <si>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</si>
  <si>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</si>
  <si>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</si>
  <si>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</si>
  <si>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</si>
  <si>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</si>
  <si>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</si>
  <si>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</si>
  <si>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</si>
  <si>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</si>
  <si>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</si>
  <si>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</si>
  <si>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</si>
  <si>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</si>
  <si>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</si>
  <si>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</si>
  <si>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</si>
  <si>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</si>
  <si>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</si>
  <si>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</si>
  <si>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</si>
  <si>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</si>
  <si>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</si>
  <si>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Chromium (Cr)</t>
  </si>
  <si>
    <t>Mercury (Hg)</t>
  </si>
  <si>
    <t>Nickel (Ni)</t>
  </si>
  <si>
    <t>Lead (Pb)</t>
  </si>
  <si>
    <t>Vanadium (V)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</si>
</sst>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30.78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IFERROR(5.89*(1-w),"")</f>
        <v>4.0770579999999992</v>
      </c>
      <c r="D20" s="13">
        <v>5.89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IFERROR(75.93*(1-w),"")</f>
        <v>52.558746</v>
      </c>
      <c r="D21" s="13">
        <v>75.93</v>
      </c>
      <c r="E21" s="13">
        <v>80.682180427159707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IFERROR(18.18*(1-w),"")</f>
        <v>12.584195999999993</v>
      </c>
      <c r="D22" s="13">
        <v>18.179999999999993</v>
      </c>
      <c r="E22" s="13">
        <v>19.317819572840286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IFERROR(47.99191*(1-w),"")</f>
        <v>33.220000101999993</v>
      </c>
      <c r="D24" s="13">
        <v>47.99191</v>
      </c>
      <c r="E24" s="13">
        <v>50.995547763255757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IFERROR(5.54753*(1-w),"")</f>
        <v>3.8400002659999997</v>
      </c>
      <c r="D25" s="13">
        <v>5.54753</v>
      </c>
      <c r="E25" s="13">
        <v>5.8947295717777068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IFERROR(39.06385*(1-w),"")</f>
        <v>27.039996969999997</v>
      </c>
      <c r="D26" s="13">
        <v>39.06385</v>
      </c>
      <c r="E26" s="13">
        <v>41.508713207948148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IFERROR(1.444669*(1-w),"")</f>
        <v>0.99999988179999988</v>
      </c>
      <c r="D27" s="13">
        <v>1.444669</v>
      </c>
      <c r="E27" s="13">
        <v>1.5350855381999786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IFERROR(0.1011268*(1-w),"")</f>
        <v>0.069999970959999991</v>
      </c>
      <c r="D28" s="13">
        <v>0.1011268</v>
      </c>
      <c r="E28" s="13">
        <v>0.10745595579640846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IFERROR(100.0390858*(1-w)+w*100,"")</f>
        <v>100.02705519076</v>
      </c>
      <c r="D29" s="13">
        <v>100.03908580000001</v>
      </c>
      <c r="E29" s="13">
        <v>100.04153203697801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IFERROR(18.23468*(1-w)-w*2.443,"")</f>
        <v>11.870090096</v>
      </c>
      <c r="D31" s="13">
        <v>18.23468</v>
      </c>
      <c r="E31" s="13">
        <v>19.375921793645734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IFERROR(19.44525*(1-w),"")</f>
        <v>13.46000205</v>
      </c>
      <c r="D32" s="13">
        <v>19.44525</v>
      </c>
      <c r="E32" s="13">
        <v>20.662256933375836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IFERROR(18.76018187978*(1-w),"")</f>
        <v>12.985797897183714</v>
      </c>
      <c r="D33" s="13">
        <v>18.76018187978</v>
      </c>
      <c r="E33" s="13">
        <v>19.9343129101902</v>
      </c>
      <c r="F33" s="13"/>
      <c r="G33" s="13"/>
      <c r="I33" s="5"/>
      <c r="J33" s="0" t="s">
        <v>36</v>
      </c>
    </row>
    <row r="34" outlineLevel="1">
      <c r="A34" s="11" t="s">
        <v>50</v>
      </c>
      <c r="I34" s="5"/>
    </row>
    <row r="35" outlineLevel="2">
      <c r="A35" s="12" t="s">
        <v>51</v>
      </c>
      <c r="B35" s="0" t="s">
        <v>52</v>
      </c>
      <c r="C35" s="14">
        <v>3.1</v>
      </c>
      <c r="D35" s="14"/>
      <c r="E35" s="14"/>
      <c r="F35" s="14"/>
      <c r="G35" s="14"/>
      <c r="I35" s="5"/>
      <c r="J35" s="0" t="s">
        <v>39</v>
      </c>
    </row>
    <row r="36" outlineLevel="2">
      <c r="A36" s="12" t="s">
        <v>53</v>
      </c>
      <c r="B36" s="0" t="s">
        <v>52</v>
      </c>
      <c r="C36" s="14">
        <v>9.5</v>
      </c>
      <c r="D36" s="14"/>
      <c r="E36" s="14"/>
      <c r="F36" s="14"/>
      <c r="G36" s="14"/>
      <c r="I36" s="5"/>
      <c r="J36" s="0" t="s">
        <v>39</v>
      </c>
    </row>
    <row r="37" outlineLevel="2">
      <c r="A37" s="12" t="s">
        <v>54</v>
      </c>
      <c r="B37" s="0" t="s">
        <v>52</v>
      </c>
      <c r="C37" s="14">
        <v>0.018</v>
      </c>
      <c r="D37" s="14"/>
      <c r="E37" s="14"/>
      <c r="F37" s="14"/>
      <c r="G37" s="14"/>
      <c r="I37" s="5"/>
      <c r="J37" s="0" t="s">
        <v>39</v>
      </c>
    </row>
    <row r="38" outlineLevel="2">
      <c r="A38" s="12" t="s">
        <v>55</v>
      </c>
      <c r="B38" s="0" t="s">
        <v>52</v>
      </c>
      <c r="C38" s="14">
        <v>3.8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56</v>
      </c>
      <c r="B39" s="0" t="s">
        <v>52</v>
      </c>
      <c r="C39" s="14">
        <v>4.2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57</v>
      </c>
      <c r="B40" s="0" t="s">
        <v>52</v>
      </c>
      <c r="C40" s="14">
        <v>4.4</v>
      </c>
      <c r="D40" s="14"/>
      <c r="E40" s="14"/>
      <c r="F40" s="14"/>
      <c r="G40" s="14"/>
      <c r="I40" s="5"/>
      <c r="J40" s="0" t="s">
        <v>39</v>
      </c>
    </row>
    <row r="41">
      <c r="I41" s="5"/>
    </row>
    <row r="4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39:E39"/>
    <mergeCell ref="C40:E40"/>
  </mergeCells>
  <dataValidations count="1">
    <dataValidation type="decimal" sqref="C19" errorStyle="stop" promptTitle="Enter moisture content" errorTitle="Invalid moisture content" prompt="Value should be between 0 and 100.&#10;Original value: 30.7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https://phyllis.nl/Biomass/View/2031</dc:description>
  <dcterms:created xsi:type="dcterms:W3CDTF">2026-03-19T04:04:28Z</dcterms:created>
  <dc:title>Phyllis2 #2031 urban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