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2 switchgrass" sheetId="1" r:id="rId1"/>
  </sheets>
  <definedNames>
    <definedName name="w" localSheetId="0">IF(ISBLANK('Phyllis2 #2032 switchgrass'!$C$19),#N/A,'Phyllis2 #2032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<sst xmlns="http://schemas.openxmlformats.org/spreadsheetml/2006/main" count="50" uniqueCount="50">
  <si>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</si>
  <si>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https://phyllis.nl/Biomass/View/2032</t>
  </si>
  <si>
    <t>switchgrass (#2032)</t>
  </si>
  <si>
    <t>ID-number</t>
  </si>
  <si>
    <t>#2032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</si>
  <si>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</si>
  <si>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</si>
  <si>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</si>
  <si>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</si>
  <si>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</si>
  <si>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</si>
  <si>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</si>
  <si>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</si>
  <si>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</si>
  <si>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HHV recalculated from value in Btu/lb</t>
  </si>
  <si>
    <t>Literature</t>
  </si>
  <si>
    <t>Tillman,D.A.: Biomass cofiring: The technology, the experience, the combustion consequences; Biomass and Bioenergy 19 (2000) 365-384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</si>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</sst>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IFERROR(8.98*(1-w),"")</f>
        <v>7.633</v>
      </c>
      <c r="D20" s="13">
        <v>8.98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IFERROR(76.69*(1-w),"")</f>
        <v>65.1865</v>
      </c>
      <c r="D21" s="13">
        <v>76.69</v>
      </c>
      <c r="E21" s="13">
        <v>84.256207426939127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IFERROR(14.33*(1-w),"")</f>
        <v>12.180499999999999</v>
      </c>
      <c r="D22" s="13">
        <v>14.329999999999998</v>
      </c>
      <c r="E22" s="13">
        <v>15.743792573060864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IFERROR(46.68235*(1-w),"")</f>
        <v>39.6799975</v>
      </c>
      <c r="D24" s="13">
        <v>46.68235</v>
      </c>
      <c r="E24" s="13">
        <v>51.288013623379477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IFERROR(5.823529*(1-w),"")</f>
        <v>4.94999965</v>
      </c>
      <c r="D25" s="13">
        <v>5.823529</v>
      </c>
      <c r="E25" s="13">
        <v>6.398076246978686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IFERROR(37.37647*(1-w),"")</f>
        <v>31.769999499999997</v>
      </c>
      <c r="D26" s="13">
        <v>37.37647</v>
      </c>
      <c r="E26" s="13">
        <v>41.064018896945726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IFERROR(0.7647058*(1-w),"")</f>
        <v>0.64999993</v>
      </c>
      <c r="D27" s="13">
        <v>0.7647058</v>
      </c>
      <c r="E27" s="13">
        <v>0.84015139529773675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IFERROR(0.1882353*(1-w),"")</f>
        <v>0.160000005</v>
      </c>
      <c r="D28" s="13">
        <v>0.1882353</v>
      </c>
      <c r="E28" s="13">
        <v>0.20680652603823335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IFERROR(99.8152901*(1-w)+w*100,"")</f>
        <v>99.842996585000009</v>
      </c>
      <c r="D29" s="13">
        <v>99.815290100000013</v>
      </c>
      <c r="E29" s="13">
        <v>99.797066688639873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IFERROR(16.78803*(1-w)-w*2.443,"")</f>
        <v>13.9033755</v>
      </c>
      <c r="D31" s="13">
        <v>16.78803</v>
      </c>
      <c r="E31" s="13">
        <v>18.444330916282134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IFERROR(18.05882*(1-w),"")</f>
        <v>15.349997</v>
      </c>
      <c r="D32" s="13">
        <v>18.05882</v>
      </c>
      <c r="E32" s="13">
        <v>19.84049659415513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IFERROR(18.92830251478*(1-w),"")</f>
        <v>16.089057137563003</v>
      </c>
      <c r="D33" s="13">
        <v>18.928302514780004</v>
      </c>
      <c r="E33" s="13">
        <v>20.795761936695236</v>
      </c>
      <c r="F33" s="13"/>
      <c r="G33" s="13"/>
      <c r="I33" s="5"/>
      <c r="J33" s="0" t="s">
        <v>36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https://phyllis.nl/Biomass/View/2032</dc:description>
  <dcterms:created xsi:type="dcterms:W3CDTF">2026-03-04T04:41:11Z</dcterms:created>
  <dc:title>Phyllis2 #2032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