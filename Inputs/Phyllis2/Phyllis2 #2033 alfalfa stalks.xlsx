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033 alfalfa stalks" sheetId="1" r:id="rId1"/>
  </sheets>
  <definedNames>
    <definedName name="w" localSheetId="0">IF(ISBLANK('Phyllis2 #2033 alfalfa stalks'!$C$19),#N/A,'Phyllis2 #2033 alfalfa stalks'!$C$19/100)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<sst xmlns="http://schemas.openxmlformats.org/spreadsheetml/2006/main" count="50" uniqueCount="50">
  <si>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</si>
  <si>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https://phyllis.nl/Biomass/View/2033</t>
  </si>
  <si>
    <t>alfalfa stalks (#2033)</t>
  </si>
  <si>
    <t>ID-number</t>
  </si>
  <si>
    <t>#2033</t>
  </si>
  <si>
    <t>Material</t>
  </si>
  <si>
    <t>alfalfa stalks</t>
  </si>
  <si>
    <t>Classification</t>
  </si>
  <si>
    <t>ECN Phyllis classification &gt; grass/plant &gt; alfalfa</t>
  </si>
  <si>
    <t>NTA 8003 classification &gt; [200] biomassa uit land- en tuinbouw &gt; [240] gewassen &gt; [249] overige gewassen</t>
  </si>
  <si>
    <t>Submitter organisation</t>
  </si>
  <si>
    <t>ECN (Netherlands)</t>
  </si>
  <si>
    <t>Submission date</t>
  </si>
  <si>
    <t>Remarks</t>
  </si>
  <si>
    <t>HHV recalculated from value in Btu/lb</t>
  </si>
  <si>
    <t>Literature</t>
  </si>
  <si>
    <t>Tillman,D.A.: Biomass cofiring: The technology, the experience, the combustion consequences; Biomass and Bioenergy 19 (2000) 365-384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</si>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</sst>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03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36948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10.48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IFERROR(6.52*(1-w),"")</f>
        <v>5.8367039999999992</v>
      </c>
      <c r="D20" s="13">
        <v>6.52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IFERROR(76.03*(1-w),"")</f>
        <v>68.062056</v>
      </c>
      <c r="D21" s="13">
        <v>76.03</v>
      </c>
      <c r="E21" s="13">
        <v>81.33290543431751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IFERROR(17.45*(1-w),"")</f>
        <v>15.621240000000002</v>
      </c>
      <c r="D22" s="13">
        <v>17.450000000000003</v>
      </c>
      <c r="E22" s="13">
        <v>18.667094565682504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IFERROR(45.35299*(1-w),"")</f>
        <v>40.599996648</v>
      </c>
      <c r="D24" s="13">
        <v>45.35299</v>
      </c>
      <c r="E24" s="13">
        <v>48.516249465126229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IFERROR(5.752904*(1-w),"")</f>
        <v>5.1499996608</v>
      </c>
      <c r="D25" s="13">
        <v>5.752904</v>
      </c>
      <c r="E25" s="13">
        <v>6.1541548994437312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IFERROR(40.23682*(1-w),"")</f>
        <v>36.020001264</v>
      </c>
      <c r="D26" s="13">
        <v>40.23682</v>
      </c>
      <c r="E26" s="13">
        <v>43.043239195549852</v>
      </c>
      <c r="F26" s="13"/>
      <c r="G26" s="13"/>
      <c r="I26" s="5"/>
      <c r="J26" s="0" t="s">
        <v>36</v>
      </c>
    </row>
    <row r="27" outlineLevel="2">
      <c r="A27" s="12" t="s">
        <v>42</v>
      </c>
      <c r="B27" s="0" t="s">
        <v>32</v>
      </c>
      <c r="C27" s="13">
        <f>IFERROR(2.044236*(1-w),"")</f>
        <v>1.8300000672</v>
      </c>
      <c r="D27" s="13">
        <v>2.044236</v>
      </c>
      <c r="E27" s="13">
        <v>2.186816431322208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IFERROR(0.1005362*(1-w),"")</f>
        <v>0.09000000624</v>
      </c>
      <c r="D28" s="13">
        <v>0.1005362</v>
      </c>
      <c r="E28" s="13">
        <v>0.10754835258878906</v>
      </c>
      <c r="F28" s="13"/>
      <c r="G28" s="13"/>
      <c r="I28" s="5"/>
      <c r="J28" s="0" t="s">
        <v>39</v>
      </c>
    </row>
    <row r="29" outlineLevel="2">
      <c r="A29" s="12" t="s">
        <v>44</v>
      </c>
      <c r="B29" s="0" t="s">
        <v>32</v>
      </c>
      <c r="C29" s="13">
        <f>IFERROR(100.0074862*(1-w)+w*100,"")</f>
        <v>100.00670164623999</v>
      </c>
      <c r="D29" s="13">
        <v>100.00748619999999</v>
      </c>
      <c r="E29" s="13">
        <v>100.0080083440308</v>
      </c>
      <c r="F29" s="13"/>
      <c r="G29" s="13"/>
      <c r="I29" s="5"/>
      <c r="J29" s="0" t="s">
        <v>36</v>
      </c>
    </row>
    <row r="30" outlineLevel="1">
      <c r="A30" s="11" t="s">
        <v>45</v>
      </c>
      <c r="I30" s="5"/>
    </row>
    <row r="31" outlineLevel="2">
      <c r="A31" s="12" t="s">
        <v>46</v>
      </c>
      <c r="B31" s="0" t="s">
        <v>47</v>
      </c>
      <c r="C31" s="13">
        <f>IFERROR(17.20976*(1-w)-w*2.443,"")</f>
        <v>15.150150752</v>
      </c>
      <c r="D31" s="13">
        <v>17.20976</v>
      </c>
      <c r="E31" s="13">
        <v>18.410098416773643</v>
      </c>
      <c r="F31" s="13"/>
      <c r="G31" s="13"/>
      <c r="I31" s="5"/>
    </row>
    <row r="32" outlineLevel="2">
      <c r="A32" s="12" t="s">
        <v>48</v>
      </c>
      <c r="B32" s="0" t="s">
        <v>47</v>
      </c>
      <c r="C32" s="13">
        <f>IFERROR(18.46515*(1-w),"")</f>
        <v>16.53000228</v>
      </c>
      <c r="D32" s="13">
        <v>18.46515</v>
      </c>
      <c r="E32" s="13">
        <v>19.753048780487806</v>
      </c>
      <c r="F32" s="13"/>
      <c r="G32" s="13"/>
      <c r="I32" s="5"/>
    </row>
    <row r="33" outlineLevel="2">
      <c r="A33" s="12" t="s">
        <v>49</v>
      </c>
      <c r="B33" s="0" t="s">
        <v>47</v>
      </c>
      <c r="C33" s="13">
        <f>IFERROR(17.91062683252*(1-w),"")</f>
        <v>16.033593140471904</v>
      </c>
      <c r="D33" s="13">
        <v>17.91062683252</v>
      </c>
      <c r="E33" s="13">
        <v>19.159848986435602</v>
      </c>
      <c r="F33" s="13"/>
      <c r="G33" s="13"/>
      <c r="I33" s="5"/>
      <c r="J33" s="0" t="s">
        <v>36</v>
      </c>
    </row>
    <row r="34">
      <c r="I34" s="5"/>
    </row>
    <row r="35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10.4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https://phyllis.nl/Biomass/View/2033</dc:description>
  <dcterms:created xsi:type="dcterms:W3CDTF">2026-03-04T03:59:46Z</dcterms:created>
  <dc:title>Phyllis2 #2033 alfalfa stalks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