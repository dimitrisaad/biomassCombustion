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36 olive residue" sheetId="1" r:id="rId1"/>
  </sheets>
  <definedNames>
    <definedName name="w" localSheetId="0">IF(ISBLANK('Phyllis2 #2036 olive residue'!$C$19),#N/A,'Phyllis2 #2036 olive residue'!$C$19/100)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<sst xmlns="http://schemas.openxmlformats.org/spreadsheetml/2006/main" count="49" uniqueCount="49">
  <si>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</si>
  <si>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https://phyllis.nl/Biomass/View/2036</t>
  </si>
  <si>
    <t>olive residue (#2036)</t>
  </si>
  <si>
    <t>ID-number</t>
  </si>
  <si>
    <t>#2036</t>
  </si>
  <si>
    <t>Material</t>
  </si>
  <si>
    <t>olive residue</t>
  </si>
  <si>
    <t>Classification</t>
  </si>
  <si>
    <t>ECN Phyllis classification &gt; husk/shell/pit &gt; olive &gt; olive residue</t>
  </si>
  <si>
    <t>NTA 8003 classification &gt; [500] biomassa uit de industrie &gt; [520] schillen/vliezen/pitten &gt; [524] olijven</t>
  </si>
  <si>
    <t>Submitter organisation</t>
  </si>
  <si>
    <t>ECN (Netherlands)</t>
  </si>
  <si>
    <t>Submission date</t>
  </si>
  <si>
    <t>Remarks</t>
  </si>
  <si>
    <t>oily refuse from olive processing</t>
  </si>
  <si>
    <t>Literature</t>
  </si>
  <si>
    <t>Yaman,S.; Sahan; M.,Haykiri-açma,H.; Sesen,K.; Küçükbayrak,S.: Production of fuel briquettes from olive refuse and paper mill waste. Fuel Processing Technology 68 (2000) 23-31.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</si>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</sst>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3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36952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7.5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IFERROR(5.4*(1-w),"")</f>
        <v>4.995000000000001</v>
      </c>
      <c r="D20" s="13">
        <v>5.4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IFERROR(73*(1-w),"")</f>
        <v>67.525</v>
      </c>
      <c r="D21" s="13">
        <v>73</v>
      </c>
      <c r="E21" s="13">
        <v>77.167019027484145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IFERROR(21.6*(1-w),"")</f>
        <v>19.979999999999997</v>
      </c>
      <c r="D22" s="13">
        <v>21.599999999999994</v>
      </c>
      <c r="E22" s="13">
        <v>22.832980972515852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IFERROR(42.16216*(1-w),"")</f>
        <v>38.999998000000005</v>
      </c>
      <c r="D24" s="13">
        <v>42.16216</v>
      </c>
      <c r="E24" s="13">
        <v>44.568879492600423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IFERROR(5.189189*(1-w),"")</f>
        <v>4.799999825</v>
      </c>
      <c r="D25" s="13">
        <v>5.189189</v>
      </c>
      <c r="E25" s="13">
        <v>5.4854006342494719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IFERROR(45.63*(1-w),"")</f>
        <v>42.207750000000004</v>
      </c>
      <c r="D26" s="13">
        <v>45.63</v>
      </c>
      <c r="E26" s="13">
        <v>48.234672304439755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IFERROR(1.621622*(1-w),"")</f>
        <v>1.5000003499999999</v>
      </c>
      <c r="D27" s="13">
        <v>1.621622</v>
      </c>
      <c r="E27" s="13">
        <v>1.7141881606765328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IFERROR(100.002971*(1-w)+w*100,"")</f>
        <v>100.00274817500001</v>
      </c>
      <c r="D28" s="13">
        <v>100.002971</v>
      </c>
      <c r="E28" s="13">
        <v>100.00314059196617</v>
      </c>
      <c r="F28" s="13"/>
      <c r="G28" s="13"/>
      <c r="I28" s="5"/>
      <c r="J28" s="0" t="s">
        <v>36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IFERROR(22.00277*(1-w)-w*2.443,"")</f>
        <v>20.16933725</v>
      </c>
      <c r="D30" s="13">
        <v>22.00277</v>
      </c>
      <c r="E30" s="13">
        <v>23.25874207188161</v>
      </c>
      <c r="F30" s="13"/>
      <c r="G30" s="13"/>
      <c r="I30" s="5"/>
    </row>
    <row r="31" outlineLevel="2">
      <c r="A31" s="12" t="s">
        <v>47</v>
      </c>
      <c r="B31" s="0" t="s">
        <v>46</v>
      </c>
      <c r="C31" s="13">
        <f>IFERROR(23.13513*(1-w),"")</f>
        <v>21.39999525</v>
      </c>
      <c r="D31" s="13">
        <v>23.13513</v>
      </c>
      <c r="E31" s="13">
        <v>24.455739957716702</v>
      </c>
      <c r="F31" s="13"/>
      <c r="G31" s="13"/>
      <c r="I31" s="5"/>
    </row>
    <row r="32" outlineLevel="2">
      <c r="A32" s="12" t="s">
        <v>48</v>
      </c>
      <c r="B32" s="0" t="s">
        <v>46</v>
      </c>
      <c r="C32" s="13">
        <f>IFERROR(15.489051258*(1-w),"")</f>
        <v>14.32737241365</v>
      </c>
      <c r="D32" s="13">
        <v>15.489051258</v>
      </c>
      <c r="E32" s="13">
        <v>16.373204289640594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7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https://phyllis.nl/Biomass/View/2036</dc:description>
  <dcterms:created xsi:type="dcterms:W3CDTF">2026-03-17T05:42:23Z</dcterms:created>
  <dc:title>Phyllis2 #2036 olive residue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