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38 wheat straw wast" sheetId="1" r:id="rId1"/>
  </sheets>
  <definedNames>
    <definedName name="w" localSheetId="0">IF(ISBLANK('Phyllis2 #2038 wheat straw wast'!$C$20),#N/A,'Phyllis2 #2038 wheat straw wast'!$C$20/100)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<sst xmlns="http://schemas.openxmlformats.org/spreadsheetml/2006/main" count="75" uniqueCount="75">
  <si>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</si>
  <si>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https://phyllis.nl/Biomass/View/2038</t>
  </si>
  <si>
    <t>wheat straw waste excl. dust, fine fibres etc. (#2038)</t>
  </si>
  <si>
    <t>ID-number</t>
  </si>
  <si>
    <t>#2038</t>
  </si>
  <si>
    <t>Material</t>
  </si>
  <si>
    <t>wheat straw waste excl. dust, fine fibres etc.</t>
  </si>
  <si>
    <t>Classification</t>
  </si>
  <si>
    <t>ECN Phyllis classification &gt; straw (stalk/cob/ear) &gt; wheat</t>
  </si>
  <si>
    <t>NTA 8003 classification &gt; [200] biomassa uit land- en tuinbouw &gt; [220] stro &gt; [223] tarwestro</t>
  </si>
  <si>
    <t>Ash type</t>
  </si>
  <si>
    <t>550 degC</t>
  </si>
  <si>
    <t>Submitter organisation</t>
  </si>
  <si>
    <t>ECN (Netherlands)</t>
  </si>
  <si>
    <t>Submission date</t>
  </si>
  <si>
    <t>Remarks</t>
  </si>
  <si>
    <t>wheat straw from Chinese province Shangdong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</si>
  <si>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</si>
  <si>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</si>
  <si>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</si>
  <si>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</si>
  <si>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</si>
  <si>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</si>
  <si>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</si>
  <si>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</si>
  <si>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</si>
  <si>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</si>
  <si>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</si>
  <si>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</si>
  <si>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</si>
  <si>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</si>
  <si>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</si>
  <si>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</si>
  <si>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</si>
  <si>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</si>
  <si>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</si>
  <si>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</si>
  <si>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</si>
  <si>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</si>
  <si>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</si>
  <si>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</si>
  <si>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</si>
  <si>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</si>
  <si>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</si>
  <si>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</si>
  <si>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</si>
  <si>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</si>
  <si>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</si>
  <si>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</si>
  <si>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</si>
  <si>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</si>
  <si>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</si>
  <si>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</si>
  <si>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</si>
  <si>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</si>
  <si>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</si>
  <si>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</si>
  <si>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</si>
  <si>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</si>
  <si>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</si>
  <si>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</si>
  <si>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</si>
  <si>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</si>
  <si>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</si>
  <si>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</si>
  <si>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</si>
  <si>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</si>
  <si>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Molybdenium (Mo)</t>
  </si>
  <si>
    <t>Sodium (Na)</t>
  </si>
  <si>
    <t>Nickel (Ni)</t>
  </si>
  <si>
    <t>Phosphorus (P)</t>
  </si>
  <si>
    <t>Lead (Pb)</t>
  </si>
  <si>
    <t>Silicon (Si)</t>
  </si>
  <si>
    <t>Tin (Sn)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</si>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</sst>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3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36966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9.4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IFERROR(18.76*(1-w),"")</f>
        <v>16.996560000000002</v>
      </c>
      <c r="D21" s="13">
        <v>18.76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IFERROR(64.46*(1-w),"")</f>
        <v>58.40076</v>
      </c>
      <c r="D22" s="13">
        <v>64.46</v>
      </c>
      <c r="E22" s="13">
        <v>79.3451501723289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IFERROR(16.78*(1-w),"")</f>
        <v>15.20268</v>
      </c>
      <c r="D23" s="13">
        <v>16.78</v>
      </c>
      <c r="E23" s="13">
        <v>20.6548498276711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IFERROR(38.32*(1-w),"")</f>
        <v>34.71792</v>
      </c>
      <c r="D25" s="13">
        <v>38.32</v>
      </c>
      <c r="E25" s="13">
        <v>47.168882323978337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IFERROR(4.9*(1-w),"")</f>
        <v>4.4394</v>
      </c>
      <c r="D26" s="13">
        <v>4.9</v>
      </c>
      <c r="E26" s="13">
        <v>6.0315115706548506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IFERROR(34.66*(1-w),"")</f>
        <v>31.40196</v>
      </c>
      <c r="D27" s="13">
        <v>34.66</v>
      </c>
      <c r="E27" s="13">
        <v>42.663712456917771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IFERROR(0.99*(1-w),"")</f>
        <v>0.89694000000000007</v>
      </c>
      <c r="D28" s="13">
        <v>0.99</v>
      </c>
      <c r="E28" s="13">
        <v>1.2186115214180206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IFERROR(0.2966*(1-w),"")</f>
        <v>0.2687196</v>
      </c>
      <c r="D29" s="13">
        <v>0.2966</v>
      </c>
      <c r="E29" s="13">
        <v>0.36509108813392416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IFERROR(99.1616*(1-w)+w*100,"")</f>
        <v>99.2404096</v>
      </c>
      <c r="D30" s="13">
        <v>99.161599999999993</v>
      </c>
      <c r="E30" s="13">
        <v>98.967996061053654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IFERROR(12350*(1-w),"")</f>
        <v>11189.1</v>
      </c>
      <c r="D32" s="14">
        <v>12350</v>
      </c>
      <c r="E32" s="14">
        <v>15201.870999507631</v>
      </c>
      <c r="F32" s="14"/>
      <c r="G32" s="14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IFERROR(15.06074*(1-w)-w*2.443,"")</f>
        <v>13.41538844</v>
      </c>
      <c r="D34" s="13">
        <v>15.06074</v>
      </c>
      <c r="E34" s="13">
        <v>18.538577055637617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IFERROR(16.13*(1-w),"")</f>
        <v>14.61378</v>
      </c>
      <c r="D35" s="13">
        <v>16.13</v>
      </c>
      <c r="E35" s="13">
        <v>19.8547513540128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IFERROR(15.0540852128*(1-w),"")</f>
        <v>13.639001202796804</v>
      </c>
      <c r="D36" s="13">
        <v>15.054085212800004</v>
      </c>
      <c r="E36" s="13">
        <v>18.53038554012802</v>
      </c>
      <c r="F36" s="13"/>
      <c r="G36" s="13"/>
      <c r="I36" s="5"/>
      <c r="J36" s="0" t="s">
        <v>38</v>
      </c>
    </row>
    <row r="37" outlineLevel="1">
      <c r="A37" s="11" t="s">
        <v>55</v>
      </c>
      <c r="I37" s="5"/>
    </row>
    <row r="38" outlineLevel="2">
      <c r="A38" s="12" t="s">
        <v>56</v>
      </c>
      <c r="B38" s="0" t="s">
        <v>57</v>
      </c>
      <c r="C38" s="14">
        <v>0.16</v>
      </c>
      <c r="D38" s="14"/>
      <c r="E38" s="14"/>
      <c r="F38" s="14"/>
      <c r="G38" s="14"/>
      <c r="I38" s="5"/>
      <c r="J38" s="0" t="s">
        <v>41</v>
      </c>
    </row>
    <row r="39" outlineLevel="2">
      <c r="A39" s="12" t="s">
        <v>58</v>
      </c>
      <c r="B39" s="0" t="s">
        <v>57</v>
      </c>
      <c r="C39" s="14">
        <v>74</v>
      </c>
      <c r="D39" s="14"/>
      <c r="E39" s="14"/>
      <c r="F39" s="14"/>
      <c r="G39" s="14"/>
      <c r="I39" s="5"/>
      <c r="J39" s="0" t="s">
        <v>41</v>
      </c>
    </row>
    <row r="40" outlineLevel="2">
      <c r="A40" s="12" t="s">
        <v>59</v>
      </c>
      <c r="B40" s="0" t="s">
        <v>57</v>
      </c>
      <c r="C40" s="14">
        <v>9500</v>
      </c>
      <c r="D40" s="14"/>
      <c r="E40" s="14"/>
      <c r="F40" s="14"/>
      <c r="G40" s="14"/>
      <c r="I40" s="5"/>
      <c r="J40" s="0" t="s">
        <v>41</v>
      </c>
    </row>
    <row r="41" outlineLevel="2">
      <c r="A41" s="12" t="s">
        <v>60</v>
      </c>
      <c r="B41" s="0" t="s">
        <v>57</v>
      </c>
      <c r="C41" s="14">
        <v>0.12</v>
      </c>
      <c r="D41" s="14"/>
      <c r="E41" s="14"/>
      <c r="F41" s="14"/>
      <c r="G41" s="14"/>
      <c r="I41" s="5"/>
      <c r="J41" s="0" t="s">
        <v>41</v>
      </c>
    </row>
    <row r="42" outlineLevel="2">
      <c r="A42" s="12" t="s">
        <v>61</v>
      </c>
      <c r="B42" s="0" t="s">
        <v>57</v>
      </c>
      <c r="C42" s="14">
        <v>1.6</v>
      </c>
      <c r="D42" s="14"/>
      <c r="E42" s="14"/>
      <c r="F42" s="14"/>
      <c r="G42" s="14"/>
      <c r="I42" s="5"/>
      <c r="J42" s="0" t="s">
        <v>41</v>
      </c>
    </row>
    <row r="43" outlineLevel="2">
      <c r="A43" s="12" t="s">
        <v>62</v>
      </c>
      <c r="B43" s="0" t="s">
        <v>57</v>
      </c>
      <c r="C43" s="14">
        <v>12</v>
      </c>
      <c r="D43" s="14"/>
      <c r="E43" s="14"/>
      <c r="F43" s="14"/>
      <c r="G43" s="14"/>
      <c r="I43" s="5"/>
      <c r="J43" s="0" t="s">
        <v>41</v>
      </c>
    </row>
    <row r="44" outlineLevel="2">
      <c r="A44" s="12" t="s">
        <v>63</v>
      </c>
      <c r="B44" s="0" t="s">
        <v>57</v>
      </c>
      <c r="C44" s="14">
        <v>6</v>
      </c>
      <c r="D44" s="14"/>
      <c r="E44" s="14"/>
      <c r="F44" s="14"/>
      <c r="G44" s="14"/>
      <c r="I44" s="5"/>
      <c r="J44" s="0" t="s">
        <v>41</v>
      </c>
    </row>
    <row r="45" outlineLevel="2">
      <c r="A45" s="12" t="s">
        <v>64</v>
      </c>
      <c r="B45" s="0" t="s">
        <v>57</v>
      </c>
      <c r="C45" s="14">
        <v>3200</v>
      </c>
      <c r="D45" s="14"/>
      <c r="E45" s="14"/>
      <c r="F45" s="14"/>
      <c r="G45" s="14"/>
      <c r="I45" s="5"/>
      <c r="J45" s="0" t="s">
        <v>41</v>
      </c>
    </row>
    <row r="46" outlineLevel="2">
      <c r="A46" s="12" t="s">
        <v>65</v>
      </c>
      <c r="B46" s="0" t="s">
        <v>57</v>
      </c>
      <c r="C46" s="14">
        <v>24400</v>
      </c>
      <c r="D46" s="14"/>
      <c r="E46" s="14"/>
      <c r="F46" s="14"/>
      <c r="G46" s="14"/>
      <c r="I46" s="5"/>
      <c r="J46" s="0" t="s">
        <v>41</v>
      </c>
    </row>
    <row r="47" outlineLevel="2">
      <c r="A47" s="12" t="s">
        <v>66</v>
      </c>
      <c r="B47" s="0" t="s">
        <v>57</v>
      </c>
      <c r="C47" s="14">
        <v>3200</v>
      </c>
      <c r="D47" s="14"/>
      <c r="E47" s="14"/>
      <c r="F47" s="14"/>
      <c r="G47" s="14"/>
      <c r="I47" s="5"/>
      <c r="J47" s="0" t="s">
        <v>41</v>
      </c>
    </row>
    <row r="48" outlineLevel="2">
      <c r="A48" s="12" t="s">
        <v>67</v>
      </c>
      <c r="B48" s="0" t="s">
        <v>57</v>
      </c>
      <c r="C48" s="14">
        <v>1.1</v>
      </c>
      <c r="D48" s="14"/>
      <c r="E48" s="14"/>
      <c r="F48" s="14"/>
      <c r="G48" s="14"/>
      <c r="I48" s="5"/>
      <c r="J48" s="0" t="s">
        <v>41</v>
      </c>
    </row>
    <row r="49" outlineLevel="2">
      <c r="A49" s="12" t="s">
        <v>68</v>
      </c>
      <c r="B49" s="0" t="s">
        <v>57</v>
      </c>
      <c r="C49" s="14">
        <v>2300</v>
      </c>
      <c r="D49" s="14"/>
      <c r="E49" s="14"/>
      <c r="F49" s="14"/>
      <c r="G49" s="14"/>
      <c r="I49" s="5"/>
      <c r="J49" s="0" t="s">
        <v>41</v>
      </c>
    </row>
    <row r="50" outlineLevel="2">
      <c r="A50" s="12" t="s">
        <v>69</v>
      </c>
      <c r="B50" s="0" t="s">
        <v>57</v>
      </c>
      <c r="C50" s="14">
        <v>6</v>
      </c>
      <c r="D50" s="14"/>
      <c r="E50" s="14"/>
      <c r="F50" s="14"/>
      <c r="G50" s="14"/>
      <c r="I50" s="5"/>
      <c r="J50" s="0" t="s">
        <v>41</v>
      </c>
    </row>
    <row r="51" outlineLevel="2">
      <c r="A51" s="12" t="s">
        <v>70</v>
      </c>
      <c r="B51" s="0" t="s">
        <v>57</v>
      </c>
      <c r="C51" s="14">
        <v>920</v>
      </c>
      <c r="D51" s="14"/>
      <c r="E51" s="14"/>
      <c r="F51" s="14"/>
      <c r="G51" s="14"/>
      <c r="I51" s="5"/>
      <c r="J51" s="0" t="s">
        <v>41</v>
      </c>
    </row>
    <row r="52" outlineLevel="2">
      <c r="A52" s="12" t="s">
        <v>71</v>
      </c>
      <c r="B52" s="0" t="s">
        <v>57</v>
      </c>
      <c r="C52" s="14">
        <v>1.6</v>
      </c>
      <c r="D52" s="14"/>
      <c r="E52" s="14"/>
      <c r="F52" s="14"/>
      <c r="G52" s="14"/>
      <c r="I52" s="5"/>
      <c r="J52" s="0" t="s">
        <v>41</v>
      </c>
    </row>
    <row r="53" outlineLevel="2">
      <c r="A53" s="12" t="s">
        <v>72</v>
      </c>
      <c r="B53" s="0" t="s">
        <v>57</v>
      </c>
      <c r="C53" s="14">
        <v>26500</v>
      </c>
      <c r="D53" s="14"/>
      <c r="E53" s="14"/>
      <c r="F53" s="14"/>
      <c r="G53" s="14"/>
      <c r="I53" s="5"/>
      <c r="J53" s="0" t="s">
        <v>41</v>
      </c>
    </row>
    <row r="54" outlineLevel="2">
      <c r="A54" s="12" t="s">
        <v>73</v>
      </c>
      <c r="B54" s="0" t="s">
        <v>57</v>
      </c>
      <c r="C54" s="14"/>
      <c r="D54" s="14"/>
      <c r="E54" s="14"/>
      <c r="F54" s="14"/>
      <c r="G54" s="14">
        <v>0.4</v>
      </c>
      <c r="I54" s="5"/>
    </row>
    <row r="55" outlineLevel="2">
      <c r="A55" s="12" t="s">
        <v>74</v>
      </c>
      <c r="B55" s="0" t="s">
        <v>57</v>
      </c>
      <c r="C55" s="14">
        <v>18</v>
      </c>
      <c r="D55" s="14"/>
      <c r="E55" s="14"/>
      <c r="F55" s="14"/>
      <c r="G55" s="14"/>
      <c r="I55" s="5"/>
      <c r="J55" s="0" t="s">
        <v>41</v>
      </c>
    </row>
    <row r="56">
      <c r="I56" s="5"/>
    </row>
    <row r="57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</mergeCells>
  <dataValidations count="1">
    <dataValidation type="decimal" sqref="C20" errorStyle="stop" promptTitle="Enter moisture content" errorTitle="Invalid moisture content" prompt="Value should be between 0 and 100.&#10;Original value: 9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https://phyllis.nl/Biomass/View/2038</dc:description>
  <dcterms:created xsi:type="dcterms:W3CDTF">2026-03-17T06:18:31Z</dcterms:created>
  <dc:title>Phyllis2 #2038 wheat straw waste excl. dust, fine fibres etc.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