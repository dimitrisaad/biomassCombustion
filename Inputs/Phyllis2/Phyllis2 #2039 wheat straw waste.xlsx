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39 wheat straw wast" sheetId="1" r:id="rId1"/>
  </sheets>
  <definedNames>
    <definedName name="w" localSheetId="0">IF(ISBLANK('Phyllis2 #2039 wheat straw wast'!$C$20),#N/A,'Phyllis2 #2039 wheat straw wast'!$C$20/100)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<sst xmlns="http://schemas.openxmlformats.org/spreadsheetml/2006/main" count="76" uniqueCount="76">
  <si>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</si>
  <si>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https://phyllis.nl/Biomass/View/2039</t>
  </si>
  <si>
    <t>wheat straw waste (#2039)</t>
  </si>
  <si>
    <t>ID-number</t>
  </si>
  <si>
    <t>#2039</t>
  </si>
  <si>
    <t>Material</t>
  </si>
  <si>
    <t>wheat straw waste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</si>
  <si>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</si>
  <si>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</si>
  <si>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</si>
  <si>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Ash type</t>
  </si>
  <si>
    <t>550 degC</t>
  </si>
  <si>
    <t>Submitter organisation</t>
  </si>
  <si>
    <t>ECN (Netherlands)</t>
  </si>
  <si>
    <t>Submission date</t>
  </si>
  <si>
    <t>Remarks</t>
  </si>
  <si>
    <t>wheat straw from Chinese province Shangdong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</si>
  <si>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</si>
  <si>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</si>
  <si>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</si>
  <si>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</si>
  <si>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</si>
  <si>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</si>
  <si>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</si>
  <si>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</si>
  <si>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</si>
  <si>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</si>
  <si>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</si>
  <si>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</si>
  <si>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</si>
  <si>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</si>
  <si>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</si>
  <si>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</si>
  <si>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</si>
  <si>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</si>
  <si>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</si>
  <si>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</si>
  <si>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</si>
  <si>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</si>
  <si>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</si>
  <si>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</si>
  <si>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</si>
  <si>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</si>
  <si>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</si>
  <si>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</si>
  <si>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</si>
  <si>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</si>
  <si>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</si>
  <si>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</si>
  <si>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</si>
  <si>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</si>
  <si>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</si>
  <si>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</si>
  <si>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</si>
  <si>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</si>
  <si>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</si>
  <si>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</si>
  <si>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</si>
  <si>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</si>
  <si>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</si>
  <si>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</si>
  <si>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</si>
  <si>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</si>
  <si>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</si>
  <si>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</si>
  <si>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</si>
  <si>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</si>
  <si>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Molybdenium (Mo)</t>
  </si>
  <si>
    <t>Sodium (Na)</t>
  </si>
  <si>
    <t>Nickel (Ni)</t>
  </si>
  <si>
    <t>Phosphorus (P)</t>
  </si>
  <si>
    <t>Lead (Pb)</t>
  </si>
  <si>
    <t>Antimony (Sb)</t>
  </si>
  <si>
    <t>Silicon (Si)</t>
  </si>
  <si>
    <t>Tin (Sn)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</si>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</sst>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36966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9.7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IFERROR(22.8*(1-w),"")</f>
        <v>20.5884</v>
      </c>
      <c r="D21" s="13">
        <v>22.8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IFERROR(61.1*(1-w),"")</f>
        <v>55.173300000000005</v>
      </c>
      <c r="D22" s="13">
        <v>61.1</v>
      </c>
      <c r="E22" s="13">
        <v>79.145077720207254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IFERROR(16.1*(1-w),"")</f>
        <v>14.538300000000001</v>
      </c>
      <c r="D23" s="13">
        <v>16.1</v>
      </c>
      <c r="E23" s="13">
        <v>20.854922279792749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IFERROR(36.81*(1-w),"")</f>
        <v>33.239430000000006</v>
      </c>
      <c r="D25" s="13">
        <v>36.81</v>
      </c>
      <c r="E25" s="13">
        <v>47.681347150259072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IFERROR(4.81*(1-w),"")</f>
        <v>4.34343</v>
      </c>
      <c r="D26" s="13">
        <v>4.81</v>
      </c>
      <c r="E26" s="13">
        <v>6.2305699481865275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IFERROR(33.08*(1-w),"")</f>
        <v>29.87124</v>
      </c>
      <c r="D27" s="13">
        <v>33.08</v>
      </c>
      <c r="E27" s="13">
        <v>42.849740932642483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IFERROR(1.02*(1-w),"")</f>
        <v>0.92106</v>
      </c>
      <c r="D28" s="13">
        <v>1.02</v>
      </c>
      <c r="E28" s="13">
        <v>1.3212435233160622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IFERROR(0.2725*(1-w),"")</f>
        <v>0.24606750000000002</v>
      </c>
      <c r="D29" s="13">
        <v>0.2725</v>
      </c>
      <c r="E29" s="13">
        <v>0.352979274611399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IFERROR(99.9495*(1-w)+w*100,"")</f>
        <v>99.9543985</v>
      </c>
      <c r="D30" s="13">
        <v>99.949499999999986</v>
      </c>
      <c r="E30" s="13">
        <v>99.934585492227967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IFERROR(11570*(1-w),"")</f>
        <v>10447.710000000001</v>
      </c>
      <c r="D32" s="14">
        <v>11570</v>
      </c>
      <c r="E32" s="14">
        <v>14987.046632124351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IFERROR(14.54038*(1-w)-w*2.443,"")</f>
        <v>12.89299214</v>
      </c>
      <c r="D34" s="13">
        <v>14.54038</v>
      </c>
      <c r="E34" s="13">
        <v>18.834689119170985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IFERROR(15.59*(1-w),"")</f>
        <v>14.077770000000001</v>
      </c>
      <c r="D35" s="13">
        <v>15.59</v>
      </c>
      <c r="E35" s="13">
        <v>20.194300518134714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IFERROR(14.56841902*(1-w),"")</f>
        <v>13.155282375060004</v>
      </c>
      <c r="D36" s="13">
        <v>14.568419020000004</v>
      </c>
      <c r="E36" s="13">
        <v>18.871009093264252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0.9</v>
      </c>
      <c r="D38" s="14"/>
      <c r="E38" s="14"/>
      <c r="F38" s="14"/>
      <c r="G38" s="14"/>
      <c r="I38" s="5"/>
      <c r="J38" s="0" t="s">
        <v>41</v>
      </c>
    </row>
    <row r="39" outlineLevel="2">
      <c r="A39" s="12" t="s">
        <v>58</v>
      </c>
      <c r="B39" s="0" t="s">
        <v>57</v>
      </c>
      <c r="C39" s="14">
        <v>54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57</v>
      </c>
      <c r="C40" s="14">
        <v>6700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60</v>
      </c>
      <c r="B41" s="0" t="s">
        <v>57</v>
      </c>
      <c r="C41" s="14">
        <v>0.1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57</v>
      </c>
      <c r="C42" s="14">
        <v>1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57</v>
      </c>
      <c r="C43" s="14">
        <v>8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57</v>
      </c>
      <c r="C44" s="14">
        <v>4.8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57</v>
      </c>
      <c r="C45" s="14">
        <v>2000</v>
      </c>
      <c r="D45" s="14"/>
      <c r="E45" s="14"/>
      <c r="F45" s="14"/>
      <c r="G45" s="14"/>
      <c r="I45" s="5"/>
      <c r="J45" s="0" t="s">
        <v>41</v>
      </c>
    </row>
    <row r="46" outlineLevel="2">
      <c r="A46" s="12" t="s">
        <v>65</v>
      </c>
      <c r="B46" s="0" t="s">
        <v>57</v>
      </c>
      <c r="C46" s="14">
        <v>22900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57</v>
      </c>
      <c r="C47" s="14">
        <v>2460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57</v>
      </c>
      <c r="C48" s="14">
        <v>0.9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57</v>
      </c>
      <c r="C49" s="14">
        <v>1800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57</v>
      </c>
      <c r="C50" s="14">
        <v>3.5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57</v>
      </c>
      <c r="C51" s="14">
        <v>840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57</v>
      </c>
      <c r="C52" s="14">
        <v>2.2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57</v>
      </c>
      <c r="C53" s="14">
        <v>0.3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57</v>
      </c>
      <c r="C54" s="14">
        <v>19900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57</v>
      </c>
      <c r="C55" s="14"/>
      <c r="D55" s="14"/>
      <c r="E55" s="14"/>
      <c r="F55" s="14"/>
      <c r="G55" s="14">
        <v>0.4</v>
      </c>
      <c r="I55" s="5"/>
    </row>
    <row r="56" outlineLevel="2">
      <c r="A56" s="12" t="s">
        <v>75</v>
      </c>
      <c r="B56" s="0" t="s">
        <v>57</v>
      </c>
      <c r="C56" s="14">
        <v>15</v>
      </c>
      <c r="D56" s="14"/>
      <c r="E56" s="14"/>
      <c r="F56" s="14"/>
      <c r="G56" s="14"/>
      <c r="I56" s="5"/>
      <c r="J56" s="0" t="s">
        <v>41</v>
      </c>
    </row>
    <row r="57">
      <c r="I57" s="5"/>
    </row>
    <row r="58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</mergeCells>
  <dataValidations count="1">
    <dataValidation type="decimal" sqref="C20" errorStyle="stop" promptTitle="Enter moisture content" errorTitle="Invalid moisture content" prompt="Value should be between 0 and 100.&#10;Original value: 9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https://phyllis.nl/Biomass/View/2039</dc:description>
  <dcterms:created xsi:type="dcterms:W3CDTF">2026-03-17T06:18:25Z</dcterms:created>
  <dc:title>Phyllis2 #2039 wheat straw waste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