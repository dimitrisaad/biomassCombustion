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58 reed canary gras" sheetId="1" r:id="rId1"/>
  </sheets>
  <definedNames>
    <definedName name="w" localSheetId="0">IF(ISBLANK('Phyllis2 #2058 reed canary gras'!$C$20),#N/A,'Phyllis2 #2058 reed canary gras'!$C$20/100)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<sst xmlns="http://schemas.openxmlformats.org/spreadsheetml/2006/main" count="70" uniqueCount="70">
  <si>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</si>
  <si>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https://phyllis.nl/Biomass/View/2058</t>
  </si>
  <si>
    <t>reed canary grass (#2058)</t>
  </si>
  <si>
    <t>ID-number</t>
  </si>
  <si>
    <t>#2058</t>
  </si>
  <si>
    <t>Material</t>
  </si>
  <si>
    <t>reed canary grass</t>
  </si>
  <si>
    <t>Classification</t>
  </si>
  <si>
    <t>ECN Phyllis classification &gt; grass/plant &gt; reed &gt; reed canary grass</t>
  </si>
  <si>
    <t>NTA 8003 classification &gt; [200] biomassa uit land- en tuinbouw &gt; [210] gras &gt; [219] overig gras</t>
  </si>
  <si>
    <t>Ash type</t>
  </si>
  <si>
    <t>ash deformation temperatures HT and FT above 1650°C</t>
  </si>
  <si>
    <t>Submitter organisation</t>
  </si>
  <si>
    <t>ECN (Netherlands)</t>
  </si>
  <si>
    <t>Submission date</t>
  </si>
  <si>
    <t>Remarks</t>
  </si>
  <si>
    <t>spring-harvested material from clayey silt with low humus (2% DM), pressed into briquettes. Data for stems in ID 2059 and for leaves in ID 2060. See also ID 2061, 2062.</t>
  </si>
  <si>
    <t>Literature</t>
  </si>
  <si>
    <t>Paulrud,S; Nilsson,C: Briquetting and combustion of spring-harvested reed canary-grass: effect of fuel composition; Biomass &amp; Bioenergy 20 (2001) 25-35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</si>
  <si>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</si>
  <si>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</si>
  <si>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</si>
  <si>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</si>
  <si>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</si>
  <si>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</si>
  <si>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</si>
  <si>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</si>
  <si>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</si>
  <si>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</si>
  <si>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</si>
  <si>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</si>
  <si>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</si>
  <si>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</si>
  <si>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</si>
  <si>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</si>
  <si>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</si>
  <si>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</si>
  <si>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</si>
  <si>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</si>
  <si>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</si>
  <si>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</si>
  <si>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</si>
  <si>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</si>
  <si>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</si>
  <si>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</si>
  <si>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</si>
  <si>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</si>
  <si>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</si>
  <si>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</si>
  <si>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</si>
  <si>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</si>
  <si>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</si>
  <si>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</si>
  <si>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</si>
  <si>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</si>
  <si>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</si>
  <si>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</si>
  <si>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</si>
  <si>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</si>
  <si>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</si>
  <si>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Ash Properties</t>
  </si>
  <si>
    <t>Ash composition</t>
  </si>
  <si>
    <t>P2O5</t>
  </si>
  <si>
    <t>wt% (ash)</t>
  </si>
  <si>
    <t>SiO2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</si>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</sst>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5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36985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7.2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IFERROR(7.4*(1-w),"")</f>
        <v>6.8671999999999995</v>
      </c>
      <c r="D21" s="13">
        <v>7.4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IFERROR(77*(1-w),"")</f>
        <v>71.455999999999989</v>
      </c>
      <c r="D22" s="13">
        <v>77</v>
      </c>
      <c r="E22" s="13">
        <v>83.15334773218143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IFERROR(15.6*(1-w),"")</f>
        <v>14.476799999999994</v>
      </c>
      <c r="D23" s="13">
        <v>15.599999999999994</v>
      </c>
      <c r="E23" s="13">
        <v>16.84665226781857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IFERROR(45*(1-w),"")</f>
        <v>41.76</v>
      </c>
      <c r="D25" s="13">
        <v>45</v>
      </c>
      <c r="E25" s="13">
        <v>48.596112311015119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IFERROR(5.4*(1-w),"")</f>
        <v>5.0112</v>
      </c>
      <c r="D26" s="13">
        <v>5.4</v>
      </c>
      <c r="E26" s="13">
        <v>5.8315334773218153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IFERROR(41.5*(1-w),"")</f>
        <v>38.512</v>
      </c>
      <c r="D27" s="13">
        <v>41.5</v>
      </c>
      <c r="E27" s="13">
        <v>44.816414686825055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IFERROR(0.3*(1-w),"")</f>
        <v>0.2784</v>
      </c>
      <c r="D28" s="13">
        <v>0.3</v>
      </c>
      <c r="E28" s="13">
        <v>0.32397408207343414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IFERROR(0.07*(1-w),"")</f>
        <v>0.06496</v>
      </c>
      <c r="D29" s="13">
        <v>0.07</v>
      </c>
      <c r="E29" s="13">
        <v>0.07559395248380131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IFERROR(99.71*(1-w)+w*100,"")</f>
        <v>99.73088</v>
      </c>
      <c r="D30" s="13">
        <v>99.710000000000008</v>
      </c>
      <c r="E30" s="13">
        <v>99.68682505399569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IFERROR(400*(1-w),"")</f>
        <v>371.2</v>
      </c>
      <c r="D32" s="14">
        <v>400</v>
      </c>
      <c r="E32" s="14">
        <v>431.96544276457888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IFERROR(15.84749*(1-w)-w*2.443,"")</f>
        <v>14.530574719999999</v>
      </c>
      <c r="D34" s="13">
        <v>15.84749</v>
      </c>
      <c r="E34" s="13">
        <v>17.11392008639309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IFERROR(17.02586*(1-w),"")</f>
        <v>15.79999808</v>
      </c>
      <c r="D35" s="13">
        <v>17.02586</v>
      </c>
      <c r="E35" s="13">
        <v>18.386457883369335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IFERROR(17.36776028*(1-w),"")</f>
        <v>16.11728153984</v>
      </c>
      <c r="D36" s="13">
        <v>17.367760280000002</v>
      </c>
      <c r="E36" s="13">
        <v>18.755680647948168</v>
      </c>
      <c r="F36" s="13"/>
      <c r="G36" s="13"/>
      <c r="I36" s="5"/>
      <c r="J36" s="0" t="s">
        <v>38</v>
      </c>
    </row>
    <row r="37" outlineLevel="1">
      <c r="A37" s="11" t="s">
        <v>55</v>
      </c>
      <c r="I37" s="5"/>
    </row>
    <row r="38" outlineLevel="2">
      <c r="A38" s="15" t="s">
        <v>56</v>
      </c>
      <c r="I38" s="5"/>
    </row>
    <row r="39" outlineLevel="3">
      <c r="A39" s="16" t="s">
        <v>57</v>
      </c>
      <c r="B39" s="0" t="s">
        <v>58</v>
      </c>
      <c r="C39" s="17">
        <v>1630</v>
      </c>
      <c r="D39" s="17"/>
      <c r="E39" s="17"/>
      <c r="F39" s="17"/>
      <c r="G39" s="17"/>
      <c r="I39" s="5"/>
    </row>
    <row r="40" outlineLevel="3">
      <c r="A40" s="16" t="s">
        <v>59</v>
      </c>
      <c r="B40" s="0" t="s">
        <v>58</v>
      </c>
      <c r="C40" s="17">
        <v>1640</v>
      </c>
      <c r="D40" s="17"/>
      <c r="E40" s="17"/>
      <c r="F40" s="17"/>
      <c r="G40" s="17"/>
      <c r="I40" s="5"/>
    </row>
    <row r="41">
      <c r="A41" s="7" t="s">
        <v>60</v>
      </c>
      <c r="I41" s="5"/>
    </row>
    <row r="42" outlineLevel="1">
      <c r="A42" s="11" t="s">
        <v>61</v>
      </c>
      <c r="I42" s="5"/>
    </row>
    <row r="43" outlineLevel="2">
      <c r="A43" s="12" t="s">
        <v>62</v>
      </c>
      <c r="B43" s="0" t="s">
        <v>63</v>
      </c>
      <c r="C43" s="13">
        <v>2.8</v>
      </c>
      <c r="D43" s="13"/>
      <c r="E43" s="13"/>
      <c r="F43" s="13"/>
      <c r="G43" s="13"/>
      <c r="I43" s="5"/>
    </row>
    <row r="44" outlineLevel="2">
      <c r="A44" s="12" t="s">
        <v>64</v>
      </c>
      <c r="B44" s="0" t="s">
        <v>63</v>
      </c>
      <c r="C44" s="13">
        <v>86.8</v>
      </c>
      <c r="D44" s="13"/>
      <c r="E44" s="13"/>
      <c r="F44" s="13"/>
      <c r="G44" s="13"/>
      <c r="I44" s="5"/>
    </row>
    <row r="45" outlineLevel="2">
      <c r="A45" s="12" t="s">
        <v>65</v>
      </c>
      <c r="B45" s="0" t="s">
        <v>63</v>
      </c>
      <c r="C45" s="13">
        <v>0.5</v>
      </c>
      <c r="D45" s="13"/>
      <c r="E45" s="13"/>
      <c r="F45" s="13"/>
      <c r="G45" s="13"/>
      <c r="I45" s="5"/>
    </row>
    <row r="46" outlineLevel="2">
      <c r="A46" s="12" t="s">
        <v>66</v>
      </c>
      <c r="B46" s="0" t="s">
        <v>63</v>
      </c>
      <c r="C46" s="13">
        <v>2.4</v>
      </c>
      <c r="D46" s="13"/>
      <c r="E46" s="13"/>
      <c r="F46" s="13"/>
      <c r="G46" s="13"/>
      <c r="I46" s="5"/>
    </row>
    <row r="47" outlineLevel="2">
      <c r="A47" s="12" t="s">
        <v>67</v>
      </c>
      <c r="B47" s="0" t="s">
        <v>63</v>
      </c>
      <c r="C47" s="13">
        <v>1.1</v>
      </c>
      <c r="D47" s="13"/>
      <c r="E47" s="13"/>
      <c r="F47" s="13"/>
      <c r="G47" s="13"/>
      <c r="I47" s="5"/>
    </row>
    <row r="48" outlineLevel="2">
      <c r="A48" s="12" t="s">
        <v>68</v>
      </c>
      <c r="B48" s="0" t="s">
        <v>63</v>
      </c>
      <c r="C48" s="13">
        <v>1.8</v>
      </c>
      <c r="D48" s="13"/>
      <c r="E48" s="13"/>
      <c r="F48" s="13"/>
      <c r="G48" s="13"/>
      <c r="I48" s="5"/>
    </row>
    <row r="49" outlineLevel="2">
      <c r="A49" s="12" t="s">
        <v>69</v>
      </c>
      <c r="B49" s="0" t="s">
        <v>63</v>
      </c>
      <c r="C49" s="13">
        <v>3.2</v>
      </c>
      <c r="D49" s="13"/>
      <c r="E49" s="13"/>
      <c r="F49" s="13"/>
      <c r="G49" s="13"/>
      <c r="I49" s="5"/>
    </row>
    <row r="50">
      <c r="I50" s="5"/>
    </row>
    <row r="51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3:E43"/>
    <mergeCell ref="C44:E44"/>
    <mergeCell ref="C45:E45"/>
    <mergeCell ref="C46:E46"/>
    <mergeCell ref="C47:E47"/>
    <mergeCell ref="C48:E48"/>
    <mergeCell ref="C49:E49"/>
  </mergeCells>
  <dataValidations count="1">
    <dataValidation type="decimal" sqref="C20" errorStyle="stop" promptTitle="Enter moisture content" errorTitle="Invalid moisture content" prompt="Value should be between 0 and 100.&#10;Original value: 7.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https://phyllis.nl/Biomass/View/2058</dc:description>
  <dcterms:created xsi:type="dcterms:W3CDTF">2026-03-04T04:36:40Z</dcterms:created>
  <dc:title>Phyllis2 #2058 reed canary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