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0 reed canary gras" sheetId="1" r:id="rId1"/>
  </sheets>
  <definedNames>
    <definedName name="w" localSheetId="0">IF(ISBLANK('Phyllis2 #2060 reed canary gras'!$C$19),#N/A,'Phyllis2 #2060 reed canary gras'!$C$19/100)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<sst xmlns="http://schemas.openxmlformats.org/spreadsheetml/2006/main" count="70" uniqueCount="70">
  <si>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</si>
  <si>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https://phyllis.nl/Biomass/View/2060</t>
  </si>
  <si>
    <t>reed canary grass, leaves (#2060)</t>
  </si>
  <si>
    <t>ID-number</t>
  </si>
  <si>
    <t>#2060</t>
  </si>
  <si>
    <t>Material</t>
  </si>
  <si>
    <t>reed canary grass, leaves</t>
  </si>
  <si>
    <t>Classification</t>
  </si>
  <si>
    <t>ECN Phyllis classification &gt; grass/plant &gt; reed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</si>
  <si>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</si>
  <si>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</si>
  <si>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</si>
  <si>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</si>
  <si>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</si>
  <si>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spring-harvested material from clayey silt with low humus (2% DM), pressed into briquettes. Data for stems with leaves in ID 2058 and for stems in ID 2059. See also ID 2061, 2062.</t>
  </si>
  <si>
    <t>Literature</t>
  </si>
  <si>
    <t>Paulrud,S; Nilsson,C: Briquetting and combustion of spring-harvested reed canary-grass: effect of fuel composition; Biomass &amp; Bioenergy 20 (2001) 25-35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</si>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</sst>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36985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10.9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IFERROR(10.2*(1-w),"")</f>
        <v>9.0881999999999987</v>
      </c>
      <c r="D20" s="13">
        <v>10.2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IFERROR(74*(1-w),"")</f>
        <v>65.934</v>
      </c>
      <c r="D21" s="13">
        <v>74</v>
      </c>
      <c r="E21" s="13">
        <v>82.405345211581292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IFERROR(15.8*(1-w),"")</f>
        <v>14.077799999999998</v>
      </c>
      <c r="D22" s="13">
        <v>15.799999999999997</v>
      </c>
      <c r="E22" s="13">
        <v>17.594654788418705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IFERROR(44*(1-w),"")</f>
        <v>39.204</v>
      </c>
      <c r="D24" s="13">
        <v>44</v>
      </c>
      <c r="E24" s="13">
        <v>48.997772828507792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IFERROR(5.3*(1-w),"")</f>
        <v>4.7223</v>
      </c>
      <c r="D25" s="13">
        <v>5.3</v>
      </c>
      <c r="E25" s="13">
        <v>5.9020044543429844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IFERROR(39.9*(1-w),"")</f>
        <v>35.5509</v>
      </c>
      <c r="D26" s="13">
        <v>39.9</v>
      </c>
      <c r="E26" s="13">
        <v>44.43207126948775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IFERROR(0.5*(1-w),"")</f>
        <v>0.4455</v>
      </c>
      <c r="D27" s="13">
        <v>0.5</v>
      </c>
      <c r="E27" s="13">
        <v>0.55679287305122493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IFERROR(0.09*(1-w),"")</f>
        <v>0.08019</v>
      </c>
      <c r="D28" s="13">
        <v>0.09</v>
      </c>
      <c r="E28" s="13">
        <v>0.10022271714922049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IFERROR(100.03*(1-w)+w*100,"")</f>
        <v>100.02673000000001</v>
      </c>
      <c r="D29" s="13">
        <v>100.03</v>
      </c>
      <c r="E29" s="13">
        <v>100.03340757238307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IFERROR(400*(1-w),"")</f>
        <v>356.4</v>
      </c>
      <c r="D31" s="14">
        <v>400</v>
      </c>
      <c r="E31" s="14">
        <v>445.43429844097994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IFERROR(15.22953*(1-w)-w*2.443,"")</f>
        <v>13.30322423</v>
      </c>
      <c r="D33" s="13">
        <v>15.22953</v>
      </c>
      <c r="E33" s="13">
        <v>16.959387527839645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IFERROR(16.38608*(1-w),"")</f>
        <v>14.59999728</v>
      </c>
      <c r="D34" s="13">
        <v>16.38608</v>
      </c>
      <c r="E34" s="13">
        <v>18.247305122494431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IFERROR(17.02863212*(1-w),"")</f>
        <v>15.172511218920004</v>
      </c>
      <c r="D35" s="13">
        <v>17.028632120000005</v>
      </c>
      <c r="E35" s="13">
        <v>18.962842004454348</v>
      </c>
      <c r="F35" s="13"/>
      <c r="G35" s="13"/>
      <c r="I35" s="5"/>
      <c r="J35" s="0" t="s">
        <v>36</v>
      </c>
    </row>
    <row r="36" outlineLevel="1">
      <c r="A36" s="11" t="s">
        <v>53</v>
      </c>
      <c r="I36" s="5"/>
    </row>
    <row r="37" outlineLevel="2">
      <c r="A37" s="15" t="s">
        <v>54</v>
      </c>
      <c r="I37" s="5"/>
    </row>
    <row r="38" outlineLevel="3">
      <c r="A38" s="16" t="s">
        <v>55</v>
      </c>
      <c r="B38" s="0" t="s">
        <v>56</v>
      </c>
      <c r="C38" s="17">
        <v>1570</v>
      </c>
      <c r="D38" s="17"/>
      <c r="E38" s="17"/>
      <c r="F38" s="17"/>
      <c r="G38" s="17"/>
      <c r="I38" s="5"/>
    </row>
    <row r="39" outlineLevel="3">
      <c r="A39" s="16" t="s">
        <v>57</v>
      </c>
      <c r="B39" s="0" t="s">
        <v>56</v>
      </c>
      <c r="C39" s="17">
        <v>1580</v>
      </c>
      <c r="D39" s="17"/>
      <c r="E39" s="17"/>
      <c r="F39" s="17"/>
      <c r="G39" s="17"/>
      <c r="I39" s="5"/>
    </row>
    <row r="40" outlineLevel="3">
      <c r="A40" s="16" t="s">
        <v>58</v>
      </c>
      <c r="B40" s="0" t="s">
        <v>56</v>
      </c>
      <c r="C40" s="17">
        <v>1630</v>
      </c>
      <c r="D40" s="17"/>
      <c r="E40" s="17"/>
      <c r="F40" s="17"/>
      <c r="G40" s="17"/>
      <c r="I40" s="5"/>
    </row>
    <row r="41" outlineLevel="3">
      <c r="A41" s="16" t="s">
        <v>59</v>
      </c>
      <c r="B41" s="0" t="s">
        <v>56</v>
      </c>
      <c r="C41" s="17">
        <v>1650</v>
      </c>
      <c r="D41" s="17"/>
      <c r="E41" s="17"/>
      <c r="F41" s="17"/>
      <c r="G41" s="17"/>
      <c r="I41" s="5"/>
    </row>
    <row r="42">
      <c r="A42" s="7" t="s">
        <v>60</v>
      </c>
      <c r="I42" s="5"/>
    </row>
    <row r="43" outlineLevel="1">
      <c r="A43" s="11" t="s">
        <v>61</v>
      </c>
      <c r="I43" s="5"/>
    </row>
    <row r="44" outlineLevel="2">
      <c r="A44" s="12" t="s">
        <v>62</v>
      </c>
      <c r="B44" s="0" t="s">
        <v>63</v>
      </c>
      <c r="C44" s="13">
        <v>2.6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63</v>
      </c>
      <c r="C45" s="13">
        <v>81.9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63</v>
      </c>
      <c r="C46" s="13">
        <v>1.7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63</v>
      </c>
      <c r="C47" s="13">
        <v>3.1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63</v>
      </c>
      <c r="C48" s="13">
        <v>1.3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63</v>
      </c>
      <c r="C49" s="13">
        <v>0.4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63</v>
      </c>
      <c r="C50" s="13">
        <v>3.2</v>
      </c>
      <c r="D50" s="13"/>
      <c r="E50" s="13"/>
      <c r="F50" s="13"/>
      <c r="G50" s="13"/>
      <c r="I50" s="5"/>
    </row>
    <row r="51">
      <c r="I51" s="5"/>
    </row>
    <row r="5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9" errorStyle="stop" promptTitle="Enter moisture content" errorTitle="Invalid moisture content" prompt="Value should be between 0 and 100.&#10;Original value: 10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https://phyllis.nl/Biomass/View/2060</dc:description>
  <dcterms:created xsi:type="dcterms:W3CDTF">2026-03-04T04:38:46Z</dcterms:created>
  <dc:title>Phyllis2 #2060 reed canary grass, leaves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