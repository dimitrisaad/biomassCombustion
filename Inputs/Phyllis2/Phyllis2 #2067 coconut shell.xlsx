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67 coconut shell" sheetId="1" r:id="rId1"/>
  </sheets>
  <definedNames>
    <definedName name="w" localSheetId="0">IF(ISBLANK('Phyllis2 #2067 coconut shell'!$C$19),#N/A,'Phyllis2 #2067 coconut shell'!$C$19/100)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<sst xmlns="http://schemas.openxmlformats.org/spreadsheetml/2006/main" count="67" uniqueCount="67">
  <si>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</si>
  <si>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https://phyllis.nl/Biomass/View/2067</t>
  </si>
  <si>
    <t>coconut shell (#2067)</t>
  </si>
  <si>
    <t>ID-number</t>
  </si>
  <si>
    <t>#2067</t>
  </si>
  <si>
    <t>Material</t>
  </si>
  <si>
    <t>coconut shell</t>
  </si>
  <si>
    <t>Classification</t>
  </si>
  <si>
    <t>ECN Phyllis classification &gt; husk/shell/pit &gt; coconut &gt; coconut shell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</si>
  <si>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</si>
  <si>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</si>
  <si>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</si>
  <si>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</si>
  <si>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Remarks</t>
  </si>
  <si>
    <t>charcoal yield 41.4% at 1 MPa, fixed-C yield 30.1%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</si>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</sst>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6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IFERROR(0.74*(1-w),"")</f>
        <v/>
      </c>
      <c r="D20" s="13">
        <v>0.74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IFERROR(52.37*(1-w),"")</f>
        <v/>
      </c>
      <c r="D22" s="13">
        <v>52.37</v>
      </c>
      <c r="E22" s="13">
        <v>52.760427160991334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IFERROR(5.91*(1-w),"")</f>
        <v/>
      </c>
      <c r="D23" s="13">
        <v>5.91</v>
      </c>
      <c r="E23" s="13">
        <v>5.9540600443280276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IFERROR(42.34*(1-w),"")</f>
        <v/>
      </c>
      <c r="D24" s="13">
        <v>42.34</v>
      </c>
      <c r="E24" s="13">
        <v>42.655651823493855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IFERROR(0.23*(1-w),"")</f>
        <v/>
      </c>
      <c r="D25" s="13">
        <v>0.23</v>
      </c>
      <c r="E25" s="13">
        <v>0.231714688696353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IFERROR(0.06*(1-w),"")</f>
        <v/>
      </c>
      <c r="D26" s="13">
        <v>0.06</v>
      </c>
      <c r="E26" s="13">
        <v>0.060447310094700779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IFERROR(101.65*(1-w)+w*100,"")</f>
        <v/>
      </c>
      <c r="D27" s="13">
        <v>101.65</v>
      </c>
      <c r="E27" s="13">
        <v>101.66230102760427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IFERROR(20.5556677828*(1-w),"")</f>
        <v/>
      </c>
      <c r="D29" s="13">
        <v>20.555667782799997</v>
      </c>
      <c r="E29" s="13">
        <v>20.708913744509367</v>
      </c>
      <c r="F29" s="13"/>
      <c r="G29" s="13"/>
      <c r="I29" s="5"/>
      <c r="J29" s="0" t="s">
        <v>43</v>
      </c>
    </row>
    <row r="30" outlineLevel="1">
      <c r="A30" s="11" t="s">
        <v>47</v>
      </c>
      <c r="I30" s="5"/>
    </row>
    <row r="31" outlineLevel="2">
      <c r="A31" s="14" t="s">
        <v>48</v>
      </c>
      <c r="I31" s="5"/>
    </row>
    <row r="32" outlineLevel="3">
      <c r="A32" s="15" t="s">
        <v>49</v>
      </c>
      <c r="B32" s="0" t="s">
        <v>50</v>
      </c>
      <c r="C32" s="13">
        <v>24.2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50</v>
      </c>
      <c r="C33" s="13">
        <v>24.7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50</v>
      </c>
      <c r="C34" s="13">
        <v>34.9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50</v>
      </c>
      <c r="C36" s="13">
        <v>34.9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50</v>
      </c>
      <c r="C39" s="13">
        <v>0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50</v>
      </c>
      <c r="C40" s="13">
        <v>28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50</v>
      </c>
      <c r="C41" s="13">
        <v>28</v>
      </c>
      <c r="D41" s="13"/>
      <c r="E41" s="13"/>
      <c r="F41" s="13"/>
      <c r="G41" s="13"/>
      <c r="I41" s="5"/>
      <c r="J41" s="0" t="s">
        <v>43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50</v>
      </c>
      <c r="C43" s="13">
        <v>0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50</v>
      </c>
      <c r="C44" s="13">
        <v>0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50</v>
      </c>
      <c r="C45" s="13">
        <v>26.9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50</v>
      </c>
      <c r="C46" s="13">
        <v>26.9</v>
      </c>
      <c r="D46" s="13"/>
      <c r="E46" s="13"/>
      <c r="F46" s="13"/>
      <c r="G46" s="13"/>
      <c r="I46" s="5"/>
      <c r="J46" s="0" t="s">
        <v>43</v>
      </c>
    </row>
    <row r="47" outlineLevel="3">
      <c r="A47" s="15" t="s">
        <v>66</v>
      </c>
      <c r="B47" s="0" t="s">
        <v>50</v>
      </c>
      <c r="C47" s="13">
        <v>84.539999999999992</v>
      </c>
      <c r="D47" s="13"/>
      <c r="E47" s="13"/>
      <c r="F47" s="13"/>
      <c r="G47" s="13"/>
      <c r="I47" s="5"/>
      <c r="J47" s="0" t="s">
        <v>43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https://phyllis.nl/Biomass/View/2067</dc:description>
  <dcterms:created xsi:type="dcterms:W3CDTF">2026-03-17T05:40:46Z</dcterms:created>
  <dc:title>Phyllis2 #2067 coconut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