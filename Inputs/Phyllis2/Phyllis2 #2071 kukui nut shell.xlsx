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71 kukui nut shell" sheetId="1" r:id="rId1"/>
  </sheets>
  <definedNames>
    <definedName name="w" localSheetId="0">IF(ISBLANK('Phyllis2 #2071 kukui nut shell'!$C$19),#N/A,'Phyllis2 #2071 kukui nut shell'!$C$19/100)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<sst xmlns="http://schemas.openxmlformats.org/spreadsheetml/2006/main" count="67" uniqueCount="67">
  <si>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</si>
  <si>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https://phyllis.nl/Biomass/View/2071</t>
  </si>
  <si>
    <t>kukui nut shell (#2071)</t>
  </si>
  <si>
    <t>ID-number</t>
  </si>
  <si>
    <t>#2071</t>
  </si>
  <si>
    <t>Material</t>
  </si>
  <si>
    <t>kukui nut shell</t>
  </si>
  <si>
    <t>Classification</t>
  </si>
  <si>
    <t>ECN Phyllis classification &gt; husk/shell/pit &gt; others</t>
  </si>
  <si>
    <t>NTA 8003 classification &gt; [200] biomassa uit land- en tuinbouw &gt; [230] restproducten (doppen) &gt; [239] overige doppen</t>
  </si>
  <si>
    <t>Submitter organisation</t>
  </si>
  <si>
    <t>ECN (Netherlands)</t>
  </si>
  <si>
    <t>Submission date</t>
  </si>
  <si>
    <t>Remarks</t>
  </si>
  <si>
    <t>charcoal yield 58.6% at 1 MPa, fixed-C yield 41.4%</t>
  </si>
  <si>
    <t>Literature</t>
  </si>
  <si>
    <t>Antal,M.J., Allen,S.G., Dai,X, Shimizu,B., Tam,M.S. and Grønli: Attainment of the theoretical yield of carbon from biomass. Ind. Eng. Chem. Res. 39 (2000) 4024-4031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</si>
  <si>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</si>
  <si>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</si>
  <si>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</si>
  <si>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</si>
  <si>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</si>
  <si>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</si>
  <si>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</si>
  <si>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</si>
  <si>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</si>
  <si>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</si>
  <si>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</si>
  <si>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</si>
  <si>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</si>
  <si>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</si>
  <si>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</si>
  <si>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</si>
  <si>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</si>
  <si>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</si>
  <si>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</si>
  <si>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</si>
  <si>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</si>
  <si>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</si>
  <si>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</si>
  <si>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</si>
  <si>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</si>
  <si>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</si>
  <si>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</si>
  <si>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</si>
  <si>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HHVMilne</t>
  </si>
  <si>
    <t>MJ/kg</t>
  </si>
  <si>
    <t>Biochemical analysis</t>
  </si>
  <si>
    <t>Cellulose, hemicellulose, lignin</t>
  </si>
  <si>
    <t>Cellulose</t>
  </si>
  <si>
    <t>wt% (dry)</t>
  </si>
  <si>
    <t>Sugar Analysis</t>
  </si>
  <si>
    <t>Hemicellulose</t>
  </si>
  <si>
    <t>Lignin</t>
  </si>
  <si>
    <t>Lignin analysis</t>
  </si>
  <si>
    <t>Acid insoluble lignin (Klason) (AIL)</t>
  </si>
  <si>
    <t>Other</t>
  </si>
  <si>
    <t>C5</t>
  </si>
  <si>
    <t>Arabinan</t>
  </si>
  <si>
    <t>Xylan</t>
  </si>
  <si>
    <t>Sum C5</t>
  </si>
  <si>
    <t>C6</t>
  </si>
  <si>
    <t>Mannan</t>
  </si>
  <si>
    <t>Galactan</t>
  </si>
  <si>
    <t>Glucan</t>
  </si>
  <si>
    <t>Sum C6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</si>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</sst>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0" applyNumberFormat="1" fontId="4" applyFont="1" xfId="0">
      <alignment indent="3"/>
    </xf>
    <xf numFmtId="0" applyNumberFormat="1" fontId="0" applyFont="1" xfId="0">
      <alignment indent="4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7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4.1753425598145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981866836548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36986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IFERROR(1.45*(1-w),"")</f>
        <v/>
      </c>
      <c r="D20" s="13">
        <v>1.45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IFERROR(55.76*(1-w),"")</f>
        <v/>
      </c>
      <c r="D22" s="13">
        <v>55.76</v>
      </c>
      <c r="E22" s="13">
        <v>56.580416032470822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IFERROR(5.6*(1-w),"")</f>
        <v/>
      </c>
      <c r="D23" s="13">
        <v>5.6</v>
      </c>
      <c r="E23" s="13">
        <v>5.6823947234906136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IFERROR(37.99*(1-w),"")</f>
        <v/>
      </c>
      <c r="D24" s="13">
        <v>37.99</v>
      </c>
      <c r="E24" s="13">
        <v>38.548959918822931</v>
      </c>
      <c r="F24" s="13"/>
      <c r="G24" s="13"/>
      <c r="I24" s="5"/>
      <c r="J24" s="0" t="s">
        <v>37</v>
      </c>
    </row>
    <row r="25" outlineLevel="2">
      <c r="A25" s="12" t="s">
        <v>40</v>
      </c>
      <c r="B25" s="0" t="s">
        <v>34</v>
      </c>
      <c r="C25" s="13">
        <f>IFERROR(0.34*(1-w),"")</f>
        <v/>
      </c>
      <c r="D25" s="13">
        <v>0.34</v>
      </c>
      <c r="E25" s="13">
        <v>0.34500253678335874</v>
      </c>
      <c r="F25" s="13"/>
      <c r="G25" s="13"/>
      <c r="I25" s="5"/>
      <c r="J25" s="0" t="s">
        <v>37</v>
      </c>
    </row>
    <row r="26" outlineLevel="2">
      <c r="A26" s="12" t="s">
        <v>41</v>
      </c>
      <c r="B26" s="0" t="s">
        <v>34</v>
      </c>
      <c r="C26" s="13">
        <f>IFERROR(0.03*(1-w),"")</f>
        <v/>
      </c>
      <c r="D26" s="13">
        <v>0.03</v>
      </c>
      <c r="E26" s="13">
        <v>0.030441400304414</v>
      </c>
      <c r="F26" s="13"/>
      <c r="G26" s="13"/>
      <c r="I26" s="5"/>
      <c r="J26" s="0" t="s">
        <v>37</v>
      </c>
    </row>
    <row r="27" outlineLevel="2">
      <c r="A27" s="12" t="s">
        <v>42</v>
      </c>
      <c r="B27" s="0" t="s">
        <v>34</v>
      </c>
      <c r="C27" s="13">
        <f>IFERROR(101.17*(1-w)+w*100,"")</f>
        <v/>
      </c>
      <c r="D27" s="13">
        <v>101.17</v>
      </c>
      <c r="E27" s="13">
        <v>101.18721461187214</v>
      </c>
      <c r="F27" s="13"/>
      <c r="G27" s="13"/>
      <c r="I27" s="5"/>
      <c r="J27" s="0" t="s">
        <v>43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IFERROR(21.7979546825*(1-w),"")</f>
        <v/>
      </c>
      <c r="D29" s="13">
        <v>21.797954682500002</v>
      </c>
      <c r="E29" s="13">
        <v>22.118675476915271</v>
      </c>
      <c r="F29" s="13"/>
      <c r="G29" s="13"/>
      <c r="I29" s="5"/>
      <c r="J29" s="0" t="s">
        <v>43</v>
      </c>
    </row>
    <row r="30" outlineLevel="1">
      <c r="A30" s="11" t="s">
        <v>47</v>
      </c>
      <c r="I30" s="5"/>
    </row>
    <row r="31" outlineLevel="2">
      <c r="A31" s="14" t="s">
        <v>48</v>
      </c>
      <c r="I31" s="5"/>
    </row>
    <row r="32" outlineLevel="3">
      <c r="A32" s="15" t="s">
        <v>49</v>
      </c>
      <c r="B32" s="0" t="s">
        <v>50</v>
      </c>
      <c r="C32" s="13">
        <v>14.6</v>
      </c>
      <c r="D32" s="13"/>
      <c r="E32" s="13"/>
      <c r="F32" s="13"/>
      <c r="G32" s="13"/>
      <c r="I32" s="5"/>
      <c r="J32" s="0" t="s">
        <v>51</v>
      </c>
    </row>
    <row r="33" outlineLevel="3">
      <c r="A33" s="15" t="s">
        <v>52</v>
      </c>
      <c r="B33" s="0" t="s">
        <v>50</v>
      </c>
      <c r="C33" s="13">
        <v>12.3</v>
      </c>
      <c r="D33" s="13"/>
      <c r="E33" s="13"/>
      <c r="F33" s="13"/>
      <c r="G33" s="13"/>
      <c r="I33" s="5"/>
      <c r="J33" s="0" t="s">
        <v>51</v>
      </c>
    </row>
    <row r="34" outlineLevel="3">
      <c r="A34" s="15" t="s">
        <v>53</v>
      </c>
      <c r="B34" s="0" t="s">
        <v>50</v>
      </c>
      <c r="C34" s="13">
        <v>60.1</v>
      </c>
      <c r="D34" s="13"/>
      <c r="E34" s="13"/>
      <c r="F34" s="13"/>
      <c r="G34" s="13"/>
      <c r="I34" s="5"/>
      <c r="J34" s="0" t="s">
        <v>37</v>
      </c>
    </row>
    <row r="35" outlineLevel="2">
      <c r="A35" s="14" t="s">
        <v>54</v>
      </c>
      <c r="I35" s="5"/>
    </row>
    <row r="36" outlineLevel="3">
      <c r="A36" s="15" t="s">
        <v>55</v>
      </c>
      <c r="B36" s="0" t="s">
        <v>50</v>
      </c>
      <c r="C36" s="13">
        <v>60.1</v>
      </c>
      <c r="D36" s="13"/>
      <c r="E36" s="13"/>
      <c r="F36" s="13"/>
      <c r="G36" s="13"/>
      <c r="I36" s="5"/>
      <c r="J36" s="0" t="s">
        <v>37</v>
      </c>
    </row>
    <row r="37" outlineLevel="2">
      <c r="A37" s="14" t="s">
        <v>56</v>
      </c>
      <c r="I37" s="5"/>
    </row>
    <row r="38" outlineLevel="3">
      <c r="A38" s="16" t="s">
        <v>57</v>
      </c>
      <c r="I38" s="5"/>
    </row>
    <row r="39" outlineLevel="4">
      <c r="A39" s="17" t="s">
        <v>58</v>
      </c>
      <c r="B39" s="0" t="s">
        <v>50</v>
      </c>
      <c r="C39" s="13">
        <v>0</v>
      </c>
      <c r="D39" s="13"/>
      <c r="E39" s="13"/>
      <c r="F39" s="13"/>
      <c r="G39" s="13"/>
      <c r="I39" s="5"/>
    </row>
    <row r="40" outlineLevel="4">
      <c r="A40" s="17" t="s">
        <v>59</v>
      </c>
      <c r="B40" s="0" t="s">
        <v>50</v>
      </c>
      <c r="C40" s="13">
        <v>14</v>
      </c>
      <c r="D40" s="13"/>
      <c r="E40" s="13"/>
      <c r="F40" s="13"/>
      <c r="G40" s="13"/>
      <c r="I40" s="5"/>
    </row>
    <row r="41" outlineLevel="4">
      <c r="A41" s="17" t="s">
        <v>60</v>
      </c>
      <c r="B41" s="0" t="s">
        <v>50</v>
      </c>
      <c r="C41" s="13">
        <v>14</v>
      </c>
      <c r="D41" s="13"/>
      <c r="E41" s="13"/>
      <c r="F41" s="13"/>
      <c r="G41" s="13"/>
      <c r="I41" s="5"/>
      <c r="J41" s="0" t="s">
        <v>43</v>
      </c>
    </row>
    <row r="42" outlineLevel="3">
      <c r="A42" s="16" t="s">
        <v>61</v>
      </c>
      <c r="I42" s="5"/>
    </row>
    <row r="43" outlineLevel="4">
      <c r="A43" s="17" t="s">
        <v>62</v>
      </c>
      <c r="B43" s="0" t="s">
        <v>50</v>
      </c>
      <c r="C43" s="13">
        <v>0</v>
      </c>
      <c r="D43" s="13"/>
      <c r="E43" s="13"/>
      <c r="F43" s="13"/>
      <c r="G43" s="13"/>
      <c r="I43" s="5"/>
    </row>
    <row r="44" outlineLevel="4">
      <c r="A44" s="17" t="s">
        <v>63</v>
      </c>
      <c r="B44" s="0" t="s">
        <v>50</v>
      </c>
      <c r="C44" s="13">
        <v>0</v>
      </c>
      <c r="D44" s="13"/>
      <c r="E44" s="13"/>
      <c r="F44" s="13"/>
      <c r="G44" s="13"/>
      <c r="I44" s="5"/>
    </row>
    <row r="45" outlineLevel="4">
      <c r="A45" s="17" t="s">
        <v>64</v>
      </c>
      <c r="B45" s="0" t="s">
        <v>50</v>
      </c>
      <c r="C45" s="13">
        <v>16.2</v>
      </c>
      <c r="D45" s="13"/>
      <c r="E45" s="13"/>
      <c r="F45" s="13"/>
      <c r="G45" s="13"/>
      <c r="I45" s="5"/>
    </row>
    <row r="46" outlineLevel="4">
      <c r="A46" s="17" t="s">
        <v>65</v>
      </c>
      <c r="B46" s="0" t="s">
        <v>50</v>
      </c>
      <c r="C46" s="13">
        <v>16.2</v>
      </c>
      <c r="D46" s="13"/>
      <c r="E46" s="13"/>
      <c r="F46" s="13"/>
      <c r="G46" s="13"/>
      <c r="I46" s="5"/>
      <c r="J46" s="0" t="s">
        <v>43</v>
      </c>
    </row>
    <row r="47" outlineLevel="3">
      <c r="A47" s="15" t="s">
        <v>66</v>
      </c>
      <c r="B47" s="0" t="s">
        <v>50</v>
      </c>
      <c r="C47" s="13">
        <v>88.45</v>
      </c>
      <c r="D47" s="13"/>
      <c r="E47" s="13"/>
      <c r="F47" s="13"/>
      <c r="G47" s="13"/>
      <c r="I47" s="5"/>
      <c r="J47" s="0" t="s">
        <v>43</v>
      </c>
    </row>
    <row r="48">
      <c r="I48" s="5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2:E32"/>
    <mergeCell ref="C33:E33"/>
    <mergeCell ref="C34:E34"/>
    <mergeCell ref="C36:E36"/>
    <mergeCell ref="C39:E39"/>
    <mergeCell ref="C40:E40"/>
    <mergeCell ref="C41:E41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https://phyllis.nl/Biomass/View/2071</dc:description>
  <dcterms:created xsi:type="dcterms:W3CDTF">2026-03-17T05:44:30Z</dcterms:created>
  <dc:title>Phyllis2 #2071 kukui nut shell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