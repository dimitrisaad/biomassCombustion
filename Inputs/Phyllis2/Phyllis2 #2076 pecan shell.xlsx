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76 pecan shell" sheetId="1" r:id="rId1"/>
  </sheets>
  <definedNames>
    <definedName name="w" localSheetId="0">IF(ISBLANK('Phyllis2 #2076 pecan shell'!$C$19),#N/A,'Phyllis2 #2076 pecan shell'!$C$19/100)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<sst xmlns="http://schemas.openxmlformats.org/spreadsheetml/2006/main" count="67" uniqueCount="67">
  <si>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</si>
  <si>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https://phyllis.nl/Biomass/View/2076</t>
  </si>
  <si>
    <t>pecan shell (#2076)</t>
  </si>
  <si>
    <t>ID-number</t>
  </si>
  <si>
    <t>#2076</t>
  </si>
  <si>
    <t>Material</t>
  </si>
  <si>
    <t>pecan shell</t>
  </si>
  <si>
    <t>Classification</t>
  </si>
  <si>
    <t>ECN Phyllis classification &gt; husk/shell/pit &gt; others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</si>
  <si>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</si>
  <si>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</si>
  <si>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</si>
  <si>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</si>
  <si>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</si>
  <si>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charcoal yield 39.4% at 1 MPa, fixed-C yield 34.9%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</si>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</sst>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IFERROR(5.85*(1-w),"")</f>
        <v/>
      </c>
      <c r="D20" s="13">
        <v>5.85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IFERROR(55.27*(1-w),"")</f>
        <v/>
      </c>
      <c r="D22" s="13">
        <v>55.27</v>
      </c>
      <c r="E22" s="13">
        <v>58.704195432819972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IFERROR(4.56*(1-w),"")</f>
        <v/>
      </c>
      <c r="D23" s="13">
        <v>4.56</v>
      </c>
      <c r="E23" s="13">
        <v>4.8433351035581511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IFERROR(34.75*(1-w),"")</f>
        <v/>
      </c>
      <c r="D24" s="13">
        <v>34.75</v>
      </c>
      <c r="E24" s="13">
        <v>36.909187466808284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IFERROR(0.84*(1-w),"")</f>
        <v/>
      </c>
      <c r="D25" s="13">
        <v>0.84</v>
      </c>
      <c r="E25" s="13">
        <v>0.89219330855018586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IFERROR(0.09*(1-w),"")</f>
        <v/>
      </c>
      <c r="D26" s="13">
        <v>0.09</v>
      </c>
      <c r="E26" s="13">
        <v>0.09559214020180562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IFERROR(101.36*(1-w)+w*100,"")</f>
        <v/>
      </c>
      <c r="D27" s="13">
        <v>101.36000000000001</v>
      </c>
      <c r="E27" s="13">
        <v>101.44450345193842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IFERROR(20.5264950425*(1-w),"")</f>
        <v/>
      </c>
      <c r="D29" s="13">
        <v>20.526495042500002</v>
      </c>
      <c r="E29" s="13">
        <v>21.801906577270316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5.6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3.8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70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70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3.1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3.1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1.2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6.2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7.4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85.25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https://phyllis.nl/Biomass/View/2076</dc:description>
  <dcterms:created xsi:type="dcterms:W3CDTF">2026-03-17T05:45:39Z</dcterms:created>
  <dc:title>Phyllis2 #2076 pecan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