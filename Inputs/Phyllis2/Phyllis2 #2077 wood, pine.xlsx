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7 wood, pine" sheetId="1" r:id="rId1"/>
  </sheets>
  <definedNames>
    <definedName name="w" localSheetId="0">IF(ISBLANK('Phyllis2 #2077 wood, pine'!$C$19),#N/A,'Phyllis2 #2077 wood, pine'!$C$19/100)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<sst xmlns="http://schemas.openxmlformats.org/spreadsheetml/2006/main" count="67" uniqueCount="67">
  <si>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</si>
  <si>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https://phyllis.nl/Biomass/View/2077</t>
  </si>
  <si>
    <t>wood, pine (#2077)</t>
  </si>
  <si>
    <t>ID-number</t>
  </si>
  <si>
    <t>#2077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</si>
  <si>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</si>
  <si>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</si>
  <si>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</si>
  <si>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</si>
  <si>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</si>
  <si>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</si>
  <si>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</si>
  <si>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</si>
  <si>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Remarks</t>
  </si>
  <si>
    <t>charcoal yield 35.2% at 1 MPa, fixed-C yield 28.1%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</si>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</sst>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IFERROR(0.3*(1-w),"")</f>
        <v/>
      </c>
      <c r="D20" s="13">
        <v>0.3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IFERROR(49.41*(1-w),"")</f>
        <v/>
      </c>
      <c r="D22" s="13">
        <v>49.41</v>
      </c>
      <c r="E22" s="13">
        <v>49.55867602808425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IFERROR(6.11*(1-w),"")</f>
        <v/>
      </c>
      <c r="D23" s="13">
        <v>6.11</v>
      </c>
      <c r="E23" s="13">
        <v>6.1283851554663995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IFERROR(44.07*(1-w),"")</f>
        <v/>
      </c>
      <c r="D24" s="13">
        <v>44.07</v>
      </c>
      <c r="E24" s="13">
        <v>44.202607823470409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IFERROR(0.11*(1-w),"")</f>
        <v/>
      </c>
      <c r="D25" s="13">
        <v>0.11</v>
      </c>
      <c r="E25" s="13">
        <v>0.11033099297893681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42</v>
      </c>
      <c r="C26" s="13"/>
      <c r="D26" s="13"/>
      <c r="E26" s="13"/>
      <c r="F26" s="13"/>
      <c r="G26" s="13">
        <v>0.05</v>
      </c>
      <c r="I26" s="5"/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47</v>
      </c>
      <c r="C29" s="13">
        <f>IFERROR(19.62005377*(1-w),"")</f>
        <v/>
      </c>
      <c r="D29" s="13">
        <v>19.620053770000002</v>
      </c>
      <c r="E29" s="13">
        <v>19.67909104312939</v>
      </c>
      <c r="F29" s="13"/>
      <c r="G29" s="13"/>
      <c r="I29" s="5"/>
      <c r="J29" s="0" t="s">
        <v>44</v>
      </c>
    </row>
    <row r="30" outlineLevel="1">
      <c r="A30" s="11" t="s">
        <v>48</v>
      </c>
      <c r="I30" s="5"/>
    </row>
    <row r="31" outlineLevel="2">
      <c r="A31" s="14" t="s">
        <v>49</v>
      </c>
      <c r="I31" s="5"/>
    </row>
    <row r="32" outlineLevel="3">
      <c r="A32" s="15" t="s">
        <v>50</v>
      </c>
      <c r="B32" s="0" t="s">
        <v>42</v>
      </c>
      <c r="C32" s="13">
        <v>42.1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42</v>
      </c>
      <c r="C33" s="13">
        <v>17.7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42</v>
      </c>
      <c r="C34" s="13">
        <v>25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42</v>
      </c>
      <c r="C36" s="13">
        <v>25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42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42</v>
      </c>
      <c r="C40" s="13">
        <v>6.6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42</v>
      </c>
      <c r="C41" s="13">
        <v>6.6</v>
      </c>
      <c r="D41" s="13"/>
      <c r="E41" s="13"/>
      <c r="F41" s="13"/>
      <c r="G41" s="13"/>
      <c r="I41" s="5"/>
      <c r="J41" s="0" t="s">
        <v>44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42</v>
      </c>
      <c r="C43" s="13">
        <v>10.8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42</v>
      </c>
      <c r="C44" s="13">
        <v>2.5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42</v>
      </c>
      <c r="C45" s="13">
        <v>46.8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42</v>
      </c>
      <c r="C46" s="13">
        <v>60.099999999999994</v>
      </c>
      <c r="D46" s="13"/>
      <c r="E46" s="13"/>
      <c r="F46" s="13"/>
      <c r="G46" s="13"/>
      <c r="I46" s="5"/>
      <c r="J46" s="0" t="s">
        <v>44</v>
      </c>
    </row>
    <row r="47" outlineLevel="3">
      <c r="A47" s="15" t="s">
        <v>66</v>
      </c>
      <c r="B47" s="0" t="s">
        <v>42</v>
      </c>
      <c r="C47" s="13">
        <v>85.1</v>
      </c>
      <c r="D47" s="13"/>
      <c r="E47" s="13"/>
      <c r="F47" s="13"/>
      <c r="G47" s="13"/>
      <c r="I47" s="5"/>
      <c r="J47" s="0" t="s">
        <v>44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6:E2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https://phyllis.nl/Biomass/View/2077</dc:description>
  <dcterms:created xsi:type="dcterms:W3CDTF">2026-03-19T04:25:03Z</dcterms:created>
  <dc:title>Phyllis2 #2077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