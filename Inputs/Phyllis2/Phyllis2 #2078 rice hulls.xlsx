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78 rice hulls" sheetId="1" r:id="rId1"/>
  </sheets>
  <definedNames>
    <definedName name="w" localSheetId="0">IF(ISBLANK('Phyllis2 #2078 rice hulls'!$C$19),#N/A,'Phyllis2 #2078 rice hulls'!$C$19/100)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<sst xmlns="http://schemas.openxmlformats.org/spreadsheetml/2006/main" count="67" uniqueCount="67">
  <si>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</si>
  <si>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https://phyllis.nl/Biomass/View/2078</t>
  </si>
  <si>
    <t>rice hulls (#2078)</t>
  </si>
  <si>
    <t>ID-number</t>
  </si>
  <si>
    <t>#2078</t>
  </si>
  <si>
    <t>Material</t>
  </si>
  <si>
    <t>rice hulls</t>
  </si>
  <si>
    <t>Classification</t>
  </si>
  <si>
    <t>ECN Phyllis classification &gt; husk/shell/pit &gt; rice &gt; rice hulls</t>
  </si>
  <si>
    <t>NTA 8003 classification &gt; [500] biomassa uit de industrie &gt; [520] schillen/vliezen/pitten &gt; [523] rijstvliezen</t>
  </si>
  <si>
    <t>Submitter organisation</t>
  </si>
  <si>
    <t>ECN (Netherlands)</t>
  </si>
  <si>
    <t>Submission date</t>
  </si>
  <si>
    <t>Remarks</t>
  </si>
  <si>
    <t>charcoal yield 46.2% at 1 MPa, fixed-C yield 27.6%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</si>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</sst>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7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IFERROR(20.97*(1-w),"")</f>
        <v/>
      </c>
      <c r="D20" s="13">
        <v>20.97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IFERROR(38.86*(1-w),"")</f>
        <v/>
      </c>
      <c r="D22" s="13">
        <v>38.86</v>
      </c>
      <c r="E22" s="13">
        <v>49.171200809819055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IFERROR(4.86*(1-w),"")</f>
        <v/>
      </c>
      <c r="D23" s="13">
        <v>4.86</v>
      </c>
      <c r="E23" s="13">
        <v>6.1495634569150956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IFERROR(37.15*(1-w),"")</f>
        <v/>
      </c>
      <c r="D24" s="13">
        <v>37.15</v>
      </c>
      <c r="E24" s="13">
        <v>47.007465519423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IFERROR(0.42*(1-w),"")</f>
        <v/>
      </c>
      <c r="D25" s="13">
        <v>0.42</v>
      </c>
      <c r="E25" s="13">
        <v>0.53144375553587242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IFERROR(0.06*(1-w),"")</f>
        <v/>
      </c>
      <c r="D26" s="13">
        <v>0.06</v>
      </c>
      <c r="E26" s="13">
        <v>0.075920536505124633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IFERROR(102.32*(1-w)+w*100,"")</f>
        <v/>
      </c>
      <c r="D27" s="13">
        <v>102.32000000000001</v>
      </c>
      <c r="E27" s="13">
        <v>102.93559407819816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IFERROR(14.9183353577*(1-w),"")</f>
        <v/>
      </c>
      <c r="D29" s="13">
        <v>14.9183353577</v>
      </c>
      <c r="E29" s="13">
        <v>18.87680040199924</v>
      </c>
      <c r="F29" s="13"/>
      <c r="G29" s="13"/>
      <c r="I29" s="5"/>
      <c r="J29" s="0" t="s">
        <v>43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3">
        <v>30.9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50</v>
      </c>
      <c r="C33" s="13">
        <v>16.8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50</v>
      </c>
      <c r="C34" s="13">
        <v>35.9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50</v>
      </c>
      <c r="C36" s="13">
        <v>35.9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50</v>
      </c>
      <c r="C39" s="13">
        <v>2.1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50</v>
      </c>
      <c r="C40" s="13">
        <v>15.8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50</v>
      </c>
      <c r="C41" s="13">
        <v>17.900000000000002</v>
      </c>
      <c r="D41" s="13"/>
      <c r="E41" s="13"/>
      <c r="F41" s="13"/>
      <c r="G41" s="13"/>
      <c r="I41" s="5"/>
      <c r="J41" s="0" t="s">
        <v>43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50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50</v>
      </c>
      <c r="C44" s="13">
        <v>1.2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50</v>
      </c>
      <c r="C45" s="13">
        <v>34.3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50</v>
      </c>
      <c r="C46" s="13">
        <v>35.5</v>
      </c>
      <c r="D46" s="13"/>
      <c r="E46" s="13"/>
      <c r="F46" s="13"/>
      <c r="G46" s="13"/>
      <c r="I46" s="5"/>
      <c r="J46" s="0" t="s">
        <v>43</v>
      </c>
    </row>
    <row r="47" outlineLevel="3">
      <c r="A47" s="15" t="s">
        <v>66</v>
      </c>
      <c r="B47" s="0" t="s">
        <v>50</v>
      </c>
      <c r="C47" s="13">
        <v>104.57</v>
      </c>
      <c r="D47" s="13"/>
      <c r="E47" s="13"/>
      <c r="F47" s="13"/>
      <c r="G47" s="13"/>
      <c r="I47" s="5"/>
      <c r="J47" s="0" t="s">
        <v>43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https://phyllis.nl/Biomass/View/2078</dc:description>
  <dcterms:created xsi:type="dcterms:W3CDTF">2026-03-17T05:47:19Z</dcterms:created>
  <dc:title>Phyllis2 #2078 rice hulls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