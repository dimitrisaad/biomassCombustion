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4 sugarcane leaves" sheetId="1" r:id="rId1"/>
  </sheets>
  <definedNames>
    <definedName name="w" localSheetId="0">IF(ISBLANK('Phyllis2 #2114 sugarcane leaves'!$C$20),#N/A,'Phyllis2 #2114 sugarcane leaves'!$C$20/100)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<sst xmlns="http://schemas.openxmlformats.org/spreadsheetml/2006/main" count="59" uniqueCount="59">
  <si>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</si>
  <si>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https://phyllis.nl/Biomass/View/2114</t>
  </si>
  <si>
    <t>sugarcane leaves (#2114)</t>
  </si>
  <si>
    <t>ID-number</t>
  </si>
  <si>
    <t>#2114</t>
  </si>
  <si>
    <t>Material</t>
  </si>
  <si>
    <t>sugarcane leaves</t>
  </si>
  <si>
    <t>Classification</t>
  </si>
  <si>
    <t>ECN Phyllis classification &gt; grass/plant &gt; other plants</t>
  </si>
  <si>
    <t>NTA 8003 classification &gt; [200] biomassa uit land- en tuinbouw &gt; [250] overige restprodcuten &gt; [255] landbouwafval</t>
  </si>
  <si>
    <t>Sample lot size</t>
  </si>
  <si>
    <t>0,01-0,1 m</t>
  </si>
  <si>
    <t>Submitter organisation</t>
  </si>
  <si>
    <t>ECN (Netherlands)</t>
  </si>
  <si>
    <t>Submission date</t>
  </si>
  <si>
    <t>Remarks</t>
  </si>
  <si>
    <t>Higher heating value given as 16.000-17600 kJ/kg; in Biomass and Bioenergy 13 (1997) 141-146 it is given as 17.430 kJ/kg. The higher value may apply to dry ash-free material.</t>
  </si>
  <si>
    <t>Literature</t>
  </si>
  <si>
    <t>R.M. Jorapur, A.K. Rajvanshi: Development of a sugarcane leaf gasifier for electricity generation. Biomass and Bioenergy 8 (1995) 91-98.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</si>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</sst>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36990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33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IFERROR(7.72*(1-w),"")</f>
        <v>5.1724</v>
      </c>
      <c r="D21" s="13">
        <v>7.72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IFERROR(77.4*(1-w),"")</f>
        <v>51.858</v>
      </c>
      <c r="D22" s="13">
        <v>77.4</v>
      </c>
      <c r="E22" s="13">
        <v>83.875162548764635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IFERROR(14.88*(1-w),"")</f>
        <v>9.9695999999999962</v>
      </c>
      <c r="D23" s="13">
        <v>14.879999999999995</v>
      </c>
      <c r="E23" s="13">
        <v>16.124837451235365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IFERROR(39.75*(1-w),"")</f>
        <v>26.632499999999997</v>
      </c>
      <c r="D25" s="13">
        <v>39.75</v>
      </c>
      <c r="E25" s="13">
        <v>43.075422626788033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IFERROR(5.5*(1-w),"")</f>
        <v>3.6849999999999996</v>
      </c>
      <c r="D26" s="13">
        <v>5.5</v>
      </c>
      <c r="E26" s="13">
        <v>5.9601213697442565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IFERROR(46.84*(1-w),"")</f>
        <v>31.3828</v>
      </c>
      <c r="D27" s="13">
        <v>46.84</v>
      </c>
      <c r="E27" s="13">
        <v>50.758560901603815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IFERROR(0.186*(1-w),"")</f>
        <v>0.12461999999999998</v>
      </c>
      <c r="D28" s="13">
        <v>0.186</v>
      </c>
      <c r="E28" s="13">
        <v>0.20156046814044212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IFERROR(99.996*(1-w)+w*100,"")</f>
        <v>99.99732</v>
      </c>
      <c r="D29" s="13">
        <v>99.996000000000009</v>
      </c>
      <c r="E29" s="13">
        <v>99.995665366276555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IFERROR(14.79981*(1-w)-w*2.443,"")</f>
        <v>9.1096826999999987</v>
      </c>
      <c r="D31" s="13">
        <v>14.79981</v>
      </c>
      <c r="E31" s="13">
        <v>16.0379388816645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IFERROR(16*(1-w),"")</f>
        <v>10.719999999999999</v>
      </c>
      <c r="D32" s="13">
        <v>16</v>
      </c>
      <c r="E32" s="13">
        <v>17.338534893801473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IFERROR(15.0736325552*(1-w),"")</f>
        <v>10.099333811984</v>
      </c>
      <c r="D33" s="13">
        <v>15.073632555200001</v>
      </c>
      <c r="E33" s="13">
        <v>16.334669002167317</v>
      </c>
      <c r="F33" s="13"/>
      <c r="G33" s="13"/>
      <c r="I33" s="5"/>
      <c r="J33" s="0" t="s">
        <v>38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6">
        <v>900</v>
      </c>
      <c r="D36" s="16"/>
      <c r="E36" s="16"/>
      <c r="F36" s="16"/>
      <c r="G36" s="16"/>
      <c r="I36" s="5"/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6">
        <v>40</v>
      </c>
      <c r="D39" s="16"/>
      <c r="E39" s="16"/>
      <c r="F39" s="16"/>
      <c r="G39" s="16"/>
      <c r="I39" s="5"/>
    </row>
    <row r="40">
      <c r="I40" s="5"/>
    </row>
    <row r="4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9:E39"/>
  </mergeCells>
  <dataValidations count="1">
    <dataValidation type="decimal" sqref="C20" errorStyle="stop" promptTitle="Enter moisture content" errorTitle="Invalid moisture content" prompt="Value should be between 0 and 100.&#10;Original value: 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https://phyllis.nl/Biomass/View/2114</dc:description>
  <dcterms:created xsi:type="dcterms:W3CDTF">2026-03-04T04:33:13Z</dcterms:created>
  <dc:title>Phyllis2 #2114 sugarcane leaves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