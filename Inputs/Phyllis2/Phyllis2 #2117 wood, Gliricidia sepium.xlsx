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117 wood, Gliricidia" sheetId="1" r:id="rId1"/>
  </sheets>
  <definedNames>
    <definedName name="w" localSheetId="0">IF(ISBLANK('Phyllis2 #2117 wood, Gliricidia'!$C$19),#N/A,'Phyllis2 #2117 wood, Gliricidia'!$C$19/100)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<sst xmlns="http://schemas.openxmlformats.org/spreadsheetml/2006/main" count="54" uniqueCount="54">
  <si>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</si>
  <si>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https://phyllis.nl/Biomass/View/2117</t>
  </si>
  <si>
    <t>wood, Gliricidia sepium (#2117)</t>
  </si>
  <si>
    <t>ID-number</t>
  </si>
  <si>
    <t>#2117</t>
  </si>
  <si>
    <t>Material</t>
  </si>
  <si>
    <t>wood, Gliricidia sepium</t>
  </si>
  <si>
    <t>Classification</t>
  </si>
  <si>
    <t>ECN Phyllis classification &gt; untreated wood &gt; tropical hard wood &gt; wood, Gliricidia sepium</t>
  </si>
  <si>
    <t>NTA 8003 classification &gt; [100] hout &gt; [110] vers hout &gt; [120] loofhout &gt; [125] hard loofhout</t>
  </si>
  <si>
    <t>Submitter organisation</t>
  </si>
  <si>
    <t>ECN (Netherlands)</t>
  </si>
  <si>
    <t>Submission date</t>
  </si>
  <si>
    <t>Remarks</t>
  </si>
  <si>
    <t>Wood from plantation in Nigeria. Charcoal yield 35% at 350°C. Data on charcoal in ID 2118. Analyses and HHV of limited accuracy.</t>
  </si>
  <si>
    <t>Literature</t>
  </si>
  <si>
    <t>J.A. Fuwape, S.O. Akindele: Biomass yield and energy value of some fast-growing multipurpose trees in Nigeria. Biomass and Bioenergy 12 (1997) 101-106.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</si>
  <si>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</si>
  <si>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</si>
  <si>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</si>
  <si>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</si>
  <si>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</si>
  <si>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</si>
  <si>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</si>
  <si>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</si>
  <si>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</si>
  <si>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</si>
  <si>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</si>
  <si>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</si>
  <si>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</si>
  <si>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</si>
  <si>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</si>
  <si>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</si>
  <si>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</si>
  <si>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</si>
  <si>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</si>
  <si>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</si>
  <si>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</si>
  <si>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</si>
  <si>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</si>
  <si>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</si>
  <si>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</si>
  <si>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</si>
  <si>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</si>
  <si>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</si>
  <si>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</si>
  <si>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</si>
  <si>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</si>
  <si>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</si>
  <si>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</si>
  <si>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Physical Properties</t>
  </si>
  <si>
    <t>Commonly used properties</t>
  </si>
  <si>
    <t>Bulk density (ar)</t>
  </si>
  <si>
    <t>kg/m³ (ar)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</si>
</sst>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11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36991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31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IFERROR(1*(1-w),"")</f>
        <v>0.69</v>
      </c>
      <c r="D20" s="13">
        <v>1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IFERROR(78*(1-w),"")</f>
        <v>53.819999999999993</v>
      </c>
      <c r="D21" s="13">
        <v>78</v>
      </c>
      <c r="E21" s="13">
        <v>78.787878787878782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IFERROR(21*(1-w),"")</f>
        <v>14.489999999999998</v>
      </c>
      <c r="D22" s="13">
        <v>21</v>
      </c>
      <c r="E22" s="13">
        <v>21.212121212121211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IFERROR(47*(1-w),"")</f>
        <v>32.43</v>
      </c>
      <c r="D24" s="13">
        <v>47</v>
      </c>
      <c r="E24" s="13">
        <v>47.474747474747474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IFERROR(7*(1-w),"")</f>
        <v>4.83</v>
      </c>
      <c r="D25" s="13">
        <v>7</v>
      </c>
      <c r="E25" s="13">
        <v>7.0707070707070709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IFERROR(44*(1-w),"")</f>
        <v>30.36</v>
      </c>
      <c r="D26" s="13">
        <v>44</v>
      </c>
      <c r="E26" s="13">
        <v>44.444444444444443</v>
      </c>
      <c r="F26" s="13"/>
      <c r="G26" s="13"/>
      <c r="I26" s="5"/>
      <c r="J26" s="0" t="s">
        <v>39</v>
      </c>
    </row>
    <row r="27" outlineLevel="2">
      <c r="A27" s="12" t="s">
        <v>42</v>
      </c>
      <c r="B27" s="0" t="s">
        <v>32</v>
      </c>
      <c r="C27" s="13">
        <f>IFERROR(0.8*(1-w),"")</f>
        <v>0.55199999999999994</v>
      </c>
      <c r="D27" s="13">
        <v>0.8</v>
      </c>
      <c r="E27" s="13">
        <v>0.80808080808080818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IFERROR(0.02*(1-w),"")</f>
        <v>0.0138</v>
      </c>
      <c r="D28" s="13">
        <v>0.02</v>
      </c>
      <c r="E28" s="13">
        <v>0.020202020202020204</v>
      </c>
      <c r="F28" s="13"/>
      <c r="G28" s="13"/>
      <c r="I28" s="5"/>
      <c r="J28" s="0" t="s">
        <v>39</v>
      </c>
    </row>
    <row r="29" outlineLevel="2">
      <c r="A29" s="12" t="s">
        <v>44</v>
      </c>
      <c r="B29" s="0" t="s">
        <v>32</v>
      </c>
      <c r="C29" s="13">
        <f>IFERROR(99.82*(1-w)+w*100,"")</f>
        <v>99.875799999999984</v>
      </c>
      <c r="D29" s="13">
        <v>99.82</v>
      </c>
      <c r="E29" s="13">
        <v>99.818181818181813</v>
      </c>
      <c r="F29" s="13"/>
      <c r="G29" s="13"/>
      <c r="I29" s="5"/>
      <c r="J29" s="0" t="s">
        <v>36</v>
      </c>
    </row>
    <row r="30" outlineLevel="1">
      <c r="A30" s="11" t="s">
        <v>45</v>
      </c>
      <c r="I30" s="5"/>
    </row>
    <row r="31" outlineLevel="2">
      <c r="A31" s="12" t="s">
        <v>46</v>
      </c>
      <c r="B31" s="0" t="s">
        <v>47</v>
      </c>
      <c r="C31" s="13">
        <f>IFERROR(20.58248*(1-w)-w*2.443,"")</f>
        <v>13.4445812</v>
      </c>
      <c r="D31" s="13">
        <v>20.58248</v>
      </c>
      <c r="E31" s="13">
        <v>20.790383838383839</v>
      </c>
      <c r="F31" s="13"/>
      <c r="G31" s="13"/>
      <c r="I31" s="5"/>
    </row>
    <row r="32" outlineLevel="2">
      <c r="A32" s="12" t="s">
        <v>48</v>
      </c>
      <c r="B32" s="0" t="s">
        <v>47</v>
      </c>
      <c r="C32" s="13">
        <f>IFERROR(22.11*(1-w),"")</f>
        <v>15.255899999999999</v>
      </c>
      <c r="D32" s="13">
        <v>22.11</v>
      </c>
      <c r="E32" s="13">
        <v>22.333333333333332</v>
      </c>
      <c r="F32" s="13"/>
      <c r="G32" s="13"/>
      <c r="I32" s="5"/>
    </row>
    <row r="33" outlineLevel="2">
      <c r="A33" s="12" t="s">
        <v>49</v>
      </c>
      <c r="B33" s="0" t="s">
        <v>47</v>
      </c>
      <c r="C33" s="13">
        <f>IFERROR(19.891225*(1-w),"")</f>
        <v>13.724945250000001</v>
      </c>
      <c r="D33" s="13">
        <v>19.891225000000002</v>
      </c>
      <c r="E33" s="13">
        <v>20.092146464646468</v>
      </c>
      <c r="F33" s="13"/>
      <c r="G33" s="13"/>
      <c r="I33" s="5"/>
      <c r="J33" s="0" t="s">
        <v>36</v>
      </c>
    </row>
    <row r="34">
      <c r="A34" s="7" t="s">
        <v>50</v>
      </c>
      <c r="I34" s="5"/>
    </row>
    <row r="35" outlineLevel="1">
      <c r="A35" s="11" t="s">
        <v>51</v>
      </c>
      <c r="I35" s="5"/>
    </row>
    <row r="36" outlineLevel="2">
      <c r="A36" s="12" t="s">
        <v>52</v>
      </c>
      <c r="B36" s="0" t="s">
        <v>53</v>
      </c>
      <c r="C36" s="14">
        <v>490</v>
      </c>
      <c r="D36" s="14"/>
      <c r="E36" s="14"/>
      <c r="F36" s="14"/>
      <c r="G36" s="14"/>
      <c r="I36" s="5"/>
    </row>
    <row r="37">
      <c r="I37" s="5"/>
    </row>
    <row r="38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6:E36"/>
  </mergeCells>
  <dataValidations count="1">
    <dataValidation type="decimal" sqref="C19" errorStyle="stop" promptTitle="Enter moisture content" errorTitle="Invalid moisture content" prompt="Value should be between 0 and 100.&#10;Original value: 3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https://phyllis.nl/Biomass/View/2117</dc:description>
  <dcterms:created xsi:type="dcterms:W3CDTF">2026-03-19T07:25:36Z</dcterms:created>
  <dc:title>Phyllis2 #2117 wood, Gliricidia sepium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