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24 reed canary gras" sheetId="1" r:id="rId1"/>
  </sheets>
  <definedNames>
    <definedName name="w" localSheetId="0">IF(ISBLANK('Phyllis2 #2124 reed canary gras'!$C$19),#N/A,'Phyllis2 #2124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<sst xmlns="http://schemas.openxmlformats.org/spreadsheetml/2006/main" count="70" uniqueCount="70">
  <si>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</si>
  <si>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https://phyllis.nl/Biomass/View/2124</t>
  </si>
  <si>
    <t>reed canary grass (#2124)</t>
  </si>
  <si>
    <t>ID-number</t>
  </si>
  <si>
    <t>#2124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</si>
  <si>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</si>
  <si>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</si>
  <si>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</si>
  <si>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</si>
  <si>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</si>
  <si>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</si>
  <si>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</si>
  <si>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</si>
  <si>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</si>
  <si>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Average over 14 sites in Sweden, delayed (spring) harvest. Data on summer harvest in ID 2123. Data on extremes for ash in ID 2125 and 2127.</t>
  </si>
  <si>
    <t>Literature</t>
  </si>
  <si>
    <t>Burvall,J.: Influence of harvest time and soil type on fuel quality in reed canary grass (phalaris arundinacea l.). Biomass and Bioenergy 12 (1997) 149-154.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</si>
  <si>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</si>
  <si>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</si>
  <si>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</si>
  <si>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</si>
  <si>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</si>
  <si>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</si>
  <si>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</si>
  <si>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</si>
  <si>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</si>
  <si>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</si>
  <si>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</si>
  <si>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</si>
  <si>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</si>
  <si>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</si>
  <si>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</si>
  <si>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</si>
  <si>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</si>
  <si>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</si>
  <si>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</si>
  <si>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</si>
  <si>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</si>
  <si>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</si>
  <si>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</si>
  <si>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</si>
  <si>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</si>
  <si>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</si>
  <si>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</si>
  <si>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</si>
  <si>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</si>
  <si>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</si>
  <si>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</si>
  <si>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</si>
  <si>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</si>
  <si>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</si>
  <si>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</si>
  <si>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</si>
  <si>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</si>
  <si>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</si>
  <si>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</si>
  <si>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</si>
  <si>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Calcium (Ca)</t>
  </si>
  <si>
    <t>Cadmium (Cd)</t>
  </si>
  <si>
    <t>Mercury (Hg)</t>
  </si>
  <si>
    <t>Potassium (K)</t>
  </si>
  <si>
    <t>Magnesium (Mg)</t>
  </si>
  <si>
    <t>Sodium (Na)</t>
  </si>
  <si>
    <t>Phosphorus (P)</t>
  </si>
  <si>
    <t>Lead (Pb)</t>
  </si>
  <si>
    <t>Silicon (Si)</t>
  </si>
  <si>
    <t>Ash melting behaviour</t>
  </si>
  <si>
    <t>American standard method, measured in oxidizing conditions</t>
  </si>
  <si>
    <t>IDT (initial deformation temperature)</t>
  </si>
  <si>
    <t>°C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</si>
</sst>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IFERROR(5.6*(1-w),"")</f>
        <v/>
      </c>
      <c r="D20" s="13">
        <v>5.6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IFERROR(74*(1-w),"")</f>
        <v/>
      </c>
      <c r="D21" s="13">
        <v>74</v>
      </c>
      <c r="E21" s="13">
        <v>78.389830508474574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IFERROR(20.4*(1-w),"")</f>
        <v/>
      </c>
      <c r="D22" s="13">
        <v>20.400000000000006</v>
      </c>
      <c r="E22" s="13">
        <v>21.610169491525429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IFERROR(46*(1-w),"")</f>
        <v/>
      </c>
      <c r="D24" s="13">
        <v>46</v>
      </c>
      <c r="E24" s="13">
        <v>48.728813559322035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IFERROR(5.5*(1-w),"")</f>
        <v/>
      </c>
      <c r="D25" s="13">
        <v>5.5</v>
      </c>
      <c r="E25" s="13">
        <v>5.8262711864406782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IFERROR(41.84*(1-w),"")</f>
        <v/>
      </c>
      <c r="D26" s="13">
        <v>41.84</v>
      </c>
      <c r="E26" s="13">
        <v>44.322033898305094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IFERROR(0.88*(1-w),"")</f>
        <v/>
      </c>
      <c r="D27" s="13">
        <v>0.88</v>
      </c>
      <c r="E27" s="13">
        <v>0.93220338983050854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IFERROR(0.09*(1-w),"")</f>
        <v/>
      </c>
      <c r="D28" s="13">
        <v>0.09</v>
      </c>
      <c r="E28" s="13">
        <v>0.095338983050847453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IFERROR(100*(1-w)+w*100,"")</f>
        <v/>
      </c>
      <c r="D29" s="13">
        <v>100</v>
      </c>
      <c r="E29" s="13">
        <v>100.00000000000001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IFERROR(900*(1-w),"")</f>
        <v/>
      </c>
      <c r="D31" s="14">
        <v>900</v>
      </c>
      <c r="E31" s="14">
        <v>953.38983050847457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IFERROR(17.6*(1-w)-w*2.443,"")</f>
        <v/>
      </c>
      <c r="D33" s="13">
        <v>17.6</v>
      </c>
      <c r="E33" s="13">
        <v>18.644067796610173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IFERROR(18.80019*(1-w),"")</f>
        <v/>
      </c>
      <c r="D34" s="13">
        <v>18.80019</v>
      </c>
      <c r="E34" s="13">
        <v>19.915455508474579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IFERROR(17.75589208*(1-w),"")</f>
        <v/>
      </c>
      <c r="D35" s="13">
        <v>17.755892080000002</v>
      </c>
      <c r="E35" s="13">
        <v>18.80920771186441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4">
        <v>0.22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57</v>
      </c>
      <c r="B38" s="0" t="s">
        <v>56</v>
      </c>
      <c r="C38" s="14">
        <v>2000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56</v>
      </c>
      <c r="C39" s="14">
        <v>0.06</v>
      </c>
      <c r="D39" s="14"/>
      <c r="E39" s="14"/>
      <c r="F39" s="14"/>
      <c r="G39" s="14"/>
      <c r="I39" s="5"/>
      <c r="J39" s="0" t="s">
        <v>40</v>
      </c>
    </row>
    <row r="40" outlineLevel="2">
      <c r="A40" s="12" t="s">
        <v>59</v>
      </c>
      <c r="B40" s="0" t="s">
        <v>56</v>
      </c>
      <c r="C40" s="14">
        <v>0.03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56</v>
      </c>
      <c r="C41" s="14">
        <v>2700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56</v>
      </c>
      <c r="C42" s="14">
        <v>500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56</v>
      </c>
      <c r="C43" s="14">
        <v>200</v>
      </c>
      <c r="D43" s="14"/>
      <c r="E43" s="14"/>
      <c r="F43" s="14"/>
      <c r="G43" s="14"/>
      <c r="I43" s="5"/>
      <c r="J43" s="0" t="s">
        <v>40</v>
      </c>
    </row>
    <row r="44" outlineLevel="2">
      <c r="A44" s="12" t="s">
        <v>63</v>
      </c>
      <c r="B44" s="0" t="s">
        <v>56</v>
      </c>
      <c r="C44" s="14">
        <v>1100</v>
      </c>
      <c r="D44" s="14"/>
      <c r="E44" s="14"/>
      <c r="F44" s="14"/>
      <c r="G44" s="14"/>
      <c r="I44" s="5"/>
      <c r="J44" s="0" t="s">
        <v>40</v>
      </c>
    </row>
    <row r="45" outlineLevel="2">
      <c r="A45" s="12" t="s">
        <v>64</v>
      </c>
      <c r="B45" s="0" t="s">
        <v>56</v>
      </c>
      <c r="C45" s="14">
        <v>2.1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56</v>
      </c>
      <c r="C46" s="14">
        <v>18500</v>
      </c>
      <c r="D46" s="14"/>
      <c r="E46" s="14"/>
      <c r="F46" s="14"/>
      <c r="G46" s="14"/>
      <c r="I46" s="5"/>
      <c r="J46" s="0" t="s">
        <v>40</v>
      </c>
    </row>
    <row r="47" outlineLevel="1">
      <c r="A47" s="11" t="s">
        <v>66</v>
      </c>
      <c r="I47" s="5"/>
    </row>
    <row r="48" outlineLevel="2">
      <c r="A48" s="15" t="s">
        <v>67</v>
      </c>
      <c r="I48" s="5"/>
    </row>
    <row r="49" outlineLevel="3">
      <c r="A49" s="16" t="s">
        <v>68</v>
      </c>
      <c r="B49" s="0" t="s">
        <v>69</v>
      </c>
      <c r="C49" s="17">
        <v>1404</v>
      </c>
      <c r="D49" s="17"/>
      <c r="E49" s="17"/>
      <c r="F49" s="17"/>
      <c r="G49" s="17"/>
      <c r="I49" s="5"/>
    </row>
    <row r="50">
      <c r="I50" s="5"/>
    </row>
    <row r="5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https://phyllis.nl/Biomass/View/2124</dc:description>
  <dcterms:created xsi:type="dcterms:W3CDTF">2026-03-04T04:37:03Z</dcterms:created>
  <dc:title>Phyllis2 #2124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