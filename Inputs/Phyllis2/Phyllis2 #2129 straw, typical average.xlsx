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29 straw, typical a" sheetId="1" r:id="rId1"/>
  </sheets>
  <definedNames>
    <definedName name="w" localSheetId="0">IF(ISBLANK('Phyllis2 #2129 straw, typical a'!$C$19),#N/A,'Phyllis2 #2129 straw, typical a'!$C$19/100)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<sst xmlns="http://schemas.openxmlformats.org/spreadsheetml/2006/main" count="63" uniqueCount="63">
  <si>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</si>
  <si>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https://phyllis.nl/Biomass/View/2129</t>
  </si>
  <si>
    <t>straw, typical average (#2129)</t>
  </si>
  <si>
    <t>ID-number</t>
  </si>
  <si>
    <t>#2129</t>
  </si>
  <si>
    <t>Material</t>
  </si>
  <si>
    <t>straw, typical average</t>
  </si>
  <si>
    <t>Classification</t>
  </si>
  <si>
    <t>ECN Phyllis classification &gt; straw (stalk/cob/ear) &gt; others</t>
  </si>
  <si>
    <t>NTA 8003 classification &gt; [200] biomassa uit land- en tuinbouw &gt; [220] stro</t>
  </si>
  <si>
    <t>Submitter organisation</t>
  </si>
  <si>
    <t>ECN (Netherlands)</t>
  </si>
  <si>
    <t>Submission date</t>
  </si>
  <si>
    <t>Remarks</t>
  </si>
  <si>
    <t xml:space="preserve">Danish cereal  straw. Water  8%-23%, ash 2%-7%, LHVdaf 18000-19000, volatiles 75%-81%, Cl 0.1%-1.1%, Si 0.1%-1.5%, K 0.2%-1.9%</t>
  </si>
  <si>
    <t>Literature</t>
  </si>
  <si>
    <t>B. Sander: Fuel data for Danish biofuels and improvement of the quality of straw and whole crops. Biomass for energy and environment. Proc. 9th Eur. bioenergy conf. (Eds. P.Chartier et al.), pp.490-495, Pergamon (1996). + Biomass&amp;Bioenergy 12(1997)177-183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</si>
  <si>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</si>
  <si>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</si>
  <si>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</si>
  <si>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</si>
  <si>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</si>
  <si>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</si>
  <si>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</si>
  <si>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</si>
  <si>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</si>
  <si>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</si>
  <si>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</si>
  <si>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</si>
  <si>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</si>
  <si>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</si>
  <si>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</si>
  <si>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</si>
  <si>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</si>
  <si>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</si>
  <si>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</si>
  <si>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</si>
  <si>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</si>
  <si>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</si>
  <si>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</si>
  <si>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</si>
  <si>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</si>
  <si>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</si>
  <si>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</si>
  <si>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</si>
  <si>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</si>
  <si>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</si>
  <si>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</si>
  <si>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</si>
  <si>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</si>
  <si>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</si>
  <si>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</si>
  <si>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</si>
  <si>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</si>
  <si>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</si>
  <si>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</si>
  <si>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</si>
  <si>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</si>
  <si>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</si>
  <si>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</si>
  <si>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Sodium (Na)</t>
  </si>
  <si>
    <t>Phosphorus (P)</t>
  </si>
  <si>
    <t>Silicon (Si)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</si>
</sst>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2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36991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14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IFERROR(4.5*(1-w),"")</f>
        <v>3.87</v>
      </c>
      <c r="D20" s="13">
        <v>4.5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IFERROR(78*(1-w),"")</f>
        <v>67.08</v>
      </c>
      <c r="D21" s="13">
        <v>78</v>
      </c>
      <c r="E21" s="13">
        <v>81.675392670157066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IFERROR(17.5*(1-w),"")</f>
        <v>15.049999999999999</v>
      </c>
      <c r="D22" s="13">
        <v>17.5</v>
      </c>
      <c r="E22" s="13">
        <v>18.324607329842934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IFERROR(47.5*(1-w),"")</f>
        <v>40.85</v>
      </c>
      <c r="D24" s="13">
        <v>47.5</v>
      </c>
      <c r="E24" s="13">
        <v>49.738219895287962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IFERROR(5.9*(1-w),"")</f>
        <v>5.074</v>
      </c>
      <c r="D25" s="13">
        <v>5.9</v>
      </c>
      <c r="E25" s="13">
        <v>6.178010471204189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IFERROR(40.85*(1-w),"")</f>
        <v>35.131</v>
      </c>
      <c r="D26" s="13">
        <v>40.85</v>
      </c>
      <c r="E26" s="13">
        <v>42.774869109947645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IFERROR(0.7*(1-w),"")</f>
        <v>0.602</v>
      </c>
      <c r="D27" s="13">
        <v>0.7</v>
      </c>
      <c r="E27" s="13">
        <v>0.73298429319371727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IFERROR(0.15*(1-w),"")</f>
        <v>0.129</v>
      </c>
      <c r="D28" s="13">
        <v>0.15</v>
      </c>
      <c r="E28" s="13">
        <v>0.15706806282722513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IFERROR(100*(1-w)+w*100,"")</f>
        <v>100.00000000000001</v>
      </c>
      <c r="D29" s="13">
        <v>100.00000000000001</v>
      </c>
      <c r="E29" s="13">
        <v>100.00000000000001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4">
        <f>IFERROR(4000*(1-w),"")</f>
        <v>3440</v>
      </c>
      <c r="D31" s="14">
        <v>4000</v>
      </c>
      <c r="E31" s="14">
        <v>4188.4816753926707</v>
      </c>
      <c r="F31" s="14"/>
      <c r="G31" s="14"/>
      <c r="I31" s="5"/>
      <c r="J31" s="0" t="s">
        <v>39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3">
        <f>IFERROR(17.763*(1-w)-w*2.443,"")</f>
        <v>14.934160000000002</v>
      </c>
      <c r="D33" s="13">
        <v>17.763</v>
      </c>
      <c r="E33" s="13">
        <v>18.6</v>
      </c>
      <c r="F33" s="13"/>
      <c r="G33" s="13"/>
      <c r="I33" s="5"/>
    </row>
    <row r="34" outlineLevel="2">
      <c r="A34" s="12" t="s">
        <v>51</v>
      </c>
      <c r="B34" s="0" t="s">
        <v>50</v>
      </c>
      <c r="C34" s="13">
        <f>IFERROR(19.05048*(1-w),"")</f>
        <v>16.3834128</v>
      </c>
      <c r="D34" s="13">
        <v>19.05048</v>
      </c>
      <c r="E34" s="13">
        <v>19.948146596858638</v>
      </c>
      <c r="F34" s="13"/>
      <c r="G34" s="13"/>
      <c r="I34" s="5"/>
    </row>
    <row r="35" outlineLevel="2">
      <c r="A35" s="12" t="s">
        <v>52</v>
      </c>
      <c r="B35" s="0" t="s">
        <v>50</v>
      </c>
      <c r="C35" s="13">
        <f>IFERROR(18.95583825*(1-w),"")</f>
        <v>16.302020895</v>
      </c>
      <c r="D35" s="13">
        <v>18.95583825</v>
      </c>
      <c r="E35" s="13">
        <v>19.849045287958116</v>
      </c>
      <c r="F35" s="13"/>
      <c r="G35" s="13"/>
      <c r="I35" s="5"/>
      <c r="J35" s="0" t="s">
        <v>36</v>
      </c>
    </row>
    <row r="36" outlineLevel="1">
      <c r="A36" s="11" t="s">
        <v>53</v>
      </c>
      <c r="I36" s="5"/>
    </row>
    <row r="37" outlineLevel="2">
      <c r="A37" s="12" t="s">
        <v>54</v>
      </c>
      <c r="B37" s="0" t="s">
        <v>55</v>
      </c>
      <c r="C37" s="14">
        <v>50</v>
      </c>
      <c r="D37" s="14"/>
      <c r="E37" s="14"/>
      <c r="F37" s="14"/>
      <c r="G37" s="14"/>
      <c r="I37" s="5"/>
      <c r="J37" s="0" t="s">
        <v>39</v>
      </c>
    </row>
    <row r="38" outlineLevel="2">
      <c r="A38" s="12" t="s">
        <v>56</v>
      </c>
      <c r="B38" s="0" t="s">
        <v>55</v>
      </c>
      <c r="C38" s="14">
        <v>4000</v>
      </c>
      <c r="D38" s="14"/>
      <c r="E38" s="14"/>
      <c r="F38" s="14"/>
      <c r="G38" s="14"/>
      <c r="I38" s="5"/>
      <c r="J38" s="0" t="s">
        <v>39</v>
      </c>
    </row>
    <row r="39" outlineLevel="2">
      <c r="A39" s="12" t="s">
        <v>57</v>
      </c>
      <c r="B39" s="0" t="s">
        <v>55</v>
      </c>
      <c r="C39" s="14">
        <v>100</v>
      </c>
      <c r="D39" s="14"/>
      <c r="E39" s="14"/>
      <c r="F39" s="14"/>
      <c r="G39" s="14"/>
      <c r="I39" s="5"/>
      <c r="J39" s="0" t="s">
        <v>39</v>
      </c>
    </row>
    <row r="40" outlineLevel="2">
      <c r="A40" s="12" t="s">
        <v>58</v>
      </c>
      <c r="B40" s="0" t="s">
        <v>55</v>
      </c>
      <c r="C40" s="14">
        <v>10000</v>
      </c>
      <c r="D40" s="14"/>
      <c r="E40" s="14"/>
      <c r="F40" s="14"/>
      <c r="G40" s="14"/>
      <c r="I40" s="5"/>
      <c r="J40" s="0" t="s">
        <v>39</v>
      </c>
    </row>
    <row r="41" outlineLevel="2">
      <c r="A41" s="12" t="s">
        <v>59</v>
      </c>
      <c r="B41" s="0" t="s">
        <v>55</v>
      </c>
      <c r="C41" s="14">
        <v>700</v>
      </c>
      <c r="D41" s="14"/>
      <c r="E41" s="14"/>
      <c r="F41" s="14"/>
      <c r="G41" s="14"/>
      <c r="I41" s="5"/>
      <c r="J41" s="0" t="s">
        <v>39</v>
      </c>
    </row>
    <row r="42" outlineLevel="2">
      <c r="A42" s="12" t="s">
        <v>60</v>
      </c>
      <c r="B42" s="0" t="s">
        <v>55</v>
      </c>
      <c r="C42" s="14">
        <v>500</v>
      </c>
      <c r="D42" s="14"/>
      <c r="E42" s="14"/>
      <c r="F42" s="14"/>
      <c r="G42" s="14"/>
      <c r="I42" s="5"/>
      <c r="J42" s="0" t="s">
        <v>39</v>
      </c>
    </row>
    <row r="43" outlineLevel="2">
      <c r="A43" s="12" t="s">
        <v>61</v>
      </c>
      <c r="B43" s="0" t="s">
        <v>55</v>
      </c>
      <c r="C43" s="14">
        <v>800</v>
      </c>
      <c r="D43" s="14"/>
      <c r="E43" s="14"/>
      <c r="F43" s="14"/>
      <c r="G43" s="14"/>
      <c r="I43" s="5"/>
      <c r="J43" s="0" t="s">
        <v>39</v>
      </c>
    </row>
    <row r="44" outlineLevel="2">
      <c r="A44" s="12" t="s">
        <v>62</v>
      </c>
      <c r="B44" s="0" t="s">
        <v>55</v>
      </c>
      <c r="C44" s="14">
        <v>8000</v>
      </c>
      <c r="D44" s="14"/>
      <c r="E44" s="14"/>
      <c r="F44" s="14"/>
      <c r="G44" s="14"/>
      <c r="I44" s="5"/>
      <c r="J44" s="0" t="s">
        <v>39</v>
      </c>
    </row>
    <row r="45">
      <c r="I45" s="5"/>
    </row>
    <row r="46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9" errorStyle="stop" promptTitle="Enter moisture content" errorTitle="Invalid moisture content" prompt="Value should be between 0 and 100.&#10;Original value: 1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https://phyllis.nl/Biomass/View/2129</dc:description>
  <dcterms:created xsi:type="dcterms:W3CDTF">2026-03-17T06:08:39Z</dcterms:created>
  <dc:title>Phyllis2 #2129 straw, typical average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