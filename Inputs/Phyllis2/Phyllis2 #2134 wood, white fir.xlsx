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34 wood, white fir" sheetId="1" r:id="rId1"/>
  </sheets>
  <definedNames>
    <definedName name="w" localSheetId="0">IF(ISBLANK('Phyllis2 #2134 wood, white fir'!$C$21),#N/A,'Phyllis2 #2134 wood, white fir'!$C$21/100)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<sst xmlns="http://schemas.openxmlformats.org/spreadsheetml/2006/main" count="71" uniqueCount="71">
  <si>
    <t>Phyllis2</t>
  </si>
  <si>
    <t>https://phyllis.nl/Biomass/View/2134</t>
  </si>
  <si>
    <t>wood, white fir (#2134)</t>
  </si>
  <si>
    <t>ID-number</t>
  </si>
  <si>
    <t>#2134</t>
  </si>
  <si>
    <t>Material</t>
  </si>
  <si>
    <t>wood, white fir</t>
  </si>
  <si>
    <t>Description</t>
  </si>
  <si>
    <t>chips</t>
  </si>
  <si>
    <t>Classification</t>
  </si>
  <si>
    <t>ECN Phyllis classification &gt; untreated wood &gt; fir/pine/spruce &gt; wood, white fir</t>
  </si>
  <si>
    <t>NTA 8003 classification &gt; [100] hout &gt; [110] vers hout &gt; [130] naaldhout &gt; [131] naaldhout</t>
  </si>
  <si>
    <t>Sample lot size</t>
  </si>
  <si>
    <t>80% smaller than 2 mm</t>
  </si>
  <si>
    <t>Ash type</t>
  </si>
  <si>
    <t>600°C</t>
  </si>
  <si>
    <t>Submitter organisation</t>
  </si>
  <si>
    <t>ECN (Netherlands)</t>
  </si>
  <si>
    <t>Submission date</t>
  </si>
  <si>
    <t>Literature</t>
  </si>
  <si>
    <t>B.M. Jenkins, M. Kayhanian, L.L. Baxter, D. Salours: Combustion of residual biosolids from a high solids anaerobic digestion/aerobic composting process. Biomass and Bioenergy 12 (1997) 367-381.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</si>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</sst>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36991</v>
      </c>
    </row>
    <row r="14" outlineLevel="1">
      <c r="A14" s="7" t="s">
        <v>19</v>
      </c>
      <c r="B14" s="0" t="s">
        <v>20</v>
      </c>
    </row>
    <row r="15">
      <c r="A15" s="7"/>
    </row>
    <row r="16" s="1" customFormat="1">
      <c r="A16" s="9" t="s">
        <v>21</v>
      </c>
    </row>
    <row r="17" s="1" customFormat="1">
      <c r="A17" s="10" t="s">
        <v>22</v>
      </c>
      <c r="B17" s="10" t="s">
        <v>23</v>
      </c>
      <c r="C17" s="10" t="s">
        <v>24</v>
      </c>
      <c r="D17" s="10"/>
      <c r="E17" s="10"/>
      <c r="F17" s="10" t="s">
        <v>25</v>
      </c>
      <c r="G17" s="10" t="s">
        <v>26</v>
      </c>
      <c r="H17" s="10" t="s">
        <v>27</v>
      </c>
      <c r="I17" s="10" t="s">
        <v>28</v>
      </c>
      <c r="J17" s="10" t="s">
        <v>29</v>
      </c>
      <c r="K17" s="10" t="s">
        <v>30</v>
      </c>
      <c r="L17" s="10"/>
    </row>
    <row r="18" s="1" customFormat="1">
      <c r="A18" s="10"/>
      <c r="B18" s="10"/>
      <c r="C18" s="10" t="s">
        <v>31</v>
      </c>
      <c r="D18" s="10" t="s">
        <v>32</v>
      </c>
      <c r="E18" s="10" t="s">
        <v>33</v>
      </c>
      <c r="F18" s="10"/>
      <c r="G18" s="10"/>
      <c r="H18" s="10"/>
      <c r="I18" s="10"/>
      <c r="J18" s="10"/>
      <c r="K18" s="10"/>
      <c r="L18" s="10"/>
    </row>
    <row r="19">
      <c r="A19" s="7" t="s">
        <v>34</v>
      </c>
      <c r="I19" s="5"/>
    </row>
    <row r="20" outlineLevel="1">
      <c r="A20" s="11" t="s">
        <v>35</v>
      </c>
      <c r="I20" s="5"/>
    </row>
    <row r="21" outlineLevel="2">
      <c r="A21" s="12" t="s">
        <v>36</v>
      </c>
      <c r="B21" s="0" t="s">
        <v>37</v>
      </c>
      <c r="C21" s="13">
        <v>9.53</v>
      </c>
      <c r="D21" s="13"/>
      <c r="E21" s="13"/>
      <c r="F21" s="13"/>
      <c r="G21" s="13"/>
      <c r="I21" s="5"/>
    </row>
    <row r="22" outlineLevel="2">
      <c r="A22" s="12" t="s">
        <v>38</v>
      </c>
      <c r="B22" s="0" t="s">
        <v>37</v>
      </c>
      <c r="C22" s="13">
        <f>IFERROR(0.5*(1-w),"")</f>
        <v>0.45235000000000003</v>
      </c>
      <c r="D22" s="13">
        <v>0.5</v>
      </c>
      <c r="E22" s="13">
        <v/>
      </c>
      <c r="F22" s="13"/>
      <c r="G22" s="13"/>
      <c r="I22" s="5"/>
    </row>
    <row r="23" outlineLevel="2">
      <c r="A23" s="12" t="s">
        <v>39</v>
      </c>
      <c r="B23" s="0" t="s">
        <v>37</v>
      </c>
      <c r="C23" s="13">
        <f>IFERROR(83.69*(1-w),"")</f>
        <v>75.714343</v>
      </c>
      <c r="D23" s="13">
        <v>83.69</v>
      </c>
      <c r="E23" s="13">
        <v>84.1105527638191</v>
      </c>
      <c r="F23" s="13"/>
      <c r="G23" s="13"/>
      <c r="I23" s="5"/>
    </row>
    <row r="24" outlineLevel="2">
      <c r="A24" s="12" t="s">
        <v>40</v>
      </c>
      <c r="B24" s="0" t="s">
        <v>37</v>
      </c>
      <c r="C24" s="13">
        <f>IFERROR(15.81*(1-w),"")</f>
        <v>14.303307000000004</v>
      </c>
      <c r="D24" s="13">
        <v>15.810000000000002</v>
      </c>
      <c r="E24" s="13">
        <v>15.889447236180906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37</v>
      </c>
      <c r="C26" s="13">
        <f>IFERROR(50.72*(1-w),"")</f>
        <v>45.886384</v>
      </c>
      <c r="D26" s="13">
        <v>50.72</v>
      </c>
      <c r="E26" s="13">
        <v>50.974874371859293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37</v>
      </c>
      <c r="C27" s="13">
        <f>IFERROR(5.99*(1-w),"")</f>
        <v>5.4191530000000006</v>
      </c>
      <c r="D27" s="13">
        <v>5.99</v>
      </c>
      <c r="E27" s="13">
        <v>6.0201005025125633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37</v>
      </c>
      <c r="C28" s="13">
        <f>IFERROR(42.49*(1-w),"")</f>
        <v>38.440703000000006</v>
      </c>
      <c r="D28" s="13">
        <v>42.49</v>
      </c>
      <c r="E28" s="13">
        <v>42.7035175879397</v>
      </c>
      <c r="F28" s="13"/>
      <c r="G28" s="13"/>
      <c r="I28" s="5"/>
      <c r="J28" s="0" t="s">
        <v>41</v>
      </c>
    </row>
    <row r="29" outlineLevel="2">
      <c r="A29" s="12" t="s">
        <v>47</v>
      </c>
      <c r="B29" s="0" t="s">
        <v>37</v>
      </c>
      <c r="C29" s="13">
        <f>IFERROR(0.3*(1-w),"")</f>
        <v>0.27141</v>
      </c>
      <c r="D29" s="13">
        <v>0.3</v>
      </c>
      <c r="E29" s="13">
        <v>0.30150753768844218</v>
      </c>
      <c r="F29" s="13"/>
      <c r="G29" s="13"/>
      <c r="I29" s="5"/>
      <c r="J29" s="0" t="s">
        <v>44</v>
      </c>
    </row>
    <row r="30" outlineLevel="2">
      <c r="A30" s="12" t="s">
        <v>48</v>
      </c>
      <c r="B30" s="0" t="s">
        <v>49</v>
      </c>
      <c r="C30" s="13"/>
      <c r="D30" s="13"/>
      <c r="E30" s="13"/>
      <c r="F30" s="13"/>
      <c r="G30" s="13">
        <v>0.01</v>
      </c>
      <c r="I30" s="5"/>
    </row>
    <row r="31" outlineLevel="2">
      <c r="A31" s="12" t="s">
        <v>50</v>
      </c>
      <c r="B31" s="0" t="s">
        <v>37</v>
      </c>
      <c r="C31" s="13">
        <f>IFERROR(100*(1-w)+w*100,"")</f>
        <v>100</v>
      </c>
      <c r="D31" s="13">
        <v>100</v>
      </c>
      <c r="E31" s="13">
        <v>100</v>
      </c>
      <c r="F31" s="13"/>
      <c r="G31" s="13"/>
      <c r="I31" s="5"/>
      <c r="J31" s="0" t="s">
        <v>41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4"/>
      <c r="D33" s="14"/>
      <c r="E33" s="14"/>
      <c r="F33" s="14"/>
      <c r="G33" s="14">
        <v>100</v>
      </c>
      <c r="I33" s="5"/>
    </row>
    <row r="34" outlineLevel="1">
      <c r="A34" s="11" t="s">
        <v>54</v>
      </c>
      <c r="I34" s="5"/>
    </row>
    <row r="35" outlineLevel="2">
      <c r="A35" s="12" t="s">
        <v>55</v>
      </c>
      <c r="B35" s="0" t="s">
        <v>56</v>
      </c>
      <c r="C35" s="13">
        <f>IFERROR(18.36288*(1-w)-w*2.443,"")</f>
        <v>16.380079636</v>
      </c>
      <c r="D35" s="13">
        <v>18.36288</v>
      </c>
      <c r="E35" s="13">
        <v>18.455155778894472</v>
      </c>
      <c r="F35" s="13"/>
      <c r="G35" s="13"/>
      <c r="I35" s="5"/>
    </row>
    <row r="36" outlineLevel="2">
      <c r="A36" s="12" t="s">
        <v>57</v>
      </c>
      <c r="B36" s="0" t="s">
        <v>56</v>
      </c>
      <c r="C36" s="13">
        <f>IFERROR(19.67*(1-w),"")</f>
        <v>17.795449</v>
      </c>
      <c r="D36" s="13">
        <v>19.67</v>
      </c>
      <c r="E36" s="13">
        <v>19.768844221105528</v>
      </c>
      <c r="F36" s="13"/>
      <c r="G36" s="13"/>
      <c r="I36" s="5"/>
    </row>
    <row r="37" outlineLevel="2">
      <c r="A37" s="12" t="s">
        <v>58</v>
      </c>
      <c r="B37" s="0" t="s">
        <v>56</v>
      </c>
      <c r="C37" s="13">
        <f>IFERROR(20.07188825*(1-w),"")</f>
        <v>18.159037299774997</v>
      </c>
      <c r="D37" s="13">
        <v>20.071888249999997</v>
      </c>
      <c r="E37" s="13">
        <v>20.17275201005025</v>
      </c>
      <c r="F37" s="13"/>
      <c r="G37" s="13"/>
      <c r="I37" s="5"/>
      <c r="J37" s="0" t="s">
        <v>41</v>
      </c>
    </row>
    <row r="38">
      <c r="A38" s="7" t="s">
        <v>59</v>
      </c>
      <c r="I38" s="5"/>
    </row>
    <row r="39" outlineLevel="1">
      <c r="A39" s="11" t="s">
        <v>60</v>
      </c>
      <c r="I39" s="5"/>
    </row>
    <row r="40" outlineLevel="2">
      <c r="A40" s="12" t="s">
        <v>61</v>
      </c>
      <c r="B40" s="0" t="s">
        <v>62</v>
      </c>
      <c r="C40" s="13">
        <v>11.2</v>
      </c>
      <c r="D40" s="13"/>
      <c r="E40" s="13"/>
      <c r="F40" s="13"/>
      <c r="G40" s="13"/>
      <c r="I40" s="5"/>
    </row>
    <row r="41" outlineLevel="2">
      <c r="A41" s="12" t="s">
        <v>63</v>
      </c>
      <c r="B41" s="0" t="s">
        <v>62</v>
      </c>
      <c r="C41" s="13">
        <v>1.86</v>
      </c>
      <c r="D41" s="13"/>
      <c r="E41" s="13"/>
      <c r="F41" s="13"/>
      <c r="G41" s="13"/>
      <c r="I41" s="5"/>
    </row>
    <row r="42" outlineLevel="2">
      <c r="A42" s="12" t="s">
        <v>64</v>
      </c>
      <c r="B42" s="0" t="s">
        <v>62</v>
      </c>
      <c r="C42" s="13">
        <v>12.26</v>
      </c>
      <c r="D42" s="13"/>
      <c r="E42" s="13"/>
      <c r="F42" s="13"/>
      <c r="G42" s="13"/>
      <c r="I42" s="5"/>
    </row>
    <row r="43" outlineLevel="2">
      <c r="A43" s="12" t="s">
        <v>65</v>
      </c>
      <c r="B43" s="0" t="s">
        <v>62</v>
      </c>
      <c r="C43" s="13">
        <v>4.24</v>
      </c>
      <c r="D43" s="13"/>
      <c r="E43" s="13"/>
      <c r="F43" s="13"/>
      <c r="G43" s="13"/>
      <c r="I43" s="5"/>
    </row>
    <row r="44" outlineLevel="2">
      <c r="A44" s="12" t="s">
        <v>66</v>
      </c>
      <c r="B44" s="0" t="s">
        <v>62</v>
      </c>
      <c r="C44" s="13">
        <v>2.83</v>
      </c>
      <c r="D44" s="13"/>
      <c r="E44" s="13"/>
      <c r="F44" s="13"/>
      <c r="G44" s="13"/>
      <c r="I44" s="5"/>
    </row>
    <row r="45" outlineLevel="2">
      <c r="A45" s="12" t="s">
        <v>67</v>
      </c>
      <c r="B45" s="0" t="s">
        <v>62</v>
      </c>
      <c r="C45" s="13">
        <v>37.08</v>
      </c>
      <c r="D45" s="13"/>
      <c r="E45" s="13"/>
      <c r="F45" s="13"/>
      <c r="G45" s="13"/>
      <c r="I45" s="5"/>
    </row>
    <row r="46" outlineLevel="2">
      <c r="A46" s="12" t="s">
        <v>68</v>
      </c>
      <c r="B46" s="0" t="s">
        <v>62</v>
      </c>
      <c r="C46" s="13">
        <v>5.86</v>
      </c>
      <c r="D46" s="13"/>
      <c r="E46" s="13"/>
      <c r="F46" s="13"/>
      <c r="G46" s="13"/>
      <c r="I46" s="5"/>
    </row>
    <row r="47" outlineLevel="2">
      <c r="A47" s="12" t="s">
        <v>69</v>
      </c>
      <c r="B47" s="0" t="s">
        <v>62</v>
      </c>
      <c r="C47" s="13">
        <v>3.16</v>
      </c>
      <c r="D47" s="13"/>
      <c r="E47" s="13"/>
      <c r="F47" s="13"/>
      <c r="G47" s="13"/>
      <c r="I47" s="5"/>
    </row>
    <row r="48" outlineLevel="2">
      <c r="A48" s="12" t="s">
        <v>70</v>
      </c>
      <c r="B48" s="0" t="s">
        <v>62</v>
      </c>
      <c r="C48" s="13">
        <v>17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8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0:E30"/>
    <mergeCell ref="C33:E33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21" errorStyle="stop" promptTitle="Enter moisture content" errorTitle="Invalid moisture content" prompt="Value should be between 0 and 100.&#10;Original value: 9.5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https://phyllis.nl/Biomass/View/2134</dc:description>
  <dcterms:created xsi:type="dcterms:W3CDTF">2026-03-19T07:05:03Z</dcterms:created>
  <dc:title>Phyllis2 #2134 wood, white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