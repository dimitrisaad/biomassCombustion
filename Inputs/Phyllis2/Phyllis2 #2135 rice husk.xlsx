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35 rice husk" sheetId="1" r:id="rId1"/>
  </sheets>
  <definedNames>
    <definedName name="w" localSheetId="0">IF(ISBLANK('Phyllis2 #2135 rice husk'!$C$18),#N/A,'Phyllis2 #2135 rice husk'!$C$18/100)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<sst xmlns="http://schemas.openxmlformats.org/spreadsheetml/2006/main" count="50" uniqueCount="50">
  <si>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</si>
  <si>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https://phyllis.nl/Biomass/View/2135</t>
  </si>
  <si>
    <t>rice husk (#2135)</t>
  </si>
  <si>
    <t>ID-number</t>
  </si>
  <si>
    <t>#2135</t>
  </si>
  <si>
    <t>Material</t>
  </si>
  <si>
    <t>rice husk</t>
  </si>
  <si>
    <t>Classification</t>
  </si>
  <si>
    <t>ECN Phyllis classification &gt; husk/shell/pit &gt; rice &gt; rice husk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</si>
  <si>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</si>
  <si>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</si>
  <si>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</si>
  <si>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</si>
  <si>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Literature</t>
  </si>
  <si>
    <t>K. S. Lin, H. P. Wang, C.-J. Lin and C.-I. Juch: A process development for gasification of rice husk. Fuel Proc. Technol. 55 (2) pp. 185-192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</si>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</sst>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36991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10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IFERROR(17.13*(1-w),"")</f>
        <v>15.417</v>
      </c>
      <c r="D19" s="13">
        <v>17.13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IFERROR(38.92*(1-w),"")</f>
        <v>35.028000000000006</v>
      </c>
      <c r="D21" s="13">
        <v>38.92</v>
      </c>
      <c r="E21" s="13">
        <v>46.965126101122245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IFERROR(5.55*(1-w),"")</f>
        <v>4.995</v>
      </c>
      <c r="D22" s="13">
        <v>5.55</v>
      </c>
      <c r="E22" s="13">
        <v>6.6972366356944608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IFERROR(37.94*(1-w),"")</f>
        <v>34.146</v>
      </c>
      <c r="D23" s="13">
        <v>37.94</v>
      </c>
      <c r="E23" s="13">
        <v>45.782550983468077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IFERROR(0.35*(1-w),"")</f>
        <v>0.315</v>
      </c>
      <c r="D24" s="13">
        <v>0.35</v>
      </c>
      <c r="E24" s="13">
        <v>0.42234825630505607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31</v>
      </c>
      <c r="C25" s="13">
        <f>IFERROR(0.02*(1-w),"")</f>
        <v>0.018000000000000002</v>
      </c>
      <c r="D25" s="13">
        <v>0.02</v>
      </c>
      <c r="E25" s="13">
        <v>0.024134186074574637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IFERROR(100*(1-w)+w*100,"")</f>
        <v>99.999999999999986</v>
      </c>
      <c r="D26" s="13">
        <v>99.999999999999986</v>
      </c>
      <c r="E26" s="13">
        <v>99.999999999999986</v>
      </c>
      <c r="F26" s="13"/>
      <c r="G26" s="13"/>
      <c r="I26" s="5"/>
      <c r="J26" s="0" t="s">
        <v>38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4">
        <f>IFERROR(900*(1-w),"")</f>
        <v>810</v>
      </c>
      <c r="D28" s="14">
        <v>900</v>
      </c>
      <c r="E28" s="14">
        <v>1086.0383733558585</v>
      </c>
      <c r="F28" s="14"/>
      <c r="G28" s="14"/>
      <c r="I28" s="5"/>
      <c r="J28" s="0" t="s">
        <v>35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IFERROR(14.78889*(1-w)-w*2.443,"")</f>
        <v>13.065700999999999</v>
      </c>
      <c r="D30" s="13">
        <v>14.78889</v>
      </c>
      <c r="E30" s="13">
        <v>17.845891154820805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IFERROR(16*(1-w),"")</f>
        <v>14.4</v>
      </c>
      <c r="D31" s="13">
        <v>16</v>
      </c>
      <c r="E31" s="13">
        <v>19.307348859659708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IFERROR(15.7981988457*(1-w),"")</f>
        <v>14.218378961130004</v>
      </c>
      <c r="D32" s="13">
        <v>15.798198845700004</v>
      </c>
      <c r="E32" s="13">
        <v>19.063833529262705</v>
      </c>
      <c r="F32" s="13"/>
      <c r="G32" s="13"/>
      <c r="I32" s="5"/>
      <c r="J32" s="0" t="s">
        <v>38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1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https://phyllis.nl/Biomass/View/2135</dc:description>
  <dcterms:created xsi:type="dcterms:W3CDTF">2026-03-17T05:47:41Z</dcterms:created>
  <dc:title>Phyllis2 #2135 rice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