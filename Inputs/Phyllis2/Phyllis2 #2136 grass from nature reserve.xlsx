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36 grass from natur" sheetId="1" r:id="rId1"/>
  </sheets>
  <definedNames>
    <definedName name="w" localSheetId="0">IF(ISBLANK('Phyllis2 #2136 grass from natur'!$C$19),#N/A,'Phyllis2 #2136 grass from natur'!$C$19/100)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<sst xmlns="http://schemas.openxmlformats.org/spreadsheetml/2006/main" count="61" uniqueCount="61">
  <si>
    <t>Phyllis2</t>
  </si>
  <si>
    <t>https://phyllis.nl/Biomass/View/2136</t>
  </si>
  <si>
    <t>grass from nature reserve (#2136)</t>
  </si>
  <si>
    <t>ID-number</t>
  </si>
  <si>
    <t>#2136</t>
  </si>
  <si>
    <t>Material</t>
  </si>
  <si>
    <t>grass from nature reserve</t>
  </si>
  <si>
    <t>Classification</t>
  </si>
  <si>
    <t>ECN Phyllis classification &gt; grass/plant &gt; other grass &gt; grass from nature reserve</t>
  </si>
  <si>
    <t>NTA 8003 classification &gt; [200] biomassa uit land- en tuinbouw &gt; [210] gras &gt; [211] mengsel gras</t>
  </si>
  <si>
    <t>Submitter organisation</t>
  </si>
  <si>
    <t>ECN (Netherlands)</t>
  </si>
  <si>
    <t>Submission date</t>
  </si>
  <si>
    <t>Remarks</t>
  </si>
  <si>
    <t>grasses (and plants) from Limburg, the Netherlands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</si>
  <si>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</si>
  <si>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</si>
  <si>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</si>
  <si>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</si>
  <si>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</si>
  <si>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</si>
  <si>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</si>
  <si>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</si>
  <si>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</si>
  <si>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</si>
  <si>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</si>
  <si>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</si>
  <si>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</si>
  <si>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</si>
  <si>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</si>
  <si>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</si>
  <si>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</si>
  <si>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</si>
  <si>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</si>
  <si>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</si>
  <si>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</si>
  <si>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</si>
  <si>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</si>
  <si>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</si>
  <si>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</si>
  <si>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</si>
  <si>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</si>
  <si>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</si>
  <si>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</si>
  <si>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</si>
  <si>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</si>
  <si>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</si>
  <si>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</si>
  <si>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</si>
  <si>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</si>
  <si>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</si>
  <si>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</si>
  <si>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</si>
  <si>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</si>
  <si>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</si>
  <si>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Calcium (Ca)</t>
  </si>
  <si>
    <t>mg/kg (dry)</t>
  </si>
  <si>
    <t>Potassium (K)</t>
  </si>
  <si>
    <t>Sodium (Na)</t>
  </si>
  <si>
    <t>Phosphorus (P)</t>
  </si>
  <si>
    <t>Silicon (Si)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</si>
</sst>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3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36999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IFERROR(39.4*(1-w),"")</f>
        <v/>
      </c>
      <c r="D20" s="13">
        <v>39.4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IFERROR(48.1*(1-w),"")</f>
        <v/>
      </c>
      <c r="D21" s="13">
        <v>48.1</v>
      </c>
      <c r="E21" s="13">
        <v>79.372937293729365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IFERROR(12.5*(1-w),"")</f>
        <v/>
      </c>
      <c r="D22" s="13">
        <v>12.5</v>
      </c>
      <c r="E22" s="13">
        <v>20.627062706270625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IFERROR(30*(1-w),"")</f>
        <v/>
      </c>
      <c r="D24" s="13">
        <v>30</v>
      </c>
      <c r="E24" s="13">
        <v>49.5049504950495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IFERROR(3.84*(1-w),"")</f>
        <v/>
      </c>
      <c r="D25" s="13">
        <v>3.84</v>
      </c>
      <c r="E25" s="13">
        <v>6.3366336633663352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IFERROR(21.8*(1-w),"")</f>
        <v/>
      </c>
      <c r="D26" s="13">
        <v>21.8</v>
      </c>
      <c r="E26" s="13">
        <v>35.973597359735969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34</v>
      </c>
      <c r="C27" s="13">
        <f>IFERROR(3*(1-w),"")</f>
        <v/>
      </c>
      <c r="D27" s="13">
        <v>3</v>
      </c>
      <c r="E27" s="13">
        <v>4.95049504950495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IFERROR(0.27*(1-w),"")</f>
        <v/>
      </c>
      <c r="D28" s="13">
        <v>0.27</v>
      </c>
      <c r="E28" s="13">
        <v>0.4455445544554455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34</v>
      </c>
      <c r="C29" s="13">
        <f>IFERROR(98.874*(1-w)+w*100,"")</f>
        <v/>
      </c>
      <c r="D29" s="13">
        <v>98.874</v>
      </c>
      <c r="E29" s="13">
        <v>98.141914191419119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IFERROR(5640*(1-w),"")</f>
        <v/>
      </c>
      <c r="D31" s="14">
        <v>5640</v>
      </c>
      <c r="E31" s="14">
        <v>9306.9306930693056</v>
      </c>
      <c r="F31" s="14"/>
      <c r="G31" s="14"/>
      <c r="I31" s="5"/>
      <c r="J31" s="0" t="s">
        <v>40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3">
        <f>IFERROR(12.40505*(1-w)-w*2.443,"")</f>
        <v/>
      </c>
      <c r="D33" s="13">
        <v>12.40505</v>
      </c>
      <c r="E33" s="13">
        <v>20.470379537953789</v>
      </c>
      <c r="F33" s="13"/>
      <c r="G33" s="13"/>
      <c r="I33" s="5"/>
    </row>
    <row r="34" outlineLevel="2">
      <c r="A34" s="12" t="s">
        <v>52</v>
      </c>
      <c r="B34" s="0" t="s">
        <v>51</v>
      </c>
      <c r="C34" s="13">
        <f>IFERROR(13.243*(1-w),"")</f>
        <v/>
      </c>
      <c r="D34" s="13">
        <v>13.243</v>
      </c>
      <c r="E34" s="13">
        <v>21.85313531353135</v>
      </c>
      <c r="F34" s="13"/>
      <c r="G34" s="13"/>
      <c r="I34" s="5"/>
    </row>
    <row r="35" outlineLevel="2">
      <c r="A35" s="12" t="s">
        <v>53</v>
      </c>
      <c r="B35" s="0" t="s">
        <v>51</v>
      </c>
      <c r="C35" s="13">
        <f>IFERROR(11.98369308*(1-w),"")</f>
        <v/>
      </c>
      <c r="D35" s="13">
        <v>11.983693079999998</v>
      </c>
      <c r="E35" s="13">
        <v>19.775071089108906</v>
      </c>
      <c r="F35" s="13"/>
      <c r="G35" s="13"/>
      <c r="I35" s="5"/>
      <c r="J35" s="0" t="s">
        <v>37</v>
      </c>
    </row>
    <row r="36" outlineLevel="1">
      <c r="A36" s="11" t="s">
        <v>54</v>
      </c>
      <c r="I36" s="5"/>
    </row>
    <row r="37" outlineLevel="2">
      <c r="A37" s="12" t="s">
        <v>55</v>
      </c>
      <c r="B37" s="0" t="s">
        <v>56</v>
      </c>
      <c r="C37" s="14">
        <v>3250</v>
      </c>
      <c r="D37" s="14"/>
      <c r="E37" s="14"/>
      <c r="F37" s="14"/>
      <c r="G37" s="14"/>
      <c r="I37" s="5"/>
      <c r="J37" s="0" t="s">
        <v>40</v>
      </c>
    </row>
    <row r="38" outlineLevel="2">
      <c r="A38" s="12" t="s">
        <v>57</v>
      </c>
      <c r="B38" s="0" t="s">
        <v>56</v>
      </c>
      <c r="C38" s="14">
        <v>42275</v>
      </c>
      <c r="D38" s="14"/>
      <c r="E38" s="14"/>
      <c r="F38" s="14"/>
      <c r="G38" s="14"/>
      <c r="I38" s="5"/>
      <c r="J38" s="0" t="s">
        <v>40</v>
      </c>
    </row>
    <row r="39" outlineLevel="2">
      <c r="A39" s="12" t="s">
        <v>58</v>
      </c>
      <c r="B39" s="0" t="s">
        <v>56</v>
      </c>
      <c r="C39" s="14">
        <v>1320</v>
      </c>
      <c r="D39" s="14"/>
      <c r="E39" s="14"/>
      <c r="F39" s="14"/>
      <c r="G39" s="14"/>
      <c r="I39" s="5"/>
      <c r="J39" s="0" t="s">
        <v>40</v>
      </c>
    </row>
    <row r="40" outlineLevel="2">
      <c r="A40" s="12" t="s">
        <v>59</v>
      </c>
      <c r="B40" s="0" t="s">
        <v>56</v>
      </c>
      <c r="C40" s="14">
        <v>5084</v>
      </c>
      <c r="D40" s="14"/>
      <c r="E40" s="14"/>
      <c r="F40" s="14"/>
      <c r="G40" s="14"/>
      <c r="I40" s="5"/>
      <c r="J40" s="0" t="s">
        <v>40</v>
      </c>
    </row>
    <row r="41" outlineLevel="2">
      <c r="A41" s="12" t="s">
        <v>60</v>
      </c>
      <c r="B41" s="0" t="s">
        <v>56</v>
      </c>
      <c r="C41" s="14">
        <v>11270</v>
      </c>
      <c r="D41" s="14"/>
      <c r="E41" s="14"/>
      <c r="F41" s="14"/>
      <c r="G41" s="14"/>
      <c r="I41" s="5"/>
      <c r="J41" s="0" t="s">
        <v>40</v>
      </c>
    </row>
    <row r="42">
      <c r="I42" s="5"/>
    </row>
    <row r="4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39:E39"/>
    <mergeCell ref="C40:E40"/>
    <mergeCell ref="C41:E41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https://phyllis.nl/Biomass/View/2136</dc:description>
  <dcterms:created xsi:type="dcterms:W3CDTF">2026-03-04T04:25:05Z</dcterms:created>
  <dc:title>Phyllis2 #2136 grass from nature reserve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