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39 grass from natur" sheetId="1" r:id="rId1"/>
  </sheets>
  <definedNames>
    <definedName name="w" localSheetId="0">IF(ISBLANK('Phyllis2 #2139 grass from natur'!$C$19),#N/A,'Phyllis2 #2139 grass from natur'!$C$19/100)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<sst xmlns="http://schemas.openxmlformats.org/spreadsheetml/2006/main" count="59" uniqueCount="59">
  <si>
    <t>Phyllis2</t>
  </si>
  <si>
    <t>https://phyllis.nl/Biomass/View/2139</t>
  </si>
  <si>
    <t>grass from nature reserve (#2139)</t>
  </si>
  <si>
    <t>ID-number</t>
  </si>
  <si>
    <t>#2139</t>
  </si>
  <si>
    <t>Material</t>
  </si>
  <si>
    <t>grass from nature reserve</t>
  </si>
  <si>
    <t>Classification</t>
  </si>
  <si>
    <t>ECN Phyllis classification &gt; grass/plant &gt; other grass &gt; grass from nature reserve</t>
  </si>
  <si>
    <t>NTA 8003 classification &gt; [200] biomassa uit land- en tuinbouw &gt; [210] gras &gt; [211] mengsel gras</t>
  </si>
  <si>
    <t>Submitter organisation</t>
  </si>
  <si>
    <t>ECN (Netherlands)</t>
  </si>
  <si>
    <t>Submission date</t>
  </si>
  <si>
    <t>Remarks</t>
  </si>
  <si>
    <t>grasses (and plants) form Zeeland, the Netherlands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</si>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</sst>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IFERROR(18.4*(1-w),"")</f>
        <v/>
      </c>
      <c r="D20" s="13">
        <v>18.4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IFERROR(40.1*(1-w),"")</f>
        <v/>
      </c>
      <c r="D22" s="13">
        <v>40.1</v>
      </c>
      <c r="E22" s="13">
        <v>49.1421568627451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IFERROR(5.23*(1-w),"")</f>
        <v/>
      </c>
      <c r="D23" s="13">
        <v>5.23</v>
      </c>
      <c r="E23" s="13">
        <v>6.409313725490196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IFERROR(33.3*(1-w),"")</f>
        <v/>
      </c>
      <c r="D24" s="13">
        <v>33.3</v>
      </c>
      <c r="E24" s="13">
        <v>40.808823529411761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IFERROR(1.21*(1-w),"")</f>
        <v/>
      </c>
      <c r="D25" s="13">
        <v>1.21</v>
      </c>
      <c r="E25" s="13">
        <v>1.4828431372549018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IFERROR(0.13*(1-w),"")</f>
        <v/>
      </c>
      <c r="D26" s="13">
        <v>0.13</v>
      </c>
      <c r="E26" s="13">
        <v>0.15931372549019607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IFERROR(98.518*(1-w)+w*100,"")</f>
        <v/>
      </c>
      <c r="D27" s="13">
        <v>98.517999999999972</v>
      </c>
      <c r="E27" s="13">
        <v>98.183823529411711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4">
        <f>IFERROR(1480*(1-w),"")</f>
        <v/>
      </c>
      <c r="D29" s="14">
        <v>1480</v>
      </c>
      <c r="E29" s="14">
        <v>1813.7254901960782</v>
      </c>
      <c r="F29" s="14"/>
      <c r="G29" s="14"/>
      <c r="I29" s="5"/>
      <c r="J29" s="0" t="s">
        <v>37</v>
      </c>
    </row>
    <row r="30" outlineLevel="1">
      <c r="A30" s="11" t="s">
        <v>47</v>
      </c>
      <c r="I30" s="5"/>
    </row>
    <row r="31" outlineLevel="2">
      <c r="A31" s="12" t="s">
        <v>48</v>
      </c>
      <c r="B31" s="0" t="s">
        <v>49</v>
      </c>
      <c r="C31" s="13">
        <f>IFERROR(15.47372*(1-w)-w*2.443,"")</f>
        <v/>
      </c>
      <c r="D31" s="13">
        <v>15.47372</v>
      </c>
      <c r="E31" s="13">
        <v>18.962892156862743</v>
      </c>
      <c r="F31" s="13"/>
      <c r="G31" s="13"/>
      <c r="I31" s="5"/>
    </row>
    <row r="32" outlineLevel="2">
      <c r="A32" s="12" t="s">
        <v>50</v>
      </c>
      <c r="B32" s="0" t="s">
        <v>49</v>
      </c>
      <c r="C32" s="13">
        <f>IFERROR(16.615*(1-w),"")</f>
        <v/>
      </c>
      <c r="D32" s="13">
        <v>16.615</v>
      </c>
      <c r="E32" s="13">
        <v>20.361519607843135</v>
      </c>
      <c r="F32" s="13"/>
      <c r="G32" s="13"/>
      <c r="I32" s="5"/>
    </row>
    <row r="33" outlineLevel="2">
      <c r="A33" s="12" t="s">
        <v>51</v>
      </c>
      <c r="B33" s="0" t="s">
        <v>49</v>
      </c>
      <c r="C33" s="13">
        <f>IFERROR(16.22615768*(1-w),"")</f>
        <v/>
      </c>
      <c r="D33" s="13">
        <v>16.22615768</v>
      </c>
      <c r="E33" s="13">
        <v>19.884997156862745</v>
      </c>
      <c r="F33" s="13"/>
      <c r="G33" s="13"/>
      <c r="I33" s="5"/>
      <c r="J33" s="0" t="s">
        <v>43</v>
      </c>
    </row>
    <row r="34" outlineLevel="1">
      <c r="A34" s="11" t="s">
        <v>52</v>
      </c>
      <c r="I34" s="5"/>
    </row>
    <row r="35" outlineLevel="2">
      <c r="A35" s="12" t="s">
        <v>53</v>
      </c>
      <c r="B35" s="0" t="s">
        <v>54</v>
      </c>
      <c r="C35" s="14">
        <v>5170</v>
      </c>
      <c r="D35" s="14"/>
      <c r="E35" s="14"/>
      <c r="F35" s="14"/>
      <c r="G35" s="14"/>
      <c r="I35" s="5"/>
      <c r="J35" s="0" t="s">
        <v>37</v>
      </c>
    </row>
    <row r="36" outlineLevel="2">
      <c r="A36" s="12" t="s">
        <v>55</v>
      </c>
      <c r="B36" s="0" t="s">
        <v>54</v>
      </c>
      <c r="C36" s="14">
        <v>4940</v>
      </c>
      <c r="D36" s="14"/>
      <c r="E36" s="14"/>
      <c r="F36" s="14"/>
      <c r="G36" s="14"/>
      <c r="I36" s="5"/>
      <c r="J36" s="0" t="s">
        <v>37</v>
      </c>
    </row>
    <row r="37" outlineLevel="2">
      <c r="A37" s="12" t="s">
        <v>56</v>
      </c>
      <c r="B37" s="0" t="s">
        <v>54</v>
      </c>
      <c r="C37" s="14">
        <v>460</v>
      </c>
      <c r="D37" s="14"/>
      <c r="E37" s="14"/>
      <c r="F37" s="14"/>
      <c r="G37" s="14"/>
      <c r="I37" s="5"/>
      <c r="J37" s="0" t="s">
        <v>37</v>
      </c>
    </row>
    <row r="38" outlineLevel="2">
      <c r="A38" s="12" t="s">
        <v>57</v>
      </c>
      <c r="B38" s="0" t="s">
        <v>54</v>
      </c>
      <c r="C38" s="14">
        <v>940</v>
      </c>
      <c r="D38" s="14"/>
      <c r="E38" s="14"/>
      <c r="F38" s="14"/>
      <c r="G38" s="14"/>
      <c r="I38" s="5"/>
      <c r="J38" s="0" t="s">
        <v>37</v>
      </c>
    </row>
    <row r="39" outlineLevel="2">
      <c r="A39" s="12" t="s">
        <v>58</v>
      </c>
      <c r="B39" s="0" t="s">
        <v>54</v>
      </c>
      <c r="C39" s="14">
        <v>30000</v>
      </c>
      <c r="D39" s="14"/>
      <c r="E39" s="14"/>
      <c r="F39" s="14"/>
      <c r="G39" s="14"/>
      <c r="I39" s="5"/>
      <c r="J39" s="0" t="s">
        <v>37</v>
      </c>
    </row>
    <row r="40">
      <c r="I40" s="5"/>
    </row>
    <row r="4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39:E39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https://phyllis.nl/Biomass/View/2139</dc:description>
  <dcterms:created xsi:type="dcterms:W3CDTF">2026-03-04T04:25:08Z</dcterms:created>
  <dc:title>Phyllis2 #2139 grass from nature reserve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