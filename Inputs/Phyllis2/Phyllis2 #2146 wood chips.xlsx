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6 wood chips" sheetId="1" r:id="rId1"/>
  </sheets>
  <definedNames>
    <definedName name="w" localSheetId="0">IF(ISBLANK('Phyllis2 #2146 wood chips'!$C$18),#N/A,'Phyllis2 #2146 wood chips'!$C$18/100)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<sst xmlns="http://schemas.openxmlformats.org/spreadsheetml/2006/main" count="47" uniqueCount="47">
  <si>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</si>
  <si>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https://phyllis.nl/Biomass/View/2146</t>
  </si>
  <si>
    <t>wood chips (#2146)</t>
  </si>
  <si>
    <t>ID-number</t>
  </si>
  <si>
    <t>#2146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</si>
  <si>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</si>
  <si>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</si>
  <si>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</si>
  <si>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</si>
  <si>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</si>
  <si>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</si>
  <si>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</si>
  <si>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Submission date</t>
  </si>
  <si>
    <t>Literature</t>
  </si>
  <si>
    <t>Owczarek,C.; Krautz,H.J.; Griebe,S.: Cycloid combustion - a new concept for industrial combustion with low-calorific fuels. Proceedings 5th European Conference on Industrial Furnaces and Boilers, 2000, vol.2, p.25-34.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</si>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</sst>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37001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40.79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IFERROR(0.68*(1-w),"")</f>
        <v>0.4026280000000001</v>
      </c>
      <c r="D19" s="13">
        <v>0.68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IFERROR(48.43777*(1-w),"")</f>
        <v>28.680003617000004</v>
      </c>
      <c r="D21" s="13">
        <v>48.43777</v>
      </c>
      <c r="E21" s="13">
        <v>48.769401933145389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IFERROR(6.50228*(1-w),"")</f>
        <v>3.8499999880000004</v>
      </c>
      <c r="D22" s="13">
        <v>6.50228</v>
      </c>
      <c r="E22" s="13">
        <v>6.5467982279500605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IFERROR(44.33373*(1-w),"")</f>
        <v>26.250001533000006</v>
      </c>
      <c r="D23" s="13">
        <v>44.33373</v>
      </c>
      <c r="E23" s="13">
        <v>44.637263391059207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IFERROR(0.1351123*(1-w),"")</f>
        <v>0.07999999283</v>
      </c>
      <c r="D24" s="13">
        <v>0.1351123</v>
      </c>
      <c r="E24" s="13">
        <v>0.13603735400724928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IFERROR(0.1013342*(1-w),"")</f>
        <v>0.059999979820000007</v>
      </c>
      <c r="D25" s="13">
        <v>0.1013342</v>
      </c>
      <c r="E25" s="13">
        <v>0.10202799033427305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IFERROR(100.1902265*(1-w)+w*100,"")</f>
        <v>100.11263311065001</v>
      </c>
      <c r="D26" s="13">
        <v>100.19022650000001</v>
      </c>
      <c r="E26" s="13">
        <v>100.19152889649618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IFERROR(16.43281*(1-w)-w*2.443,"")</f>
        <v>8.7333671010000025</v>
      </c>
      <c r="D28" s="13">
        <v>16.43281</v>
      </c>
      <c r="E28" s="13">
        <v>16.54531816351188</v>
      </c>
      <c r="F28" s="13"/>
      <c r="G28" s="13"/>
      <c r="I28" s="5"/>
    </row>
    <row r="29" outlineLevel="2">
      <c r="A29" s="12" t="s">
        <v>45</v>
      </c>
      <c r="B29" s="0" t="s">
        <v>44</v>
      </c>
      <c r="C29" s="13">
        <f>IFERROR(17.85171*(1-w),"")</f>
        <v>10.569997491000002</v>
      </c>
      <c r="D29" s="13">
        <v>17.85171</v>
      </c>
      <c r="E29" s="13">
        <v>17.973932742650021</v>
      </c>
      <c r="F29" s="13"/>
      <c r="G29" s="13"/>
      <c r="I29" s="5"/>
    </row>
    <row r="30" outlineLevel="2">
      <c r="A30" s="12" t="s">
        <v>46</v>
      </c>
      <c r="B30" s="0" t="s">
        <v>44</v>
      </c>
      <c r="C30" s="13">
        <f>IFERROR(19.77365092732*(1-w),"")</f>
        <v>11.707978714066174</v>
      </c>
      <c r="D30" s="13">
        <v>19.773650927320002</v>
      </c>
      <c r="E30" s="13">
        <v>19.909032347281517</v>
      </c>
      <c r="F30" s="13"/>
      <c r="G30" s="13"/>
      <c r="I30" s="5"/>
      <c r="J30" s="0" t="s">
        <v>38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40.7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https://phyllis.nl/Biomass/View/2146</dc:description>
  <dcterms:created xsi:type="dcterms:W3CDTF">2026-03-19T07:20:59Z</dcterms:created>
  <dc:title>Phyllis2 #2146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