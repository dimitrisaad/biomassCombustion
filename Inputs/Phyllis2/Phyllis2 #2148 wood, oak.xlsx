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48 wood, oak" sheetId="1" r:id="rId1"/>
  </sheets>
  <definedNames>
    <definedName name="w" localSheetId="0">IF(ISBLANK('Phyllis2 #2148 wood, oak'!$C$19),#N/A,'Phyllis2 #2148 wood, oak'!$C$19/100)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<sst xmlns="http://schemas.openxmlformats.org/spreadsheetml/2006/main" count="50" uniqueCount="50">
  <si>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</si>
  <si>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https://phyllis.nl/Biomass/View/2148</t>
  </si>
  <si>
    <t>wood, oak (#2148)</t>
  </si>
  <si>
    <t>ID-number</t>
  </si>
  <si>
    <t>#2148</t>
  </si>
  <si>
    <t>Material</t>
  </si>
  <si>
    <t>wood, oak</t>
  </si>
  <si>
    <t>Classification</t>
  </si>
  <si>
    <t>ECN Phyllis classification &gt; untreated wood &gt; oak &gt; wood, oak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</si>
  <si>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</si>
  <si>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</si>
  <si>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</si>
  <si>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</si>
  <si>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Remarks</t>
  </si>
  <si>
    <t>water content in sample as analysed</t>
  </si>
  <si>
    <t>Literature</t>
  </si>
  <si>
    <t>Jones,J.M.; Pourkashanian,M.; Ross,A.; Danos,L.; Bartle,K.D.; Williams,A.; Kubica,K.; Andersson,J.; Kerst,M.; Danihelka,P.: The combustion of coal and biomass in a fixed bed furnace. Proc. 5th Eur. Conf. on Industrial Furnaces&amp;Boilers 2000,vol.2,p.45-54.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</si>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</sst>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37001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5.3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IFERROR(0.32*(1-w),"")</f>
        <v>0.30304</v>
      </c>
      <c r="D20" s="13">
        <v>0.32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IFERROR(84.5*(1-w),"")</f>
        <v>80.021499999999989</v>
      </c>
      <c r="D21" s="13">
        <v>84.5</v>
      </c>
      <c r="E21" s="13">
        <v>84.771268057784908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IFERROR(15.18*(1-w),"")</f>
        <v>14.375460000000006</v>
      </c>
      <c r="D22" s="13">
        <v>15.180000000000007</v>
      </c>
      <c r="E22" s="13">
        <v>15.228731942215095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IFERROR(49.41922*(1-w),"")</f>
        <v>46.80000134</v>
      </c>
      <c r="D24" s="13">
        <v>49.41922</v>
      </c>
      <c r="E24" s="13">
        <v>49.577869181380422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IFERROR(5.543823*(1-w),"")</f>
        <v>5.2500003809999995</v>
      </c>
      <c r="D25" s="13">
        <v>5.543823</v>
      </c>
      <c r="E25" s="13">
        <v>5.56162018459069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IFERROR(43.83*(1-w),"")</f>
        <v>41.507009999999994</v>
      </c>
      <c r="D26" s="13">
        <v>43.83</v>
      </c>
      <c r="E26" s="13">
        <v>43.9707062600321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IFERROR(0.813094*(1-w),"")</f>
        <v>0.770000018</v>
      </c>
      <c r="D27" s="13">
        <v>0.813094</v>
      </c>
      <c r="E27" s="13">
        <v>0.815704253611557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IFERROR(0.0844773*(1-w),"")</f>
        <v>0.0800000031</v>
      </c>
      <c r="D28" s="13">
        <v>0.0844773</v>
      </c>
      <c r="E28" s="13">
        <v>0.0847484951845907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IFERROR(100.0106143*(1-w)+w*100,"")</f>
        <v>100.01005174209999</v>
      </c>
      <c r="D29" s="13">
        <v>100.0106143</v>
      </c>
      <c r="E29" s="13">
        <v>100.01064837479936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3">
        <f>IFERROR(16.95286*(1-w)-w*2.443,"")</f>
        <v>15.92487942</v>
      </c>
      <c r="D31" s="13">
        <v>16.95286</v>
      </c>
      <c r="E31" s="13">
        <v>17.007283306581058</v>
      </c>
      <c r="F31" s="13"/>
      <c r="G31" s="13"/>
      <c r="I31" s="5"/>
    </row>
    <row r="32" outlineLevel="2">
      <c r="A32" s="12" t="s">
        <v>48</v>
      </c>
      <c r="B32" s="0" t="s">
        <v>47</v>
      </c>
      <c r="C32" s="13">
        <f>IFERROR(18.16262*(1-w),"")</f>
        <v>17.20000114</v>
      </c>
      <c r="D32" s="13">
        <v>18.16262</v>
      </c>
      <c r="E32" s="13">
        <v>18.220926966292136</v>
      </c>
      <c r="F32" s="13"/>
      <c r="G32" s="13"/>
      <c r="I32" s="5"/>
    </row>
    <row r="33" outlineLevel="2">
      <c r="A33" s="12" t="s">
        <v>49</v>
      </c>
      <c r="B33" s="0" t="s">
        <v>47</v>
      </c>
      <c r="C33" s="13">
        <f>IFERROR(18.82463155598*(1-w),"")</f>
        <v>17.826926083513065</v>
      </c>
      <c r="D33" s="13">
        <v>18.824631555980005</v>
      </c>
      <c r="E33" s="13">
        <v>18.885063760012045</v>
      </c>
      <c r="F33" s="13"/>
      <c r="G33" s="13"/>
      <c r="I33" s="5"/>
      <c r="J33" s="0" t="s">
        <v>36</v>
      </c>
    </row>
    <row r="34">
      <c r="I34" s="5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5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https://phyllis.nl/Biomass/View/2148</dc:description>
  <dcterms:created xsi:type="dcterms:W3CDTF">2026-03-19T07:09:59Z</dcterms:created>
  <dc:title>Phyllis2 #2148 wood, oak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