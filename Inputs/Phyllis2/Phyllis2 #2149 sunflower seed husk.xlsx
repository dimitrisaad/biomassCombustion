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9 sunflower seed h" sheetId="1" r:id="rId1"/>
  </sheets>
  <definedNames>
    <definedName name="w" localSheetId="0">IF(ISBLANK('Phyllis2 #2149 sunflower seed h'!$C$19),#N/A,'Phyllis2 #2149 sunflower seed 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<sst xmlns="http://schemas.openxmlformats.org/spreadsheetml/2006/main" count="61" uniqueCount="61">
  <si>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</si>
  <si>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https://phyllis.nl/Biomass/View/2149</t>
  </si>
  <si>
    <t>sunflower seed husk (#2149)</t>
  </si>
  <si>
    <t>ID-number</t>
  </si>
  <si>
    <t>#2149</t>
  </si>
  <si>
    <t>Material</t>
  </si>
  <si>
    <t>sunflower seed husk</t>
  </si>
  <si>
    <t>Classification</t>
  </si>
  <si>
    <t>ECN Phyllis classification &gt; husk/shell/pit &gt; sunflower &gt; sunflower seed husk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</si>
  <si>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</si>
  <si>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</si>
  <si>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</si>
  <si>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</si>
  <si>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</si>
  <si>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low ash-fusion temperature</t>
  </si>
  <si>
    <t>Literature</t>
  </si>
  <si>
    <t>Radovanovic,M.; Zivanovic,T.; Stojiljkovic,D.; Jovanovic,V.; Jerinic,N.; Knezevic,S. et.al. Utilization of sunflower husk as a fuel for industrial boilers - 20 years experience. Proc. 5th Eur. Conf. on Industrial Furnaces&amp;Boilers 2000,vol.2,p.221-233.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</si>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</sst>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37004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11.85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IFERROR(3.83*(1-w),"")</f>
        <v>3.3761449999999997</v>
      </c>
      <c r="D20" s="13">
        <v>3.83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IFERROR(72.56*(1-w),"")</f>
        <v>63.961639999999996</v>
      </c>
      <c r="D21" s="13">
        <v>72.56</v>
      </c>
      <c r="E21" s="13">
        <v>75.449724446293018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IFERROR(23.61*(1-w),"")</f>
        <v>20.812215</v>
      </c>
      <c r="D22" s="13">
        <v>23.61</v>
      </c>
      <c r="E22" s="13">
        <v>24.550275553706978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IFERROR(48.2473*(1-w),"")</f>
        <v>42.52999495</v>
      </c>
      <c r="D24" s="13">
        <v>48.2473</v>
      </c>
      <c r="E24" s="13">
        <v>50.168763647707188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IFERROR(5.842314*(1-w),"")</f>
        <v>5.149999791</v>
      </c>
      <c r="D25" s="13">
        <v>5.842314</v>
      </c>
      <c r="E25" s="13">
        <v>6.0749859623583236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IFERROR(41.03233*(1-w),"")</f>
        <v>36.169998895</v>
      </c>
      <c r="D26" s="13">
        <v>41.03233</v>
      </c>
      <c r="E26" s="13">
        <v>42.666455235520438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IFERROR(0.8054453*(1-w),"")</f>
        <v>0.71000003194999994</v>
      </c>
      <c r="D27" s="13">
        <v>0.8054453</v>
      </c>
      <c r="E27" s="13">
        <v>0.83752240823541646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IFERROR(0.2382303*(1-w),"")</f>
        <v>0.21000000945</v>
      </c>
      <c r="D28" s="13">
        <v>0.2382303</v>
      </c>
      <c r="E28" s="13">
        <v>0.24771789539357389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IFERROR(99.9956196*(1-w)+w*100,"")</f>
        <v>99.9961386774</v>
      </c>
      <c r="D29" s="13">
        <v>99.995619600000012</v>
      </c>
      <c r="E29" s="13">
        <v>99.995445149214945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IFERROR(18.5141*(1-w)-w*2.443,"")</f>
        <v>16.030683649999997</v>
      </c>
      <c r="D31" s="13">
        <v>18.5141</v>
      </c>
      <c r="E31" s="13">
        <v>19.251429759800352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IFERROR(19.789*(1-w),"")</f>
        <v>17.4440035</v>
      </c>
      <c r="D32" s="13">
        <v>19.789</v>
      </c>
      <c r="E32" s="13">
        <v>20.577103046688158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IFERROR(19.11532331228*(1-w),"")</f>
        <v>16.85015749977482</v>
      </c>
      <c r="D33" s="13">
        <v>19.11532331228</v>
      </c>
      <c r="E33" s="13">
        <v>19.876596976479153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v>3.65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53</v>
      </c>
      <c r="C37" s="13">
        <v>15.7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53</v>
      </c>
      <c r="C38" s="13">
        <v>0.62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53</v>
      </c>
      <c r="C39" s="13">
        <v>21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53</v>
      </c>
      <c r="C40" s="13">
        <v>13.36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53</v>
      </c>
      <c r="C41" s="13">
        <v>0.96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53</v>
      </c>
      <c r="C42" s="13">
        <v>41.21</v>
      </c>
      <c r="D42" s="13"/>
      <c r="E42" s="13"/>
      <c r="F42" s="13"/>
      <c r="G42" s="13"/>
      <c r="I42" s="5"/>
    </row>
    <row r="43" outlineLevel="2">
      <c r="A43" s="12" t="s">
        <v>60</v>
      </c>
      <c r="B43" s="0" t="s">
        <v>53</v>
      </c>
      <c r="C43" s="13">
        <v>0.02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11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https://phyllis.nl/Biomass/View/2149</dc:description>
  <dcterms:created xsi:type="dcterms:W3CDTF">2026-03-17T05:48:12Z</dcterms:created>
  <dc:title>Phyllis2 #2149 sunflower seed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