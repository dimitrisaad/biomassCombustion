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56 rape" sheetId="1" r:id="rId1"/>
  </sheets>
  <definedNames>
    <definedName name="w" localSheetId="0">IF(ISBLANK('Phyllis2 #2156 rape'!$C$19),#N/A,'Phyllis2 #2156 rape'!$C$19/100)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<sst xmlns="http://schemas.openxmlformats.org/spreadsheetml/2006/main" count="49" uniqueCount="49">
  <si>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</si>
  <si>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https://phyllis.nl/Biomass/View/2156</t>
  </si>
  <si>
    <t>rape (#2156)</t>
  </si>
  <si>
    <t>ID-number</t>
  </si>
  <si>
    <t>#2156</t>
  </si>
  <si>
    <t>Material</t>
  </si>
  <si>
    <t>rape</t>
  </si>
  <si>
    <t>Classification</t>
  </si>
  <si>
    <t>ECN Phyllis classification &gt; straw (stalk/cob/ear) &gt; rape &gt; rape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</si>
  <si>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</si>
  <si>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</si>
  <si>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</si>
  <si>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</si>
  <si>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Remarks</t>
  </si>
  <si>
    <t>data on pyrolysis oil from same material in ID 2157</t>
  </si>
  <si>
    <t>Literature</t>
  </si>
  <si>
    <t>Onay,Ö.; Beis,S.H.; Koçkar, Ö.M.: Fast pyrolysis of rape seed in a well-swept fixed-bed reactor. J. Anal. Appl. Pyrolysis 58-59 (2001) 995-1007.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</si>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</sst>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37005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4.9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IFERROR(5.8*(1-w),"")</f>
        <v>5.5158</v>
      </c>
      <c r="D20" s="13">
        <v>5.8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IFERROR(85.9*(1-w),"")</f>
        <v>81.6909</v>
      </c>
      <c r="D21" s="13">
        <v>85.9</v>
      </c>
      <c r="E21" s="13">
        <v>91.188959660297257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IFERROR(8.3*(1-w),"")</f>
        <v>7.8932999999999973</v>
      </c>
      <c r="D22" s="13">
        <v>8.2999999999999972</v>
      </c>
      <c r="E22" s="13">
        <v>8.8110403397027568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IFERROR(58.4982*(1-w),"")</f>
        <v>55.631788199999995</v>
      </c>
      <c r="D24" s="13">
        <v>58.4982</v>
      </c>
      <c r="E24" s="13">
        <v>62.1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IFERROR(8.572201*(1-w),"")</f>
        <v>8.152163151</v>
      </c>
      <c r="D25" s="13">
        <v>8.572201</v>
      </c>
      <c r="E25" s="13">
        <v>9.1000010615711258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IFERROR(23.4558*(1-w),"")</f>
        <v>22.306465799999998</v>
      </c>
      <c r="D26" s="13">
        <v>23.4558</v>
      </c>
      <c r="E26" s="13">
        <v>24.900000000000002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IFERROR(3.6738*(1-w),"")</f>
        <v>3.4937837999999997</v>
      </c>
      <c r="D27" s="13">
        <v>3.6738</v>
      </c>
      <c r="E27" s="13">
        <v>3.9000000000000004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IFERROR(100.000001*(1-w)+w*100,"")</f>
        <v>100.000000951</v>
      </c>
      <c r="D28" s="13">
        <v>100.000001</v>
      </c>
      <c r="E28" s="13">
        <v>100.00000106157113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IFERROR(26.20511*(1-w)-w*2.443,"")</f>
        <v>24.801352610000002</v>
      </c>
      <c r="D30" s="13">
        <v>26.20511</v>
      </c>
      <c r="E30" s="13">
        <v>27.8185881104034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IFERROR(28.07571*(1-w),"")</f>
        <v>26.70000021</v>
      </c>
      <c r="D31" s="13">
        <v>28.07571</v>
      </c>
      <c r="E31" s="13">
        <v>29.804363057324842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IFERROR(27.941190842*(1-w),"")</f>
        <v>26.572072490742002</v>
      </c>
      <c r="D32" s="13">
        <v>27.941190842000005</v>
      </c>
      <c r="E32" s="13">
        <v>29.661561403397034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4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https://phyllis.nl/Biomass/View/2156</dc:description>
  <dcterms:created xsi:type="dcterms:W3CDTF">2026-03-17T06:09:08Z</dcterms:created>
  <dc:title>Phyllis2 #2156 rape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