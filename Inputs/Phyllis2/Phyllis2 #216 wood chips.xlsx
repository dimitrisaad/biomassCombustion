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16 wood chips" sheetId="1" r:id="rId1"/>
  </sheets>
  <definedNames>
    <definedName name="w" localSheetId="0">IF(ISBLANK('Phyllis2 #216 wood chips'!$C$17),#N/A,'Phyllis2 #216 wood chips'!$C$17/100)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<sst xmlns="http://schemas.openxmlformats.org/spreadsheetml/2006/main" count="47" uniqueCount="47">
  <si>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</si>
  <si>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https://phyllis.nl/Biomass/View/216</t>
  </si>
  <si>
    <t>wood chips (#216)</t>
  </si>
  <si>
    <t>ID-number</t>
  </si>
  <si>
    <t>#216</t>
  </si>
  <si>
    <t>Material</t>
  </si>
  <si>
    <t>wood chips</t>
  </si>
  <si>
    <t>Classification</t>
  </si>
  <si>
    <t>ECN Phyllis classification &gt; untreated wood &gt; others &gt; wood chips</t>
  </si>
  <si>
    <t>NTA 8003 classification &gt; [100] hout &gt; [110] vers hout &gt; [119] overig vers hout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</si>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</sst>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>
      <c r="A11" s="5"/>
    </row>
    <row r="12" s="1" customFormat="1">
      <c r="A12" s="7" t="s">
        <v>14</v>
      </c>
    </row>
    <row r="13" s="1" customFormat="1">
      <c r="A13" s="8" t="s">
        <v>15</v>
      </c>
      <c r="B13" s="8" t="s">
        <v>16</v>
      </c>
      <c r="C13" s="8" t="s">
        <v>17</v>
      </c>
      <c r="D13" s="8"/>
      <c r="E13" s="8"/>
      <c r="F13" s="8" t="s">
        <v>18</v>
      </c>
      <c r="G13" s="8" t="s">
        <v>19</v>
      </c>
      <c r="H13" s="8" t="s">
        <v>20</v>
      </c>
      <c r="I13" s="8" t="s">
        <v>21</v>
      </c>
      <c r="J13" s="8" t="s">
        <v>22</v>
      </c>
      <c r="K13" s="8" t="s">
        <v>23</v>
      </c>
      <c r="L13" s="8"/>
    </row>
    <row r="14" s="1" customFormat="1">
      <c r="A14" s="8"/>
      <c r="B14" s="8"/>
      <c r="C14" s="8" t="s">
        <v>24</v>
      </c>
      <c r="D14" s="8" t="s">
        <v>25</v>
      </c>
      <c r="E14" s="8" t="s">
        <v>26</v>
      </c>
      <c r="F14" s="8"/>
      <c r="G14" s="8"/>
      <c r="H14" s="8"/>
      <c r="I14" s="8"/>
      <c r="J14" s="8"/>
      <c r="K14" s="8"/>
      <c r="L14" s="8"/>
    </row>
    <row r="15">
      <c r="A15" s="5" t="s">
        <v>27</v>
      </c>
      <c r="I15" s="12"/>
    </row>
    <row r="16" outlineLevel="1">
      <c r="A16" s="9" t="s">
        <v>28</v>
      </c>
      <c r="I16" s="12"/>
    </row>
    <row r="17" outlineLevel="2">
      <c r="A17" s="10" t="s">
        <v>29</v>
      </c>
      <c r="B17" s="0" t="s">
        <v>30</v>
      </c>
      <c r="C17" s="11">
        <v/>
      </c>
      <c r="D17" s="11"/>
      <c r="E17" s="11"/>
      <c r="F17" s="11"/>
      <c r="G17" s="11"/>
      <c r="I17" s="12"/>
    </row>
    <row r="18" outlineLevel="2">
      <c r="A18" s="10" t="s">
        <v>31</v>
      </c>
      <c r="B18" s="0" t="s">
        <v>32</v>
      </c>
      <c r="C18" s="11">
        <f>IFERROR(2.4*(1-w),"")</f>
        <v/>
      </c>
      <c r="D18" s="11">
        <v>2.4</v>
      </c>
      <c r="E18" s="11">
        <v/>
      </c>
      <c r="F18" s="11"/>
      <c r="G18" s="11"/>
      <c r="I18" s="12"/>
    </row>
    <row r="19" outlineLevel="1">
      <c r="A19" s="9" t="s">
        <v>33</v>
      </c>
      <c r="I19" s="12"/>
    </row>
    <row r="20" outlineLevel="2">
      <c r="A20" s="10" t="s">
        <v>34</v>
      </c>
      <c r="B20" s="0" t="s">
        <v>32</v>
      </c>
      <c r="C20" s="11">
        <f>IFERROR(51.6*(1-w),"")</f>
        <v/>
      </c>
      <c r="D20" s="11">
        <v>51.6</v>
      </c>
      <c r="E20" s="11">
        <v>52.868852459016395</v>
      </c>
      <c r="F20" s="11"/>
      <c r="G20" s="11"/>
      <c r="I20" s="12"/>
      <c r="J20" s="0" t="s">
        <v>35</v>
      </c>
    </row>
    <row r="21" outlineLevel="2">
      <c r="A21" s="10" t="s">
        <v>36</v>
      </c>
      <c r="B21" s="0" t="s">
        <v>32</v>
      </c>
      <c r="C21" s="11">
        <f>IFERROR(6.1*(1-w),"")</f>
        <v/>
      </c>
      <c r="D21" s="11">
        <v>6.1</v>
      </c>
      <c r="E21" s="11">
        <v>6.25</v>
      </c>
      <c r="F21" s="11"/>
      <c r="G21" s="11"/>
      <c r="I21" s="12"/>
      <c r="J21" s="0" t="s">
        <v>35</v>
      </c>
    </row>
    <row r="22" outlineLevel="2">
      <c r="A22" s="10" t="s">
        <v>37</v>
      </c>
      <c r="B22" s="0" t="s">
        <v>32</v>
      </c>
      <c r="C22" s="11">
        <f>IFERROR(39.41*(1-w),"")</f>
        <v/>
      </c>
      <c r="D22" s="11">
        <v>39.41</v>
      </c>
      <c r="E22" s="11">
        <v>40.379098360655732</v>
      </c>
      <c r="F22" s="11"/>
      <c r="G22" s="11"/>
      <c r="I22" s="12"/>
      <c r="J22" s="0" t="s">
        <v>38</v>
      </c>
    </row>
    <row r="23" outlineLevel="2">
      <c r="A23" s="10" t="s">
        <v>39</v>
      </c>
      <c r="B23" s="0" t="s">
        <v>32</v>
      </c>
      <c r="C23" s="11">
        <f>IFERROR(0.45*(1-w),"")</f>
        <v/>
      </c>
      <c r="D23" s="11">
        <v>0.45</v>
      </c>
      <c r="E23" s="11">
        <v>0.46106557377049184</v>
      </c>
      <c r="F23" s="11"/>
      <c r="G23" s="11"/>
      <c r="I23" s="12"/>
      <c r="J23" s="0" t="s">
        <v>35</v>
      </c>
    </row>
    <row r="24" outlineLevel="2">
      <c r="A24" s="10" t="s">
        <v>40</v>
      </c>
      <c r="B24" s="0" t="s">
        <v>32</v>
      </c>
      <c r="C24" s="11">
        <f>IFERROR(0.04*(1-w),"")</f>
        <v/>
      </c>
      <c r="D24" s="11">
        <v>0.04</v>
      </c>
      <c r="E24" s="11">
        <v>0.040983606557377053</v>
      </c>
      <c r="F24" s="11"/>
      <c r="G24" s="11"/>
      <c r="I24" s="12"/>
      <c r="J24" s="0" t="s">
        <v>35</v>
      </c>
    </row>
    <row r="25" outlineLevel="2">
      <c r="A25" s="10" t="s">
        <v>41</v>
      </c>
      <c r="B25" s="0" t="s">
        <v>32</v>
      </c>
      <c r="C25" s="11">
        <f>IFERROR(100*(1-w)+w*100,"")</f>
        <v/>
      </c>
      <c r="D25" s="11">
        <v>100.00000000000001</v>
      </c>
      <c r="E25" s="11">
        <v>100.00000000000001</v>
      </c>
      <c r="F25" s="11"/>
      <c r="G25" s="11"/>
      <c r="I25" s="12"/>
      <c r="J25" s="0" t="s">
        <v>38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IFERROR(19.52*(1-w)-w*2.443,"")</f>
        <v/>
      </c>
      <c r="D27" s="11">
        <v>19.52</v>
      </c>
      <c r="E27" s="11">
        <v>20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IFERROR(20.85*(1-w),"")</f>
        <v/>
      </c>
      <c r="D28" s="11">
        <v>20.85</v>
      </c>
      <c r="E28" s="11">
        <v>21.36270491803279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IFERROR(20.84350528*(1-w),"")</f>
        <v/>
      </c>
      <c r="D29" s="11">
        <v>20.843505280000002</v>
      </c>
      <c r="E29" s="11">
        <v>21.356050491803281</v>
      </c>
      <c r="F29" s="11"/>
      <c r="G29" s="11"/>
      <c r="I29" s="12"/>
      <c r="J29" s="0" t="s">
        <v>38</v>
      </c>
    </row>
    <row r="30">
      <c r="I30" s="12"/>
    </row>
    <row r="31" s="1" customFormat="1"/>
  </sheetData>
  <mergeCells>
    <mergeCell ref="A7:A8"/>
    <mergeCell ref="C13:E13"/>
    <mergeCell ref="A13:A14"/>
    <mergeCell ref="B13:B14"/>
    <mergeCell ref="F13:F14"/>
    <mergeCell ref="G13:G14"/>
    <mergeCell ref="H13:H14"/>
    <mergeCell ref="I13:I14"/>
    <mergeCell ref="J13:J14"/>
    <mergeCell ref="K13:K14"/>
  </mergeCells>
  <dataValidations count="1">
    <dataValidation type="decimal" sqref="C1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https://phyllis.nl/Biomass/View/216</dc:description>
  <dcterms:created xsi:type="dcterms:W3CDTF">2026-03-19T07:20:53Z</dcterms:created>
  <dc:title>Phyllis2 #216 wood chips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