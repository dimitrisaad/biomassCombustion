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76 olive residue" sheetId="1" r:id="rId1"/>
  </sheets>
  <definedNames>
    <definedName name="w" localSheetId="0">IF(ISBLANK('Phyllis2 #2176 olive residue'!$C$20),#N/A,'Phyllis2 #2176 olive residue'!$C$20/100)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<sst xmlns="http://schemas.openxmlformats.org/spreadsheetml/2006/main" count="70" uniqueCount="70">
  <si>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</si>
  <si>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https://phyllis.nl/Biomass/View/2176</t>
  </si>
  <si>
    <t>olive residue (#2176)</t>
  </si>
  <si>
    <t>ID-number</t>
  </si>
  <si>
    <t>#2176</t>
  </si>
  <si>
    <t>Material</t>
  </si>
  <si>
    <t>olive residue</t>
  </si>
  <si>
    <t>Classification</t>
  </si>
  <si>
    <t>ECN Phyllis classification &gt; husk/shell/pit &gt; olive &gt; olive residue</t>
  </si>
  <si>
    <t>NTA 8003 classification &gt; [500] biomassa uit de industrie &gt; [520] schillen/vliezen/pitten &gt; [524] olijven</t>
  </si>
  <si>
    <t>Ash type</t>
  </si>
  <si>
    <t>550C</t>
  </si>
  <si>
    <t>Submitter organisation</t>
  </si>
  <si>
    <t>ECN (Netherlands)</t>
  </si>
  <si>
    <t>Submission date</t>
  </si>
  <si>
    <t>Remarks</t>
  </si>
  <si>
    <t>orujillo, produced and collected in Andalusia, Spain, sample 1</t>
  </si>
  <si>
    <t>Literature</t>
  </si>
  <si>
    <t>P.Garcia-Ibanez, A.Cabanillas and P.L.Garcia-Ybarra: A pilot scale circulating fluidized bed plant for Orujillo gasification. In: Conference held in Tyrol (Austria), 17-22 September 2000 (Ed. A.V.Bridgwater), pp. 209-220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</si>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</sst>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37187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13.9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IFERROR(16.2*(1-w),"")</f>
        <v>13.9482</v>
      </c>
      <c r="D21" s="13">
        <v>16.2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IFERROR(64.6*(1-w),"")</f>
        <v>55.620599999999996</v>
      </c>
      <c r="D22" s="13">
        <v>64.6</v>
      </c>
      <c r="E22" s="13">
        <v>77.088305489260136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IFERROR(19.2*(1-w),"")</f>
        <v>16.531200000000002</v>
      </c>
      <c r="D23" s="13">
        <v>19.200000000000003</v>
      </c>
      <c r="E23" s="13">
        <v>22.91169451073986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IFERROR(39.6374*(1-w),"")</f>
        <v>34.127801399999996</v>
      </c>
      <c r="D25" s="13">
        <v>39.6374</v>
      </c>
      <c r="E25" s="13">
        <v>47.300000000000004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IFERROR(5.028*(1-w),"")</f>
        <v>4.329108</v>
      </c>
      <c r="D26" s="13">
        <v>5.028</v>
      </c>
      <c r="E26" s="13">
        <v>6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IFERROR(37.1653*(1-w),"")</f>
        <v>31.9993233</v>
      </c>
      <c r="D27" s="13">
        <v>37.1653</v>
      </c>
      <c r="E27" s="13">
        <v>44.35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IFERROR(1.5922*(1-w),"")</f>
        <v>1.3708842</v>
      </c>
      <c r="D28" s="13">
        <v>1.5922</v>
      </c>
      <c r="E28" s="13">
        <v>1.9000000000000001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IFERROR(0.07542*(1-w),"")</f>
        <v>0.06493662</v>
      </c>
      <c r="D29" s="13">
        <v>0.07542</v>
      </c>
      <c r="E29" s="13">
        <v>0.090000000000000011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IFERROR(100*(1-w)+w*100,"")</f>
        <v>100.00000000000001</v>
      </c>
      <c r="D30" s="13">
        <v>100.00000000000001</v>
      </c>
      <c r="E30" s="13">
        <v>100.00000000000001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IFERROR(3016.8*(1-w),"")</f>
        <v>2597.4648</v>
      </c>
      <c r="D32" s="14">
        <v>3016.8</v>
      </c>
      <c r="E32" s="14">
        <v>3600.0000000000005</v>
      </c>
      <c r="F32" s="14"/>
      <c r="G32" s="14"/>
      <c r="I32" s="5"/>
      <c r="J32" s="0" t="s">
        <v>41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3">
        <f>IFERROR(17.5028*(1-w)-w*2.443,"")</f>
        <v>14.7303338</v>
      </c>
      <c r="D34" s="13">
        <v>17.5028</v>
      </c>
      <c r="E34" s="13">
        <v>20.886396181384249</v>
      </c>
      <c r="F34" s="13"/>
      <c r="G34" s="13"/>
      <c r="I34" s="5"/>
    </row>
    <row r="35" outlineLevel="2">
      <c r="A35" s="12" t="s">
        <v>53</v>
      </c>
      <c r="B35" s="0" t="s">
        <v>52</v>
      </c>
      <c r="C35" s="13">
        <f>IFERROR(18.6*(1-w),"")</f>
        <v>16.0146</v>
      </c>
      <c r="D35" s="13">
        <v>18.6</v>
      </c>
      <c r="E35" s="13">
        <v>22.19570405727924</v>
      </c>
      <c r="F35" s="13"/>
      <c r="G35" s="13"/>
      <c r="I35" s="5"/>
    </row>
    <row r="36" outlineLevel="2">
      <c r="A36" s="12" t="s">
        <v>54</v>
      </c>
      <c r="B36" s="0" t="s">
        <v>52</v>
      </c>
      <c r="C36" s="13">
        <f>IFERROR(15.309936532*(1-w),"")</f>
        <v>13.181855354052002</v>
      </c>
      <c r="D36" s="13">
        <v>15.309936532000004</v>
      </c>
      <c r="E36" s="13">
        <v>18.269614000000004</v>
      </c>
      <c r="F36" s="13"/>
      <c r="G36" s="13"/>
      <c r="I36" s="5"/>
      <c r="J36" s="0" t="s">
        <v>38</v>
      </c>
    </row>
    <row r="37" outlineLevel="1">
      <c r="A37" s="11" t="s">
        <v>55</v>
      </c>
      <c r="I37" s="5"/>
    </row>
    <row r="38" outlineLevel="2">
      <c r="A38" s="12" t="s">
        <v>56</v>
      </c>
      <c r="B38" s="0" t="s">
        <v>57</v>
      </c>
      <c r="C38" s="14">
        <v>34200</v>
      </c>
      <c r="D38" s="14"/>
      <c r="E38" s="14"/>
      <c r="F38" s="14"/>
      <c r="G38" s="14"/>
      <c r="I38" s="5"/>
      <c r="J38" s="0" t="s">
        <v>41</v>
      </c>
    </row>
    <row r="39" outlineLevel="2">
      <c r="A39" s="12" t="s">
        <v>58</v>
      </c>
      <c r="B39" s="0" t="s">
        <v>57</v>
      </c>
      <c r="C39" s="14">
        <v>690</v>
      </c>
      <c r="D39" s="14"/>
      <c r="E39" s="14"/>
      <c r="F39" s="14"/>
      <c r="G39" s="14"/>
      <c r="I39" s="5"/>
      <c r="J39" s="0" t="s">
        <v>41</v>
      </c>
    </row>
    <row r="40">
      <c r="A40" s="7" t="s">
        <v>59</v>
      </c>
      <c r="I40" s="5"/>
    </row>
    <row r="41" outlineLevel="1">
      <c r="A41" s="11" t="s">
        <v>60</v>
      </c>
      <c r="I41" s="5"/>
    </row>
    <row r="42" outlineLevel="2">
      <c r="A42" s="12" t="s">
        <v>61</v>
      </c>
      <c r="B42" s="0" t="s">
        <v>62</v>
      </c>
      <c r="C42" s="13">
        <v>3.7</v>
      </c>
      <c r="D42" s="13"/>
      <c r="E42" s="13"/>
      <c r="F42" s="13"/>
      <c r="G42" s="13"/>
      <c r="I42" s="5"/>
    </row>
    <row r="43" outlineLevel="2">
      <c r="A43" s="12" t="s">
        <v>63</v>
      </c>
      <c r="B43" s="0" t="s">
        <v>62</v>
      </c>
      <c r="C43" s="13">
        <v>33.1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62</v>
      </c>
      <c r="C44" s="13">
        <v>2.32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62</v>
      </c>
      <c r="C45" s="13">
        <v>4.29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62</v>
      </c>
      <c r="C46" s="13">
        <v>6.49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62</v>
      </c>
      <c r="C47" s="13">
        <v>6.21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62</v>
      </c>
      <c r="C48" s="13">
        <v>0.47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62</v>
      </c>
      <c r="C49" s="13">
        <v>20.06</v>
      </c>
      <c r="D49" s="13"/>
      <c r="E49" s="13"/>
      <c r="F49" s="13"/>
      <c r="G49" s="13"/>
      <c r="I49" s="5"/>
    </row>
    <row r="50">
      <c r="I50" s="5"/>
    </row>
    <row r="51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2:E42"/>
    <mergeCell ref="C43:E43"/>
    <mergeCell ref="C44:E44"/>
    <mergeCell ref="C45:E45"/>
    <mergeCell ref="C46:E46"/>
    <mergeCell ref="C47:E47"/>
    <mergeCell ref="C48:E48"/>
    <mergeCell ref="C49:E49"/>
  </mergeCells>
  <dataValidations count="1">
    <dataValidation type="decimal" sqref="C20" errorStyle="stop" promptTitle="Enter moisture content" errorTitle="Invalid moisture content" prompt="Value should be between 0 and 100.&#10;Original value: 13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https://phyllis.nl/Biomass/View/2176</dc:description>
  <dcterms:created xsi:type="dcterms:W3CDTF">2026-03-17T05:42:25Z</dcterms:created>
  <dc:title>Phyllis2 #2176 olive residue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