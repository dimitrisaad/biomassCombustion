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77 olive residue" sheetId="1" r:id="rId1"/>
  </sheets>
  <definedNames>
    <definedName name="w" localSheetId="0">IF(ISBLANK('Phyllis2 #2177 olive residue'!$C$20),#N/A,'Phyllis2 #2177 olive residue'!$C$20/100)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<sst xmlns="http://schemas.openxmlformats.org/spreadsheetml/2006/main" count="70" uniqueCount="70">
  <si>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</si>
  <si>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https://phyllis.nl/Biomass/View/2177</t>
  </si>
  <si>
    <t>olive residue (#2177)</t>
  </si>
  <si>
    <t>ID-number</t>
  </si>
  <si>
    <t>#2177</t>
  </si>
  <si>
    <t>Material</t>
  </si>
  <si>
    <t>olive residue</t>
  </si>
  <si>
    <t>Classification</t>
  </si>
  <si>
    <t>ECN Phyllis classification &gt; husk/shell/pit &gt; olive &gt; olive residue</t>
  </si>
  <si>
    <t>NTA 8003 classification &gt; [500] biomassa uit de industrie &gt; [520] schillen/vliezen/pitten &gt; [524] olijven</t>
  </si>
  <si>
    <t>Ash type</t>
  </si>
  <si>
    <t>550 C</t>
  </si>
  <si>
    <t>Submitter organisation</t>
  </si>
  <si>
    <t>ECN (Netherlands)</t>
  </si>
  <si>
    <t>Submission date</t>
  </si>
  <si>
    <t>Remarks</t>
  </si>
  <si>
    <t>orujillo, produced and collected in Andalusia, Spain, sample 2</t>
  </si>
  <si>
    <t>Literature</t>
  </si>
  <si>
    <t>P.Garcia-Ibanez, A.Cabanillas and P.L.Garcia-Ybarra: A pilot scale circulating fluidized bed plant for Orujillo gasification. In: Conference held in Tyrol (Austria), 17-22 September 2000 (Ed. A.V.Bridgwater), pp. 209-220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</si>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</sst>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7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37187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11.7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IFERROR(8.5*(1-w),"")</f>
        <v>7.5055</v>
      </c>
      <c r="D21" s="13">
        <v>8.5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IFERROR(74.4*(1-w),"")</f>
        <v>65.6952</v>
      </c>
      <c r="D22" s="13">
        <v>74.4</v>
      </c>
      <c r="E22" s="13">
        <v>81.311475409836063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IFERROR(17.1*(1-w),"")</f>
        <v>15.099299999999996</v>
      </c>
      <c r="D23" s="13">
        <v>17.099999999999994</v>
      </c>
      <c r="E23" s="13">
        <v>18.688524590163926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IFERROR(48.2205*(1-w),"")</f>
        <v>42.5787015</v>
      </c>
      <c r="D25" s="13">
        <v>48.2205</v>
      </c>
      <c r="E25" s="13">
        <v>52.7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IFERROR(6.4965*(1-w),"")</f>
        <v>5.7364095000000006</v>
      </c>
      <c r="D26" s="13">
        <v>6.4965</v>
      </c>
      <c r="E26" s="13">
        <v>7.1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IFERROR(34.9164*(1-w),"")</f>
        <v>30.831181200000003</v>
      </c>
      <c r="D27" s="13">
        <v>34.9164</v>
      </c>
      <c r="E27" s="13">
        <v>38.160000000000004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IFERROR(1.464*(1-w),"")</f>
        <v>1.292712</v>
      </c>
      <c r="D28" s="13">
        <v>1.464</v>
      </c>
      <c r="E28" s="13">
        <v>1.5999999999999999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IFERROR(0.06405*(1-w),"")</f>
        <v>0.05655615</v>
      </c>
      <c r="D29" s="13">
        <v>0.06405</v>
      </c>
      <c r="E29" s="13">
        <v>0.069999999999999993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IFERROR(100*(1-w)+w*100,"")</f>
        <v>99.999999999999986</v>
      </c>
      <c r="D30" s="13">
        <v>99.999999999999986</v>
      </c>
      <c r="E30" s="13">
        <v>99.999999999999986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IFERROR(3385.5*(1-w),"")</f>
        <v>2989.3965</v>
      </c>
      <c r="D32" s="14">
        <v>3385.5</v>
      </c>
      <c r="E32" s="14">
        <v>3700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IFERROR(19.18235*(1-w)-w*2.443,"")</f>
        <v>16.65218405</v>
      </c>
      <c r="D34" s="13">
        <v>19.18235</v>
      </c>
      <c r="E34" s="13">
        <v>20.964316939890708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IFERROR(20.6*(1-w),"")</f>
        <v>18.1898</v>
      </c>
      <c r="D35" s="13">
        <v>20.6</v>
      </c>
      <c r="E35" s="13">
        <v>22.513661202185794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IFERROR(20.55131358*(1-w),"")</f>
        <v>18.146809891140006</v>
      </c>
      <c r="D36" s="13">
        <v>20.551313580000006</v>
      </c>
      <c r="E36" s="13">
        <v>22.460452000000004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4">
        <v>23500</v>
      </c>
      <c r="D38" s="14"/>
      <c r="E38" s="14"/>
      <c r="F38" s="14"/>
      <c r="G38" s="14"/>
      <c r="I38" s="5"/>
      <c r="J38" s="0" t="s">
        <v>41</v>
      </c>
    </row>
    <row r="39" outlineLevel="2">
      <c r="A39" s="12" t="s">
        <v>58</v>
      </c>
      <c r="B39" s="0" t="s">
        <v>57</v>
      </c>
      <c r="C39" s="14">
        <v>1750</v>
      </c>
      <c r="D39" s="14"/>
      <c r="E39" s="14"/>
      <c r="F39" s="14"/>
      <c r="G39" s="14"/>
      <c r="I39" s="5"/>
      <c r="J39" s="0" t="s">
        <v>41</v>
      </c>
    </row>
    <row r="40">
      <c r="A40" s="7" t="s">
        <v>59</v>
      </c>
      <c r="I40" s="5"/>
    </row>
    <row r="41" outlineLevel="1">
      <c r="A41" s="11" t="s">
        <v>60</v>
      </c>
      <c r="I41" s="5"/>
    </row>
    <row r="42" outlineLevel="2">
      <c r="A42" s="12" t="s">
        <v>61</v>
      </c>
      <c r="B42" s="0" t="s">
        <v>62</v>
      </c>
      <c r="C42" s="13">
        <v>1.45</v>
      </c>
      <c r="D42" s="13"/>
      <c r="E42" s="13"/>
      <c r="F42" s="13"/>
      <c r="G42" s="13"/>
      <c r="I42" s="5"/>
    </row>
    <row r="43" outlineLevel="2">
      <c r="A43" s="12" t="s">
        <v>63</v>
      </c>
      <c r="B43" s="0" t="s">
        <v>62</v>
      </c>
      <c r="C43" s="13">
        <v>16.72</v>
      </c>
      <c r="D43" s="13"/>
      <c r="E43" s="13"/>
      <c r="F43" s="13"/>
      <c r="G43" s="13"/>
      <c r="I43" s="5"/>
    </row>
    <row r="44" outlineLevel="2">
      <c r="A44" s="12" t="s">
        <v>64</v>
      </c>
      <c r="B44" s="0" t="s">
        <v>62</v>
      </c>
      <c r="C44" s="13">
        <v>2.37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62</v>
      </c>
      <c r="C45" s="13">
        <v>0.89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62</v>
      </c>
      <c r="C46" s="13">
        <v>8.01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62</v>
      </c>
      <c r="C47" s="13">
        <v>12.86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62</v>
      </c>
      <c r="C48" s="13">
        <v>2.08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62</v>
      </c>
      <c r="C49" s="13">
        <v>24.73</v>
      </c>
      <c r="D49" s="13"/>
      <c r="E49" s="13"/>
      <c r="F49" s="13"/>
      <c r="G49" s="13"/>
      <c r="I49" s="5"/>
    </row>
    <row r="50">
      <c r="I50" s="5"/>
    </row>
    <row r="51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  <mergeCell ref="C39:E39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20" errorStyle="stop" promptTitle="Enter moisture content" errorTitle="Invalid moisture content" prompt="Value should be between 0 and 100.&#10;Original value: 11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https://phyllis.nl/Biomass/View/2177</dc:description>
  <dcterms:created xsi:type="dcterms:W3CDTF">2026-03-17T05:42:28Z</dcterms:created>
  <dc:title>Phyllis2 #2177 olive residue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