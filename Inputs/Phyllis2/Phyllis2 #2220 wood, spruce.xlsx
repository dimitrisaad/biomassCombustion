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220 wood, spruce" sheetId="1" r:id="rId1"/>
  </sheets>
  <definedNames>
    <definedName name="w" localSheetId="0">IF(ISBLANK('Phyllis2 #2220 wood, spruce'!$C$19),#N/A,'Phyllis2 #2220 wood, spruce'!$C$19/100)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<sst xmlns="http://schemas.openxmlformats.org/spreadsheetml/2006/main" count="50" uniqueCount="50">
  <si>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</si>
  <si>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https://phyllis.nl/Biomass/View/2220</t>
  </si>
  <si>
    <t>wood, spruce (#2220)</t>
  </si>
  <si>
    <t>ID-number</t>
  </si>
  <si>
    <t>#2220</t>
  </si>
  <si>
    <t>Material</t>
  </si>
  <si>
    <t>wood, spruce</t>
  </si>
  <si>
    <t>Classification</t>
  </si>
  <si>
    <t>ECN Phyllis classification &gt; untreated wood &gt; fir/pine/spruce &gt; wood, spruce</t>
  </si>
  <si>
    <t>NTA 8003 classification &gt; [100] hout &gt; [110] vers hout &gt; [130] naaldhout &gt; [131] naaldhout</t>
  </si>
  <si>
    <t>Submitter organisation</t>
  </si>
  <si>
    <t>ECN (Netherlands)</t>
  </si>
  <si>
    <t>Submission date</t>
  </si>
  <si>
    <t>Remarks</t>
  </si>
  <si>
    <t>moisture: ASTM E 790-87; ash: ASTM E 830-87; HHV:ASTM D 3286-73; volatiles: ASTM E 897-88</t>
  </si>
  <si>
    <t>Literature</t>
  </si>
  <si>
    <t xml:space="preserve">L.Sørum, M.G.Grønli and J.E.Hustad: Pyrolysis characteristics and kinetics of municipal solid wastes.  Fuel 80 pp. 1217-1227 (2001).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</si>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</sst>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22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37221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IFERROR(0.2*(1-w),"")</f>
        <v/>
      </c>
      <c r="D20" s="13">
        <v>0.2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IFERROR(89.6*(1-w),"")</f>
        <v/>
      </c>
      <c r="D21" s="13">
        <v>89.6</v>
      </c>
      <c r="E21" s="13">
        <v>89.779559118236463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IFERROR(10.2*(1-w),"")</f>
        <v/>
      </c>
      <c r="D22" s="13">
        <v>10.200000000000003</v>
      </c>
      <c r="E22" s="13">
        <v>10.22044088176353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IFERROR(47.3052*(1-w),"")</f>
        <v/>
      </c>
      <c r="D24" s="13">
        <v>47.3052</v>
      </c>
      <c r="E24" s="13">
        <v>47.4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IFERROR(6.2874*(1-w),"")</f>
        <v/>
      </c>
      <c r="D25" s="13">
        <v>6.2874</v>
      </c>
      <c r="E25" s="13">
        <v>6.3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IFERROR(46.1076*(1-w),"")</f>
        <v/>
      </c>
      <c r="D26" s="13">
        <v>46.1076</v>
      </c>
      <c r="E26" s="13">
        <v>46.199999999999996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34</v>
      </c>
      <c r="C27" s="13">
        <f>IFERROR(0.06986*(1-w),"")</f>
        <v/>
      </c>
      <c r="D27" s="13">
        <v>0.06986</v>
      </c>
      <c r="E27" s="13">
        <v>0.07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34</v>
      </c>
      <c r="C28" s="13">
        <f>IFERROR(99.97006*(1-w)+w*100,"")</f>
        <v/>
      </c>
      <c r="D28" s="13">
        <v>99.97006</v>
      </c>
      <c r="E28" s="13">
        <v>99.97</v>
      </c>
      <c r="F28" s="13"/>
      <c r="G28" s="13"/>
      <c r="I28" s="5"/>
      <c r="J28" s="0" t="s">
        <v>37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IFERROR(17.92798*(1-w)-w*2.443,"")</f>
        <v/>
      </c>
      <c r="D30" s="13">
        <v>17.92798</v>
      </c>
      <c r="E30" s="13">
        <v>17.963907815631263</v>
      </c>
      <c r="F30" s="13"/>
      <c r="G30" s="13"/>
      <c r="I30" s="5"/>
    </row>
    <row r="31" outlineLevel="2">
      <c r="A31" s="12" t="s">
        <v>48</v>
      </c>
      <c r="B31" s="0" t="s">
        <v>47</v>
      </c>
      <c r="C31" s="13">
        <f>IFERROR(19.3*(1-w),"")</f>
        <v/>
      </c>
      <c r="D31" s="13">
        <v>19.3</v>
      </c>
      <c r="E31" s="13">
        <v>19.338677354709418</v>
      </c>
      <c r="F31" s="13"/>
      <c r="G31" s="13"/>
      <c r="I31" s="5"/>
    </row>
    <row r="32" outlineLevel="2">
      <c r="A32" s="12" t="s">
        <v>49</v>
      </c>
      <c r="B32" s="0" t="s">
        <v>47</v>
      </c>
      <c r="C32" s="13">
        <f>IFERROR(18.89866692*(1-w),"")</f>
        <v/>
      </c>
      <c r="D32" s="13">
        <v>18.898666919999993</v>
      </c>
      <c r="E32" s="13">
        <v>18.936539999999994</v>
      </c>
      <c r="F32" s="13"/>
      <c r="G32" s="13"/>
      <c r="I32" s="5"/>
      <c r="J32" s="0" t="s">
        <v>37</v>
      </c>
    </row>
    <row r="33">
      <c r="I33" s="5"/>
    </row>
    <row r="34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https://phyllis.nl/Biomass/View/2220</dc:description>
  <dcterms:created xsi:type="dcterms:W3CDTF">2026-03-19T07:04:39Z</dcterms:created>
  <dc:title>Phyllis2 #2220 wood, spruce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