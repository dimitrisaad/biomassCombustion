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1 wood pellets fro" sheetId="1" r:id="rId1"/>
  </sheets>
  <definedNames>
    <definedName name="w" localSheetId="0">IF(ISBLANK('Phyllis2 #2241 wood pellets fro'!$C$20),#N/A,'Phyllis2 #2241 wood pellets fro'!$C$20/100)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<sst xmlns="http://schemas.openxmlformats.org/spreadsheetml/2006/main" count="77" uniqueCount="77">
  <si>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</si>
  <si>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https://phyllis.nl/Biomass/View/2241</t>
  </si>
  <si>
    <t>wood pellets from Labee, brown (#2241)</t>
  </si>
  <si>
    <t>ID-number</t>
  </si>
  <si>
    <t>#2241</t>
  </si>
  <si>
    <t>Material</t>
  </si>
  <si>
    <t>wood pellets from Labee, brown</t>
  </si>
  <si>
    <t>Description</t>
  </si>
  <si>
    <t>pellets</t>
  </si>
  <si>
    <t>Classification</t>
  </si>
  <si>
    <t>ECN Phyllis classification &gt; untreated wood &gt; others</t>
  </si>
  <si>
    <t>NTA 8003 classification &gt; [100] hout &gt; [110] vers hout &gt; [111] mengsel vers hout</t>
  </si>
  <si>
    <t>Sample lot size</t>
  </si>
  <si>
    <t>diameter 12 mm, average 25 mm long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</si>
  <si>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</si>
  <si>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</si>
  <si>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</si>
  <si>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</si>
  <si>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</si>
  <si>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</si>
  <si>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</si>
  <si>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</si>
  <si>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</si>
  <si>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</si>
  <si>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</si>
  <si>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</si>
  <si>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</si>
  <si>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</si>
  <si>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</si>
  <si>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</si>
  <si>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</si>
  <si>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</si>
  <si>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</si>
  <si>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</si>
  <si>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</si>
  <si>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</si>
  <si>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</si>
  <si>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</si>
  <si>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</si>
  <si>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</si>
  <si>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</si>
  <si>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</si>
  <si>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</si>
  <si>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</si>
  <si>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</si>
  <si>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</si>
  <si>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</si>
  <si>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</si>
  <si>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</si>
  <si>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</si>
  <si>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</si>
  <si>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</si>
  <si>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</si>
  <si>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</si>
  <si>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</si>
  <si>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</si>
  <si>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</si>
  <si>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</si>
  <si>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</si>
  <si>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</si>
  <si>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</si>
  <si>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</si>
  <si>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</si>
  <si>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</si>
  <si>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</si>
  <si>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</si>
  <si>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</si>
  <si>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</si>
  <si>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Molybdenium (Mo)</t>
  </si>
  <si>
    <t>Sodium (Na)</t>
  </si>
  <si>
    <t>Nickel (Ni)</t>
  </si>
  <si>
    <t>Phosphorus (P)</t>
  </si>
  <si>
    <t>Lead (Pb)</t>
  </si>
  <si>
    <t>Antimony (Sb)</t>
  </si>
  <si>
    <t>Silicon (Si)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</si>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</sst>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37306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9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IFERROR(1.1*(1-w),"")</f>
        <v>1.0010000000000001</v>
      </c>
      <c r="D21" s="13">
        <v>1.1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IFERROR(76.8*(1-w),"")</f>
        <v>69.888</v>
      </c>
      <c r="D22" s="13">
        <v>76.8</v>
      </c>
      <c r="E22" s="13">
        <v>77.654196157735086</v>
      </c>
      <c r="F22" s="13"/>
      <c r="G22" s="13"/>
      <c r="I22" s="5"/>
    </row>
    <row r="23" outlineLevel="2">
      <c r="A23" s="12" t="s">
        <v>38</v>
      </c>
      <c r="B23" s="0" t="s">
        <v>35</v>
      </c>
      <c r="C23" s="13">
        <f>IFERROR(22.1*(1-w),"")</f>
        <v>20.111000000000008</v>
      </c>
      <c r="D23" s="13">
        <v>22.100000000000009</v>
      </c>
      <c r="E23" s="13">
        <v>22.345803842264925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35</v>
      </c>
      <c r="C25" s="13">
        <f>IFERROR(49.5*(1-w),"")</f>
        <v>45.045</v>
      </c>
      <c r="D25" s="13">
        <v>49.5</v>
      </c>
      <c r="E25" s="13">
        <v>50.050556117290192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35</v>
      </c>
      <c r="C26" s="13">
        <f>IFERROR(6.2*(1-w),"")</f>
        <v>5.642</v>
      </c>
      <c r="D26" s="13">
        <v>6.2</v>
      </c>
      <c r="E26" s="13">
        <v>6.268958543983822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35</v>
      </c>
      <c r="C27" s="13">
        <f>IFERROR(42.3*(1-w),"")</f>
        <v>38.493</v>
      </c>
      <c r="D27" s="13">
        <v>42.3</v>
      </c>
      <c r="E27" s="13">
        <v>42.770475227502523</v>
      </c>
      <c r="F27" s="13"/>
      <c r="G27" s="13"/>
      <c r="I27" s="5"/>
      <c r="J27" s="0" t="s">
        <v>39</v>
      </c>
    </row>
    <row r="28" outlineLevel="2">
      <c r="A28" s="12" t="s">
        <v>45</v>
      </c>
      <c r="B28" s="0" t="s">
        <v>35</v>
      </c>
      <c r="C28" s="13">
        <f>IFERROR(0.93*(1-w),"")</f>
        <v>0.8463</v>
      </c>
      <c r="D28" s="13">
        <v>0.93</v>
      </c>
      <c r="E28" s="13">
        <v>0.94034378159757337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35</v>
      </c>
      <c r="C29" s="13">
        <f>IFERROR(0.08*(1-w),"")</f>
        <v>0.0728</v>
      </c>
      <c r="D29" s="13">
        <v>0.08</v>
      </c>
      <c r="E29" s="13">
        <v>0.080889787664307378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35</v>
      </c>
      <c r="C30" s="13">
        <f>IFERROR(100.245*(1-w)+w*100,"")</f>
        <v>100.22295000000001</v>
      </c>
      <c r="D30" s="13">
        <v>100.245</v>
      </c>
      <c r="E30" s="13">
        <v>100.24772497472195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IFERROR(1350*(1-w),"")</f>
        <v>1228.5</v>
      </c>
      <c r="D32" s="14">
        <v>1350</v>
      </c>
      <c r="E32" s="14">
        <v>1365.0151668351871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IFERROR(18.14705*(1-w)-w*2.443,"")</f>
        <v>16.2939455</v>
      </c>
      <c r="D34" s="13">
        <v>18.14705</v>
      </c>
      <c r="E34" s="13">
        <v>18.348887765419615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IFERROR(19.5*(1-w),"")</f>
        <v>17.745</v>
      </c>
      <c r="D35" s="13">
        <v>19.5</v>
      </c>
      <c r="E35" s="13">
        <v>19.716885743174924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IFERROR(19.87714313*(1-w),"")</f>
        <v>18.088200248300005</v>
      </c>
      <c r="D36" s="13">
        <v>19.877143130000004</v>
      </c>
      <c r="E36" s="13">
        <v>20.098223589484331</v>
      </c>
      <c r="F36" s="13"/>
      <c r="G36" s="13"/>
      <c r="I36" s="5"/>
      <c r="J36" s="0" t="s">
        <v>39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342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59</v>
      </c>
      <c r="B39" s="0" t="s">
        <v>58</v>
      </c>
      <c r="C39" s="14">
        <v>55</v>
      </c>
      <c r="D39" s="14"/>
      <c r="E39" s="14"/>
      <c r="F39" s="14"/>
      <c r="G39" s="14"/>
      <c r="I39" s="5"/>
      <c r="J39" s="0" t="s">
        <v>42</v>
      </c>
    </row>
    <row r="40" outlineLevel="2">
      <c r="A40" s="12" t="s">
        <v>60</v>
      </c>
      <c r="B40" s="0" t="s">
        <v>58</v>
      </c>
      <c r="C40" s="14">
        <v>2860</v>
      </c>
      <c r="D40" s="14"/>
      <c r="E40" s="14"/>
      <c r="F40" s="14"/>
      <c r="G40" s="14"/>
      <c r="I40" s="5"/>
      <c r="J40" s="0" t="s">
        <v>42</v>
      </c>
    </row>
    <row r="41" outlineLevel="2">
      <c r="A41" s="12" t="s">
        <v>61</v>
      </c>
      <c r="B41" s="0" t="s">
        <v>58</v>
      </c>
      <c r="C41" s="14">
        <v>0.3</v>
      </c>
      <c r="D41" s="14"/>
      <c r="E41" s="14"/>
      <c r="F41" s="14"/>
      <c r="G41" s="14"/>
      <c r="I41" s="5"/>
      <c r="J41" s="0" t="s">
        <v>42</v>
      </c>
    </row>
    <row r="42" outlineLevel="2">
      <c r="A42" s="12" t="s">
        <v>62</v>
      </c>
      <c r="B42" s="0" t="s">
        <v>58</v>
      </c>
      <c r="C42" s="14">
        <v>0.5</v>
      </c>
      <c r="D42" s="14"/>
      <c r="E42" s="14"/>
      <c r="F42" s="14"/>
      <c r="G42" s="14"/>
      <c r="I42" s="5"/>
      <c r="J42" s="0" t="s">
        <v>42</v>
      </c>
    </row>
    <row r="43" outlineLevel="2">
      <c r="A43" s="12" t="s">
        <v>63</v>
      </c>
      <c r="B43" s="0" t="s">
        <v>58</v>
      </c>
      <c r="C43" s="14">
        <v>11</v>
      </c>
      <c r="D43" s="14"/>
      <c r="E43" s="14"/>
      <c r="F43" s="14"/>
      <c r="G43" s="14"/>
      <c r="I43" s="5"/>
      <c r="J43" s="0" t="s">
        <v>42</v>
      </c>
    </row>
    <row r="44" outlineLevel="2">
      <c r="A44" s="12" t="s">
        <v>64</v>
      </c>
      <c r="B44" s="0" t="s">
        <v>58</v>
      </c>
      <c r="C44" s="14">
        <v>10</v>
      </c>
      <c r="D44" s="14"/>
      <c r="E44" s="14"/>
      <c r="F44" s="14"/>
      <c r="G44" s="14"/>
      <c r="I44" s="5"/>
      <c r="J44" s="0" t="s">
        <v>42</v>
      </c>
    </row>
    <row r="45" outlineLevel="2">
      <c r="A45" s="12" t="s">
        <v>65</v>
      </c>
      <c r="B45" s="0" t="s">
        <v>58</v>
      </c>
      <c r="C45" s="14">
        <v>347</v>
      </c>
      <c r="D45" s="14"/>
      <c r="E45" s="14"/>
      <c r="F45" s="14"/>
      <c r="G45" s="14"/>
      <c r="I45" s="5"/>
      <c r="J45" s="0" t="s">
        <v>42</v>
      </c>
    </row>
    <row r="46" outlineLevel="2">
      <c r="A46" s="12" t="s">
        <v>66</v>
      </c>
      <c r="B46" s="0" t="s">
        <v>58</v>
      </c>
      <c r="C46" s="14">
        <v>1174</v>
      </c>
      <c r="D46" s="14"/>
      <c r="E46" s="14"/>
      <c r="F46" s="14"/>
      <c r="G46" s="14"/>
      <c r="I46" s="5"/>
      <c r="J46" s="0" t="s">
        <v>42</v>
      </c>
    </row>
    <row r="47" outlineLevel="2">
      <c r="A47" s="12" t="s">
        <v>67</v>
      </c>
      <c r="B47" s="0" t="s">
        <v>58</v>
      </c>
      <c r="C47" s="14">
        <v>328</v>
      </c>
      <c r="D47" s="14"/>
      <c r="E47" s="14"/>
      <c r="F47" s="14"/>
      <c r="G47" s="14"/>
      <c r="I47" s="5"/>
      <c r="J47" s="0" t="s">
        <v>42</v>
      </c>
    </row>
    <row r="48" outlineLevel="2">
      <c r="A48" s="12" t="s">
        <v>68</v>
      </c>
      <c r="B48" s="0" t="s">
        <v>58</v>
      </c>
      <c r="C48" s="14">
        <v>12</v>
      </c>
      <c r="D48" s="14"/>
      <c r="E48" s="14"/>
      <c r="F48" s="14"/>
      <c r="G48" s="14"/>
      <c r="I48" s="5"/>
      <c r="J48" s="0" t="s">
        <v>42</v>
      </c>
    </row>
    <row r="49" outlineLevel="2">
      <c r="A49" s="12" t="s">
        <v>69</v>
      </c>
      <c r="B49" s="0" t="s">
        <v>58</v>
      </c>
      <c r="C49" s="14">
        <v>650</v>
      </c>
      <c r="D49" s="14"/>
      <c r="E49" s="14"/>
      <c r="F49" s="14"/>
      <c r="G49" s="14"/>
      <c r="I49" s="5"/>
      <c r="J49" s="0" t="s">
        <v>42</v>
      </c>
    </row>
    <row r="50" outlineLevel="2">
      <c r="A50" s="12" t="s">
        <v>70</v>
      </c>
      <c r="B50" s="0" t="s">
        <v>58</v>
      </c>
      <c r="C50" s="14">
        <v>1</v>
      </c>
      <c r="D50" s="14"/>
      <c r="E50" s="14"/>
      <c r="F50" s="14"/>
      <c r="G50" s="14"/>
      <c r="I50" s="5"/>
      <c r="J50" s="0" t="s">
        <v>42</v>
      </c>
    </row>
    <row r="51" outlineLevel="2">
      <c r="A51" s="12" t="s">
        <v>71</v>
      </c>
      <c r="B51" s="0" t="s">
        <v>58</v>
      </c>
      <c r="C51" s="14">
        <v>762</v>
      </c>
      <c r="D51" s="14"/>
      <c r="E51" s="14"/>
      <c r="F51" s="14"/>
      <c r="G51" s="14"/>
      <c r="I51" s="5"/>
      <c r="J51" s="0" t="s">
        <v>42</v>
      </c>
    </row>
    <row r="52" outlineLevel="2">
      <c r="A52" s="12" t="s">
        <v>72</v>
      </c>
      <c r="B52" s="0" t="s">
        <v>58</v>
      </c>
      <c r="C52" s="14">
        <v>50</v>
      </c>
      <c r="D52" s="14"/>
      <c r="E52" s="14"/>
      <c r="F52" s="14"/>
      <c r="G52" s="14"/>
      <c r="I52" s="5"/>
      <c r="J52" s="0" t="s">
        <v>42</v>
      </c>
    </row>
    <row r="53" outlineLevel="2">
      <c r="A53" s="12" t="s">
        <v>73</v>
      </c>
      <c r="B53" s="0" t="s">
        <v>58</v>
      </c>
      <c r="C53" s="14">
        <v>0.3</v>
      </c>
      <c r="D53" s="14"/>
      <c r="E53" s="14"/>
      <c r="F53" s="14"/>
      <c r="G53" s="14"/>
      <c r="I53" s="5"/>
      <c r="J53" s="0" t="s">
        <v>42</v>
      </c>
    </row>
    <row r="54" outlineLevel="2">
      <c r="A54" s="12" t="s">
        <v>74</v>
      </c>
      <c r="B54" s="0" t="s">
        <v>58</v>
      </c>
      <c r="C54" s="14">
        <v>935</v>
      </c>
      <c r="D54" s="14"/>
      <c r="E54" s="14"/>
      <c r="F54" s="14"/>
      <c r="G54" s="14"/>
      <c r="I54" s="5"/>
      <c r="J54" s="0" t="s">
        <v>42</v>
      </c>
    </row>
    <row r="55" outlineLevel="2">
      <c r="A55" s="12" t="s">
        <v>75</v>
      </c>
      <c r="B55" s="0" t="s">
        <v>58</v>
      </c>
      <c r="C55" s="14">
        <v>0.8</v>
      </c>
      <c r="D55" s="14"/>
      <c r="E55" s="14"/>
      <c r="F55" s="14"/>
      <c r="G55" s="14"/>
      <c r="I55" s="5"/>
      <c r="J55" s="0" t="s">
        <v>42</v>
      </c>
    </row>
    <row r="56" outlineLevel="2">
      <c r="A56" s="12" t="s">
        <v>76</v>
      </c>
      <c r="B56" s="0" t="s">
        <v>58</v>
      </c>
      <c r="C56" s="14">
        <v>74</v>
      </c>
      <c r="D56" s="14"/>
      <c r="E56" s="14"/>
      <c r="F56" s="14"/>
      <c r="G56" s="14"/>
      <c r="I56" s="5"/>
      <c r="J56" s="0" t="s">
        <v>42</v>
      </c>
    </row>
    <row r="57">
      <c r="I57" s="5"/>
    </row>
    <row r="58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20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https://phyllis.nl/Biomass/View/2241</dc:description>
  <dcterms:created xsi:type="dcterms:W3CDTF">2026-03-19T07:22:33Z</dcterms:created>
  <dc:title>Phyllis2 #2241 wood pellets from Labee, brown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