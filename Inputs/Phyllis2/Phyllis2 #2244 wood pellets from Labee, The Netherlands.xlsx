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244 wood pellets fro" sheetId="1" r:id="rId1"/>
  </sheets>
  <definedNames>
    <definedName name="w" localSheetId="0">IF(ISBLANK('Phyllis2 #2244 wood pellets fro'!$C$19),#N/A,'Phyllis2 #2244 wood pellets fro'!$C$19/100)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<sst xmlns="http://schemas.openxmlformats.org/spreadsheetml/2006/main" count="72" uniqueCount="72">
  <si>
    <t>Phyllis2</t>
  </si>
  <si>
    <t>https://phyllis.nl/Biomass/View/2244</t>
  </si>
  <si>
    <t>wood pellets from Labee, The Netherlands (#2244)</t>
  </si>
  <si>
    <t>ID-number</t>
  </si>
  <si>
    <t>#2244</t>
  </si>
  <si>
    <t>Material</t>
  </si>
  <si>
    <t>wood pellets from Labee, The Netherlands</t>
  </si>
  <si>
    <t>Classification</t>
  </si>
  <si>
    <t>ECN Phyllis classification &gt; untreated wood &gt; others &gt; wood pellets from Labee, The Netherlands</t>
  </si>
  <si>
    <t>NTA 8003 classification &gt; [100] hout &gt; [110] vers hout &gt; [111] mengsel vers hout</t>
  </si>
  <si>
    <t>Submitter organisation</t>
  </si>
  <si>
    <t>ECN (Netherlands)</t>
  </si>
  <si>
    <t>Submission date</t>
  </si>
  <si>
    <t>Remarks</t>
  </si>
  <si>
    <t>white pellets, diameter pellets approx. 5 mm, length 5-15 mm</t>
  </si>
  <si>
    <t>Literature</t>
  </si>
  <si>
    <t>ECN laboratories.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</si>
  <si>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</si>
  <si>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</si>
  <si>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</si>
  <si>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</si>
  <si>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</si>
  <si>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</si>
  <si>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</si>
  <si>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</si>
  <si>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</si>
  <si>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</si>
  <si>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</si>
  <si>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</si>
  <si>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</si>
  <si>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</si>
  <si>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</si>
  <si>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</si>
  <si>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</si>
  <si>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</si>
  <si>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</si>
  <si>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</si>
  <si>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</si>
  <si>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</si>
  <si>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</si>
  <si>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</si>
  <si>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</si>
  <si>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</si>
  <si>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</si>
  <si>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</si>
  <si>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</si>
  <si>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</si>
  <si>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</si>
  <si>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</si>
  <si>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</si>
  <si>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</si>
  <si>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</si>
  <si>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</si>
  <si>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</si>
  <si>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Aluminium (Al)</t>
  </si>
  <si>
    <t>mg/kg (dry)</t>
  </si>
  <si>
    <t>Boron (B)</t>
  </si>
  <si>
    <t>Barium (Ba)</t>
  </si>
  <si>
    <t>Calcium (Ca)</t>
  </si>
  <si>
    <t>Chromium (Cr)</t>
  </si>
  <si>
    <t>Copper (Cu)</t>
  </si>
  <si>
    <t>Iron (Fe)</t>
  </si>
  <si>
    <t>Potassium (K)</t>
  </si>
  <si>
    <t>Magnesium (Mg)</t>
  </si>
  <si>
    <t>Manganese (Mn)</t>
  </si>
  <si>
    <t>Molybdenium (Mo)</t>
  </si>
  <si>
    <t>Sodium (Na)</t>
  </si>
  <si>
    <t>Phosphorus (P)</t>
  </si>
  <si>
    <t>Silicon (Si)</t>
  </si>
  <si>
    <t>Strontium (Sr)</t>
  </si>
  <si>
    <t>Titanium (Ti)</t>
  </si>
  <si>
    <t>Zinc (Zn)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</si>
</sst>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24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37361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>7</v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32</v>
      </c>
      <c r="C20" s="13">
        <f>IFERROR(0.11*(1-w),"")</f>
        <v>0.10229999999999999</v>
      </c>
      <c r="D20" s="13">
        <v>0.11</v>
      </c>
      <c r="E20" s="13">
        <v/>
      </c>
      <c r="F20" s="13"/>
      <c r="G20" s="13"/>
      <c r="I20" s="5"/>
    </row>
    <row r="21" outlineLevel="2">
      <c r="A21" s="12" t="s">
        <v>34</v>
      </c>
      <c r="B21" s="0" t="s">
        <v>32</v>
      </c>
      <c r="C21" s="13">
        <f>IFERROR(81.5*(1-w),"")</f>
        <v>75.795</v>
      </c>
      <c r="D21" s="13">
        <v>81.5</v>
      </c>
      <c r="E21" s="13">
        <v>81.58974872359596</v>
      </c>
      <c r="F21" s="13"/>
      <c r="G21" s="13"/>
      <c r="I21" s="5"/>
    </row>
    <row r="22" outlineLevel="2">
      <c r="A22" s="12" t="s">
        <v>35</v>
      </c>
      <c r="B22" s="0" t="s">
        <v>32</v>
      </c>
      <c r="C22" s="13">
        <f>IFERROR(18.39*(1-w),"")</f>
        <v>17.1027</v>
      </c>
      <c r="D22" s="13">
        <v>18.39</v>
      </c>
      <c r="E22" s="13">
        <v>18.410251276404043</v>
      </c>
      <c r="F22" s="13"/>
      <c r="G22" s="13"/>
      <c r="I22" s="5"/>
      <c r="J22" s="0" t="s">
        <v>36</v>
      </c>
    </row>
    <row r="23" outlineLevel="1">
      <c r="A23" s="11" t="s">
        <v>37</v>
      </c>
      <c r="I23" s="5"/>
    </row>
    <row r="24" outlineLevel="2">
      <c r="A24" s="12" t="s">
        <v>38</v>
      </c>
      <c r="B24" s="0" t="s">
        <v>32</v>
      </c>
      <c r="C24" s="13">
        <f>IFERROR(49.26*(1-w),"")</f>
        <v>45.8118</v>
      </c>
      <c r="D24" s="13">
        <v>49.26</v>
      </c>
      <c r="E24" s="13">
        <v>49.314245670237256</v>
      </c>
      <c r="F24" s="13"/>
      <c r="G24" s="13"/>
      <c r="I24" s="5"/>
      <c r="J24" s="0" t="s">
        <v>39</v>
      </c>
    </row>
    <row r="25" outlineLevel="2">
      <c r="A25" s="12" t="s">
        <v>40</v>
      </c>
      <c r="B25" s="0" t="s">
        <v>32</v>
      </c>
      <c r="C25" s="13">
        <f>IFERROR(6.22*(1-w),"")</f>
        <v>5.7845999999999993</v>
      </c>
      <c r="D25" s="13">
        <v>6.22</v>
      </c>
      <c r="E25" s="13">
        <v>6.2268495344879362</v>
      </c>
      <c r="F25" s="13"/>
      <c r="G25" s="13"/>
      <c r="I25" s="5"/>
      <c r="J25" s="0" t="s">
        <v>39</v>
      </c>
    </row>
    <row r="26" outlineLevel="2">
      <c r="A26" s="12" t="s">
        <v>41</v>
      </c>
      <c r="B26" s="0" t="s">
        <v>32</v>
      </c>
      <c r="C26" s="13">
        <f>IFERROR(46.1*(1-w),"")</f>
        <v>42.873</v>
      </c>
      <c r="D26" s="13">
        <v>46.1</v>
      </c>
      <c r="E26" s="13">
        <v>46.150765842426672</v>
      </c>
      <c r="F26" s="13"/>
      <c r="G26" s="13"/>
      <c r="I26" s="5"/>
      <c r="J26" s="0" t="s">
        <v>39</v>
      </c>
    </row>
    <row r="27" outlineLevel="2">
      <c r="A27" s="12" t="s">
        <v>42</v>
      </c>
      <c r="B27" s="0" t="s">
        <v>32</v>
      </c>
      <c r="C27" s="13">
        <f>IFERROR(0.14*(1-w),"")</f>
        <v>0.1302</v>
      </c>
      <c r="D27" s="13">
        <v>0.14</v>
      </c>
      <c r="E27" s="13">
        <v>0.14015416958654522</v>
      </c>
      <c r="F27" s="13"/>
      <c r="G27" s="13"/>
      <c r="I27" s="5"/>
      <c r="J27" s="0" t="s">
        <v>39</v>
      </c>
    </row>
    <row r="28" outlineLevel="2">
      <c r="A28" s="12" t="s">
        <v>43</v>
      </c>
      <c r="B28" s="0" t="s">
        <v>32</v>
      </c>
      <c r="C28" s="13">
        <f>IFERROR(0.0057*(1-w),"")</f>
        <v>0.005301</v>
      </c>
      <c r="D28" s="13">
        <v>0.0057</v>
      </c>
      <c r="E28" s="13">
        <v>0.0057062769045950548</v>
      </c>
      <c r="F28" s="13"/>
      <c r="G28" s="13"/>
      <c r="I28" s="5"/>
      <c r="J28" s="0" t="s">
        <v>39</v>
      </c>
    </row>
    <row r="29" outlineLevel="2">
      <c r="A29" s="12" t="s">
        <v>44</v>
      </c>
      <c r="B29" s="0" t="s">
        <v>32</v>
      </c>
      <c r="C29" s="13">
        <f>IFERROR(101.8413*(1-w)+w*100,"")</f>
        <v>101.712409</v>
      </c>
      <c r="D29" s="13">
        <v>101.8413</v>
      </c>
      <c r="E29" s="13">
        <v>101.84332766042647</v>
      </c>
      <c r="F29" s="13"/>
      <c r="G29" s="13"/>
      <c r="I29" s="5"/>
      <c r="J29" s="0" t="s">
        <v>36</v>
      </c>
    </row>
    <row r="30" outlineLevel="1">
      <c r="A30" s="11" t="s">
        <v>45</v>
      </c>
      <c r="I30" s="5"/>
    </row>
    <row r="31" outlineLevel="2">
      <c r="A31" s="12" t="s">
        <v>46</v>
      </c>
      <c r="B31" s="0" t="s">
        <v>47</v>
      </c>
      <c r="C31" s="14">
        <f>IFERROR(56*(1-w),"")</f>
        <v>52.08</v>
      </c>
      <c r="D31" s="14">
        <v>56</v>
      </c>
      <c r="E31" s="14">
        <v>56.061667834618078</v>
      </c>
      <c r="F31" s="14"/>
      <c r="G31" s="14"/>
      <c r="I31" s="5"/>
      <c r="J31" s="0" t="s">
        <v>39</v>
      </c>
    </row>
    <row r="32" outlineLevel="1">
      <c r="A32" s="11" t="s">
        <v>48</v>
      </c>
      <c r="I32" s="5"/>
    </row>
    <row r="33" outlineLevel="2">
      <c r="A33" s="12" t="s">
        <v>49</v>
      </c>
      <c r="B33" s="0" t="s">
        <v>50</v>
      </c>
      <c r="C33" s="13">
        <f>IFERROR(18.40469*(1-w)-w*2.443,"")</f>
        <v>16.9453517</v>
      </c>
      <c r="D33" s="13">
        <v>18.40469</v>
      </c>
      <c r="E33" s="13">
        <v>18.424957453198516</v>
      </c>
      <c r="F33" s="13"/>
      <c r="G33" s="13"/>
      <c r="I33" s="5"/>
    </row>
    <row r="34" outlineLevel="2">
      <c r="A34" s="12" t="s">
        <v>51</v>
      </c>
      <c r="B34" s="0" t="s">
        <v>50</v>
      </c>
      <c r="C34" s="13">
        <f>IFERROR(19.762*(1-w),"")</f>
        <v>18.37866</v>
      </c>
      <c r="D34" s="13">
        <v>19.762</v>
      </c>
      <c r="E34" s="13">
        <v>19.783762138352188</v>
      </c>
      <c r="F34" s="13"/>
      <c r="G34" s="13"/>
      <c r="I34" s="5"/>
    </row>
    <row r="35" outlineLevel="2">
      <c r="A35" s="12" t="s">
        <v>52</v>
      </c>
      <c r="B35" s="0" t="s">
        <v>50</v>
      </c>
      <c r="C35" s="13">
        <f>IFERROR(19.4704098713*(1-w),"")</f>
        <v>18.107481180308998</v>
      </c>
      <c r="D35" s="13">
        <v>19.4704098713</v>
      </c>
      <c r="E35" s="13">
        <v>19.491850907298026</v>
      </c>
      <c r="F35" s="13"/>
      <c r="G35" s="13"/>
      <c r="I35" s="5"/>
      <c r="J35" s="0" t="s">
        <v>36</v>
      </c>
    </row>
    <row r="36" outlineLevel="1">
      <c r="A36" s="11" t="s">
        <v>53</v>
      </c>
      <c r="I36" s="5"/>
    </row>
    <row r="37" outlineLevel="2">
      <c r="A37" s="12" t="s">
        <v>54</v>
      </c>
      <c r="B37" s="0" t="s">
        <v>55</v>
      </c>
      <c r="C37" s="14">
        <v>37</v>
      </c>
      <c r="D37" s="14"/>
      <c r="E37" s="14"/>
      <c r="F37" s="14"/>
      <c r="G37" s="14"/>
      <c r="I37" s="5"/>
      <c r="J37" s="0" t="s">
        <v>39</v>
      </c>
    </row>
    <row r="38" outlineLevel="2">
      <c r="A38" s="12" t="s">
        <v>56</v>
      </c>
      <c r="B38" s="0" t="s">
        <v>55</v>
      </c>
      <c r="C38" s="14">
        <v>2</v>
      </c>
      <c r="D38" s="14"/>
      <c r="E38" s="14"/>
      <c r="F38" s="14"/>
      <c r="G38" s="14"/>
      <c r="I38" s="5"/>
      <c r="J38" s="0" t="s">
        <v>39</v>
      </c>
    </row>
    <row r="39" outlineLevel="2">
      <c r="A39" s="12" t="s">
        <v>57</v>
      </c>
      <c r="B39" s="0" t="s">
        <v>55</v>
      </c>
      <c r="C39" s="14">
        <v>12</v>
      </c>
      <c r="D39" s="14"/>
      <c r="E39" s="14"/>
      <c r="F39" s="14"/>
      <c r="G39" s="14"/>
      <c r="I39" s="5"/>
      <c r="J39" s="0" t="s">
        <v>39</v>
      </c>
    </row>
    <row r="40" outlineLevel="2">
      <c r="A40" s="12" t="s">
        <v>58</v>
      </c>
      <c r="B40" s="0" t="s">
        <v>55</v>
      </c>
      <c r="C40" s="14">
        <v>820</v>
      </c>
      <c r="D40" s="14"/>
      <c r="E40" s="14"/>
      <c r="F40" s="14"/>
      <c r="G40" s="14"/>
      <c r="I40" s="5"/>
      <c r="J40" s="0" t="s">
        <v>39</v>
      </c>
    </row>
    <row r="41" outlineLevel="2">
      <c r="A41" s="12" t="s">
        <v>59</v>
      </c>
      <c r="B41" s="0" t="s">
        <v>55</v>
      </c>
      <c r="C41" s="14">
        <v>0.3</v>
      </c>
      <c r="D41" s="14"/>
      <c r="E41" s="14"/>
      <c r="F41" s="14"/>
      <c r="G41" s="14"/>
      <c r="I41" s="5"/>
      <c r="J41" s="0" t="s">
        <v>39</v>
      </c>
    </row>
    <row r="42" outlineLevel="2">
      <c r="A42" s="12" t="s">
        <v>60</v>
      </c>
      <c r="B42" s="0" t="s">
        <v>55</v>
      </c>
      <c r="C42" s="14">
        <v>0.7</v>
      </c>
      <c r="D42" s="14"/>
      <c r="E42" s="14"/>
      <c r="F42" s="14"/>
      <c r="G42" s="14"/>
      <c r="I42" s="5"/>
      <c r="J42" s="0" t="s">
        <v>39</v>
      </c>
    </row>
    <row r="43" outlineLevel="2">
      <c r="A43" s="12" t="s">
        <v>61</v>
      </c>
      <c r="B43" s="0" t="s">
        <v>55</v>
      </c>
      <c r="C43" s="14">
        <v>15</v>
      </c>
      <c r="D43" s="14"/>
      <c r="E43" s="14"/>
      <c r="F43" s="14"/>
      <c r="G43" s="14"/>
      <c r="I43" s="5"/>
      <c r="J43" s="0" t="s">
        <v>39</v>
      </c>
    </row>
    <row r="44" outlineLevel="2">
      <c r="A44" s="12" t="s">
        <v>62</v>
      </c>
      <c r="B44" s="0" t="s">
        <v>55</v>
      </c>
      <c r="C44" s="14">
        <v>320</v>
      </c>
      <c r="D44" s="14"/>
      <c r="E44" s="14"/>
      <c r="F44" s="14"/>
      <c r="G44" s="14"/>
      <c r="I44" s="5"/>
      <c r="J44" s="0" t="s">
        <v>39</v>
      </c>
    </row>
    <row r="45" outlineLevel="2">
      <c r="A45" s="12" t="s">
        <v>63</v>
      </c>
      <c r="B45" s="0" t="s">
        <v>55</v>
      </c>
      <c r="C45" s="14">
        <v>107</v>
      </c>
      <c r="D45" s="14"/>
      <c r="E45" s="14"/>
      <c r="F45" s="14"/>
      <c r="G45" s="14"/>
      <c r="I45" s="5"/>
      <c r="J45" s="0" t="s">
        <v>39</v>
      </c>
    </row>
    <row r="46" outlineLevel="2">
      <c r="A46" s="12" t="s">
        <v>64</v>
      </c>
      <c r="B46" s="0" t="s">
        <v>55</v>
      </c>
      <c r="C46" s="14">
        <v>120</v>
      </c>
      <c r="D46" s="14"/>
      <c r="E46" s="14"/>
      <c r="F46" s="14"/>
      <c r="G46" s="14"/>
      <c r="I46" s="5"/>
      <c r="J46" s="0" t="s">
        <v>39</v>
      </c>
    </row>
    <row r="47" outlineLevel="2">
      <c r="A47" s="12" t="s">
        <v>65</v>
      </c>
      <c r="B47" s="0" t="s">
        <v>55</v>
      </c>
      <c r="C47" s="14">
        <v>0.4</v>
      </c>
      <c r="D47" s="14"/>
      <c r="E47" s="14"/>
      <c r="F47" s="14"/>
      <c r="G47" s="14"/>
      <c r="I47" s="5"/>
      <c r="J47" s="0" t="s">
        <v>39</v>
      </c>
    </row>
    <row r="48" outlineLevel="2">
      <c r="A48" s="12" t="s">
        <v>66</v>
      </c>
      <c r="B48" s="0" t="s">
        <v>55</v>
      </c>
      <c r="C48" s="14">
        <v>9</v>
      </c>
      <c r="D48" s="14"/>
      <c r="E48" s="14"/>
      <c r="F48" s="14"/>
      <c r="G48" s="14"/>
      <c r="I48" s="5"/>
      <c r="J48" s="0" t="s">
        <v>39</v>
      </c>
    </row>
    <row r="49" outlineLevel="2">
      <c r="A49" s="12" t="s">
        <v>67</v>
      </c>
      <c r="B49" s="0" t="s">
        <v>55</v>
      </c>
      <c r="C49" s="14">
        <v>34</v>
      </c>
      <c r="D49" s="14"/>
      <c r="E49" s="14"/>
      <c r="F49" s="14"/>
      <c r="G49" s="14"/>
      <c r="I49" s="5"/>
      <c r="J49" s="0" t="s">
        <v>39</v>
      </c>
    </row>
    <row r="50" outlineLevel="2">
      <c r="A50" s="12" t="s">
        <v>68</v>
      </c>
      <c r="B50" s="0" t="s">
        <v>55</v>
      </c>
      <c r="C50" s="14">
        <v>67</v>
      </c>
      <c r="D50" s="14"/>
      <c r="E50" s="14"/>
      <c r="F50" s="14"/>
      <c r="G50" s="14"/>
      <c r="I50" s="5"/>
      <c r="J50" s="0" t="s">
        <v>39</v>
      </c>
    </row>
    <row r="51" outlineLevel="2">
      <c r="A51" s="12" t="s">
        <v>69</v>
      </c>
      <c r="B51" s="0" t="s">
        <v>55</v>
      </c>
      <c r="C51" s="14">
        <v>4</v>
      </c>
      <c r="D51" s="14"/>
      <c r="E51" s="14"/>
      <c r="F51" s="14"/>
      <c r="G51" s="14"/>
      <c r="I51" s="5"/>
      <c r="J51" s="0" t="s">
        <v>39</v>
      </c>
    </row>
    <row r="52" outlineLevel="2">
      <c r="A52" s="12" t="s">
        <v>70</v>
      </c>
      <c r="B52" s="0" t="s">
        <v>55</v>
      </c>
      <c r="C52" s="14">
        <v>3</v>
      </c>
      <c r="D52" s="14"/>
      <c r="E52" s="14"/>
      <c r="F52" s="14"/>
      <c r="G52" s="14"/>
      <c r="I52" s="5"/>
      <c r="J52" s="0" t="s">
        <v>39</v>
      </c>
    </row>
    <row r="53" outlineLevel="2">
      <c r="A53" s="12" t="s">
        <v>71</v>
      </c>
      <c r="B53" s="0" t="s">
        <v>55</v>
      </c>
      <c r="C53" s="14">
        <v>10</v>
      </c>
      <c r="D53" s="14"/>
      <c r="E53" s="14"/>
      <c r="F53" s="14"/>
      <c r="G53" s="14"/>
      <c r="I53" s="5"/>
      <c r="J53" s="0" t="s">
        <v>39</v>
      </c>
    </row>
    <row r="54">
      <c r="I54" s="5"/>
    </row>
    <row r="55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</mergeCells>
  <dataValidations count="1">
    <dataValidation type="decimal" sqref="C19" errorStyle="stop" promptTitle="Enter moisture content" errorTitle="Invalid moisture content" prompt="Value should be between 0 and 100.&#10;Original value: 7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https://phyllis.nl/Biomass/View/2244</dc:description>
  <dcterms:created xsi:type="dcterms:W3CDTF">2026-03-19T07:21:08Z</dcterms:created>
  <dc:title>Phyllis2 #2244 wood pellets from Labee, The Netherlands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