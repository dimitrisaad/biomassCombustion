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48 wheat straw pell" sheetId="1" r:id="rId1"/>
  </sheets>
  <definedNames>
    <definedName name="w" localSheetId="0">IF(ISBLANK('Phyllis2 #2248 wheat straw pell'!$C$18),#N/A,'Phyllis2 #2248 wheat straw pell'!$C$18/100)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<sst xmlns="http://schemas.openxmlformats.org/spreadsheetml/2006/main" count="48" uniqueCount="48">
  <si>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</si>
  <si>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https://phyllis.nl/Biomass/View/2248</t>
  </si>
  <si>
    <t>wheat straw pellets (#2248)</t>
  </si>
  <si>
    <t>ID-number</t>
  </si>
  <si>
    <t>#2248</t>
  </si>
  <si>
    <t>Material</t>
  </si>
  <si>
    <t>wheat straw pellets</t>
  </si>
  <si>
    <t>Classification</t>
  </si>
  <si>
    <t>ECN Phyllis classification &gt; straw (stalk/cob/ear) &gt; wheat</t>
  </si>
  <si>
    <t>NTA 8003 classification &gt; [200] biomassa uit land- en tuinbouw &gt; [220] stro &gt; [223] tarwestro</t>
  </si>
  <si>
    <t>Submitter organisation</t>
  </si>
  <si>
    <t>ECN (Netherlands)</t>
  </si>
  <si>
    <t>Submission date</t>
  </si>
  <si>
    <t>Literature</t>
  </si>
  <si>
    <t>I. Romey, M. Adorni, J. Wartmann, Concept for CO2 reduced decentralised combined heat and power generation unit for biomass gasification. Proc. 5th Int. Conf. on greenhouse gas control technologies.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</si>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</sst>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4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37462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IFERROR(7.7*(1-w),"")</f>
        <v/>
      </c>
      <c r="D19" s="13">
        <v>7.7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IFERROR(45.4*(1-w),"")</f>
        <v/>
      </c>
      <c r="D21" s="13">
        <v>45.4</v>
      </c>
      <c r="E21" s="13">
        <v>49.187432286023828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IFERROR(6.1*(1-w),"")</f>
        <v/>
      </c>
      <c r="D22" s="13">
        <v>6.1</v>
      </c>
      <c r="E22" s="13">
        <v>6.6088840736728054</v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33</v>
      </c>
      <c r="C23" s="13">
        <f>IFERROR(38.86*(1-w),"")</f>
        <v/>
      </c>
      <c r="D23" s="13">
        <v>38.86</v>
      </c>
      <c r="E23" s="13">
        <v>42.101841820151677</v>
      </c>
      <c r="F23" s="13"/>
      <c r="G23" s="13"/>
      <c r="I23" s="5"/>
      <c r="J23" s="0" t="s">
        <v>36</v>
      </c>
    </row>
    <row r="24" outlineLevel="2">
      <c r="A24" s="12" t="s">
        <v>39</v>
      </c>
      <c r="B24" s="0" t="s">
        <v>33</v>
      </c>
      <c r="C24" s="13">
        <f>IFERROR(1.7*(1-w),"")</f>
        <v/>
      </c>
      <c r="D24" s="13">
        <v>1.7</v>
      </c>
      <c r="E24" s="13">
        <v>1.8418201516793065</v>
      </c>
      <c r="F24" s="13"/>
      <c r="G24" s="13"/>
      <c r="I24" s="5"/>
      <c r="J24" s="0" t="s">
        <v>36</v>
      </c>
    </row>
    <row r="25" outlineLevel="2">
      <c r="A25" s="12" t="s">
        <v>40</v>
      </c>
      <c r="B25" s="0" t="s">
        <v>33</v>
      </c>
      <c r="C25" s="13">
        <f>IFERROR(0.24*(1-w),"")</f>
        <v/>
      </c>
      <c r="D25" s="13">
        <v>0.24</v>
      </c>
      <c r="E25" s="13">
        <v>0.26002166847237268</v>
      </c>
      <c r="F25" s="13"/>
      <c r="G25" s="13"/>
      <c r="I25" s="5"/>
      <c r="J25" s="0" t="s">
        <v>36</v>
      </c>
    </row>
    <row r="26" outlineLevel="2">
      <c r="A26" s="12" t="s">
        <v>41</v>
      </c>
      <c r="B26" s="0" t="s">
        <v>33</v>
      </c>
      <c r="C26" s="13">
        <f>IFERROR(100*(1-w)+w*100,"")</f>
        <v/>
      </c>
      <c r="D26" s="13">
        <v>100</v>
      </c>
      <c r="E26" s="13">
        <v>99.999999999999986</v>
      </c>
      <c r="F26" s="13"/>
      <c r="G26" s="13"/>
      <c r="I26" s="5"/>
      <c r="J26" s="0" t="s">
        <v>42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f>IFERROR(16.29818*(1-w)-w*2.443,"")</f>
        <v/>
      </c>
      <c r="D28" s="13">
        <v>16.29818</v>
      </c>
      <c r="E28" s="13">
        <v>17.657833152762727</v>
      </c>
      <c r="F28" s="13"/>
      <c r="G28" s="13"/>
      <c r="I28" s="5"/>
    </row>
    <row r="29" outlineLevel="2">
      <c r="A29" s="12" t="s">
        <v>46</v>
      </c>
      <c r="B29" s="0" t="s">
        <v>45</v>
      </c>
      <c r="C29" s="13">
        <f>IFERROR(17.6293*(1-w),"")</f>
        <v/>
      </c>
      <c r="D29" s="13">
        <v>17.6293</v>
      </c>
      <c r="E29" s="13">
        <v>19.1</v>
      </c>
      <c r="F29" s="13"/>
      <c r="G29" s="13"/>
      <c r="I29" s="5"/>
    </row>
    <row r="30" outlineLevel="2">
      <c r="A30" s="12" t="s">
        <v>47</v>
      </c>
      <c r="B30" s="0" t="s">
        <v>45</v>
      </c>
      <c r="C30" s="13">
        <f>IFERROR(18.58612537*(1-w),"")</f>
        <v/>
      </c>
      <c r="D30" s="13">
        <v>18.58612537</v>
      </c>
      <c r="E30" s="13">
        <v>20.136647204767065</v>
      </c>
      <c r="F30" s="13"/>
      <c r="G30" s="13"/>
      <c r="I30" s="5"/>
      <c r="J30" s="0" t="s">
        <v>42</v>
      </c>
    </row>
    <row r="31">
      <c r="I31" s="5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https://phyllis.nl/Biomass/View/2248</dc:description>
  <dcterms:created xsi:type="dcterms:W3CDTF">2026-03-17T06:18:23Z</dcterms:created>
  <dc:title>Phyllis2 #2248 wheat straw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