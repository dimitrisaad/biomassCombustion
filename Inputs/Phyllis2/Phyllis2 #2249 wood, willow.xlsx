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2249 wood, willow" sheetId="1" r:id="rId1"/>
  </sheets>
  <definedNames>
    <definedName name="w" localSheetId="0">IF(ISBLANK('Phyllis2 #2249 wood, willow'!$C$18),#N/A,'Phyllis2 #2249 wood, willow'!$C$18/100)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<sst xmlns="http://schemas.openxmlformats.org/spreadsheetml/2006/main" count="48" uniqueCount="48">
  <si>
    <t>Phyllis2</t>
  </si>
  <si>
    <t>https://phyllis.nl/Biomass/View/2249</t>
  </si>
  <si>
    <t>wood, willow (#2249)</t>
  </si>
  <si>
    <t>ID-number</t>
  </si>
  <si>
    <t>#2249</t>
  </si>
  <si>
    <t>Material</t>
  </si>
  <si>
    <t>wood, willow</t>
  </si>
  <si>
    <t>Classification</t>
  </si>
  <si>
    <t>ECN Phyllis classification &gt; untreated wood &gt; willow &gt; wood, willow</t>
  </si>
  <si>
    <t>NTA 8003 classification &gt; [100] hout &gt; [110] vers hout &gt; [120] loofhout &gt; [122] zacht loofhout</t>
  </si>
  <si>
    <t>Submitter organisation</t>
  </si>
  <si>
    <t>ECN (Netherlands)</t>
  </si>
  <si>
    <t>Submission date</t>
  </si>
  <si>
    <t>Literature</t>
  </si>
  <si>
    <t>I. Romey, M. Adorni, J. Wartmann, Concept for CO2 reduced decentralised combined heat and power generation unit for biomass gasification. Proc. 5th Int. Conf. on greenhouse gas control technologies.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</si>
  <si>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</si>
  <si>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</si>
  <si>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</si>
  <si>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</si>
  <si>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</si>
  <si>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</si>
  <si>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</si>
  <si>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</si>
  <si>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</si>
  <si>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</si>
  <si>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</si>
  <si>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</si>
  <si>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</si>
  <si>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</si>
  <si>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</si>
  <si>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</si>
  <si>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</si>
  <si>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</si>
  <si>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</si>
  <si>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</si>
  <si>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</si>
  <si>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</si>
  <si>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</si>
  <si>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</si>
  <si>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</si>
  <si>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</si>
  <si>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</si>
  <si>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Calculated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</si>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</sst>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0.0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2249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1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6">
        <v>37462</v>
      </c>
    </row>
    <row r="11" outlineLevel="1">
      <c r="A11" s="7" t="s">
        <v>13</v>
      </c>
      <c r="B11" s="0" t="s">
        <v>14</v>
      </c>
    </row>
    <row r="12">
      <c r="A12" s="7"/>
    </row>
    <row r="13" s="1" customFormat="1">
      <c r="A13" s="9" t="s">
        <v>15</v>
      </c>
    </row>
    <row r="14" s="1" customFormat="1">
      <c r="A14" s="10" t="s">
        <v>16</v>
      </c>
      <c r="B14" s="10" t="s">
        <v>17</v>
      </c>
      <c r="C14" s="10" t="s">
        <v>18</v>
      </c>
      <c r="D14" s="10"/>
      <c r="E14" s="10"/>
      <c r="F14" s="10" t="s">
        <v>19</v>
      </c>
      <c r="G14" s="10" t="s">
        <v>20</v>
      </c>
      <c r="H14" s="10" t="s">
        <v>21</v>
      </c>
      <c r="I14" s="10" t="s">
        <v>22</v>
      </c>
      <c r="J14" s="10" t="s">
        <v>23</v>
      </c>
      <c r="K14" s="10" t="s">
        <v>24</v>
      </c>
      <c r="L14" s="10"/>
    </row>
    <row r="15" s="1" customFormat="1">
      <c r="A15" s="10"/>
      <c r="B15" s="10"/>
      <c r="C15" s="10" t="s">
        <v>25</v>
      </c>
      <c r="D15" s="10" t="s">
        <v>26</v>
      </c>
      <c r="E15" s="10" t="s">
        <v>27</v>
      </c>
      <c r="F15" s="10"/>
      <c r="G15" s="10"/>
      <c r="H15" s="10"/>
      <c r="I15" s="10"/>
      <c r="J15" s="10"/>
      <c r="K15" s="10"/>
      <c r="L15" s="10"/>
    </row>
    <row r="16">
      <c r="A16" s="7" t="s">
        <v>28</v>
      </c>
      <c r="I16" s="5"/>
    </row>
    <row r="17" outlineLevel="1">
      <c r="A17" s="11" t="s">
        <v>29</v>
      </c>
      <c r="I17" s="5"/>
    </row>
    <row r="18" outlineLevel="2">
      <c r="A18" s="12" t="s">
        <v>30</v>
      </c>
      <c r="B18" s="0" t="s">
        <v>31</v>
      </c>
      <c r="C18" s="13">
        <v/>
      </c>
      <c r="D18" s="13"/>
      <c r="E18" s="13"/>
      <c r="F18" s="13"/>
      <c r="G18" s="13"/>
      <c r="I18" s="5"/>
    </row>
    <row r="19" outlineLevel="2">
      <c r="A19" s="12" t="s">
        <v>32</v>
      </c>
      <c r="B19" s="0" t="s">
        <v>33</v>
      </c>
      <c r="C19" s="13">
        <f>IFERROR(1.6*(1-w),"")</f>
        <v/>
      </c>
      <c r="D19" s="13">
        <v>1.6</v>
      </c>
      <c r="E19" s="13">
        <v/>
      </c>
      <c r="F19" s="13"/>
      <c r="G19" s="13"/>
      <c r="I19" s="5"/>
    </row>
    <row r="20" outlineLevel="1">
      <c r="A20" s="11" t="s">
        <v>34</v>
      </c>
      <c r="I20" s="5"/>
    </row>
    <row r="21" outlineLevel="2">
      <c r="A21" s="12" t="s">
        <v>35</v>
      </c>
      <c r="B21" s="0" t="s">
        <v>33</v>
      </c>
      <c r="C21" s="13">
        <f>IFERROR(50*(1-w),"")</f>
        <v/>
      </c>
      <c r="D21" s="13">
        <v>50</v>
      </c>
      <c r="E21" s="13">
        <v>50.8130081300813</v>
      </c>
      <c r="F21" s="13"/>
      <c r="G21" s="13"/>
      <c r="I21" s="5"/>
      <c r="J21" s="0" t="s">
        <v>36</v>
      </c>
    </row>
    <row r="22" outlineLevel="2">
      <c r="A22" s="12" t="s">
        <v>37</v>
      </c>
      <c r="B22" s="0" t="s">
        <v>33</v>
      </c>
      <c r="C22" s="13">
        <f>IFERROR(5.9*(1-w),"")</f>
        <v/>
      </c>
      <c r="D22" s="13">
        <v>5.9</v>
      </c>
      <c r="E22" s="13">
        <v>5.9959349593495936</v>
      </c>
      <c r="F22" s="13"/>
      <c r="G22" s="13"/>
      <c r="I22" s="5"/>
      <c r="J22" s="0" t="s">
        <v>36</v>
      </c>
    </row>
    <row r="23" outlineLevel="2">
      <c r="A23" s="12" t="s">
        <v>38</v>
      </c>
      <c r="B23" s="0" t="s">
        <v>33</v>
      </c>
      <c r="C23" s="13">
        <f>IFERROR(41.75*(1-w),"")</f>
        <v/>
      </c>
      <c r="D23" s="13">
        <v>41.75</v>
      </c>
      <c r="E23" s="13">
        <v>42.428861788617887</v>
      </c>
      <c r="F23" s="13"/>
      <c r="G23" s="13"/>
      <c r="I23" s="5"/>
      <c r="J23" s="0" t="s">
        <v>36</v>
      </c>
    </row>
    <row r="24" outlineLevel="2">
      <c r="A24" s="12" t="s">
        <v>39</v>
      </c>
      <c r="B24" s="0" t="s">
        <v>33</v>
      </c>
      <c r="C24" s="13">
        <f>IFERROR(0.7*(1-w),"")</f>
        <v/>
      </c>
      <c r="D24" s="13">
        <v>0.7</v>
      </c>
      <c r="E24" s="13">
        <v>0.71138211382113814</v>
      </c>
      <c r="F24" s="13"/>
      <c r="G24" s="13"/>
      <c r="I24" s="5"/>
      <c r="J24" s="0" t="s">
        <v>36</v>
      </c>
    </row>
    <row r="25" outlineLevel="2">
      <c r="A25" s="12" t="s">
        <v>40</v>
      </c>
      <c r="B25" s="0" t="s">
        <v>33</v>
      </c>
      <c r="C25" s="13">
        <f>IFERROR(0.05*(1-w),"")</f>
        <v/>
      </c>
      <c r="D25" s="13">
        <v>0.05</v>
      </c>
      <c r="E25" s="13">
        <v>0.050813008130081307</v>
      </c>
      <c r="F25" s="13"/>
      <c r="G25" s="13"/>
      <c r="I25" s="5"/>
      <c r="J25" s="0" t="s">
        <v>36</v>
      </c>
    </row>
    <row r="26" outlineLevel="2">
      <c r="A26" s="12" t="s">
        <v>41</v>
      </c>
      <c r="B26" s="0" t="s">
        <v>33</v>
      </c>
      <c r="C26" s="13">
        <f>IFERROR(100*(1-w)+w*100,"")</f>
        <v/>
      </c>
      <c r="D26" s="13">
        <v>100</v>
      </c>
      <c r="E26" s="13">
        <v>100.00000000000001</v>
      </c>
      <c r="F26" s="13"/>
      <c r="G26" s="13"/>
      <c r="I26" s="5"/>
      <c r="J26" s="0" t="s">
        <v>42</v>
      </c>
    </row>
    <row r="27" outlineLevel="1">
      <c r="A27" s="11" t="s">
        <v>43</v>
      </c>
      <c r="I27" s="5"/>
    </row>
    <row r="28" outlineLevel="2">
      <c r="A28" s="12" t="s">
        <v>44</v>
      </c>
      <c r="B28" s="0" t="s">
        <v>45</v>
      </c>
      <c r="C28" s="13">
        <f>IFERROR(17.60532*(1-w)-w*2.443,"")</f>
        <v/>
      </c>
      <c r="D28" s="13">
        <v>17.60532</v>
      </c>
      <c r="E28" s="13">
        <v>17.891585365853658</v>
      </c>
      <c r="F28" s="13"/>
      <c r="G28" s="13"/>
      <c r="I28" s="5"/>
    </row>
    <row r="29" outlineLevel="2">
      <c r="A29" s="12" t="s">
        <v>46</v>
      </c>
      <c r="B29" s="0" t="s">
        <v>45</v>
      </c>
      <c r="C29" s="13">
        <f>IFERROR(18.8928*(1-w),"")</f>
        <v/>
      </c>
      <c r="D29" s="13">
        <v>18.8928</v>
      </c>
      <c r="E29" s="13">
        <v>19.200000000000003</v>
      </c>
      <c r="F29" s="13"/>
      <c r="G29" s="13"/>
      <c r="I29" s="5"/>
    </row>
    <row r="30" outlineLevel="2">
      <c r="A30" s="12" t="s">
        <v>47</v>
      </c>
      <c r="B30" s="0" t="s">
        <v>45</v>
      </c>
      <c r="C30" s="13">
        <f>IFERROR(19.73514168*(1-w),"")</f>
        <v/>
      </c>
      <c r="D30" s="13">
        <v>19.73514168</v>
      </c>
      <c r="E30" s="13">
        <v>20.056038292682928</v>
      </c>
      <c r="F30" s="13"/>
      <c r="G30" s="13"/>
      <c r="I30" s="5"/>
      <c r="J30" s="0" t="s">
        <v>42</v>
      </c>
    </row>
    <row r="31">
      <c r="I31" s="5"/>
    </row>
    <row r="32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</mergeCells>
  <dataValidations count="1">
    <dataValidation type="decimal" sqref="C18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https://phyllis.nl/Biomass/View/2249</dc:description>
  <dcterms:created xsi:type="dcterms:W3CDTF">2026-03-19T07:27:03Z</dcterms:created>
  <dc:title>Phyllis2 #2249 wood, willow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