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50 wood, birch" sheetId="1" r:id="rId1"/>
  </sheets>
  <definedNames>
    <definedName name="w" localSheetId="0">IF(ISBLANK('Phyllis2 #2250 wood, birch'!$C$18),#N/A,'Phyllis2 #2250 wood, birch'!$C$18/100)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<sst xmlns="http://schemas.openxmlformats.org/spreadsheetml/2006/main" count="49" uniqueCount="49">
  <si>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</si>
  <si>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https://phyllis.nl/Biomass/View/2250</t>
  </si>
  <si>
    <t>wood, birch (#2250)</t>
  </si>
  <si>
    <t>ID-number</t>
  </si>
  <si>
    <t>#2250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</si>
  <si>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</si>
  <si>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</si>
  <si>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</si>
  <si>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</si>
  <si>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</si>
  <si>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</si>
  <si>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</si>
  <si>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</si>
  <si>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</si>
  <si>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I. Romey, M. Adorni, J. Wartmann, Concept for CO2 reduced decentralised combined heat and power generation unit for biomass gasification. Proc. 5th Int. Conf. on greenhouse gas control technologies.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</si>
  <si>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</si>
  <si>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</si>
  <si>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</si>
  <si>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</si>
  <si>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</si>
  <si>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</si>
  <si>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</si>
  <si>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</si>
  <si>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</si>
  <si>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</si>
  <si>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</si>
  <si>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</si>
  <si>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</si>
  <si>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</si>
  <si>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</si>
  <si>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</si>
  <si>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</si>
  <si>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</si>
  <si>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</si>
  <si>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</si>
  <si>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</si>
  <si>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</si>
  <si>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</si>
  <si>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</si>
  <si>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</si>
  <si>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wt% (dry)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</si>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</sst>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37462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IFERROR(0.5*(1-w),"")</f>
        <v/>
      </c>
      <c r="D19" s="13">
        <v>0.5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IFERROR(49*(1-w),"")</f>
        <v/>
      </c>
      <c r="D21" s="13">
        <v>49</v>
      </c>
      <c r="E21" s="13">
        <v>49.246231155778894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IFERROR(6.1*(1-w),"")</f>
        <v/>
      </c>
      <c r="D22" s="13">
        <v>6.1</v>
      </c>
      <c r="E22" s="13">
        <v>6.1306532663316577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IFERROR(44.4*(1-w),"")</f>
        <v/>
      </c>
      <c r="D23" s="13">
        <v>44.4</v>
      </c>
      <c r="E23" s="13">
        <v>44.623115577889443</v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40</v>
      </c>
      <c r="C24" s="13"/>
      <c r="D24" s="13"/>
      <c r="E24" s="13"/>
      <c r="F24" s="13"/>
      <c r="G24" s="13">
        <v>0.2</v>
      </c>
      <c r="I24" s="5"/>
    </row>
    <row r="25" outlineLevel="2">
      <c r="A25" s="12" t="s">
        <v>41</v>
      </c>
      <c r="B25" s="0" t="s">
        <v>40</v>
      </c>
      <c r="C25" s="13"/>
      <c r="D25" s="13"/>
      <c r="E25" s="13"/>
      <c r="F25" s="13"/>
      <c r="G25" s="13">
        <v>0.1</v>
      </c>
      <c r="I25" s="5"/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43</v>
      </c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f>IFERROR(17.87238*(1-w)-w*2.443,"")</f>
        <v/>
      </c>
      <c r="D28" s="13">
        <v>17.87238</v>
      </c>
      <c r="E28" s="13">
        <v>17.96219095477387</v>
      </c>
      <c r="F28" s="13"/>
      <c r="G28" s="13"/>
      <c r="I28" s="5"/>
    </row>
    <row r="29" outlineLevel="2">
      <c r="A29" s="12" t="s">
        <v>47</v>
      </c>
      <c r="B29" s="0" t="s">
        <v>46</v>
      </c>
      <c r="C29" s="13">
        <f>IFERROR(19.2035*(1-w),"")</f>
        <v/>
      </c>
      <c r="D29" s="13">
        <v>19.2035</v>
      </c>
      <c r="E29" s="13">
        <v>19.299999999999997</v>
      </c>
      <c r="F29" s="13"/>
      <c r="G29" s="13"/>
      <c r="I29" s="5"/>
    </row>
    <row r="30" outlineLevel="2">
      <c r="A30" s="12" t="s">
        <v>48</v>
      </c>
      <c r="B30" s="0" t="s">
        <v>46</v>
      </c>
      <c r="C30" s="13">
        <f>IFERROR(19.43758825*(1-w),"")</f>
        <v/>
      </c>
      <c r="D30" s="13">
        <v>19.43758825</v>
      </c>
      <c r="E30" s="13">
        <v>19.535264572864321</v>
      </c>
      <c r="F30" s="13"/>
      <c r="G30" s="13"/>
      <c r="I30" s="5"/>
      <c r="J30" s="0" t="s">
        <v>43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https://phyllis.nl/Biomass/View/2250</dc:description>
  <dcterms:created xsi:type="dcterms:W3CDTF">2026-03-19T04:21:24Z</dcterms:created>
  <dc:title>Phyllis2 #2250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