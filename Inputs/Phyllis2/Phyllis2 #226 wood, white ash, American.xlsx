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6 wood, white ash, " sheetId="1" r:id="rId1"/>
  </sheets>
  <definedNames>
    <definedName name="w" localSheetId="0">IF(ISBLANK('Phyllis2 #226 wood, white ash, '!$C$17),#N/A,'Phyllis2 #226 wood, white ash, 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<sst xmlns="http://schemas.openxmlformats.org/spreadsheetml/2006/main" count="45" uniqueCount="45">
  <si>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</si>
  <si>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https://phyllis.nl/Biomass/View/226</t>
  </si>
  <si>
    <t>wood, white ash, American (#226)</t>
  </si>
  <si>
    <t>ID-number</t>
  </si>
  <si>
    <t>#226</t>
  </si>
  <si>
    <t>Material</t>
  </si>
  <si>
    <t>wood, white ash, American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</si>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</sst>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IFERROR(0.3*(1-w),"")</f>
        <v/>
      </c>
      <c r="D18" s="11">
        <v>0.3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IFERROR(49.7*(1-w),"")</f>
        <v/>
      </c>
      <c r="D20" s="11">
        <v>49.7</v>
      </c>
      <c r="E20" s="11">
        <v>49.849548645937816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IFERROR(6.9*(1-w),"")</f>
        <v/>
      </c>
      <c r="D21" s="11">
        <v>6.9</v>
      </c>
      <c r="E21" s="11">
        <v>6.9207622868605823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IFERROR(43*(1-w),"")</f>
        <v/>
      </c>
      <c r="D22" s="11">
        <v>43</v>
      </c>
      <c r="E22" s="11">
        <v>43.129388164493477</v>
      </c>
      <c r="F22" s="11"/>
      <c r="G22" s="11"/>
      <c r="I22" s="12"/>
      <c r="J22" s="0" t="s">
        <v>35</v>
      </c>
    </row>
    <row r="23" outlineLevel="2">
      <c r="A23" s="10" t="s">
        <v>38</v>
      </c>
      <c r="B23" s="0" t="s">
        <v>32</v>
      </c>
      <c r="C23" s="11">
        <f>IFERROR(99.9*(1-w)+w*100,"")</f>
        <v/>
      </c>
      <c r="D23" s="11">
        <v>99.899999999999991</v>
      </c>
      <c r="E23" s="11">
        <v>99.899699097291872</v>
      </c>
      <c r="F23" s="11"/>
      <c r="G23" s="11"/>
      <c r="I23" s="12"/>
      <c r="J23" s="0" t="s">
        <v>39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IFERROR(19.2443*(1-w)-w*2.443,"")</f>
        <v/>
      </c>
      <c r="D25" s="11">
        <v>19.2443</v>
      </c>
      <c r="E25" s="11">
        <v>19.302206619859579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IFERROR(20.75*(1-w),"")</f>
        <v/>
      </c>
      <c r="D26" s="11">
        <v>20.75</v>
      </c>
      <c r="E26" s="11">
        <v>20.812437311935806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IFERROR(20.90492377*(1-w),"")</f>
        <v/>
      </c>
      <c r="D27" s="11">
        <v>20.904923770000003</v>
      </c>
      <c r="E27" s="11">
        <v>20.967827251755271</v>
      </c>
      <c r="F27" s="11"/>
      <c r="G27" s="11"/>
      <c r="I27" s="12"/>
      <c r="J27" s="0" t="s">
        <v>39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https://phyllis.nl/Biomass/View/226</dc:description>
  <dcterms:created xsi:type="dcterms:W3CDTF">2026-03-19T07:18:20Z</dcterms:created>
  <dc:title>Phyllis2 #226 wood, white ash, American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