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275 wheat and barley" sheetId="1" r:id="rId1"/>
  </sheets>
  <definedNames>
    <definedName name="w" localSheetId="0">IF(ISBLANK('Phyllis2 #2275 wheat and barley'!$C$20),#N/A,'Phyllis2 #2275 wheat and barley'!$C$20/100)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<sst xmlns="http://schemas.openxmlformats.org/spreadsheetml/2006/main" count="66" uniqueCount="66">
  <si>
    <t>Phyllis2</t>
  </si>
  <si>
    <t>https://phyllis.nl/Biomass/View/2275</t>
  </si>
  <si>
    <t>wheat and barley (9 and 3 samples) (#2275)</t>
  </si>
  <si>
    <t>ID-number</t>
  </si>
  <si>
    <t>#2275</t>
  </si>
  <si>
    <t>Material</t>
  </si>
  <si>
    <t>wheat and barley (9 and 3 samples)</t>
  </si>
  <si>
    <t>Classification</t>
  </si>
  <si>
    <t>ECN Phyllis classification &gt; straw (stalk/cob/ear) &gt; others</t>
  </si>
  <si>
    <t>NTA 8003 classification &gt; [200] biomassa uit land- en tuinbouw &gt; [220] stro &gt; [221] mengsel stro</t>
  </si>
  <si>
    <t>Ash type</t>
  </si>
  <si>
    <t>815°C</t>
  </si>
  <si>
    <t>Submitter organisation</t>
  </si>
  <si>
    <t>ECN (Netherlands)</t>
  </si>
  <si>
    <t>Submission date</t>
  </si>
  <si>
    <t>Remarks</t>
  </si>
  <si>
    <t>average values from 12 samples; article gives minimum, maximum and standard deviations too.</t>
  </si>
  <si>
    <t>Literature</t>
  </si>
  <si>
    <t>J. Hernadez Allica, A.J. Mitre, J.A. Gomzalez Bustamante, C. Itoiz, F. Blance, I. Alkorta, C. Garbisu: Straw quality for its combustion in a straw-fired power plant. Biomass and Bioenergy 21 (2001) 249-258.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</si>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</sst>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27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37473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9.81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IFERROR(4.96*(1-w),"")</f>
        <v>4.4734240000000005</v>
      </c>
      <c r="D21" s="13">
        <v>4.96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IFERROR(75.5*(1-w),"")</f>
        <v>68.09345</v>
      </c>
      <c r="D22" s="13">
        <v>75.5</v>
      </c>
      <c r="E22" s="13">
        <v>79.440235690235681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IFERROR(19.54*(1-w),"")</f>
        <v>17.623126000000006</v>
      </c>
      <c r="D23" s="13">
        <v>19.540000000000006</v>
      </c>
      <c r="E23" s="13">
        <v>20.559764309764315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IFERROR(44.56425*(1-w),"")</f>
        <v>40.192497075000006</v>
      </c>
      <c r="D25" s="13">
        <v>44.56425</v>
      </c>
      <c r="E25" s="13">
        <v>46.889993686868685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IFERROR(6.016032*(1-w),"")</f>
        <v>5.4258592608</v>
      </c>
      <c r="D26" s="13">
        <v>6.016032</v>
      </c>
      <c r="E26" s="13">
        <v>6.33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IFERROR(43.4903*(1-w),"")</f>
        <v>39.22390157</v>
      </c>
      <c r="D27" s="13">
        <v>43.4903</v>
      </c>
      <c r="E27" s="13">
        <v>45.759995791245785</v>
      </c>
      <c r="F27" s="13"/>
      <c r="G27" s="13"/>
      <c r="I27" s="5"/>
      <c r="J27" s="0" t="s">
        <v>38</v>
      </c>
    </row>
    <row r="28" outlineLevel="2">
      <c r="A28" s="12" t="s">
        <v>44</v>
      </c>
      <c r="B28" s="0" t="s">
        <v>34</v>
      </c>
      <c r="C28" s="13">
        <f>IFERROR(0.61776*(1-w),"")</f>
        <v>0.557157744</v>
      </c>
      <c r="D28" s="13">
        <v>0.61776</v>
      </c>
      <c r="E28" s="13">
        <v>0.64999999999999991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IFERROR(0.066528*(1-w),"")</f>
        <v>0.0600016032</v>
      </c>
      <c r="D29" s="13">
        <v>0.066528</v>
      </c>
      <c r="E29" s="13">
        <v>0.07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IFERROR(99.99999*(1-w)+w*100,"")</f>
        <v>99.99999098100001</v>
      </c>
      <c r="D30" s="13">
        <v>99.999990000000011</v>
      </c>
      <c r="E30" s="13">
        <v>99.9999894781145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4">
        <f>IFERROR(2851.2*(1-w),"")</f>
        <v>2571.49728</v>
      </c>
      <c r="D32" s="14">
        <v>2851.2</v>
      </c>
      <c r="E32" s="14">
        <v>2999.9999999999995</v>
      </c>
      <c r="F32" s="14"/>
      <c r="G32" s="14"/>
      <c r="I32" s="5"/>
      <c r="J32" s="0" t="s">
        <v>41</v>
      </c>
    </row>
    <row r="33" outlineLevel="1">
      <c r="A33" s="11" t="s">
        <v>50</v>
      </c>
      <c r="I33" s="5"/>
    </row>
    <row r="34" outlineLevel="2">
      <c r="A34" s="12" t="s">
        <v>51</v>
      </c>
      <c r="B34" s="0" t="s">
        <v>52</v>
      </c>
      <c r="C34" s="13">
        <f>IFERROR(17.2572*(1-w)-w*2.443,"")</f>
        <v>15.324610380000001</v>
      </c>
      <c r="D34" s="13">
        <v>17.2572</v>
      </c>
      <c r="E34" s="13">
        <v>18.157828282828284</v>
      </c>
      <c r="F34" s="13"/>
      <c r="G34" s="13"/>
      <c r="I34" s="5"/>
    </row>
    <row r="35" outlineLevel="2">
      <c r="A35" s="12" t="s">
        <v>53</v>
      </c>
      <c r="B35" s="0" t="s">
        <v>52</v>
      </c>
      <c r="C35" s="13">
        <f>IFERROR(18.57*(1-w),"")</f>
        <v>16.748283</v>
      </c>
      <c r="D35" s="13">
        <v>18.57</v>
      </c>
      <c r="E35" s="13">
        <v>19.539141414141415</v>
      </c>
      <c r="F35" s="13"/>
      <c r="G35" s="13"/>
      <c r="I35" s="5"/>
    </row>
    <row r="36" outlineLevel="2">
      <c r="A36" s="12" t="s">
        <v>54</v>
      </c>
      <c r="B36" s="0" t="s">
        <v>52</v>
      </c>
      <c r="C36" s="13">
        <f>IFERROR(17.7890762196*(1-w),"")</f>
        <v>16.043967842457246</v>
      </c>
      <c r="D36" s="13">
        <v>17.789076219600005</v>
      </c>
      <c r="E36" s="13">
        <v>18.717462352272733</v>
      </c>
      <c r="F36" s="13"/>
      <c r="G36" s="13"/>
      <c r="I36" s="5"/>
      <c r="J36" s="0" t="s">
        <v>38</v>
      </c>
    </row>
    <row r="37">
      <c r="A37" s="7" t="s">
        <v>55</v>
      </c>
      <c r="I37" s="5"/>
    </row>
    <row r="38" outlineLevel="1">
      <c r="A38" s="11" t="s">
        <v>56</v>
      </c>
      <c r="I38" s="5"/>
    </row>
    <row r="39" outlineLevel="2">
      <c r="A39" s="12" t="s">
        <v>57</v>
      </c>
      <c r="B39" s="0" t="s">
        <v>58</v>
      </c>
      <c r="C39" s="13">
        <v>2.66</v>
      </c>
      <c r="D39" s="13"/>
      <c r="E39" s="13"/>
      <c r="F39" s="13"/>
      <c r="G39" s="13"/>
      <c r="I39" s="5"/>
    </row>
    <row r="40" outlineLevel="2">
      <c r="A40" s="12" t="s">
        <v>59</v>
      </c>
      <c r="B40" s="0" t="s">
        <v>58</v>
      </c>
      <c r="C40" s="13">
        <v>41.49</v>
      </c>
      <c r="D40" s="13"/>
      <c r="E40" s="13"/>
      <c r="F40" s="13"/>
      <c r="G40" s="13"/>
      <c r="I40" s="5"/>
    </row>
    <row r="41" outlineLevel="2">
      <c r="A41" s="12" t="s">
        <v>60</v>
      </c>
      <c r="B41" s="0" t="s">
        <v>58</v>
      </c>
      <c r="C41" s="13">
        <v>0.37</v>
      </c>
      <c r="D41" s="13"/>
      <c r="E41" s="13"/>
      <c r="F41" s="13"/>
      <c r="G41" s="13"/>
      <c r="I41" s="5"/>
    </row>
    <row r="42" outlineLevel="2">
      <c r="A42" s="12" t="s">
        <v>61</v>
      </c>
      <c r="B42" s="0" t="s">
        <v>58</v>
      </c>
      <c r="C42" s="13">
        <v>0.9</v>
      </c>
      <c r="D42" s="13"/>
      <c r="E42" s="13"/>
      <c r="F42" s="13"/>
      <c r="G42" s="13"/>
      <c r="I42" s="5"/>
    </row>
    <row r="43" outlineLevel="2">
      <c r="A43" s="12" t="s">
        <v>62</v>
      </c>
      <c r="B43" s="0" t="s">
        <v>58</v>
      </c>
      <c r="C43" s="13">
        <v>10.26</v>
      </c>
      <c r="D43" s="13"/>
      <c r="E43" s="13"/>
      <c r="F43" s="13"/>
      <c r="G43" s="13"/>
      <c r="I43" s="5"/>
    </row>
    <row r="44" outlineLevel="2">
      <c r="A44" s="12" t="s">
        <v>63</v>
      </c>
      <c r="B44" s="0" t="s">
        <v>58</v>
      </c>
      <c r="C44" s="13">
        <v>2.13</v>
      </c>
      <c r="D44" s="13"/>
      <c r="E44" s="13"/>
      <c r="F44" s="13"/>
      <c r="G44" s="13"/>
      <c r="I44" s="5"/>
    </row>
    <row r="45" outlineLevel="2">
      <c r="A45" s="12" t="s">
        <v>64</v>
      </c>
      <c r="B45" s="0" t="s">
        <v>58</v>
      </c>
      <c r="C45" s="13">
        <v>1.18</v>
      </c>
      <c r="D45" s="13"/>
      <c r="E45" s="13"/>
      <c r="F45" s="13"/>
      <c r="G45" s="13"/>
      <c r="I45" s="5"/>
    </row>
    <row r="46" outlineLevel="2">
      <c r="A46" s="12" t="s">
        <v>65</v>
      </c>
      <c r="B46" s="0" t="s">
        <v>58</v>
      </c>
      <c r="C46" s="13">
        <v>18.72</v>
      </c>
      <c r="D46" s="13"/>
      <c r="E46" s="13"/>
      <c r="F46" s="13"/>
      <c r="G46" s="13"/>
      <c r="I46" s="5"/>
    </row>
    <row r="47">
      <c r="I47" s="5"/>
    </row>
    <row r="48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9:E39"/>
    <mergeCell ref="C40:E40"/>
    <mergeCell ref="C41:E41"/>
    <mergeCell ref="C42:E42"/>
    <mergeCell ref="C43:E43"/>
    <mergeCell ref="C44:E44"/>
    <mergeCell ref="C45:E45"/>
    <mergeCell ref="C46:E46"/>
  </mergeCells>
  <dataValidations count="1">
    <dataValidation type="decimal" sqref="C20" errorStyle="stop" promptTitle="Enter moisture content" errorTitle="Invalid moisture content" prompt="Value should be between 0 and 100.&#10;Original value: 9.8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https://phyllis.nl/Biomass/View/2275</dc:description>
  <dcterms:created xsi:type="dcterms:W3CDTF">2026-03-17T06:08:42Z</dcterms:created>
  <dc:title>Phyllis2 #2275 wheat and barley (9 and 3 samples)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