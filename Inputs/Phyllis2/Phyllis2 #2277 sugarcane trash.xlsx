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77 sugarcane trash" sheetId="1" r:id="rId1"/>
  </sheets>
  <definedNames>
    <definedName name="w" localSheetId="0">IF(ISBLANK('Phyllis2 #2277 sugarcane trash'!$C$21),#N/A,'Phyllis2 #2277 sugarcane trash'!$C$21/100)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<sst xmlns="http://schemas.openxmlformats.org/spreadsheetml/2006/main" count="59" uniqueCount="59">
  <si>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</si>
  <si>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https://phyllis.nl/Biomass/View/2277</t>
  </si>
  <si>
    <t>sugarcane trash (#2277)</t>
  </si>
  <si>
    <t>ID-number</t>
  </si>
  <si>
    <t>#2277</t>
  </si>
  <si>
    <t>Material</t>
  </si>
  <si>
    <t>sugarcane trash</t>
  </si>
  <si>
    <t>Description</t>
  </si>
  <si>
    <t>ground pellets</t>
  </si>
  <si>
    <t>Classification</t>
  </si>
  <si>
    <t>ECN Phyllis classification &gt; grass/plant &gt; other plants &gt; sugarcane trash</t>
  </si>
  <si>
    <t>NTA 8003 classification &gt; [200] biomassa uit land- en tuinbouw &gt; [250] overige restprodcuten &gt; [255] landbouwafval</t>
  </si>
  <si>
    <t>Sample lot size</t>
  </si>
  <si>
    <t>1-2 mm 26%, 0.5-1 mm 21%, 0.25-0.5 mm 19%</t>
  </si>
  <si>
    <t>Submitter organisation</t>
  </si>
  <si>
    <t>ECN (Netherlands)</t>
  </si>
  <si>
    <t>Submission date</t>
  </si>
  <si>
    <t>Remarks</t>
  </si>
  <si>
    <t>Fly ash composition: SiO2 67.93%, Al2O3 1.29%, CaO 6.24%, Fe2O3 1.11%, K2O 17.22%, MgO 3.22%, MnO2 0.2%, Na2O 0.16%, P2O5 2.53%, TiO2 0.1%</t>
  </si>
  <si>
    <t>Literature</t>
  </si>
  <si>
    <t>M. Gabra, E. Pettersson, R. Beckmann, B. Kjellström: Evaluation of cyclone gasifier performance for gasification of sugar cane residue Part 2: gasification of cane trash. Biomass and Bioenergy 21 (2001) 371-380.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</si>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</sst>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6">
        <v>37473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>
      <c r="A15" s="7"/>
    </row>
    <row r="16" s="1" customFormat="1">
      <c r="A16" s="9" t="s">
        <v>21</v>
      </c>
    </row>
    <row r="17" s="1" customFormat="1">
      <c r="A17" s="10" t="s">
        <v>22</v>
      </c>
      <c r="B17" s="10" t="s">
        <v>23</v>
      </c>
      <c r="C17" s="10" t="s">
        <v>24</v>
      </c>
      <c r="D17" s="10"/>
      <c r="E17" s="10"/>
      <c r="F17" s="10" t="s">
        <v>25</v>
      </c>
      <c r="G17" s="10" t="s">
        <v>26</v>
      </c>
      <c r="H17" s="10" t="s">
        <v>27</v>
      </c>
      <c r="I17" s="10" t="s">
        <v>28</v>
      </c>
      <c r="J17" s="10" t="s">
        <v>29</v>
      </c>
      <c r="K17" s="10" t="s">
        <v>17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6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IFERROR(11*(1-w),"")</f>
        <v>10.34</v>
      </c>
      <c r="D22" s="13">
        <v>11</v>
      </c>
      <c r="E22" s="13">
        <v/>
      </c>
      <c r="F22" s="13"/>
      <c r="G22" s="13"/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36</v>
      </c>
      <c r="C24" s="13">
        <f>IFERROR(44.2*(1-w),"")</f>
        <v>41.548</v>
      </c>
      <c r="D24" s="13">
        <v>44.2</v>
      </c>
      <c r="E24" s="13">
        <v>49.662921348314612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36</v>
      </c>
      <c r="C25" s="13">
        <f>IFERROR(5.4*(1-w),"")</f>
        <v>5.076</v>
      </c>
      <c r="D25" s="13">
        <v>5.4</v>
      </c>
      <c r="E25" s="13">
        <v>6.0674157303370793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36</v>
      </c>
      <c r="C26" s="13">
        <f>IFERROR(38.7*(1-w),"")</f>
        <v>36.378</v>
      </c>
      <c r="D26" s="13">
        <v>38.7</v>
      </c>
      <c r="E26" s="13">
        <v>43.483146067415731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36</v>
      </c>
      <c r="C27" s="13">
        <f>IFERROR(0.6*(1-w),"")</f>
        <v>0.564</v>
      </c>
      <c r="D27" s="13">
        <v>0.6</v>
      </c>
      <c r="E27" s="13">
        <v>0.6741573033707865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36</v>
      </c>
      <c r="C28" s="13">
        <f>IFERROR(0.06*(1-w),"")</f>
        <v>0.056399999999999992</v>
      </c>
      <c r="D28" s="13">
        <v>0.06</v>
      </c>
      <c r="E28" s="13">
        <v>0.06741573033707865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36</v>
      </c>
      <c r="C29" s="13">
        <f>IFERROR(100.28*(1-w)+w*100,"")</f>
        <v>100.2632</v>
      </c>
      <c r="D29" s="13">
        <v>100.28</v>
      </c>
      <c r="E29" s="13">
        <v>100.31460674157303</v>
      </c>
      <c r="F29" s="13"/>
      <c r="G29" s="13"/>
      <c r="I29" s="5"/>
      <c r="J29" s="0" t="s">
        <v>46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4">
        <f>IFERROR(3200*(1-w),"")</f>
        <v>3008</v>
      </c>
      <c r="D31" s="14">
        <v>3200</v>
      </c>
      <c r="E31" s="14">
        <v>3595.5056179775279</v>
      </c>
      <c r="F31" s="14"/>
      <c r="G31" s="14"/>
      <c r="I31" s="5"/>
      <c r="J31" s="0" t="s">
        <v>40</v>
      </c>
    </row>
    <row r="32" outlineLevel="1">
      <c r="A32" s="11" t="s">
        <v>50</v>
      </c>
      <c r="I32" s="5"/>
    </row>
    <row r="33" outlineLevel="2">
      <c r="A33" s="12" t="s">
        <v>51</v>
      </c>
      <c r="B33" s="0" t="s">
        <v>52</v>
      </c>
      <c r="C33" s="13">
        <f>IFERROR(16.66163*(1-w)-w*2.443,"")</f>
        <v>15.515352199999997</v>
      </c>
      <c r="D33" s="13">
        <v>16.66163</v>
      </c>
      <c r="E33" s="13">
        <v>18.720932584269661</v>
      </c>
      <c r="F33" s="13"/>
      <c r="G33" s="13"/>
      <c r="I33" s="5"/>
    </row>
    <row r="34" outlineLevel="2">
      <c r="A34" s="12" t="s">
        <v>53</v>
      </c>
      <c r="B34" s="0" t="s">
        <v>52</v>
      </c>
      <c r="C34" s="13">
        <f>IFERROR(17.84*(1-w),"")</f>
        <v>16.7696</v>
      </c>
      <c r="D34" s="13">
        <v>17.84</v>
      </c>
      <c r="E34" s="13">
        <v>20.04494382022472</v>
      </c>
      <c r="F34" s="13"/>
      <c r="G34" s="13"/>
      <c r="I34" s="5"/>
    </row>
    <row r="35" outlineLevel="2">
      <c r="A35" s="12" t="s">
        <v>54</v>
      </c>
      <c r="B35" s="0" t="s">
        <v>52</v>
      </c>
      <c r="C35" s="13">
        <f>IFERROR(17.349329*(1-w),"")</f>
        <v>16.308369260000003</v>
      </c>
      <c r="D35" s="13">
        <v>17.349329000000004</v>
      </c>
      <c r="E35" s="13">
        <v>19.493628089887643</v>
      </c>
      <c r="F35" s="13"/>
      <c r="G35" s="13"/>
      <c r="I35" s="5"/>
      <c r="J35" s="0" t="s">
        <v>46</v>
      </c>
    </row>
    <row r="36">
      <c r="A36" s="7" t="s">
        <v>55</v>
      </c>
      <c r="I36" s="5"/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5">
        <v>510</v>
      </c>
      <c r="D38" s="15"/>
      <c r="E38" s="15"/>
      <c r="F38" s="15"/>
      <c r="G38" s="15"/>
      <c r="I38" s="5"/>
    </row>
    <row r="39">
      <c r="I39" s="5"/>
    </row>
    <row r="40" s="1" customFormat="1"/>
  </sheetData>
  <mergeCells>
    <mergeCell ref="A8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8:E38"/>
  </mergeCells>
  <dataValidations count="1">
    <dataValidation type="decimal" sqref="C21" errorStyle="stop" promptTitle="Enter moisture content" errorTitle="Invalid moisture content" prompt="Value should be between 0 and 100.&#10;Original value: 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https://phyllis.nl/Biomass/View/2277</dc:description>
  <dcterms:created xsi:type="dcterms:W3CDTF">2026-03-04T04:29:45Z</dcterms:created>
  <dc:title>Phyllis2 #2277 sugarcane trash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