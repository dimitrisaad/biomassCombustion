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88 spruce wood and " sheetId="1" r:id="rId1"/>
  </sheets>
  <definedNames>
    <definedName name="w" localSheetId="0">IF(ISBLANK('Phyllis2 #2288 spruce wood and '!$C$19),#N/A,'Phyllis2 #2288 spruce wood and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<sst xmlns="http://schemas.openxmlformats.org/spreadsheetml/2006/main" count="70" uniqueCount="70">
  <si>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</si>
  <si>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https://phyllis.nl/Biomass/View/2288</t>
  </si>
  <si>
    <t>spruce wood and bark (#2288)</t>
  </si>
  <si>
    <t>ID-number</t>
  </si>
  <si>
    <t>#2288</t>
  </si>
  <si>
    <t>Material</t>
  </si>
  <si>
    <t>spruce wood and bark</t>
  </si>
  <si>
    <t>Classification</t>
  </si>
  <si>
    <t>ECN Phyllis classification &gt; untreated wood &gt; bark</t>
  </si>
  <si>
    <t>NTA 8003 classification &gt; [100] hout &gt; [110] vers hout &gt; [130] naaldhout &gt; [132] naaldhout met schors</t>
  </si>
  <si>
    <t>Submitter organisation</t>
  </si>
  <si>
    <t>ECN (Netherlands)</t>
  </si>
  <si>
    <t>Submission date</t>
  </si>
  <si>
    <t>Remarks</t>
  </si>
  <si>
    <t>mixture of wood and bark from de-barking stage at a pulp and paper plant</t>
  </si>
  <si>
    <t>Literature</t>
  </si>
  <si>
    <t>B.B. Miller, D.R. Dugwell, R. Kandiyoti: Partitioning of trace elements during the combustion of coal and biomass in a suspension-firing reactor. Fuel 81 (2002) 159-171.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</si>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</sst>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IFERROR(7.11*(1-w),"")</f>
        <v>6.8967</v>
      </c>
      <c r="D20" s="13">
        <v>7.11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IFERROR(49.32459*(1-w),"")</f>
        <v>47.8448523</v>
      </c>
      <c r="D22" s="13">
        <v>49.32459</v>
      </c>
      <c r="E22" s="13">
        <v>53.099999999999994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IFERROR(5.5734*(1-w),"")</f>
        <v>5.406198</v>
      </c>
      <c r="D23" s="13">
        <v>5.5734</v>
      </c>
      <c r="E23" s="13">
        <v>6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IFERROR(37.43467*(1-w),"")</f>
        <v>36.311629899999993</v>
      </c>
      <c r="D24" s="13">
        <v>37.43467</v>
      </c>
      <c r="E24" s="13">
        <v>40.3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IFERROR(0.46445*(1-w),"")</f>
        <v>0.4505165</v>
      </c>
      <c r="D25" s="13">
        <v>0.46445</v>
      </c>
      <c r="E25" s="13">
        <v>0.49999999999999994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IFERROR(0.065023*(1-w),"")</f>
        <v>0.063072309999999993</v>
      </c>
      <c r="D26" s="13">
        <v>0.065023</v>
      </c>
      <c r="E26" s="13">
        <v>0.069999999999999993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IFERROR(99.981422*(1-w)+w*100,"")</f>
        <v>99.98197934</v>
      </c>
      <c r="D27" s="13">
        <v>99.981422</v>
      </c>
      <c r="E27" s="13">
        <v>99.97999999999999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4">
        <f>IFERROR(92.89*(1-w),"")</f>
        <v>90.1033</v>
      </c>
      <c r="D29" s="14">
        <v>92.89</v>
      </c>
      <c r="E29" s="14">
        <v>100</v>
      </c>
      <c r="F29" s="14"/>
      <c r="G29" s="14"/>
      <c r="I29" s="5"/>
      <c r="J29" s="0" t="s">
        <v>36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IFERROR(19.5432376391*(1-w),"")</f>
        <v>18.956940509927</v>
      </c>
      <c r="D31" s="13">
        <v>19.543237639100003</v>
      </c>
      <c r="E31" s="13">
        <v>21.039119000000003</v>
      </c>
      <c r="F31" s="13"/>
      <c r="G31" s="13"/>
      <c r="I31" s="5"/>
      <c r="J31" s="0" t="s">
        <v>39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4">
        <v>3090</v>
      </c>
      <c r="D33" s="14"/>
      <c r="E33" s="14"/>
      <c r="F33" s="14"/>
      <c r="G33" s="14"/>
      <c r="I33" s="5"/>
      <c r="J33" s="0" t="s">
        <v>36</v>
      </c>
    </row>
    <row r="34" outlineLevel="2">
      <c r="A34" s="12" t="s">
        <v>52</v>
      </c>
      <c r="B34" s="0" t="s">
        <v>51</v>
      </c>
      <c r="C34" s="14">
        <v>0.45</v>
      </c>
      <c r="D34" s="14"/>
      <c r="E34" s="14"/>
      <c r="F34" s="14"/>
      <c r="G34" s="14"/>
      <c r="I34" s="5"/>
      <c r="J34" s="0" t="s">
        <v>36</v>
      </c>
    </row>
    <row r="35" outlineLevel="2">
      <c r="A35" s="12" t="s">
        <v>53</v>
      </c>
      <c r="B35" s="0" t="s">
        <v>51</v>
      </c>
      <c r="C35" s="14">
        <v>8250</v>
      </c>
      <c r="D35" s="14"/>
      <c r="E35" s="14"/>
      <c r="F35" s="14"/>
      <c r="G35" s="14"/>
      <c r="I35" s="5"/>
      <c r="J35" s="0" t="s">
        <v>36</v>
      </c>
    </row>
    <row r="36" outlineLevel="2">
      <c r="A36" s="12" t="s">
        <v>54</v>
      </c>
      <c r="B36" s="0" t="s">
        <v>51</v>
      </c>
      <c r="C36" s="14">
        <v>0.21</v>
      </c>
      <c r="D36" s="14"/>
      <c r="E36" s="14"/>
      <c r="F36" s="14"/>
      <c r="G36" s="14"/>
      <c r="I36" s="5"/>
      <c r="J36" s="0" t="s">
        <v>36</v>
      </c>
    </row>
    <row r="37" outlineLevel="2">
      <c r="A37" s="12" t="s">
        <v>55</v>
      </c>
      <c r="B37" s="0" t="s">
        <v>51</v>
      </c>
      <c r="C37" s="14">
        <v>26.8</v>
      </c>
      <c r="D37" s="14"/>
      <c r="E37" s="14"/>
      <c r="F37" s="14"/>
      <c r="G37" s="14"/>
      <c r="I37" s="5"/>
      <c r="J37" s="0" t="s">
        <v>36</v>
      </c>
    </row>
    <row r="38" outlineLevel="2">
      <c r="A38" s="12" t="s">
        <v>56</v>
      </c>
      <c r="B38" s="0" t="s">
        <v>51</v>
      </c>
      <c r="C38" s="14">
        <v>90</v>
      </c>
      <c r="D38" s="14"/>
      <c r="E38" s="14"/>
      <c r="F38" s="14"/>
      <c r="G38" s="14"/>
      <c r="I38" s="5"/>
      <c r="J38" s="0" t="s">
        <v>36</v>
      </c>
    </row>
    <row r="39" outlineLevel="2">
      <c r="A39" s="12" t="s">
        <v>57</v>
      </c>
      <c r="B39" s="0" t="s">
        <v>51</v>
      </c>
      <c r="C39" s="14">
        <v>1546</v>
      </c>
      <c r="D39" s="14"/>
      <c r="E39" s="14"/>
      <c r="F39" s="14"/>
      <c r="G39" s="14"/>
      <c r="I39" s="5"/>
      <c r="J39" s="0" t="s">
        <v>36</v>
      </c>
    </row>
    <row r="40" outlineLevel="2">
      <c r="A40" s="12" t="s">
        <v>58</v>
      </c>
      <c r="B40" s="0" t="s">
        <v>51</v>
      </c>
      <c r="C40" s="14">
        <v>0.035</v>
      </c>
      <c r="D40" s="14"/>
      <c r="E40" s="14"/>
      <c r="F40" s="14"/>
      <c r="G40" s="14"/>
      <c r="I40" s="5"/>
      <c r="J40" s="0" t="s">
        <v>36</v>
      </c>
    </row>
    <row r="41" outlineLevel="2">
      <c r="A41" s="12" t="s">
        <v>59</v>
      </c>
      <c r="B41" s="0" t="s">
        <v>51</v>
      </c>
      <c r="C41" s="14">
        <v>2370</v>
      </c>
      <c r="D41" s="14"/>
      <c r="E41" s="14"/>
      <c r="F41" s="14"/>
      <c r="G41" s="14"/>
      <c r="I41" s="5"/>
      <c r="J41" s="0" t="s">
        <v>36</v>
      </c>
    </row>
    <row r="42" outlineLevel="2">
      <c r="A42" s="12" t="s">
        <v>60</v>
      </c>
      <c r="B42" s="0" t="s">
        <v>51</v>
      </c>
      <c r="C42" s="14">
        <v>825</v>
      </c>
      <c r="D42" s="14"/>
      <c r="E42" s="14"/>
      <c r="F42" s="14"/>
      <c r="G42" s="14"/>
      <c r="I42" s="5"/>
      <c r="J42" s="0" t="s">
        <v>36</v>
      </c>
    </row>
    <row r="43" outlineLevel="2">
      <c r="A43" s="12" t="s">
        <v>61</v>
      </c>
      <c r="B43" s="0" t="s">
        <v>51</v>
      </c>
      <c r="C43" s="14">
        <v>427</v>
      </c>
      <c r="D43" s="14"/>
      <c r="E43" s="14"/>
      <c r="F43" s="14"/>
      <c r="G43" s="14"/>
      <c r="I43" s="5"/>
      <c r="J43" s="0" t="s">
        <v>36</v>
      </c>
    </row>
    <row r="44" outlineLevel="2">
      <c r="A44" s="12" t="s">
        <v>62</v>
      </c>
      <c r="B44" s="0" t="s">
        <v>51</v>
      </c>
      <c r="C44" s="14">
        <v>1.3</v>
      </c>
      <c r="D44" s="14"/>
      <c r="E44" s="14"/>
      <c r="F44" s="14"/>
      <c r="G44" s="14"/>
      <c r="I44" s="5"/>
      <c r="J44" s="0" t="s">
        <v>36</v>
      </c>
    </row>
    <row r="45" outlineLevel="2">
      <c r="A45" s="12" t="s">
        <v>63</v>
      </c>
      <c r="B45" s="0" t="s">
        <v>51</v>
      </c>
      <c r="C45" s="14">
        <v>1444</v>
      </c>
      <c r="D45" s="14"/>
      <c r="E45" s="14"/>
      <c r="F45" s="14"/>
      <c r="G45" s="14"/>
      <c r="I45" s="5"/>
      <c r="J45" s="0" t="s">
        <v>36</v>
      </c>
    </row>
    <row r="46" outlineLevel="2">
      <c r="A46" s="12" t="s">
        <v>64</v>
      </c>
      <c r="B46" s="0" t="s">
        <v>51</v>
      </c>
      <c r="C46" s="14">
        <v>10.3</v>
      </c>
      <c r="D46" s="14"/>
      <c r="E46" s="14"/>
      <c r="F46" s="14"/>
      <c r="G46" s="14"/>
      <c r="I46" s="5"/>
      <c r="J46" s="0" t="s">
        <v>36</v>
      </c>
    </row>
    <row r="47" outlineLevel="2">
      <c r="A47" s="12" t="s">
        <v>65</v>
      </c>
      <c r="B47" s="0" t="s">
        <v>51</v>
      </c>
      <c r="C47" s="14">
        <v>41</v>
      </c>
      <c r="D47" s="14"/>
      <c r="E47" s="14"/>
      <c r="F47" s="14"/>
      <c r="G47" s="14"/>
      <c r="I47" s="5"/>
      <c r="J47" s="0" t="s">
        <v>36</v>
      </c>
    </row>
    <row r="48" outlineLevel="2">
      <c r="A48" s="12" t="s">
        <v>66</v>
      </c>
      <c r="B48" s="0" t="s">
        <v>51</v>
      </c>
      <c r="C48" s="14">
        <v>3.15</v>
      </c>
      <c r="D48" s="14"/>
      <c r="E48" s="14"/>
      <c r="F48" s="14"/>
      <c r="G48" s="14"/>
      <c r="I48" s="5"/>
      <c r="J48" s="0" t="s">
        <v>36</v>
      </c>
    </row>
    <row r="49" outlineLevel="2">
      <c r="A49" s="12" t="s">
        <v>67</v>
      </c>
      <c r="B49" s="0" t="s">
        <v>51</v>
      </c>
      <c r="C49" s="14"/>
      <c r="D49" s="14"/>
      <c r="E49" s="14"/>
      <c r="F49" s="14"/>
      <c r="G49" s="14">
        <v>0.8</v>
      </c>
      <c r="I49" s="5"/>
    </row>
    <row r="50" outlineLevel="2">
      <c r="A50" s="12" t="s">
        <v>68</v>
      </c>
      <c r="B50" s="0" t="s">
        <v>51</v>
      </c>
      <c r="C50" s="14">
        <v>2.9</v>
      </c>
      <c r="D50" s="14"/>
      <c r="E50" s="14"/>
      <c r="F50" s="14"/>
      <c r="G50" s="14"/>
      <c r="I50" s="5"/>
      <c r="J50" s="0" t="s">
        <v>36</v>
      </c>
    </row>
    <row r="51" outlineLevel="2">
      <c r="A51" s="12" t="s">
        <v>69</v>
      </c>
      <c r="B51" s="0" t="s">
        <v>51</v>
      </c>
      <c r="C51" s="14">
        <v>155</v>
      </c>
      <c r="D51" s="14"/>
      <c r="E51" s="14"/>
      <c r="F51" s="14"/>
      <c r="G51" s="14"/>
      <c r="I51" s="5"/>
      <c r="J51" s="0" t="s">
        <v>36</v>
      </c>
    </row>
    <row r="52">
      <c r="I52" s="5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&#10;Original value: 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https://phyllis.nl/Biomass/View/2288</dc:description>
  <dcterms:created xsi:type="dcterms:W3CDTF">2026-03-19T04:18:59Z</dcterms:created>
  <dc:title>Phyllis2 #2288 spruce wood and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