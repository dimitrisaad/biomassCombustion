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89 wheat straw (Dan" sheetId="1" r:id="rId1"/>
  </sheets>
  <definedNames>
    <definedName name="w" localSheetId="0">IF(ISBLANK('Phyllis2 #2289 wheat straw (Dan'!$C$18),#N/A,'Phyllis2 #2289 wheat straw (Dan'!$C$18/100)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<sst xmlns="http://schemas.openxmlformats.org/spreadsheetml/2006/main" count="69" uniqueCount="69">
  <si>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</si>
  <si>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https://phyllis.nl/Biomass/View/2289</t>
  </si>
  <si>
    <t>wheat straw (Danish) (#2289)</t>
  </si>
  <si>
    <t>ID-number</t>
  </si>
  <si>
    <t>#2289</t>
  </si>
  <si>
    <t>Material</t>
  </si>
  <si>
    <t>wheat straw (Danish)</t>
  </si>
  <si>
    <t>Classification</t>
  </si>
  <si>
    <t>ECN Phyllis classification &gt; straw (stalk/cob/ear) &gt; wheat &gt; wheat straw (Danish)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</si>
  <si>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</si>
  <si>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</si>
  <si>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</si>
  <si>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</si>
  <si>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Literature</t>
  </si>
  <si>
    <t>B.B. Miller, D.R. Dugwell, R. Kandiyoti: Partitioning of trace elements during the combustion of coal and biomass in a suspension-firing reactor. Fuel 81 (2002) 159-171.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</si>
  <si>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</si>
  <si>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</si>
  <si>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</si>
  <si>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</si>
  <si>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</si>
  <si>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</si>
  <si>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</si>
  <si>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</si>
  <si>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</si>
  <si>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</si>
  <si>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</si>
  <si>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</si>
  <si>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</si>
  <si>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</si>
  <si>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</si>
  <si>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</si>
  <si>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</si>
  <si>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</si>
  <si>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</si>
  <si>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</si>
  <si>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</si>
  <si>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</si>
  <si>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</si>
  <si>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</si>
  <si>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</si>
  <si>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</si>
  <si>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</si>
  <si>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</si>
  <si>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</si>
  <si>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</si>
  <si>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</si>
  <si>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HHVMilne</t>
  </si>
  <si>
    <t>MJ/kg</t>
  </si>
  <si>
    <t>Trace elements composition</t>
  </si>
  <si>
    <t>Aluminium (Al)</t>
  </si>
  <si>
    <t>mg/kg (dry)</t>
  </si>
  <si>
    <t>Arsenic (As)</t>
  </si>
  <si>
    <t>Calcium (Ca)</t>
  </si>
  <si>
    <t>Cadmium (Cd)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</si>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</sst>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37473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8.7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IFERROR(3.07*(1-w),"")</f>
        <v>2.80291</v>
      </c>
      <c r="D19" s="13">
        <v>3.07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IFERROR(47.78649*(1-w),"")</f>
        <v>43.62906537</v>
      </c>
      <c r="D21" s="13">
        <v>47.78649</v>
      </c>
      <c r="E21" s="13">
        <v>49.3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IFERROR(5.91273*(1-w),"")</f>
        <v>5.39832249</v>
      </c>
      <c r="D22" s="13">
        <v>5.91273</v>
      </c>
      <c r="E22" s="13">
        <v>6.1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IFERROR(42.06762*(1-w),"")</f>
        <v>38.40773706</v>
      </c>
      <c r="D23" s="13">
        <v>42.06762</v>
      </c>
      <c r="E23" s="13">
        <v>43.4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IFERROR(0.67851*(1-w),"")</f>
        <v>0.61947963</v>
      </c>
      <c r="D24" s="13">
        <v>0.67851</v>
      </c>
      <c r="E24" s="13">
        <v>0.7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IFERROR(0.145395*(1-w),"")</f>
        <v>0.132745635</v>
      </c>
      <c r="D25" s="13">
        <v>0.145395</v>
      </c>
      <c r="E25" s="13">
        <v>0.15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IFERROR(99.912763*(1-w)+w*100,"")</f>
        <v>99.920352619</v>
      </c>
      <c r="D26" s="13">
        <v>99.912763</v>
      </c>
      <c r="E26" s="13">
        <v>99.91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4">
        <f>IFERROR(2520.18*(1-w),"")</f>
        <v>2300.92434</v>
      </c>
      <c r="D28" s="14">
        <v>2520.18</v>
      </c>
      <c r="E28" s="14">
        <v>2599.9999999999995</v>
      </c>
      <c r="F28" s="14"/>
      <c r="G28" s="14"/>
      <c r="I28" s="5"/>
      <c r="J28" s="0" t="s">
        <v>35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IFERROR(18.9467316567*(1-w),"")</f>
        <v>17.298366002567104</v>
      </c>
      <c r="D30" s="13">
        <v>18.946731656700003</v>
      </c>
      <c r="E30" s="13">
        <v>19.546819000000003</v>
      </c>
      <c r="F30" s="13"/>
      <c r="G30" s="13"/>
      <c r="I30" s="5"/>
      <c r="J30" s="0" t="s">
        <v>38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v>219</v>
      </c>
      <c r="D32" s="14"/>
      <c r="E32" s="14"/>
      <c r="F32" s="14"/>
      <c r="G32" s="14"/>
      <c r="I32" s="5"/>
      <c r="J32" s="0" t="s">
        <v>35</v>
      </c>
    </row>
    <row r="33" outlineLevel="2">
      <c r="A33" s="12" t="s">
        <v>51</v>
      </c>
      <c r="B33" s="0" t="s">
        <v>50</v>
      </c>
      <c r="C33" s="14"/>
      <c r="D33" s="14"/>
      <c r="E33" s="14"/>
      <c r="F33" s="14"/>
      <c r="G33" s="14">
        <v>0.11</v>
      </c>
      <c r="I33" s="5"/>
    </row>
    <row r="34" outlineLevel="2">
      <c r="A34" s="12" t="s">
        <v>52</v>
      </c>
      <c r="B34" s="0" t="s">
        <v>50</v>
      </c>
      <c r="C34" s="14">
        <v>1970</v>
      </c>
      <c r="D34" s="14"/>
      <c r="E34" s="14"/>
      <c r="F34" s="14"/>
      <c r="G34" s="14"/>
      <c r="I34" s="5"/>
      <c r="J34" s="0" t="s">
        <v>35</v>
      </c>
    </row>
    <row r="35" outlineLevel="2">
      <c r="A35" s="12" t="s">
        <v>53</v>
      </c>
      <c r="B35" s="0" t="s">
        <v>50</v>
      </c>
      <c r="C35" s="14"/>
      <c r="D35" s="14"/>
      <c r="E35" s="14"/>
      <c r="F35" s="14"/>
      <c r="G35" s="14">
        <v>0.16</v>
      </c>
      <c r="I35" s="5"/>
    </row>
    <row r="36" outlineLevel="2">
      <c r="A36" s="12" t="s">
        <v>54</v>
      </c>
      <c r="B36" s="0" t="s">
        <v>50</v>
      </c>
      <c r="C36" s="14">
        <v>2.73</v>
      </c>
      <c r="D36" s="14"/>
      <c r="E36" s="14"/>
      <c r="F36" s="14"/>
      <c r="G36" s="14"/>
      <c r="I36" s="5"/>
      <c r="J36" s="0" t="s">
        <v>35</v>
      </c>
    </row>
    <row r="37" outlineLevel="2">
      <c r="A37" s="12" t="s">
        <v>55</v>
      </c>
      <c r="B37" s="0" t="s">
        <v>50</v>
      </c>
      <c r="C37" s="14">
        <v>3.46</v>
      </c>
      <c r="D37" s="14"/>
      <c r="E37" s="14"/>
      <c r="F37" s="14"/>
      <c r="G37" s="14"/>
      <c r="I37" s="5"/>
      <c r="J37" s="0" t="s">
        <v>35</v>
      </c>
    </row>
    <row r="38" outlineLevel="2">
      <c r="A38" s="12" t="s">
        <v>56</v>
      </c>
      <c r="B38" s="0" t="s">
        <v>50</v>
      </c>
      <c r="C38" s="14">
        <v>219</v>
      </c>
      <c r="D38" s="14"/>
      <c r="E38" s="14"/>
      <c r="F38" s="14"/>
      <c r="G38" s="14"/>
      <c r="I38" s="5"/>
      <c r="J38" s="0" t="s">
        <v>35</v>
      </c>
    </row>
    <row r="39" outlineLevel="2">
      <c r="A39" s="12" t="s">
        <v>57</v>
      </c>
      <c r="B39" s="0" t="s">
        <v>50</v>
      </c>
      <c r="C39" s="14">
        <v>0.01</v>
      </c>
      <c r="D39" s="14"/>
      <c r="E39" s="14"/>
      <c r="F39" s="14"/>
      <c r="G39" s="14"/>
      <c r="I39" s="5"/>
      <c r="J39" s="0" t="s">
        <v>35</v>
      </c>
    </row>
    <row r="40" outlineLevel="2">
      <c r="A40" s="12" t="s">
        <v>58</v>
      </c>
      <c r="B40" s="0" t="s">
        <v>50</v>
      </c>
      <c r="C40" s="14">
        <v>9750</v>
      </c>
      <c r="D40" s="14"/>
      <c r="E40" s="14"/>
      <c r="F40" s="14"/>
      <c r="G40" s="14"/>
      <c r="I40" s="5"/>
      <c r="J40" s="0" t="s">
        <v>35</v>
      </c>
    </row>
    <row r="41" outlineLevel="2">
      <c r="A41" s="12" t="s">
        <v>59</v>
      </c>
      <c r="B41" s="0" t="s">
        <v>50</v>
      </c>
      <c r="C41" s="14">
        <v>438</v>
      </c>
      <c r="D41" s="14"/>
      <c r="E41" s="14"/>
      <c r="F41" s="14"/>
      <c r="G41" s="14"/>
      <c r="I41" s="5"/>
      <c r="J41" s="0" t="s">
        <v>35</v>
      </c>
    </row>
    <row r="42" outlineLevel="2">
      <c r="A42" s="12" t="s">
        <v>60</v>
      </c>
      <c r="B42" s="0" t="s">
        <v>50</v>
      </c>
      <c r="C42" s="14">
        <v>22.3</v>
      </c>
      <c r="D42" s="14"/>
      <c r="E42" s="14"/>
      <c r="F42" s="14"/>
      <c r="G42" s="14"/>
      <c r="I42" s="5"/>
      <c r="J42" s="0" t="s">
        <v>35</v>
      </c>
    </row>
    <row r="43" outlineLevel="2">
      <c r="A43" s="12" t="s">
        <v>61</v>
      </c>
      <c r="B43" s="0" t="s">
        <v>50</v>
      </c>
      <c r="C43" s="14">
        <v>0.46</v>
      </c>
      <c r="D43" s="14"/>
      <c r="E43" s="14"/>
      <c r="F43" s="14"/>
      <c r="G43" s="14"/>
      <c r="I43" s="5"/>
      <c r="J43" s="0" t="s">
        <v>35</v>
      </c>
    </row>
    <row r="44" outlineLevel="2">
      <c r="A44" s="12" t="s">
        <v>62</v>
      </c>
      <c r="B44" s="0" t="s">
        <v>50</v>
      </c>
      <c r="C44" s="14">
        <v>110</v>
      </c>
      <c r="D44" s="14"/>
      <c r="E44" s="14"/>
      <c r="F44" s="14"/>
      <c r="G44" s="14"/>
      <c r="I44" s="5"/>
      <c r="J44" s="0" t="s">
        <v>35</v>
      </c>
    </row>
    <row r="45" outlineLevel="2">
      <c r="A45" s="12" t="s">
        <v>63</v>
      </c>
      <c r="B45" s="0" t="s">
        <v>50</v>
      </c>
      <c r="C45" s="14">
        <v>0.99</v>
      </c>
      <c r="D45" s="14"/>
      <c r="E45" s="14"/>
      <c r="F45" s="14"/>
      <c r="G45" s="14"/>
      <c r="I45" s="5"/>
      <c r="J45" s="0" t="s">
        <v>35</v>
      </c>
    </row>
    <row r="46" outlineLevel="2">
      <c r="A46" s="12" t="s">
        <v>64</v>
      </c>
      <c r="B46" s="0" t="s">
        <v>50</v>
      </c>
      <c r="C46" s="14">
        <v>77</v>
      </c>
      <c r="D46" s="14"/>
      <c r="E46" s="14"/>
      <c r="F46" s="14"/>
      <c r="G46" s="14"/>
      <c r="I46" s="5"/>
      <c r="J46" s="0" t="s">
        <v>35</v>
      </c>
    </row>
    <row r="47" outlineLevel="2">
      <c r="A47" s="12" t="s">
        <v>65</v>
      </c>
      <c r="B47" s="0" t="s">
        <v>50</v>
      </c>
      <c r="C47" s="14">
        <v>2.89</v>
      </c>
      <c r="D47" s="14"/>
      <c r="E47" s="14"/>
      <c r="F47" s="14"/>
      <c r="G47" s="14"/>
      <c r="I47" s="5"/>
      <c r="J47" s="0" t="s">
        <v>35</v>
      </c>
    </row>
    <row r="48" outlineLevel="2">
      <c r="A48" s="12" t="s">
        <v>66</v>
      </c>
      <c r="B48" s="0" t="s">
        <v>50</v>
      </c>
      <c r="C48" s="14"/>
      <c r="D48" s="14"/>
      <c r="E48" s="14"/>
      <c r="F48" s="14"/>
      <c r="G48" s="14">
        <v>0.22</v>
      </c>
      <c r="I48" s="5"/>
    </row>
    <row r="49" outlineLevel="2">
      <c r="A49" s="12" t="s">
        <v>67</v>
      </c>
      <c r="B49" s="0" t="s">
        <v>50</v>
      </c>
      <c r="C49" s="14">
        <v>0.9</v>
      </c>
      <c r="D49" s="14"/>
      <c r="E49" s="14"/>
      <c r="F49" s="14"/>
      <c r="G49" s="14"/>
      <c r="I49" s="5"/>
      <c r="J49" s="0" t="s">
        <v>35</v>
      </c>
    </row>
    <row r="50" outlineLevel="2">
      <c r="A50" s="12" t="s">
        <v>68</v>
      </c>
      <c r="B50" s="0" t="s">
        <v>50</v>
      </c>
      <c r="C50" s="14">
        <v>33.8</v>
      </c>
      <c r="D50" s="14"/>
      <c r="E50" s="14"/>
      <c r="F50" s="14"/>
      <c r="G50" s="14"/>
      <c r="I50" s="5"/>
      <c r="J50" s="0" t="s">
        <v>35</v>
      </c>
    </row>
    <row r="51">
      <c r="I51" s="5"/>
    </row>
    <row r="52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</mergeCells>
  <dataValidations count="1">
    <dataValidation type="decimal" sqref="C18" errorStyle="stop" promptTitle="Enter moisture content" errorTitle="Invalid moisture content" prompt="Value should be between 0 and 100.&#10;Original value: 8.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https://phyllis.nl/Biomass/View/2289</dc:description>
  <dcterms:created xsi:type="dcterms:W3CDTF">2026-03-17T06:17:31Z</dcterms:created>
  <dc:title>Phyllis2 #2289 wheat straw (Danish)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