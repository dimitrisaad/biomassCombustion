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9 wood, cherry" sheetId="1" r:id="rId1"/>
  </sheets>
  <definedNames>
    <definedName name="w" localSheetId="0">IF(ISBLANK('Phyllis2 #229 wood, cherry'!$C$17),#N/A,'Phyllis2 #229 wood, cherry'!$C$17/100)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<sst xmlns="http://schemas.openxmlformats.org/spreadsheetml/2006/main" count="51" uniqueCount="51">
  <si>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</si>
  <si>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https://phyllis.nl/Biomass/View/229</t>
  </si>
  <si>
    <t>wood, cherry (#229)</t>
  </si>
  <si>
    <t>ID-number</t>
  </si>
  <si>
    <t>#229</t>
  </si>
  <si>
    <t>Material</t>
  </si>
  <si>
    <t>wood, cherry</t>
  </si>
  <si>
    <t>Classification</t>
  </si>
  <si>
    <t>ECN Phyllis classification &gt; untreated wood &gt; other hard wood &gt; wood, cherry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</si>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</sst>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26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IFERROR(1.35*(1-w),"")</f>
        <v>0.999</v>
      </c>
      <c r="D18" s="11">
        <v>1.35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IFERROR(81.55*(1-w),"")</f>
        <v>60.346999999999994</v>
      </c>
      <c r="D19" s="11">
        <v>81.55</v>
      </c>
      <c r="E19" s="11">
        <v>82.6659908768373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IFERROR(17.1*(1-w),"")</f>
        <v>12.654000000000007</v>
      </c>
      <c r="D20" s="11">
        <v>17.100000000000009</v>
      </c>
      <c r="E20" s="11">
        <v>17.334009123162705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IFERROR(49.52*(1-w),"")</f>
        <v>36.644800000000004</v>
      </c>
      <c r="D22" s="11">
        <v>49.52</v>
      </c>
      <c r="E22" s="11">
        <v>50.1976685250887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IFERROR(5.81*(1-w),"")</f>
        <v>4.2993999999999994</v>
      </c>
      <c r="D23" s="11">
        <v>5.81</v>
      </c>
      <c r="E23" s="11">
        <v>5.8895083628991376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IFERROR(42.97*(1-w),"")</f>
        <v>31.7978</v>
      </c>
      <c r="D24" s="11">
        <v>42.97</v>
      </c>
      <c r="E24" s="11">
        <v>43.55803345159655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IFERROR(0.31*(1-w),"")</f>
        <v>0.2294</v>
      </c>
      <c r="D25" s="11">
        <v>0.31</v>
      </c>
      <c r="E25" s="11">
        <v>0.31424227065382665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IFERROR(0.02*(1-w),"")</f>
        <v>0.0148</v>
      </c>
      <c r="D26" s="11">
        <v>0.02</v>
      </c>
      <c r="E26" s="11">
        <v>0.020273694880892042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148</v>
      </c>
      <c r="D29" s="12">
        <v>200</v>
      </c>
      <c r="E29" s="12">
        <v>202.7369488089204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IFERROR(18.29757*(1-w)-w*2.443,"")</f>
        <v>12.9050218</v>
      </c>
      <c r="D31" s="11">
        <v>18.29757</v>
      </c>
      <c r="E31" s="11">
        <v>18.547967562088189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IFERROR(19.56542*(1-w),"")</f>
        <v>14.478410799999999</v>
      </c>
      <c r="D32" s="11">
        <v>19.56542</v>
      </c>
      <c r="E32" s="11">
        <v>19.833167764825138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IFERROR(19.3545358425*(1-w),"")</f>
        <v>14.322356523449999</v>
      </c>
      <c r="D33" s="11">
        <v>19.3545358425</v>
      </c>
      <c r="E33" s="11">
        <v>19.619397711606688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2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https://phyllis.nl/Biomass/View/229</dc:description>
  <dcterms:created xsi:type="dcterms:W3CDTF">2026-03-19T07:13:26Z</dcterms:created>
  <dc:title>Phyllis2 #229 wood, cherry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