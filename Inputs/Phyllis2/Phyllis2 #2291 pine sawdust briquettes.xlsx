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91 pine sawdust bri" sheetId="1" r:id="rId1"/>
  </sheets>
  <definedNames>
    <definedName name="w" localSheetId="0">IF(ISBLANK('Phyllis2 #2291 pine sawdust bri'!$C$18),#N/A,'Phyllis2 #2291 pine sawdust bri'!$C$18/100)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<sst xmlns="http://schemas.openxmlformats.org/spreadsheetml/2006/main" count="69" uniqueCount="69">
  <si>
    <t>Phyllis2</t>
  </si>
  <si>
    <t>https://phyllis.nl/Biomass/View/2291</t>
  </si>
  <si>
    <t>pine sawdust briquettes (#2291)</t>
  </si>
  <si>
    <t>ID-number</t>
  </si>
  <si>
    <t>#2291</t>
  </si>
  <si>
    <t>Material</t>
  </si>
  <si>
    <t>pine sawdust briquettes</t>
  </si>
  <si>
    <t>Classification</t>
  </si>
  <si>
    <t>ECN Phyllis classification &gt; untreated wood &gt; fir/pine/spruce</t>
  </si>
  <si>
    <t>NTA 8003 classification &gt; [100] hout &gt; [110] vers hout &gt; [115] zaagsel</t>
  </si>
  <si>
    <t>Submitter organisation</t>
  </si>
  <si>
    <t>ECN (Netherlands)</t>
  </si>
  <si>
    <t>Submission date</t>
  </si>
  <si>
    <t>Literature</t>
  </si>
  <si>
    <t>A.B. Ross, J.M. Jones, S. Chaiklangmuang, M. Pourkashanian, A. Williams, K. Kubica, J.T. Andersson et al.: Measurement and prediction of the emission of pollutants from the combustion of coal and biomass in a fixed bed furnace. Fuel 81 (2002) 571-582.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</si>
  <si>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</si>
  <si>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</si>
  <si>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</si>
  <si>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</si>
  <si>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</si>
  <si>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</si>
  <si>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</si>
  <si>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</si>
  <si>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</si>
  <si>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</si>
  <si>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</si>
  <si>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</si>
  <si>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</si>
  <si>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</si>
  <si>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</si>
  <si>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</si>
  <si>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</si>
  <si>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</si>
  <si>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</si>
  <si>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</si>
  <si>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</si>
  <si>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</si>
  <si>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</si>
  <si>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</si>
  <si>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</si>
  <si>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</si>
  <si>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</si>
  <si>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</si>
  <si>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</si>
  <si>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</si>
  <si>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</si>
  <si>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</si>
  <si>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</si>
  <si>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</si>
  <si>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</si>
  <si>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</si>
  <si>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</si>
  <si>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</si>
  <si>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</si>
  <si>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</si>
  <si>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</si>
  <si>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</si>
  <si>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</si>
  <si>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</si>
  <si>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Iron (Fe)</t>
  </si>
  <si>
    <t>Mercury (Hg)</t>
  </si>
  <si>
    <t>Manganese (Mn)</t>
  </si>
  <si>
    <t>Nickel (Ni)</t>
  </si>
  <si>
    <t>Lead (Pb)</t>
  </si>
  <si>
    <t>Antimony (Sb)</t>
  </si>
  <si>
    <t>Selenium (Se)</t>
  </si>
  <si>
    <t>Tin (Sn)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</si>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</sst>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9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37473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9.8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IFERROR(2.02*(1-w),"")</f>
        <v>1.82204</v>
      </c>
      <c r="D19" s="13">
        <v>2.02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IFERROR(57.5*(1-w),"")</f>
        <v>51.865</v>
      </c>
      <c r="D20" s="13">
        <v>57.5</v>
      </c>
      <c r="E20" s="13">
        <v>58.685446009389672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IFERROR(40.48*(1-w),"")</f>
        <v>36.512960000000007</v>
      </c>
      <c r="D21" s="13">
        <v>40.480000000000004</v>
      </c>
      <c r="E21" s="13">
        <v>41.314553990610335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IFERROR(46.44252*(1-w),"")</f>
        <v>41.891153040000006</v>
      </c>
      <c r="D23" s="13">
        <v>46.44252</v>
      </c>
      <c r="E23" s="13">
        <v>47.4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IFERROR(5.104758*(1-w),"")</f>
        <v>4.604491716</v>
      </c>
      <c r="D24" s="13">
        <v>5.104758</v>
      </c>
      <c r="E24" s="13">
        <v>5.21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IFERROR(46.24656*(1-w),"")</f>
        <v>41.71439712</v>
      </c>
      <c r="D25" s="13">
        <v>46.24656</v>
      </c>
      <c r="E25" s="13">
        <v>47.2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IFERROR(0.029394*(1-w),"")</f>
        <v>0.026513388000000002</v>
      </c>
      <c r="D26" s="13">
        <v>0.029394</v>
      </c>
      <c r="E26" s="13">
        <v>0.03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IFERROR(0.09798*(1-w),"")</f>
        <v>0.08837796</v>
      </c>
      <c r="D27" s="13">
        <v>0.09798</v>
      </c>
      <c r="E27" s="13">
        <v>0.099999999999999992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IFERROR(100*(1-w)+w*100,"")</f>
        <v>100.00000000000001</v>
      </c>
      <c r="D28" s="13">
        <v>100.00000000000001</v>
      </c>
      <c r="E28" s="13">
        <v>100.00000000000001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4">
        <f>IFERROR(587.88*(1-w),"")</f>
        <v>530.26776000000007</v>
      </c>
      <c r="D30" s="14">
        <v>587.88</v>
      </c>
      <c r="E30" s="14">
        <v>600</v>
      </c>
      <c r="F30" s="14"/>
      <c r="G30" s="14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IFERROR(15.86805*(1-w)-w*2.443,"")</f>
        <v>14.0735671</v>
      </c>
      <c r="D32" s="13">
        <v>15.86805</v>
      </c>
      <c r="E32" s="13">
        <v>16.195192896509493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IFERROR(16.982*(1-w),"")</f>
        <v>15.317764</v>
      </c>
      <c r="D33" s="13">
        <v>16.982</v>
      </c>
      <c r="E33" s="13">
        <v>17.332108593590529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IFERROR(17.0087146452*(1-w),"")</f>
        <v>15.341860609970398</v>
      </c>
      <c r="D34" s="13">
        <v>17.008714645199998</v>
      </c>
      <c r="E34" s="13">
        <v>17.359374</v>
      </c>
      <c r="F34" s="13"/>
      <c r="G34" s="13"/>
      <c r="I34" s="5"/>
      <c r="J34" s="0" t="s">
        <v>35</v>
      </c>
    </row>
    <row r="35" outlineLevel="1">
      <c r="A35" s="11" t="s">
        <v>52</v>
      </c>
      <c r="I35" s="5"/>
    </row>
    <row r="36" outlineLevel="2">
      <c r="A36" s="12" t="s">
        <v>53</v>
      </c>
      <c r="B36" s="0" t="s">
        <v>54</v>
      </c>
      <c r="C36" s="14"/>
      <c r="D36" s="14"/>
      <c r="E36" s="14"/>
      <c r="F36" s="14"/>
      <c r="G36" s="14">
        <v>1</v>
      </c>
      <c r="I36" s="5"/>
    </row>
    <row r="37" outlineLevel="2">
      <c r="A37" s="12" t="s">
        <v>55</v>
      </c>
      <c r="B37" s="0" t="s">
        <v>54</v>
      </c>
      <c r="C37" s="14">
        <v>0.8</v>
      </c>
      <c r="D37" s="14"/>
      <c r="E37" s="14"/>
      <c r="F37" s="14"/>
      <c r="G37" s="14"/>
      <c r="I37" s="5"/>
      <c r="J37" s="0" t="s">
        <v>38</v>
      </c>
    </row>
    <row r="38" outlineLevel="2">
      <c r="A38" s="12" t="s">
        <v>56</v>
      </c>
      <c r="B38" s="0" t="s">
        <v>54</v>
      </c>
      <c r="C38" s="14">
        <v>0.5</v>
      </c>
      <c r="D38" s="14"/>
      <c r="E38" s="14"/>
      <c r="F38" s="14"/>
      <c r="G38" s="14"/>
      <c r="I38" s="5"/>
      <c r="J38" s="0" t="s">
        <v>38</v>
      </c>
    </row>
    <row r="39" outlineLevel="2">
      <c r="A39" s="12" t="s">
        <v>57</v>
      </c>
      <c r="B39" s="0" t="s">
        <v>54</v>
      </c>
      <c r="C39" s="14">
        <v>1.2</v>
      </c>
      <c r="D39" s="14"/>
      <c r="E39" s="14"/>
      <c r="F39" s="14"/>
      <c r="G39" s="14"/>
      <c r="I39" s="5"/>
      <c r="J39" s="0" t="s">
        <v>38</v>
      </c>
    </row>
    <row r="40" outlineLevel="2">
      <c r="A40" s="12" t="s">
        <v>58</v>
      </c>
      <c r="B40" s="0" t="s">
        <v>54</v>
      </c>
      <c r="C40" s="14">
        <v>3.7</v>
      </c>
      <c r="D40" s="14"/>
      <c r="E40" s="14"/>
      <c r="F40" s="14"/>
      <c r="G40" s="14"/>
      <c r="I40" s="5"/>
      <c r="J40" s="0" t="s">
        <v>38</v>
      </c>
    </row>
    <row r="41" outlineLevel="2">
      <c r="A41" s="12" t="s">
        <v>59</v>
      </c>
      <c r="B41" s="0" t="s">
        <v>54</v>
      </c>
      <c r="C41" s="14">
        <v>1500</v>
      </c>
      <c r="D41" s="14"/>
      <c r="E41" s="14"/>
      <c r="F41" s="14"/>
      <c r="G41" s="14"/>
      <c r="I41" s="5"/>
      <c r="J41" s="0" t="s">
        <v>38</v>
      </c>
    </row>
    <row r="42" outlineLevel="2">
      <c r="A42" s="12" t="s">
        <v>60</v>
      </c>
      <c r="B42" s="0" t="s">
        <v>54</v>
      </c>
      <c r="C42" s="14">
        <v>0.021</v>
      </c>
      <c r="D42" s="14"/>
      <c r="E42" s="14"/>
      <c r="F42" s="14"/>
      <c r="G42" s="14"/>
      <c r="I42" s="5"/>
      <c r="J42" s="0" t="s">
        <v>38</v>
      </c>
    </row>
    <row r="43" outlineLevel="2">
      <c r="A43" s="12" t="s">
        <v>61</v>
      </c>
      <c r="B43" s="0" t="s">
        <v>54</v>
      </c>
      <c r="C43" s="14">
        <v>83</v>
      </c>
      <c r="D43" s="14"/>
      <c r="E43" s="14"/>
      <c r="F43" s="14"/>
      <c r="G43" s="14"/>
      <c r="I43" s="5"/>
      <c r="J43" s="0" t="s">
        <v>38</v>
      </c>
    </row>
    <row r="44" outlineLevel="2">
      <c r="A44" s="12" t="s">
        <v>62</v>
      </c>
      <c r="B44" s="0" t="s">
        <v>54</v>
      </c>
      <c r="C44" s="14">
        <v>2.7</v>
      </c>
      <c r="D44" s="14"/>
      <c r="E44" s="14"/>
      <c r="F44" s="14"/>
      <c r="G44" s="14"/>
      <c r="I44" s="5"/>
      <c r="J44" s="0" t="s">
        <v>38</v>
      </c>
    </row>
    <row r="45" outlineLevel="2">
      <c r="A45" s="12" t="s">
        <v>63</v>
      </c>
      <c r="B45" s="0" t="s">
        <v>54</v>
      </c>
      <c r="C45" s="14">
        <v>3.3</v>
      </c>
      <c r="D45" s="14"/>
      <c r="E45" s="14"/>
      <c r="F45" s="14"/>
      <c r="G45" s="14"/>
      <c r="I45" s="5"/>
      <c r="J45" s="0" t="s">
        <v>38</v>
      </c>
    </row>
    <row r="46" outlineLevel="2">
      <c r="A46" s="12" t="s">
        <v>64</v>
      </c>
      <c r="B46" s="0" t="s">
        <v>54</v>
      </c>
      <c r="C46" s="14"/>
      <c r="D46" s="14"/>
      <c r="E46" s="14"/>
      <c r="F46" s="14"/>
      <c r="G46" s="14">
        <v>1</v>
      </c>
      <c r="I46" s="5"/>
    </row>
    <row r="47" outlineLevel="2">
      <c r="A47" s="12" t="s">
        <v>65</v>
      </c>
      <c r="B47" s="0" t="s">
        <v>54</v>
      </c>
      <c r="C47" s="14"/>
      <c r="D47" s="14"/>
      <c r="E47" s="14"/>
      <c r="F47" s="14"/>
      <c r="G47" s="14">
        <v>0.5</v>
      </c>
      <c r="I47" s="5"/>
    </row>
    <row r="48" outlineLevel="2">
      <c r="A48" s="12" t="s">
        <v>66</v>
      </c>
      <c r="B48" s="0" t="s">
        <v>54</v>
      </c>
      <c r="C48" s="14"/>
      <c r="D48" s="14"/>
      <c r="E48" s="14"/>
      <c r="F48" s="14"/>
      <c r="G48" s="14">
        <v>0.8</v>
      </c>
      <c r="I48" s="5"/>
    </row>
    <row r="49" outlineLevel="2">
      <c r="A49" s="12" t="s">
        <v>67</v>
      </c>
      <c r="B49" s="0" t="s">
        <v>54</v>
      </c>
      <c r="C49" s="14"/>
      <c r="D49" s="14"/>
      <c r="E49" s="14"/>
      <c r="F49" s="14"/>
      <c r="G49" s="14">
        <v>1</v>
      </c>
      <c r="I49" s="5"/>
    </row>
    <row r="50" outlineLevel="2">
      <c r="A50" s="12" t="s">
        <v>68</v>
      </c>
      <c r="B50" s="0" t="s">
        <v>54</v>
      </c>
      <c r="C50" s="14">
        <v>30</v>
      </c>
      <c r="D50" s="14"/>
      <c r="E50" s="14"/>
      <c r="F50" s="14"/>
      <c r="G50" s="14"/>
      <c r="I50" s="5"/>
      <c r="J50" s="0" t="s">
        <v>38</v>
      </c>
    </row>
    <row r="51">
      <c r="I51" s="5"/>
    </row>
    <row r="5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18" errorStyle="stop" promptTitle="Enter moisture content" errorTitle="Invalid moisture content" prompt="Value should be between 0 and 100.&#10;Original value: 9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https://phyllis.nl/Biomass/View/2291</dc:description>
  <dcterms:created xsi:type="dcterms:W3CDTF">2026-03-19T07:05:31Z</dcterms:created>
  <dc:title>Phyllis2 #2291 pine sawdust briquettes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