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93 olive cake" sheetId="1" r:id="rId1"/>
  </sheets>
  <definedNames>
    <definedName name="w" localSheetId="0">IF(ISBLANK('Phyllis2 #2293 olive cake'!$C$18),#N/A,'Phyllis2 #2293 olive cake'!$C$18/100)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<sst xmlns="http://schemas.openxmlformats.org/spreadsheetml/2006/main" count="77" uniqueCount="77">
  <si>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</si>
  <si>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https://phyllis.nl/Biomass/View/2293</t>
  </si>
  <si>
    <t>olive cake (#2293)</t>
  </si>
  <si>
    <t>ID-number</t>
  </si>
  <si>
    <t>#2293</t>
  </si>
  <si>
    <t>Material</t>
  </si>
  <si>
    <t>olive cake</t>
  </si>
  <si>
    <t>Classification</t>
  </si>
  <si>
    <t>ECN Phyllis classification &gt; husk/shell/pit &gt; olive &gt; olive cake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</si>
  <si>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</si>
  <si>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</si>
  <si>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</si>
  <si>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</si>
  <si>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Literature</t>
  </si>
  <si>
    <t>F. Suárez-García, A. Martínez-Alonso, M. Fernández Llorente, J.M.D. Tarascon: Inorganic matter characterization in vegetable biomass feedstocks. Fuel 81 (2002) 1161-1169.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</si>
  <si>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</si>
  <si>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</si>
  <si>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</si>
  <si>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</si>
  <si>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</si>
  <si>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</si>
  <si>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</si>
  <si>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</si>
  <si>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</si>
  <si>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</si>
  <si>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</si>
  <si>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</si>
  <si>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</si>
  <si>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</si>
  <si>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</si>
  <si>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</si>
  <si>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</si>
  <si>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</si>
  <si>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</si>
  <si>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</si>
  <si>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</si>
  <si>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</si>
  <si>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</si>
  <si>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</si>
  <si>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</si>
  <si>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</si>
  <si>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</si>
  <si>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</si>
  <si>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</si>
  <si>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</si>
  <si>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</si>
  <si>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</si>
  <si>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</si>
  <si>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</si>
  <si>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</si>
  <si>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</si>
  <si>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Aluminium (Al)</t>
  </si>
  <si>
    <t>mg/kg (dry)</t>
  </si>
  <si>
    <t>Barium (Ba)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</si>
  <si>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</si>
  <si>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</si>
  <si>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</si>
  <si>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</si>
  <si>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</si>
  <si>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</si>
  <si>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</si>
  <si>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</si>
  <si>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Strontium (Sr)</t>
  </si>
  <si>
    <t>Titanium (Ti)</t>
  </si>
  <si>
    <t>Zinc (Zn)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</si>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</sst>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6.4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IFERROR(10.9*(1-w),"")</f>
        <v>10.202399999999999</v>
      </c>
      <c r="D19" s="13">
        <v>10.9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IFERROR(70.8*(1-w),"")</f>
        <v>66.2688</v>
      </c>
      <c r="D20" s="13">
        <v>70.8</v>
      </c>
      <c r="E20" s="13">
        <v>79.46127946127946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IFERROR(18.3*(1-w),"")</f>
        <v>17.128799999999995</v>
      </c>
      <c r="D21" s="13">
        <v>18.299999999999997</v>
      </c>
      <c r="E21" s="13">
        <v>20.538720538720536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IFERROR(52*(1-w),"")</f>
        <v>48.672</v>
      </c>
      <c r="D23" s="13">
        <v>52</v>
      </c>
      <c r="E23" s="13">
        <v>58.361391694725029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IFERROR(6.91*(1-w),"")</f>
        <v>6.46776</v>
      </c>
      <c r="D24" s="13">
        <v>6.91</v>
      </c>
      <c r="E24" s="13">
        <v>7.7553310886644224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IFERROR(29.41*(1-w),"")</f>
        <v>27.527759999999997</v>
      </c>
      <c r="D25" s="13">
        <v>29.41</v>
      </c>
      <c r="E25" s="13">
        <v>33.007856341189672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IFERROR(1.62*(1-w),"")</f>
        <v>1.5163200000000001</v>
      </c>
      <c r="D26" s="13">
        <v>1.62</v>
      </c>
      <c r="E26" s="13">
        <v>1.8181818181818183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IFERROR(0.18*(1-w),"")</f>
        <v>0.16848</v>
      </c>
      <c r="D27" s="13">
        <v>0.18</v>
      </c>
      <c r="E27" s="13">
        <v>0.20202020202020202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IFERROR(101.22*(1-w)+w*100,"")</f>
        <v>101.14192000000001</v>
      </c>
      <c r="D28" s="13">
        <v>101.22000000000001</v>
      </c>
      <c r="E28" s="13">
        <v>101.36924803591471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IFERROR(2000*(1-w),"")</f>
        <v>1872</v>
      </c>
      <c r="D30" s="14">
        <v>2000</v>
      </c>
      <c r="E30" s="14">
        <v>2244.6689113355778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IFERROR(23.00717593*(1-w),"")</f>
        <v>21.53471667048</v>
      </c>
      <c r="D32" s="13">
        <v>23.007175930000002</v>
      </c>
      <c r="E32" s="13">
        <v>25.821746273849609</v>
      </c>
      <c r="F32" s="13"/>
      <c r="G32" s="13"/>
      <c r="I32" s="5"/>
      <c r="J32" s="0" t="s">
        <v>35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2700</v>
      </c>
      <c r="D34" s="14"/>
      <c r="E34" s="14"/>
      <c r="F34" s="14"/>
      <c r="G34" s="14"/>
      <c r="I34" s="5"/>
      <c r="J34" s="0" t="s">
        <v>38</v>
      </c>
    </row>
    <row r="35" outlineLevel="2">
      <c r="A35" s="12" t="s">
        <v>53</v>
      </c>
      <c r="B35" s="0" t="s">
        <v>52</v>
      </c>
      <c r="C35" s="14">
        <v>19</v>
      </c>
      <c r="D35" s="14"/>
      <c r="E35" s="14"/>
      <c r="F35" s="14"/>
      <c r="G35" s="14"/>
      <c r="I35" s="5"/>
      <c r="J35" s="0" t="s">
        <v>38</v>
      </c>
    </row>
    <row r="36" outlineLevel="2">
      <c r="A36" s="12" t="s">
        <v>54</v>
      </c>
      <c r="B36" s="0" t="s">
        <v>52</v>
      </c>
      <c r="C36" s="14">
        <v>13000</v>
      </c>
      <c r="D36" s="14"/>
      <c r="E36" s="14"/>
      <c r="F36" s="14"/>
      <c r="G36" s="14"/>
      <c r="I36" s="5"/>
      <c r="J36" s="0" t="s">
        <v>38</v>
      </c>
    </row>
    <row r="37" outlineLevel="2">
      <c r="A37" s="12" t="s">
        <v>55</v>
      </c>
      <c r="B37" s="0" t="s">
        <v>52</v>
      </c>
      <c r="C37" s="14">
        <v>2300</v>
      </c>
      <c r="D37" s="14"/>
      <c r="E37" s="14"/>
      <c r="F37" s="14"/>
      <c r="G37" s="14"/>
      <c r="I37" s="5"/>
      <c r="J37" s="0" t="s">
        <v>38</v>
      </c>
    </row>
    <row r="38" outlineLevel="2">
      <c r="A38" s="12" t="s">
        <v>56</v>
      </c>
      <c r="B38" s="0" t="s">
        <v>52</v>
      </c>
      <c r="C38" s="14">
        <v>9000</v>
      </c>
      <c r="D38" s="14"/>
      <c r="E38" s="14"/>
      <c r="F38" s="14"/>
      <c r="G38" s="14"/>
      <c r="I38" s="5"/>
      <c r="J38" s="0" t="s">
        <v>38</v>
      </c>
    </row>
    <row r="39" outlineLevel="2">
      <c r="A39" s="12" t="s">
        <v>57</v>
      </c>
      <c r="B39" s="0" t="s">
        <v>52</v>
      </c>
      <c r="C39" s="14">
        <v>5100</v>
      </c>
      <c r="D39" s="14"/>
      <c r="E39" s="14"/>
      <c r="F39" s="14"/>
      <c r="G39" s="14"/>
      <c r="I39" s="5"/>
      <c r="J39" s="0" t="s">
        <v>38</v>
      </c>
    </row>
    <row r="40" outlineLevel="2">
      <c r="A40" s="12" t="s">
        <v>58</v>
      </c>
      <c r="B40" s="0" t="s">
        <v>52</v>
      </c>
      <c r="C40" s="14">
        <v>47</v>
      </c>
      <c r="D40" s="14"/>
      <c r="E40" s="14"/>
      <c r="F40" s="14"/>
      <c r="G40" s="14"/>
      <c r="I40" s="5"/>
      <c r="J40" s="0" t="s">
        <v>38</v>
      </c>
    </row>
    <row r="41" outlineLevel="2">
      <c r="A41" s="12" t="s">
        <v>59</v>
      </c>
      <c r="B41" s="0" t="s">
        <v>52</v>
      </c>
      <c r="C41" s="14">
        <v>830</v>
      </c>
      <c r="D41" s="14"/>
      <c r="E41" s="14"/>
      <c r="F41" s="14"/>
      <c r="G41" s="14"/>
      <c r="I41" s="5"/>
      <c r="J41" s="0" t="s">
        <v>38</v>
      </c>
    </row>
    <row r="42" outlineLevel="2">
      <c r="A42" s="12" t="s">
        <v>60</v>
      </c>
      <c r="B42" s="0" t="s">
        <v>52</v>
      </c>
      <c r="C42" s="14">
        <v>1400</v>
      </c>
      <c r="D42" s="14"/>
      <c r="E42" s="14"/>
      <c r="F42" s="14"/>
      <c r="G42" s="14"/>
      <c r="I42" s="5"/>
      <c r="J42" s="0" t="s">
        <v>38</v>
      </c>
    </row>
    <row r="43" outlineLevel="2">
      <c r="A43" s="12" t="s">
        <v>61</v>
      </c>
      <c r="B43" s="0" t="s">
        <v>52</v>
      </c>
      <c r="C43" s="14">
        <v>14000</v>
      </c>
      <c r="D43" s="14"/>
      <c r="E43" s="14"/>
      <c r="F43" s="14"/>
      <c r="G43" s="14"/>
      <c r="I43" s="5"/>
      <c r="J43" s="0" t="s">
        <v>38</v>
      </c>
    </row>
    <row r="44" outlineLevel="2">
      <c r="A44" s="12" t="s">
        <v>62</v>
      </c>
      <c r="B44" s="0" t="s">
        <v>52</v>
      </c>
      <c r="C44" s="14">
        <v>45</v>
      </c>
      <c r="D44" s="14"/>
      <c r="E44" s="14"/>
      <c r="F44" s="14"/>
      <c r="G44" s="14"/>
      <c r="I44" s="5"/>
      <c r="J44" s="0" t="s">
        <v>38</v>
      </c>
    </row>
    <row r="45" outlineLevel="2">
      <c r="A45" s="12" t="s">
        <v>63</v>
      </c>
      <c r="B45" s="0" t="s">
        <v>52</v>
      </c>
      <c r="C45" s="14">
        <v>110</v>
      </c>
      <c r="D45" s="14"/>
      <c r="E45" s="14"/>
      <c r="F45" s="14"/>
      <c r="G45" s="14"/>
      <c r="I45" s="5"/>
      <c r="J45" s="0" t="s">
        <v>38</v>
      </c>
    </row>
    <row r="46" outlineLevel="2">
      <c r="A46" s="12" t="s">
        <v>64</v>
      </c>
      <c r="B46" s="0" t="s">
        <v>52</v>
      </c>
      <c r="C46" s="14">
        <v>29</v>
      </c>
      <c r="D46" s="14"/>
      <c r="E46" s="14"/>
      <c r="F46" s="14"/>
      <c r="G46" s="14"/>
      <c r="I46" s="5"/>
      <c r="J46" s="0" t="s">
        <v>38</v>
      </c>
    </row>
    <row r="47">
      <c r="A47" s="7" t="s">
        <v>65</v>
      </c>
      <c r="I47" s="5"/>
    </row>
    <row r="48" outlineLevel="1">
      <c r="A48" s="11" t="s">
        <v>66</v>
      </c>
      <c r="I48" s="5"/>
    </row>
    <row r="49" outlineLevel="2">
      <c r="A49" s="12" t="s">
        <v>67</v>
      </c>
      <c r="B49" s="0" t="s">
        <v>68</v>
      </c>
      <c r="C49" s="13">
        <v>2.9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68</v>
      </c>
      <c r="C50" s="13">
        <v>27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68</v>
      </c>
      <c r="C51" s="13">
        <v>3.1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68</v>
      </c>
      <c r="C52" s="13">
        <v>4.6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68</v>
      </c>
      <c r="C53" s="13">
        <v>17</v>
      </c>
      <c r="D53" s="13"/>
      <c r="E53" s="13"/>
      <c r="F53" s="13"/>
      <c r="G53" s="13"/>
      <c r="I53" s="5"/>
    </row>
    <row r="54" outlineLevel="2">
      <c r="A54" s="12" t="s">
        <v>73</v>
      </c>
      <c r="B54" s="0" t="s">
        <v>68</v>
      </c>
      <c r="C54" s="13">
        <v>7.8</v>
      </c>
      <c r="D54" s="13"/>
      <c r="E54" s="13"/>
      <c r="F54" s="13"/>
      <c r="G54" s="13"/>
      <c r="I54" s="5"/>
    </row>
    <row r="55" outlineLevel="2">
      <c r="A55" s="12" t="s">
        <v>74</v>
      </c>
      <c r="B55" s="0" t="s">
        <v>68</v>
      </c>
      <c r="C55" s="13">
        <v>1</v>
      </c>
      <c r="D55" s="13"/>
      <c r="E55" s="13"/>
      <c r="F55" s="13"/>
      <c r="G55" s="13"/>
      <c r="I55" s="5"/>
    </row>
    <row r="56" outlineLevel="2">
      <c r="A56" s="12" t="s">
        <v>75</v>
      </c>
      <c r="B56" s="0" t="s">
        <v>68</v>
      </c>
      <c r="C56" s="13">
        <v>2</v>
      </c>
      <c r="D56" s="13"/>
      <c r="E56" s="13"/>
      <c r="F56" s="13"/>
      <c r="G56" s="13"/>
      <c r="I56" s="5"/>
    </row>
    <row r="57" outlineLevel="2">
      <c r="A57" s="12" t="s">
        <v>76</v>
      </c>
      <c r="B57" s="0" t="s">
        <v>68</v>
      </c>
      <c r="C57" s="13">
        <v>0.17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18" errorStyle="stop" promptTitle="Enter moisture content" errorTitle="Invalid moisture content" prompt="Value should be between 0 and 100.&#10;Original value: 6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https://phyllis.nl/Biomass/View/2293</dc:description>
  <dcterms:created xsi:type="dcterms:W3CDTF">2026-03-17T05:41:36Z</dcterms:created>
  <dc:title>Phyllis2 #2293 olive cake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