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96 olive husk, exha" sheetId="1" r:id="rId1"/>
  </sheets>
  <definedNames>
    <definedName name="w" localSheetId="0">IF(ISBLANK('Phyllis2 #2296 olive husk, exha'!$C$18),#N/A,'Phyllis2 #2296 olive husk, exha'!$C$18/100)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<sst xmlns="http://schemas.openxmlformats.org/spreadsheetml/2006/main" count="43" uniqueCount="43">
  <si>
    <t>Phyllis2</t>
  </si>
  <si>
    <t>https://phyllis.nl/Biomass/View/2296</t>
  </si>
  <si>
    <t>olive husk, exhausted (#2296)</t>
  </si>
  <si>
    <t>ID-number</t>
  </si>
  <si>
    <t>#2296</t>
  </si>
  <si>
    <t>Material</t>
  </si>
  <si>
    <t>olive husk, exhausted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</si>
  <si>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</si>
  <si>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</si>
  <si>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</si>
  <si>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</si>
  <si>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</si>
  <si>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</si>
  <si>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Literature</t>
  </si>
  <si>
    <t>C. Cattaneo, A. Palanca, M. Zolezzi, C. Nicolella, M. Rovatti: Thermovalorisation of vegetable and animal biomasses. Proc. 12th European Conference and Technology Exhibition on Biomass for Energy, Industry and Climate Protection, June 2002, Amsterdam.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</si>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</sst>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8.1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IFERROR(97*(1-w),"")</f>
        <v>89.143</v>
      </c>
      <c r="D19" s="13">
        <v>97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IFERROR(3*(1-w),"")</f>
        <v>2.757</v>
      </c>
      <c r="D20" s="13">
        <v>3</v>
      </c>
      <c r="E20" s="13">
        <v/>
      </c>
      <c r="F20" s="13"/>
      <c r="G20" s="13"/>
      <c r="I20" s="5"/>
      <c r="J20" s="0" t="s">
        <v>34</v>
      </c>
    </row>
    <row r="21" outlineLevel="1">
      <c r="A21" s="11" t="s">
        <v>35</v>
      </c>
      <c r="I21" s="5"/>
    </row>
    <row r="22" outlineLevel="2">
      <c r="A22" s="12" t="s">
        <v>36</v>
      </c>
      <c r="B22" s="0" t="s">
        <v>31</v>
      </c>
      <c r="C22" s="13">
        <f>IFERROR(51.83*(1-w),"")</f>
        <v>47.63177</v>
      </c>
      <c r="D22" s="13">
        <v>51.83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31</v>
      </c>
      <c r="C23" s="13">
        <f>IFERROR(6.77*(1-w),"")</f>
        <v>6.22163</v>
      </c>
      <c r="D23" s="13">
        <v>6.77</v>
      </c>
      <c r="E23" s="13">
        <v/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31</v>
      </c>
      <c r="C24" s="13">
        <f>IFERROR(37*(1-w),"")</f>
        <v>34.003</v>
      </c>
      <c r="D24" s="13">
        <v>37</v>
      </c>
      <c r="E24" s="13">
        <v/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31</v>
      </c>
      <c r="C25" s="13">
        <f>IFERROR(3.82*(1-w),"")</f>
        <v>3.51058</v>
      </c>
      <c r="D25" s="13">
        <v>3.82</v>
      </c>
      <c r="E25" s="13">
        <v/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31</v>
      </c>
      <c r="C26" s="13">
        <f>IFERROR(0.04*(1-w),"")</f>
        <v>0.03676</v>
      </c>
      <c r="D26" s="13">
        <v>0.04</v>
      </c>
      <c r="E26" s="13">
        <v/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31</v>
      </c>
      <c r="C27" s="13">
        <f>IFERROR(99.46*(1-w)+w*100,"")</f>
        <v>99.50374</v>
      </c>
      <c r="D27" s="13">
        <v>99.46</v>
      </c>
      <c r="E27" s="13">
        <v/>
      </c>
      <c r="F27" s="13"/>
      <c r="G27" s="13"/>
      <c r="I27" s="5"/>
      <c r="J27" s="0" t="s">
        <v>34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8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https://phyllis.nl/Biomass/View/2296</dc:description>
  <dcterms:created xsi:type="dcterms:W3CDTF">2026-03-17T05:43:02Z</dcterms:created>
  <dc:title>Phyllis2 #2296 olive husk, exhausted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