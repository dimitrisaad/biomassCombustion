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01 coconut coir" sheetId="1" r:id="rId1"/>
  </sheets>
  <definedNames>
    <definedName name="w" localSheetId="0">IF(ISBLANK('Phyllis2 #2301 coconut coir'!$C$19),#N/A,'Phyllis2 #2301 coconut coir'!$C$19/100)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<sst xmlns="http://schemas.openxmlformats.org/spreadsheetml/2006/main" count="48" uniqueCount="48">
  <si>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</si>
  <si>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https://phyllis.nl/Biomass/View/2301</t>
  </si>
  <si>
    <t>coconut coir (#2301)</t>
  </si>
  <si>
    <t>ID-number</t>
  </si>
  <si>
    <t>#2301</t>
  </si>
  <si>
    <t>Material</t>
  </si>
  <si>
    <t>coconut coir</t>
  </si>
  <si>
    <t>Classification</t>
  </si>
  <si>
    <t>ECN Phyllis classification &gt; husk/shell/pit &gt; coconut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</si>
  <si>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</si>
  <si>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</si>
  <si>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</si>
  <si>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Submission date</t>
  </si>
  <si>
    <t>Remarks</t>
  </si>
  <si>
    <t>compare ID 1459 (first edition of report)</t>
  </si>
  <si>
    <t>Literature</t>
  </si>
  <si>
    <t>P.V.R. Iyer, T.R. Rao, P.D. Grover, N.P. Singh: Biomass Thermo-chemical Characterization (revised second edition), Indian Institute of Technology, Delhi, India (1997). Also in: Biomass and Bioenergy 22 (2002) 195-203.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</si>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</sst>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0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37474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IFERROR(17.81*(1-w),"")</f>
        <v/>
      </c>
      <c r="D20" s="13">
        <v>17.81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IFERROR(15.94*(1-w),"")</f>
        <v/>
      </c>
      <c r="D22" s="13">
        <v>15.94</v>
      </c>
      <c r="E22" s="13">
        <v>19.394086871882223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IFERROR(2.25*(1-w),"")</f>
        <v/>
      </c>
      <c r="D23" s="13">
        <v>2.25</v>
      </c>
      <c r="E23" s="13">
        <v>2.7375593137851317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IFERROR(63.5*(1-w),"")</f>
        <v/>
      </c>
      <c r="D24" s="13">
        <v>63.5</v>
      </c>
      <c r="E24" s="13">
        <v>77.260007300158165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IFERROR(0.5*(1-w),"")</f>
        <v/>
      </c>
      <c r="D25" s="13">
        <v>0.5</v>
      </c>
      <c r="E25" s="13">
        <v>0.60834651417447372</v>
      </c>
      <c r="F25" s="13"/>
      <c r="G25" s="13"/>
      <c r="I25" s="5"/>
      <c r="J25" s="0" t="s">
        <v>37</v>
      </c>
    </row>
    <row r="26" outlineLevel="2">
      <c r="A26" s="12" t="s">
        <v>42</v>
      </c>
      <c r="B26" s="0" t="s">
        <v>34</v>
      </c>
      <c r="C26" s="13">
        <f>IFERROR(100*(1-w)+w*100,"")</f>
        <v/>
      </c>
      <c r="D26" s="13">
        <v>100</v>
      </c>
      <c r="E26" s="13">
        <v>99.999999999999986</v>
      </c>
      <c r="F26" s="13"/>
      <c r="G26" s="13"/>
      <c r="I26" s="5"/>
      <c r="J26" s="0" t="s">
        <v>40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IFERROR(17.79*(1-w)-w*2.443,"")</f>
        <v/>
      </c>
      <c r="D28" s="13">
        <v>17.79</v>
      </c>
      <c r="E28" s="13">
        <v>21.644968974327774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IFERROR(18.89302*(1-w),"")</f>
        <v/>
      </c>
      <c r="D29" s="13">
        <v>18.89302</v>
      </c>
      <c r="E29" s="13">
        <v>22.98700571845723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IFERROR(0.506078003300002*(1-w),"")</f>
        <v/>
      </c>
      <c r="D30" s="13">
        <v>0.50607800330000186</v>
      </c>
      <c r="E30" s="13">
        <v>0.61574157841586785</v>
      </c>
      <c r="F30" s="13"/>
      <c r="G30" s="13"/>
      <c r="I30" s="5"/>
      <c r="J30" s="0" t="s">
        <v>40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https://phyllis.nl/Biomass/View/2301</dc:description>
  <dcterms:created xsi:type="dcterms:W3CDTF">2026-03-17T05:40:54Z</dcterms:created>
  <dc:title>Phyllis2 #2301 coconut coir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