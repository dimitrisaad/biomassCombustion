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02 corn cob" sheetId="1" r:id="rId1"/>
  </sheets>
  <definedNames>
    <definedName name="w" localSheetId="0">IF(ISBLANK('Phyllis2 #2302 corn cob'!$C$19),#N/A,'Phyllis2 #2302 corn cob'!$C$19/100)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<sst xmlns="http://schemas.openxmlformats.org/spreadsheetml/2006/main" count="48" uniqueCount="48">
  <si>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</si>
  <si>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https://phyllis.nl/Biomass/View/2302</t>
  </si>
  <si>
    <t>corn cob (#2302)</t>
  </si>
  <si>
    <t>ID-number</t>
  </si>
  <si>
    <t>#2302</t>
  </si>
  <si>
    <t>Material</t>
  </si>
  <si>
    <t>corn cob</t>
  </si>
  <si>
    <t>Classification</t>
  </si>
  <si>
    <t>ECN Phyllis classification &gt; straw (stalk/cob/ear) &gt; maize/corn &gt; corn cob</t>
  </si>
  <si>
    <t>NTA 8003 classification &gt; [200] biomassa uit land- en tuinbouw &gt; [240] gewassen &gt; [241] mais</t>
  </si>
  <si>
    <t>Submitter organisation</t>
  </si>
  <si>
    <t>ECN (Netherlands)</t>
  </si>
  <si>
    <t>Submission date</t>
  </si>
  <si>
    <t>Remarks</t>
  </si>
  <si>
    <t>compare ID 1454 (first edition of report)</t>
  </si>
  <si>
    <t>Literature</t>
  </si>
  <si>
    <t>P.V.R. Iyer, T.R. Rao, P.D. Grover, N.P. Singh: Biomass Thermo-chemical Characterization (revised second edition), Indian Institute of Technology, Delhi, India (1997). Also in: Biomass and Bioenergy 22 (2002) 195-203.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</si>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</sst>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IFERROR(1.2*(1-w),"")</f>
        <v/>
      </c>
      <c r="D20" s="13">
        <v>1.2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IFERROR(41.44*(1-w),"")</f>
        <v/>
      </c>
      <c r="D22" s="13">
        <v>41.44</v>
      </c>
      <c r="E22" s="13">
        <v>41.943319838056681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IFERROR(5.96*(1-w),"")</f>
        <v/>
      </c>
      <c r="D23" s="13">
        <v>5.96</v>
      </c>
      <c r="E23" s="13">
        <v>6.0323886639676116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IFERROR(51.26*(1-w),"")</f>
        <v/>
      </c>
      <c r="D24" s="13">
        <v>51.26</v>
      </c>
      <c r="E24" s="13">
        <v>51.882591093117405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IFERROR(0.14*(1-w),"")</f>
        <v/>
      </c>
      <c r="D25" s="13">
        <v>0.14</v>
      </c>
      <c r="E25" s="13">
        <v>0.1417004048582996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100</v>
      </c>
      <c r="E26" s="13">
        <v>100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IFERROR(15.23*(1-w)-w*2.443,"")</f>
        <v/>
      </c>
      <c r="D28" s="13">
        <v>15.23</v>
      </c>
      <c r="E28" s="13">
        <v>15.414979757085021</v>
      </c>
      <c r="F28" s="13"/>
      <c r="G28" s="13"/>
      <c r="I28" s="5"/>
    </row>
    <row r="29" outlineLevel="2">
      <c r="A29" s="12" t="s">
        <v>46</v>
      </c>
      <c r="B29" s="0" t="s">
        <v>45</v>
      </c>
      <c r="C29" s="13">
        <f>IFERROR(16.53057*(1-w),"")</f>
        <v/>
      </c>
      <c r="D29" s="13">
        <v>16.53057</v>
      </c>
      <c r="E29" s="13">
        <v>16.731346153846154</v>
      </c>
      <c r="F29" s="13"/>
      <c r="G29" s="13"/>
      <c r="I29" s="5"/>
    </row>
    <row r="30" outlineLevel="2">
      <c r="A30" s="12" t="s">
        <v>47</v>
      </c>
      <c r="B30" s="0" t="s">
        <v>45</v>
      </c>
      <c r="C30" s="13">
        <f>IFERROR(15.82402032*(1-w),"")</f>
        <v/>
      </c>
      <c r="D30" s="13">
        <v>15.824020319999999</v>
      </c>
      <c r="E30" s="13">
        <v>16.016214898785424</v>
      </c>
      <c r="F30" s="13"/>
      <c r="G30" s="13"/>
      <c r="I30" s="5"/>
      <c r="J30" s="0" t="s">
        <v>40</v>
      </c>
    </row>
    <row r="31">
      <c r="I31" s="5"/>
    </row>
    <row r="32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https://phyllis.nl/Biomass/View/2302</dc:description>
  <dcterms:created xsi:type="dcterms:W3CDTF">2026-03-17T06:05:26Z</dcterms:created>
  <dc:title>Phyllis2 #2302 corn cob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