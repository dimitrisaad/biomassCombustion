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04 groundnut shells" sheetId="1" r:id="rId1"/>
  </sheets>
  <definedNames>
    <definedName name="w" localSheetId="0">IF(ISBLANK('Phyllis2 #2304 groundnut shells'!$C$19),#N/A,'Phyllis2 #2304 groundnut shells'!$C$19/100)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<sst xmlns="http://schemas.openxmlformats.org/spreadsheetml/2006/main" count="48" uniqueCount="48">
  <si>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</si>
  <si>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https://phyllis.nl/Biomass/View/2304</t>
  </si>
  <si>
    <t>groundnut shells (#2304)</t>
  </si>
  <si>
    <t>ID-number</t>
  </si>
  <si>
    <t>#2304</t>
  </si>
  <si>
    <t>Material</t>
  </si>
  <si>
    <t>groundnut shells</t>
  </si>
  <si>
    <t>Classification</t>
  </si>
  <si>
    <t>ECN Phyllis classification &gt; husk/shell/pit &gt; peanut &gt; groundnut shells</t>
  </si>
  <si>
    <t>NTA 8003 classification &gt; [200] biomassa uit land- en tuinbouw &gt; [230] restproducten (doppen) &gt; [233] pindadoppen</t>
  </si>
  <si>
    <t>Submitter organisation</t>
  </si>
  <si>
    <t>ECN (Netherlands)</t>
  </si>
  <si>
    <t>Submission date</t>
  </si>
  <si>
    <t>Remarks</t>
  </si>
  <si>
    <t>compare ID 1455 ( first edition of report)</t>
  </si>
  <si>
    <t>Literature</t>
  </si>
  <si>
    <t>P.V.R. Iyer, T.R. Rao, P.D. Grover, N.P. Singh: Biomass Thermo-chemical Characterization (revised second edition), Indian Institute of Technology, Delhi, India (1997). Also in: Biomass and Bioenergy 22 (2002) 195-203.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</si>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</sst>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0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37474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IFERROR(3.1*(1-w),"")</f>
        <v/>
      </c>
      <c r="D20" s="13">
        <v>3.1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IFERROR(33.9*(1-w),"")</f>
        <v/>
      </c>
      <c r="D22" s="13">
        <v>33.9</v>
      </c>
      <c r="E22" s="13">
        <v>34.984520123839012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IFERROR(1.97*(1-w),"")</f>
        <v/>
      </c>
      <c r="D23" s="13">
        <v>1.97</v>
      </c>
      <c r="E23" s="13">
        <v>2.0330237358101138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IFERROR(59.93*(1-w),"")</f>
        <v/>
      </c>
      <c r="D24" s="13">
        <v>59.93</v>
      </c>
      <c r="E24" s="13">
        <v>61.847265221878224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IFERROR(1.1*(1-w),"")</f>
        <v/>
      </c>
      <c r="D25" s="13">
        <v>1.1</v>
      </c>
      <c r="E25" s="13">
        <v>1.1351909184726523</v>
      </c>
      <c r="F25" s="13"/>
      <c r="G25" s="13"/>
      <c r="I25" s="5"/>
      <c r="J25" s="0" t="s">
        <v>37</v>
      </c>
    </row>
    <row r="26" outlineLevel="2">
      <c r="A26" s="12" t="s">
        <v>42</v>
      </c>
      <c r="B26" s="0" t="s">
        <v>34</v>
      </c>
      <c r="C26" s="13">
        <f>IFERROR(100*(1-w)+w*100,"")</f>
        <v/>
      </c>
      <c r="D26" s="13">
        <v>99.999999999999986</v>
      </c>
      <c r="E26" s="13">
        <v>100</v>
      </c>
      <c r="F26" s="13"/>
      <c r="G26" s="13"/>
      <c r="I26" s="5"/>
      <c r="J26" s="0" t="s">
        <v>40</v>
      </c>
    </row>
    <row r="27" outlineLevel="1">
      <c r="A27" s="11" t="s">
        <v>43</v>
      </c>
      <c r="I27" s="5"/>
    </row>
    <row r="28" outlineLevel="2">
      <c r="A28" s="12" t="s">
        <v>44</v>
      </c>
      <c r="B28" s="0" t="s">
        <v>45</v>
      </c>
      <c r="C28" s="13">
        <f>IFERROR(17.06*(1-w)-w*2.443,"")</f>
        <v/>
      </c>
      <c r="D28" s="13">
        <v>17.06</v>
      </c>
      <c r="E28" s="13">
        <v>17.605779153766768</v>
      </c>
      <c r="F28" s="13"/>
      <c r="G28" s="13"/>
      <c r="I28" s="5"/>
    </row>
    <row r="29" outlineLevel="2">
      <c r="A29" s="12" t="s">
        <v>46</v>
      </c>
      <c r="B29" s="0" t="s">
        <v>45</v>
      </c>
      <c r="C29" s="13">
        <f>IFERROR(17.48989*(1-w),"")</f>
        <v/>
      </c>
      <c r="D29" s="13">
        <v>17.48989</v>
      </c>
      <c r="E29" s="13">
        <v>18.049422084623323</v>
      </c>
      <c r="F29" s="13"/>
      <c r="G29" s="13"/>
      <c r="I29" s="5"/>
    </row>
    <row r="30" outlineLevel="2">
      <c r="A30" s="12" t="s">
        <v>47</v>
      </c>
      <c r="B30" s="0" t="s">
        <v>45</v>
      </c>
      <c r="C30" s="13">
        <f>IFERROR(6.79468033*(1-w),"")</f>
        <v/>
      </c>
      <c r="D30" s="13">
        <v>6.7946803300000029</v>
      </c>
      <c r="E30" s="13">
        <v>7.01205400412797</v>
      </c>
      <c r="F30" s="13"/>
      <c r="G30" s="13"/>
      <c r="I30" s="5"/>
      <c r="J30" s="0" t="s">
        <v>40</v>
      </c>
    </row>
    <row r="31">
      <c r="I31" s="5"/>
    </row>
    <row r="32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https://phyllis.nl/Biomass/View/2304</dc:description>
  <dcterms:created xsi:type="dcterms:W3CDTF">2026-03-17T05:46:28Z</dcterms:created>
  <dc:title>Phyllis2 #2304 groundnut shells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