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05 jute stick" sheetId="1" r:id="rId1"/>
  </sheets>
  <definedNames>
    <definedName name="w" localSheetId="0">IF(ISBLANK('Phyllis2 #2305 jute stick'!$C$19),#N/A,'Phyllis2 #2305 jute stick'!$C$19/100)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<sst xmlns="http://schemas.openxmlformats.org/spreadsheetml/2006/main" count="48" uniqueCount="48">
  <si>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</si>
  <si>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https://phyllis.nl/Biomass/View/2305</t>
  </si>
  <si>
    <t>jute stick (#2305)</t>
  </si>
  <si>
    <t>ID-number</t>
  </si>
  <si>
    <t>#2305</t>
  </si>
  <si>
    <t>Material</t>
  </si>
  <si>
    <t>jute stick</t>
  </si>
  <si>
    <t>Classification</t>
  </si>
  <si>
    <t>ECN Phyllis classification &gt; grass/plant &gt; jute &gt; jute stick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</si>
  <si>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</si>
  <si>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</si>
  <si>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</si>
  <si>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</si>
  <si>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Remarks</t>
  </si>
  <si>
    <t>compare ID 1452 ( first edition of report)</t>
  </si>
  <si>
    <t>Literature</t>
  </si>
  <si>
    <t>P.V.R. Iyer, T.R. Rao, P.D. Grover, N.P. Singh: Biomass Thermo-chemical Characterization (revised second edition), Indian Institute of Technology, Delhi, India (1997). Also in: Biomass and Bioenergy 22 (2002) 195-203.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</si>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</sst>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IFERROR(1.2*(1-w),"")</f>
        <v/>
      </c>
      <c r="D20" s="13">
        <v>1.2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IFERROR(47.79*(1-w),"")</f>
        <v/>
      </c>
      <c r="D22" s="13">
        <v>47.79</v>
      </c>
      <c r="E22" s="13">
        <v>48.370445344129557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IFERROR(6.61*(1-w),"")</f>
        <v/>
      </c>
      <c r="D23" s="13">
        <v>6.61</v>
      </c>
      <c r="E23" s="13">
        <v>6.690283400809717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IFERROR(42.63*(1-w),"")</f>
        <v/>
      </c>
      <c r="D24" s="13">
        <v>42.63</v>
      </c>
      <c r="E24" s="13">
        <v>43.147773279352229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IFERROR(1.77*(1-w),"")</f>
        <v/>
      </c>
      <c r="D25" s="13">
        <v>1.77</v>
      </c>
      <c r="E25" s="13">
        <v>1.7914979757085021</v>
      </c>
      <c r="F25" s="13"/>
      <c r="G25" s="13"/>
      <c r="I25" s="5"/>
      <c r="J25" s="0" t="s">
        <v>37</v>
      </c>
    </row>
    <row r="26" outlineLevel="2">
      <c r="A26" s="12" t="s">
        <v>42</v>
      </c>
      <c r="B26" s="0" t="s">
        <v>34</v>
      </c>
      <c r="C26" s="13">
        <f>IFERROR(100*(1-w)+w*100,"")</f>
        <v/>
      </c>
      <c r="D26" s="13">
        <v>100</v>
      </c>
      <c r="E26" s="13">
        <v>100</v>
      </c>
      <c r="F26" s="13"/>
      <c r="G26" s="13"/>
      <c r="I26" s="5"/>
      <c r="J26" s="0" t="s">
        <v>40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IFERROR(19.01*(1-w)-w*2.443,"")</f>
        <v/>
      </c>
      <c r="D28" s="13">
        <v>19.01</v>
      </c>
      <c r="E28" s="13">
        <v>19.24089068825911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IFERROR(20.45242*(1-w),"")</f>
        <v/>
      </c>
      <c r="D29" s="13">
        <v>20.45242</v>
      </c>
      <c r="E29" s="13">
        <v>20.70082995951417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IFERROR(19.68867032*(1-w),"")</f>
        <v/>
      </c>
      <c r="D30" s="13">
        <v>19.68867032</v>
      </c>
      <c r="E30" s="13">
        <v>19.927803967611336</v>
      </c>
      <c r="F30" s="13"/>
      <c r="G30" s="13"/>
      <c r="I30" s="5"/>
      <c r="J30" s="0" t="s">
        <v>40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https://phyllis.nl/Biomass/View/2305</dc:description>
  <dcterms:created xsi:type="dcterms:W3CDTF">2026-03-04T04:08:39Z</dcterms:created>
  <dc:title>Phyllis2 #2305 jute stick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