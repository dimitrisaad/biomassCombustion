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07 coffee husk" sheetId="1" r:id="rId1"/>
  </sheets>
  <definedNames>
    <definedName name="w" localSheetId="0">IF(ISBLANK('Phyllis2 #2307 coffee husk'!$C$18),#N/A,'Phyllis2 #2307 coffee husk'!$C$18/100)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<sst xmlns="http://schemas.openxmlformats.org/spreadsheetml/2006/main" count="51" uniqueCount="51">
  <si>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</si>
  <si>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https://phyllis.nl/Biomass/View/2307</t>
  </si>
  <si>
    <t>coffee husk (#2307)</t>
  </si>
  <si>
    <t>ID-number</t>
  </si>
  <si>
    <t>#2307</t>
  </si>
  <si>
    <t>Material</t>
  </si>
  <si>
    <t>coffee husk</t>
  </si>
  <si>
    <t>Classification</t>
  </si>
  <si>
    <t>ECN Phyllis classification &gt; husk/shell/pit &gt; others &gt; coffee husk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</si>
  <si>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</si>
  <si>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</si>
  <si>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</si>
  <si>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</si>
  <si>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Literature</t>
  </si>
  <si>
    <t>P.V.R. Iyer, T.R. Rao, P.D. Grover, N.P. Singh: Biomass Thermo-chemical Characterization (revised second edition), Indian Institute of Technology, Delhi, India (1997). Also in: Biomass and Bioenergy 22 (2002) 195-203.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</si>
  <si>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</si>
  <si>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</si>
  <si>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</si>
  <si>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</si>
  <si>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</si>
  <si>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</si>
  <si>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</si>
  <si>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</si>
  <si>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</si>
  <si>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</si>
  <si>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</si>
  <si>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</si>
  <si>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</si>
  <si>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</si>
  <si>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</si>
  <si>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</si>
  <si>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</si>
  <si>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</si>
  <si>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</si>
  <si>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</si>
  <si>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</si>
  <si>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</si>
  <si>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</si>
  <si>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</si>
  <si>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</si>
  <si>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</si>
  <si>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</si>
  <si>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</si>
  <si>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</si>
  <si>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</si>
  <si>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</si>
  <si>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</si>
  <si>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</si>
  <si>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</si>
  <si>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FT (fluid temperature)</t>
  </si>
  <si>
    <t>°C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</si>
</sst>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37474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IFERROR(11.61*(1-w),"")</f>
        <v/>
      </c>
      <c r="D19" s="13">
        <v>11.61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IFERROR(46.46*(1-w),"")</f>
        <v/>
      </c>
      <c r="D21" s="13">
        <v>46.46</v>
      </c>
      <c r="E21" s="13">
        <v>52.562507070935624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IFERROR(6.26*(1-w),"")</f>
        <v/>
      </c>
      <c r="D22" s="13">
        <v>6.26</v>
      </c>
      <c r="E22" s="13">
        <v>7.0822491232039821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IFERROR(34.95*(1-w),"")</f>
        <v/>
      </c>
      <c r="D23" s="13">
        <v>34.95</v>
      </c>
      <c r="E23" s="13">
        <v>39.540672021721917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IFERROR(0.72*(1-w),"")</f>
        <v/>
      </c>
      <c r="D24" s="13">
        <v>0.72</v>
      </c>
      <c r="E24" s="13">
        <v>0.8145717841384772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IFERROR(100*(1-w)+w*100,"")</f>
        <v/>
      </c>
      <c r="D25" s="13">
        <v>100</v>
      </c>
      <c r="E25" s="13">
        <v>100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IFERROR(17.56*(1-w)-w*2.443,"")</f>
        <v/>
      </c>
      <c r="D27" s="13">
        <v>17.56</v>
      </c>
      <c r="E27" s="13">
        <v>19.866500735377304</v>
      </c>
      <c r="F27" s="13"/>
      <c r="G27" s="13"/>
      <c r="I27" s="5"/>
    </row>
    <row r="28" outlineLevel="2">
      <c r="A28" s="12" t="s">
        <v>45</v>
      </c>
      <c r="B28" s="0" t="s">
        <v>44</v>
      </c>
      <c r="C28" s="13">
        <f>IFERROR(18.92604*(1-w),"")</f>
        <v/>
      </c>
      <c r="D28" s="13">
        <v>18.92604</v>
      </c>
      <c r="E28" s="13">
        <v>21.411969679828037</v>
      </c>
      <c r="F28" s="13"/>
      <c r="G28" s="13"/>
      <c r="I28" s="5"/>
    </row>
    <row r="29" outlineLevel="2">
      <c r="A29" s="12" t="s">
        <v>46</v>
      </c>
      <c r="B29" s="0" t="s">
        <v>44</v>
      </c>
      <c r="C29" s="13">
        <f>IFERROR(19.6811701913*(1-w),"")</f>
        <v/>
      </c>
      <c r="D29" s="13">
        <v>19.681170191299998</v>
      </c>
      <c r="E29" s="13">
        <v>22.266285995361464</v>
      </c>
      <c r="F29" s="13"/>
      <c r="G29" s="13"/>
      <c r="I29" s="5"/>
      <c r="J29" s="0" t="s">
        <v>39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6">
        <v>1020</v>
      </c>
      <c r="D32" s="16"/>
      <c r="E32" s="16"/>
      <c r="F32" s="16"/>
      <c r="G32" s="16"/>
      <c r="I32" s="5"/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https://phyllis.nl/Biomass/View/2307</dc:description>
  <dcterms:created xsi:type="dcterms:W3CDTF">2026-03-17T05:43:25Z</dcterms:created>
  <dc:title>Phyllis2 #2307 coffee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