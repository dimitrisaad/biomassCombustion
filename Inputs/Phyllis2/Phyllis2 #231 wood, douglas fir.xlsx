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1 wood, douglas fir" sheetId="1" r:id="rId1"/>
  </sheets>
  <definedNames>
    <definedName name="w" localSheetId="0">IF(ISBLANK('Phyllis2 #231 wood, douglas fir'!$C$17),#N/A,'Phyllis2 #231 wood, douglas fir'!$C$17/100)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<sst xmlns="http://schemas.openxmlformats.org/spreadsheetml/2006/main" count="48" uniqueCount="48">
  <si>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</si>
  <si>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https://phyllis.nl/Biomass/View/231</t>
  </si>
  <si>
    <t>wood, douglas fir (#231)</t>
  </si>
  <si>
    <t>ID-number</t>
  </si>
  <si>
    <t>#231</t>
  </si>
  <si>
    <t>Material</t>
  </si>
  <si>
    <t>wood, douglas fir</t>
  </si>
  <si>
    <t>Classification</t>
  </si>
  <si>
    <t>ECN Phyllis classification &gt; untreated wood &gt; fir/pine/spruce &gt; wood, douglas fir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</si>
  <si>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</si>
  <si>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</si>
  <si>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</si>
  <si>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</si>
  <si>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S. Gaur and T. B. Reed: Thermal data for natural and synthetic fuels, Marcel Dekker, New York, 259 p.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</si>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</sst>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IFERROR(0.8*(1-w),"")</f>
        <v/>
      </c>
      <c r="D18" s="11">
        <v>0.8</v>
      </c>
      <c r="E18" s="11">
        <v/>
      </c>
      <c r="F18" s="11"/>
      <c r="G18" s="11"/>
      <c r="I18" s="12"/>
    </row>
    <row r="19" outlineLevel="2">
      <c r="A19" s="10" t="s">
        <v>33</v>
      </c>
      <c r="B19" s="0" t="s">
        <v>32</v>
      </c>
      <c r="C19" s="11">
        <f>IFERROR(81.5*(1-w),"")</f>
        <v/>
      </c>
      <c r="D19" s="11">
        <v>81.5</v>
      </c>
      <c r="E19" s="11">
        <v>82.157258064516128</v>
      </c>
      <c r="F19" s="11"/>
      <c r="G19" s="11"/>
      <c r="I19" s="12"/>
    </row>
    <row r="20" outlineLevel="2">
      <c r="A20" s="10" t="s">
        <v>34</v>
      </c>
      <c r="B20" s="0" t="s">
        <v>32</v>
      </c>
      <c r="C20" s="11">
        <f>IFERROR(17.7*(1-w),"")</f>
        <v/>
      </c>
      <c r="D20" s="11">
        <v>17.700000000000003</v>
      </c>
      <c r="E20" s="11">
        <v>17.842741935483875</v>
      </c>
      <c r="F20" s="11"/>
      <c r="G20" s="11"/>
      <c r="I20" s="12"/>
      <c r="J20" s="0" t="s">
        <v>35</v>
      </c>
    </row>
    <row r="21" outlineLevel="1">
      <c r="A21" s="9" t="s">
        <v>36</v>
      </c>
      <c r="I21" s="12"/>
    </row>
    <row r="22" outlineLevel="2">
      <c r="A22" s="10" t="s">
        <v>37</v>
      </c>
      <c r="B22" s="0" t="s">
        <v>32</v>
      </c>
      <c r="C22" s="11">
        <f>IFERROR(52.3*(1-w),"")</f>
        <v/>
      </c>
      <c r="D22" s="11">
        <v>52.3</v>
      </c>
      <c r="E22" s="11">
        <v>52.721774193548384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IFERROR(6.3*(1-w),"")</f>
        <v/>
      </c>
      <c r="D23" s="11">
        <v>6.3</v>
      </c>
      <c r="E23" s="11">
        <v>6.350806451612903</v>
      </c>
      <c r="F23" s="11"/>
      <c r="G23" s="11"/>
      <c r="I23" s="12"/>
      <c r="J23" s="0" t="s">
        <v>38</v>
      </c>
    </row>
    <row r="24" outlineLevel="2">
      <c r="A24" s="10" t="s">
        <v>40</v>
      </c>
      <c r="B24" s="0" t="s">
        <v>32</v>
      </c>
      <c r="C24" s="11">
        <f>IFERROR(40.5*(1-w),"")</f>
        <v/>
      </c>
      <c r="D24" s="11">
        <v>40.5</v>
      </c>
      <c r="E24" s="11">
        <v>40.826612903225808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IFERROR(0.1*(1-w),"")</f>
        <v/>
      </c>
      <c r="D25" s="11">
        <v>0.1</v>
      </c>
      <c r="E25" s="11">
        <v>0.10080645161290323</v>
      </c>
      <c r="F25" s="11"/>
      <c r="G25" s="11"/>
      <c r="I25" s="12"/>
      <c r="J25" s="0" t="s">
        <v>38</v>
      </c>
    </row>
    <row r="26" outlineLevel="2">
      <c r="A26" s="10" t="s">
        <v>42</v>
      </c>
      <c r="B26" s="0" t="s">
        <v>32</v>
      </c>
      <c r="C26" s="11">
        <f>IFERROR(100*(1-w)+w*100,"")</f>
        <v/>
      </c>
      <c r="D26" s="11">
        <v>99.999999999999986</v>
      </c>
      <c r="E26" s="11">
        <v>99.999999999999986</v>
      </c>
      <c r="F26" s="11"/>
      <c r="G26" s="11"/>
      <c r="I26" s="12"/>
      <c r="J26" s="0" t="s">
        <v>35</v>
      </c>
    </row>
    <row r="27" outlineLevel="1">
      <c r="A27" s="9" t="s">
        <v>43</v>
      </c>
      <c r="I27" s="12"/>
    </row>
    <row r="28" outlineLevel="2">
      <c r="A28" s="10" t="s">
        <v>44</v>
      </c>
      <c r="B28" s="0" t="s">
        <v>45</v>
      </c>
      <c r="C28" s="11">
        <f>IFERROR(19.67523*(1-w)-w*2.443,"")</f>
        <v/>
      </c>
      <c r="D28" s="11">
        <v>19.67523</v>
      </c>
      <c r="E28" s="11">
        <v>19.833901209677418</v>
      </c>
      <c r="F28" s="11"/>
      <c r="G28" s="11"/>
      <c r="I28" s="12"/>
    </row>
    <row r="29" outlineLevel="2">
      <c r="A29" s="10" t="s">
        <v>46</v>
      </c>
      <c r="B29" s="0" t="s">
        <v>45</v>
      </c>
      <c r="C29" s="11">
        <f>IFERROR(21.05*(1-w),"")</f>
        <v/>
      </c>
      <c r="D29" s="11">
        <v>21.05</v>
      </c>
      <c r="E29" s="11">
        <v>21.219758064516132</v>
      </c>
      <c r="F29" s="11"/>
      <c r="G29" s="11"/>
      <c r="I29" s="12"/>
    </row>
    <row r="30" outlineLevel="2">
      <c r="A30" s="10" t="s">
        <v>47</v>
      </c>
      <c r="B30" s="0" t="s">
        <v>45</v>
      </c>
      <c r="C30" s="11">
        <f>IFERROR(21.27875792*(1-w),"")</f>
        <v/>
      </c>
      <c r="D30" s="11">
        <v>21.278757920000004</v>
      </c>
      <c r="E30" s="11">
        <v>21.450360806451616</v>
      </c>
      <c r="F30" s="11"/>
      <c r="G30" s="11"/>
      <c r="I30" s="12"/>
      <c r="J30" s="0" t="s">
        <v>35</v>
      </c>
    </row>
    <row r="31">
      <c r="I31" s="12"/>
    </row>
    <row r="32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https://phyllis.nl/Biomass/View/231</dc:description>
  <dcterms:created xsi:type="dcterms:W3CDTF">2026-03-19T04:22:10Z</dcterms:created>
  <dc:title>Phyllis2 #231 wood, douglas fir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