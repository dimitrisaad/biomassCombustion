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314 almond shells" sheetId="1" r:id="rId1"/>
  </sheets>
  <definedNames>
    <definedName name="w" localSheetId="0">IF(ISBLANK('Phyllis2 #2314 almond shells'!$C$19),#N/A,'Phyllis2 #2314 almond shells'!$C$19/100)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<sst xmlns="http://schemas.openxmlformats.org/spreadsheetml/2006/main" count="73" uniqueCount="73">
  <si>
    <t>Phyllis2</t>
  </si>
  <si>
    <t>https://phyllis.nl/Biomass/View/2314</t>
  </si>
  <si>
    <t>almond shells (#2314)</t>
  </si>
  <si>
    <t>ID-number</t>
  </si>
  <si>
    <t>#2314</t>
  </si>
  <si>
    <t>Material</t>
  </si>
  <si>
    <t>almond shells</t>
  </si>
  <si>
    <t>Classification</t>
  </si>
  <si>
    <t>ECN Phyllis classification &gt; husk/shell/pit &gt; almond &gt; almond shells</t>
  </si>
  <si>
    <t>NTA 8003 classification &gt; [200] biomassa uit land- en tuinbouw &gt; [230] restproducten (doppen) &gt; [235] amandeldoppen</t>
  </si>
  <si>
    <t>Submitter organisation</t>
  </si>
  <si>
    <t>ECN (Netherlands)</t>
  </si>
  <si>
    <t>Submission date</t>
  </si>
  <si>
    <t>Remarks</t>
  </si>
  <si>
    <t>extractive matter (alcohol/benzene 1/1) 2.7%; cellulose etc. extractive-free</t>
  </si>
  <si>
    <t>Literature</t>
  </si>
  <si>
    <t>Demirbas, A.: Fuel characteristics of olive husk and walnut, hazelnut, sunflower, and almond shells. Energy Sources 24 (2002) 215-221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</si>
  <si>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</si>
  <si>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</si>
  <si>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</si>
  <si>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</si>
  <si>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</si>
  <si>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</si>
  <si>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</si>
  <si>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</si>
  <si>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</si>
  <si>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</si>
  <si>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</si>
  <si>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</si>
  <si>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</si>
  <si>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</si>
  <si>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</si>
  <si>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</si>
  <si>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</si>
  <si>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</si>
  <si>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</si>
  <si>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</si>
  <si>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</si>
  <si>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</si>
  <si>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</si>
  <si>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</si>
  <si>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</si>
  <si>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</si>
  <si>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</si>
  <si>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</si>
  <si>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</si>
  <si>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</si>
  <si>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</si>
  <si>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</si>
  <si>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</si>
  <si>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</si>
  <si>
    <t>Biochemical analysis</t>
  </si>
  <si>
    <t>Cellulose, hemicellulose, lignin</t>
  </si>
  <si>
    <t>Cellulose</t>
  </si>
  <si>
    <t>wt% (dry)</t>
  </si>
  <si>
    <t>Hemicellulose</t>
  </si>
  <si>
    <t>Lignin</t>
  </si>
  <si>
    <t>Other</t>
  </si>
  <si>
    <t>Extractives EtOH/toluene</t>
  </si>
  <si>
    <t>Total ash + biochemical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</si>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</sst>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6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31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37494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/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34</v>
      </c>
      <c r="C20" s="13">
        <f>IFERROR(3.3*(1-w),"")</f>
        <v/>
      </c>
      <c r="D20" s="13">
        <v>3.3</v>
      </c>
      <c r="E20" s="13">
        <v/>
      </c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IFERROR(74*(1-w),"")</f>
        <v/>
      </c>
      <c r="D21" s="13">
        <v>74</v>
      </c>
      <c r="E21" s="13">
        <v>76.5253360910031</v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IFERROR(22.7*(1-w),"")</f>
        <v/>
      </c>
      <c r="D22" s="13">
        <v>22.700000000000003</v>
      </c>
      <c r="E22" s="13">
        <v>23.474663908996902</v>
      </c>
      <c r="F22" s="13"/>
      <c r="G22" s="13"/>
      <c r="I22" s="5"/>
      <c r="J22" s="0" t="s">
        <v>37</v>
      </c>
    </row>
    <row r="23" outlineLevel="1">
      <c r="A23" s="11" t="s">
        <v>38</v>
      </c>
      <c r="I23" s="5"/>
    </row>
    <row r="24" outlineLevel="2">
      <c r="A24" s="12" t="s">
        <v>39</v>
      </c>
      <c r="B24" s="0" t="s">
        <v>34</v>
      </c>
      <c r="C24" s="13">
        <f>IFERROR(47.9*(1-w),"")</f>
        <v/>
      </c>
      <c r="D24" s="13">
        <v>47.9</v>
      </c>
      <c r="E24" s="13">
        <v>49.534643226473626</v>
      </c>
      <c r="F24" s="13"/>
      <c r="G24" s="13"/>
      <c r="I24" s="5"/>
      <c r="J24" s="0" t="s">
        <v>40</v>
      </c>
    </row>
    <row r="25" outlineLevel="2">
      <c r="A25" s="12" t="s">
        <v>41</v>
      </c>
      <c r="B25" s="0" t="s">
        <v>34</v>
      </c>
      <c r="C25" s="13">
        <f>IFERROR(6*(1-w),"")</f>
        <v/>
      </c>
      <c r="D25" s="13">
        <v>6</v>
      </c>
      <c r="E25" s="13">
        <v>6.2047569803516032</v>
      </c>
      <c r="F25" s="13"/>
      <c r="G25" s="13"/>
      <c r="I25" s="5"/>
      <c r="J25" s="0" t="s">
        <v>40</v>
      </c>
    </row>
    <row r="26" outlineLevel="2">
      <c r="A26" s="12" t="s">
        <v>42</v>
      </c>
      <c r="B26" s="0" t="s">
        <v>34</v>
      </c>
      <c r="C26" s="13">
        <f>IFERROR(41.6*(1-w),"")</f>
        <v/>
      </c>
      <c r="D26" s="13">
        <v>41.6</v>
      </c>
      <c r="E26" s="13">
        <v>43.019648397104447</v>
      </c>
      <c r="F26" s="13"/>
      <c r="G26" s="13"/>
      <c r="I26" s="5"/>
      <c r="J26" s="0" t="s">
        <v>37</v>
      </c>
    </row>
    <row r="27" outlineLevel="2">
      <c r="A27" s="12" t="s">
        <v>43</v>
      </c>
      <c r="B27" s="0" t="s">
        <v>34</v>
      </c>
      <c r="C27" s="13">
        <f>IFERROR(1.1*(1-w),"")</f>
        <v/>
      </c>
      <c r="D27" s="13">
        <v>1.1</v>
      </c>
      <c r="E27" s="13">
        <v>1.1375387797311274</v>
      </c>
      <c r="F27" s="13"/>
      <c r="G27" s="13"/>
      <c r="I27" s="5"/>
      <c r="J27" s="0" t="s">
        <v>40</v>
      </c>
    </row>
    <row r="28" outlineLevel="2">
      <c r="A28" s="12" t="s">
        <v>44</v>
      </c>
      <c r="B28" s="0" t="s">
        <v>34</v>
      </c>
      <c r="C28" s="13">
        <f>IFERROR(0.06*(1-w),"")</f>
        <v/>
      </c>
      <c r="D28" s="13">
        <v>0.06</v>
      </c>
      <c r="E28" s="13">
        <v>0.062047569803516028</v>
      </c>
      <c r="F28" s="13"/>
      <c r="G28" s="13"/>
      <c r="I28" s="5"/>
      <c r="J28" s="0" t="s">
        <v>40</v>
      </c>
    </row>
    <row r="29" outlineLevel="2">
      <c r="A29" s="12" t="s">
        <v>45</v>
      </c>
      <c r="B29" s="0" t="s">
        <v>34</v>
      </c>
      <c r="C29" s="13">
        <f>IFERROR(99.96*(1-w)+w*100,"")</f>
        <v/>
      </c>
      <c r="D29" s="13">
        <v>99.96</v>
      </c>
      <c r="E29" s="13">
        <v>99.958634953464326</v>
      </c>
      <c r="F29" s="13"/>
      <c r="G29" s="13"/>
      <c r="I29" s="5"/>
      <c r="J29" s="0" t="s">
        <v>37</v>
      </c>
    </row>
    <row r="30" outlineLevel="1">
      <c r="A30" s="11" t="s">
        <v>46</v>
      </c>
      <c r="I30" s="5"/>
    </row>
    <row r="31" outlineLevel="2">
      <c r="A31" s="12" t="s">
        <v>47</v>
      </c>
      <c r="B31" s="0" t="s">
        <v>48</v>
      </c>
      <c r="C31" s="13">
        <f>IFERROR(17.4907*(1-w)-w*2.443,"")</f>
        <v/>
      </c>
      <c r="D31" s="13">
        <v>17.4907</v>
      </c>
      <c r="E31" s="13">
        <v>18.087590486039296</v>
      </c>
      <c r="F31" s="13"/>
      <c r="G31" s="13"/>
      <c r="I31" s="5"/>
    </row>
    <row r="32" outlineLevel="2">
      <c r="A32" s="12" t="s">
        <v>49</v>
      </c>
      <c r="B32" s="0" t="s">
        <v>48</v>
      </c>
      <c r="C32" s="13">
        <f>IFERROR(18.8*(1-w),"")</f>
        <v/>
      </c>
      <c r="D32" s="13">
        <v>18.8</v>
      </c>
      <c r="E32" s="13">
        <v>19.441571871768357</v>
      </c>
      <c r="F32" s="13"/>
      <c r="G32" s="13"/>
      <c r="I32" s="5"/>
    </row>
    <row r="33" outlineLevel="2">
      <c r="A33" s="12" t="s">
        <v>50</v>
      </c>
      <c r="B33" s="0" t="s">
        <v>48</v>
      </c>
      <c r="C33" s="13">
        <f>IFERROR(19.09719217*(1-w),"")</f>
        <v/>
      </c>
      <c r="D33" s="13">
        <v>19.097192170000003</v>
      </c>
      <c r="E33" s="13">
        <v>19.748906070320583</v>
      </c>
      <c r="F33" s="13"/>
      <c r="G33" s="13"/>
      <c r="I33" s="5"/>
      <c r="J33" s="0" t="s">
        <v>37</v>
      </c>
    </row>
    <row r="34" outlineLevel="1">
      <c r="A34" s="11" t="s">
        <v>51</v>
      </c>
      <c r="I34" s="5"/>
    </row>
    <row r="35" outlineLevel="2">
      <c r="A35" s="14" t="s">
        <v>52</v>
      </c>
      <c r="I35" s="5"/>
    </row>
    <row r="36" outlineLevel="3">
      <c r="A36" s="15" t="s">
        <v>53</v>
      </c>
      <c r="B36" s="0" t="s">
        <v>54</v>
      </c>
      <c r="C36" s="13">
        <v>50.7</v>
      </c>
      <c r="D36" s="13"/>
      <c r="E36" s="13"/>
      <c r="F36" s="13"/>
      <c r="G36" s="13"/>
      <c r="I36" s="5"/>
      <c r="J36" s="0" t="s">
        <v>40</v>
      </c>
    </row>
    <row r="37" outlineLevel="3">
      <c r="A37" s="15" t="s">
        <v>55</v>
      </c>
      <c r="B37" s="0" t="s">
        <v>54</v>
      </c>
      <c r="C37" s="13">
        <v>28.9</v>
      </c>
      <c r="D37" s="13"/>
      <c r="E37" s="13"/>
      <c r="F37" s="13"/>
      <c r="G37" s="13"/>
      <c r="I37" s="5"/>
      <c r="J37" s="0" t="s">
        <v>40</v>
      </c>
    </row>
    <row r="38" outlineLevel="3">
      <c r="A38" s="15" t="s">
        <v>56</v>
      </c>
      <c r="B38" s="0" t="s">
        <v>54</v>
      </c>
      <c r="C38" s="13">
        <v>20.4</v>
      </c>
      <c r="D38" s="13"/>
      <c r="E38" s="13"/>
      <c r="F38" s="13"/>
      <c r="G38" s="13"/>
      <c r="I38" s="5"/>
      <c r="J38" s="0" t="s">
        <v>40</v>
      </c>
    </row>
    <row r="39" outlineLevel="2">
      <c r="A39" s="14" t="s">
        <v>57</v>
      </c>
      <c r="I39" s="5"/>
    </row>
    <row r="40" outlineLevel="3">
      <c r="A40" s="15" t="s">
        <v>58</v>
      </c>
      <c r="B40" s="0" t="s">
        <v>54</v>
      </c>
      <c r="C40" s="13">
        <v>2.7</v>
      </c>
      <c r="D40" s="13"/>
      <c r="E40" s="13"/>
      <c r="F40" s="13"/>
      <c r="G40" s="13"/>
      <c r="I40" s="5"/>
      <c r="J40" s="0" t="s">
        <v>40</v>
      </c>
    </row>
    <row r="41" outlineLevel="3">
      <c r="A41" s="15" t="s">
        <v>59</v>
      </c>
      <c r="B41" s="0" t="s">
        <v>54</v>
      </c>
      <c r="C41" s="13">
        <v>106</v>
      </c>
      <c r="D41" s="13"/>
      <c r="E41" s="13"/>
      <c r="F41" s="13"/>
      <c r="G41" s="13"/>
      <c r="I41" s="5"/>
      <c r="J41" s="0" t="s">
        <v>37</v>
      </c>
    </row>
    <row r="42">
      <c r="A42" s="7" t="s">
        <v>60</v>
      </c>
      <c r="I42" s="5"/>
    </row>
    <row r="43" outlineLevel="1">
      <c r="A43" s="11" t="s">
        <v>61</v>
      </c>
      <c r="I43" s="5"/>
    </row>
    <row r="44" outlineLevel="2">
      <c r="A44" s="12" t="s">
        <v>62</v>
      </c>
      <c r="B44" s="0" t="s">
        <v>63</v>
      </c>
      <c r="C44" s="13">
        <v>0.8</v>
      </c>
      <c r="D44" s="13"/>
      <c r="E44" s="13"/>
      <c r="F44" s="13"/>
      <c r="G44" s="13"/>
      <c r="I44" s="5"/>
    </row>
    <row r="45" outlineLevel="2">
      <c r="A45" s="12" t="s">
        <v>64</v>
      </c>
      <c r="B45" s="0" t="s">
        <v>63</v>
      </c>
      <c r="C45" s="13">
        <v>4.5</v>
      </c>
      <c r="D45" s="13"/>
      <c r="E45" s="13"/>
      <c r="F45" s="13"/>
      <c r="G45" s="13"/>
      <c r="I45" s="5"/>
    </row>
    <row r="46" outlineLevel="2">
      <c r="A46" s="12" t="s">
        <v>65</v>
      </c>
      <c r="B46" s="0" t="s">
        <v>63</v>
      </c>
      <c r="C46" s="13">
        <v>10.7</v>
      </c>
      <c r="D46" s="13"/>
      <c r="E46" s="13"/>
      <c r="F46" s="13"/>
      <c r="G46" s="13"/>
      <c r="I46" s="5"/>
    </row>
    <row r="47" outlineLevel="2">
      <c r="A47" s="12" t="s">
        <v>66</v>
      </c>
      <c r="B47" s="0" t="s">
        <v>63</v>
      </c>
      <c r="C47" s="13">
        <v>2.8</v>
      </c>
      <c r="D47" s="13"/>
      <c r="E47" s="13"/>
      <c r="F47" s="13"/>
      <c r="G47" s="13"/>
      <c r="I47" s="5"/>
    </row>
    <row r="48" outlineLevel="2">
      <c r="A48" s="12" t="s">
        <v>67</v>
      </c>
      <c r="B48" s="0" t="s">
        <v>63</v>
      </c>
      <c r="C48" s="13">
        <v>2.7</v>
      </c>
      <c r="D48" s="13"/>
      <c r="E48" s="13"/>
      <c r="F48" s="13"/>
      <c r="G48" s="13"/>
      <c r="I48" s="5"/>
    </row>
    <row r="49" outlineLevel="2">
      <c r="A49" s="12" t="s">
        <v>68</v>
      </c>
      <c r="B49" s="0" t="s">
        <v>63</v>
      </c>
      <c r="C49" s="13">
        <v>10.5</v>
      </c>
      <c r="D49" s="13"/>
      <c r="E49" s="13"/>
      <c r="F49" s="13"/>
      <c r="G49" s="13"/>
      <c r="I49" s="5"/>
    </row>
    <row r="50" outlineLevel="2">
      <c r="A50" s="12" t="s">
        <v>69</v>
      </c>
      <c r="B50" s="0" t="s">
        <v>63</v>
      </c>
      <c r="C50" s="13">
        <v>5.2</v>
      </c>
      <c r="D50" s="13"/>
      <c r="E50" s="13"/>
      <c r="F50" s="13"/>
      <c r="G50" s="13"/>
      <c r="I50" s="5"/>
    </row>
    <row r="51" outlineLevel="2">
      <c r="A51" s="12" t="s">
        <v>70</v>
      </c>
      <c r="B51" s="0" t="s">
        <v>63</v>
      </c>
      <c r="C51" s="13">
        <v>1.6</v>
      </c>
      <c r="D51" s="13"/>
      <c r="E51" s="13"/>
      <c r="F51" s="13"/>
      <c r="G51" s="13"/>
      <c r="I51" s="5"/>
    </row>
    <row r="52" outlineLevel="2">
      <c r="A52" s="12" t="s">
        <v>71</v>
      </c>
      <c r="B52" s="0" t="s">
        <v>63</v>
      </c>
      <c r="C52" s="13">
        <v>48.7</v>
      </c>
      <c r="D52" s="13"/>
      <c r="E52" s="13"/>
      <c r="F52" s="13"/>
      <c r="G52" s="13"/>
      <c r="I52" s="5"/>
    </row>
    <row r="53" outlineLevel="2">
      <c r="A53" s="12" t="s">
        <v>72</v>
      </c>
      <c r="B53" s="0" t="s">
        <v>63</v>
      </c>
      <c r="C53" s="13">
        <v>0.1</v>
      </c>
      <c r="D53" s="13"/>
      <c r="E53" s="13"/>
      <c r="F53" s="13"/>
      <c r="G53" s="13"/>
      <c r="I53" s="5"/>
    </row>
    <row r="54">
      <c r="I54" s="5"/>
    </row>
    <row r="55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6:E36"/>
    <mergeCell ref="C37:E37"/>
    <mergeCell ref="C38:E38"/>
    <mergeCell ref="C40:E40"/>
    <mergeCell ref="C41:E41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https://phyllis.nl/Biomass/View/2314</dc:description>
  <dcterms:created xsi:type="dcterms:W3CDTF">2026-03-17T05:38:59Z</dcterms:created>
  <dc:title>Phyllis2 #2314 almond shells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