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2316 olive husk" sheetId="1" r:id="rId1"/>
  </sheets>
  <definedNames>
    <definedName name="w" localSheetId="0">IF(ISBLANK('Phyllis2 #2316 olive husk'!$C$19),#N/A,'Phyllis2 #2316 olive husk'!$C$19/100)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<sst xmlns="http://schemas.openxmlformats.org/spreadsheetml/2006/main" count="73" uniqueCount="73">
  <si>
    <t>Phyllis2</t>
  </si>
  <si>
    <t>https://phyllis.nl/Biomass/View/2316</t>
  </si>
  <si>
    <t>olive husk (#2316)</t>
  </si>
  <si>
    <t>ID-number</t>
  </si>
  <si>
    <t>#2316</t>
  </si>
  <si>
    <t>Material</t>
  </si>
  <si>
    <t>olive husk</t>
  </si>
  <si>
    <t>Classification</t>
  </si>
  <si>
    <t>ECN Phyllis classification &gt; husk/shell/pit &gt; olive &gt; olive husk</t>
  </si>
  <si>
    <t>NTA 8003 classification &gt; [500] biomassa uit de industrie &gt; [520] schillen/vliezen/pitten &gt; [524] olijven</t>
  </si>
  <si>
    <t>Submitter organisation</t>
  </si>
  <si>
    <t>ECN (Netherlands)</t>
  </si>
  <si>
    <t>Submission date</t>
  </si>
  <si>
    <t>Remarks</t>
  </si>
  <si>
    <t>extractive matter (alcohol/benzen 1/1) 9.4%; cellulose etc. extractive-free</t>
  </si>
  <si>
    <t>Literature</t>
  </si>
  <si>
    <t>Demirbas, A.: Fuel characteristics of olive husk and walnut, hazelnut, sunflower, and almond shells. Energy Sources 24 (2002) 215-221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</si>
  <si>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</si>
  <si>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</si>
  <si>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</si>
  <si>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</si>
  <si>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</si>
  <si>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</si>
  <si>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</si>
  <si>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</si>
  <si>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</si>
  <si>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</si>
  <si>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</si>
  <si>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</si>
  <si>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</si>
  <si>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</si>
  <si>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</si>
  <si>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 (ar)</t>
  </si>
  <si>
    <t>Ash content</t>
  </si>
  <si>
    <t>wt%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</si>
  <si>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</si>
  <si>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</si>
  <si>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</si>
  <si>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</si>
  <si>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</si>
  <si>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</si>
  <si>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</si>
  <si>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</si>
  <si>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</si>
  <si>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</si>
  <si>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</si>
  <si>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Heating value</t>
  </si>
  <si>
    <t>Net calorific value (LHV)</t>
  </si>
  <si>
    <t>MJ/kg</t>
  </si>
  <si>
    <t>Gross calorific value (HHV)</t>
  </si>
  <si>
    <t>HHVMilne</t>
  </si>
  <si>
    <t>Biochemical analysis</t>
  </si>
  <si>
    <t>Cellulose, hemicellulose, lignin</t>
  </si>
  <si>
    <t>Cellulose</t>
  </si>
  <si>
    <t>wt% (dry)</t>
  </si>
  <si>
    <t>Hemicellulose</t>
  </si>
  <si>
    <t>Lignin</t>
  </si>
  <si>
    <t>Other</t>
  </si>
  <si>
    <t>Extractives EtOH/toluene</t>
  </si>
  <si>
    <t>Total ash + biochemical</t>
  </si>
  <si>
    <t>Ash Properties</t>
  </si>
  <si>
    <t>Ash composition</t>
  </si>
  <si>
    <t>SO3</t>
  </si>
  <si>
    <t>wt% (ash)</t>
  </si>
  <si>
    <t>P2O5</t>
  </si>
  <si>
    <t>SiO2</t>
  </si>
  <si>
    <t>Fe2O3</t>
  </si>
  <si>
    <t>Al2O3</t>
  </si>
  <si>
    <t>CaO</t>
  </si>
  <si>
    <t>MgO</t>
  </si>
  <si>
    <t>Na2O</t>
  </si>
  <si>
    <t>K2O</t>
  </si>
  <si>
    <t>TiO2</t>
  </si>
</sst>
</file>

<file path=xl/styles.xml><?xml version="1.0" encoding="utf-8"?>
<styleSheet xmlns="http://schemas.openxmlformats.org/spreadsheetml/2006/main">
  <numFmts count="2">
    <numFmt numFmtId="164" formatCode="yyyy-mm-dd"/>
    <numFmt numFmtId="165" formatCode="#,0.0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6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2316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54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33.7364463806152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6">
        <v>37494</v>
      </c>
    </row>
    <row r="11" outlineLevel="1">
      <c r="A11" s="7" t="s">
        <v>13</v>
      </c>
      <c r="B11" s="0" t="s">
        <v>14</v>
      </c>
    </row>
    <row r="12" outlineLevel="1">
      <c r="A12" s="7" t="s">
        <v>15</v>
      </c>
      <c r="B12" s="0" t="s">
        <v>16</v>
      </c>
    </row>
    <row r="13">
      <c r="A13" s="7"/>
    </row>
    <row r="14" s="1" customFormat="1">
      <c r="A14" s="9" t="s">
        <v>17</v>
      </c>
    </row>
    <row r="15" s="1" customFormat="1">
      <c r="A15" s="10" t="s">
        <v>18</v>
      </c>
      <c r="B15" s="10" t="s">
        <v>19</v>
      </c>
      <c r="C15" s="10" t="s">
        <v>20</v>
      </c>
      <c r="D15" s="10"/>
      <c r="E15" s="10"/>
      <c r="F15" s="10" t="s">
        <v>21</v>
      </c>
      <c r="G15" s="10" t="s">
        <v>22</v>
      </c>
      <c r="H15" s="10" t="s">
        <v>23</v>
      </c>
      <c r="I15" s="10" t="s">
        <v>24</v>
      </c>
      <c r="J15" s="10" t="s">
        <v>25</v>
      </c>
      <c r="K15" s="10" t="s">
        <v>13</v>
      </c>
      <c r="L15" s="10"/>
    </row>
    <row r="16" s="1" customFormat="1">
      <c r="A16" s="10"/>
      <c r="B16" s="10"/>
      <c r="C16" s="10" t="s">
        <v>26</v>
      </c>
      <c r="D16" s="10" t="s">
        <v>27</v>
      </c>
      <c r="E16" s="10" t="s">
        <v>28</v>
      </c>
      <c r="F16" s="10"/>
      <c r="G16" s="10"/>
      <c r="H16" s="10"/>
      <c r="I16" s="10"/>
      <c r="J16" s="10"/>
      <c r="K16" s="10"/>
      <c r="L16" s="10"/>
    </row>
    <row r="17">
      <c r="A17" s="7" t="s">
        <v>29</v>
      </c>
      <c r="I17" s="5"/>
    </row>
    <row r="18" outlineLevel="1">
      <c r="A18" s="11" t="s">
        <v>30</v>
      </c>
      <c r="I18" s="5"/>
    </row>
    <row r="19" outlineLevel="2">
      <c r="A19" s="12" t="s">
        <v>31</v>
      </c>
      <c r="B19" s="0" t="s">
        <v>32</v>
      </c>
      <c r="C19" s="13">
        <v/>
      </c>
      <c r="D19" s="13"/>
      <c r="E19" s="13"/>
      <c r="F19" s="13"/>
      <c r="G19" s="13"/>
      <c r="I19" s="5"/>
    </row>
    <row r="20" outlineLevel="2">
      <c r="A20" s="12" t="s">
        <v>33</v>
      </c>
      <c r="B20" s="0" t="s">
        <v>34</v>
      </c>
      <c r="C20" s="13">
        <f>IFERROR(3.3*(1-w),"")</f>
        <v/>
      </c>
      <c r="D20" s="13">
        <v>3.3</v>
      </c>
      <c r="E20" s="13">
        <v/>
      </c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IFERROR(63.9*(1-w),"")</f>
        <v/>
      </c>
      <c r="D21" s="13">
        <v>63.9</v>
      </c>
      <c r="E21" s="13">
        <v>66.080661840744568</v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IFERROR(32.8*(1-w),"")</f>
        <v/>
      </c>
      <c r="D22" s="13">
        <v>32.800000000000004</v>
      </c>
      <c r="E22" s="13">
        <v>33.919338159255432</v>
      </c>
      <c r="F22" s="13"/>
      <c r="G22" s="13"/>
      <c r="I22" s="5"/>
      <c r="J22" s="0" t="s">
        <v>37</v>
      </c>
    </row>
    <row r="23" outlineLevel="1">
      <c r="A23" s="11" t="s">
        <v>38</v>
      </c>
      <c r="I23" s="5"/>
    </row>
    <row r="24" outlineLevel="2">
      <c r="A24" s="12" t="s">
        <v>39</v>
      </c>
      <c r="B24" s="0" t="s">
        <v>34</v>
      </c>
      <c r="C24" s="13">
        <f>IFERROR(52.8*(1-w),"")</f>
        <v/>
      </c>
      <c r="D24" s="13">
        <v>52.8</v>
      </c>
      <c r="E24" s="13">
        <v>54.601861427094107</v>
      </c>
      <c r="F24" s="13"/>
      <c r="G24" s="13"/>
      <c r="I24" s="5"/>
      <c r="J24" s="0" t="s">
        <v>40</v>
      </c>
    </row>
    <row r="25" outlineLevel="2">
      <c r="A25" s="12" t="s">
        <v>41</v>
      </c>
      <c r="B25" s="0" t="s">
        <v>34</v>
      </c>
      <c r="C25" s="13">
        <f>IFERROR(6.7*(1-w),"")</f>
        <v/>
      </c>
      <c r="D25" s="13">
        <v>6.7</v>
      </c>
      <c r="E25" s="13">
        <v>6.9286452947259569</v>
      </c>
      <c r="F25" s="13"/>
      <c r="G25" s="13"/>
      <c r="I25" s="5"/>
      <c r="J25" s="0" t="s">
        <v>40</v>
      </c>
    </row>
    <row r="26" outlineLevel="2">
      <c r="A26" s="12" t="s">
        <v>42</v>
      </c>
      <c r="B26" s="0" t="s">
        <v>34</v>
      </c>
      <c r="C26" s="13">
        <f>IFERROR(36.7*(1-w),"")</f>
        <v/>
      </c>
      <c r="D26" s="13">
        <v>36.7</v>
      </c>
      <c r="E26" s="13">
        <v>37.952430196483974</v>
      </c>
      <c r="F26" s="13"/>
      <c r="G26" s="13"/>
      <c r="I26" s="5"/>
      <c r="J26" s="0" t="s">
        <v>37</v>
      </c>
    </row>
    <row r="27" outlineLevel="2">
      <c r="A27" s="12" t="s">
        <v>43</v>
      </c>
      <c r="B27" s="0" t="s">
        <v>34</v>
      </c>
      <c r="C27" s="13">
        <f>IFERROR(0.5*(1-w),"")</f>
        <v/>
      </c>
      <c r="D27" s="13">
        <v>0.5</v>
      </c>
      <c r="E27" s="13">
        <v>0.51706308169596693</v>
      </c>
      <c r="F27" s="13"/>
      <c r="G27" s="13"/>
      <c r="I27" s="5"/>
      <c r="J27" s="0" t="s">
        <v>40</v>
      </c>
    </row>
    <row r="28" outlineLevel="2">
      <c r="A28" s="12" t="s">
        <v>44</v>
      </c>
      <c r="B28" s="0" t="s">
        <v>34</v>
      </c>
      <c r="C28" s="13">
        <f>IFERROR(0.05*(1-w),"")</f>
        <v/>
      </c>
      <c r="D28" s="13">
        <v>0.05</v>
      </c>
      <c r="E28" s="13">
        <v>0.0517063081695967</v>
      </c>
      <c r="F28" s="13"/>
      <c r="G28" s="13"/>
      <c r="I28" s="5"/>
      <c r="J28" s="0" t="s">
        <v>40</v>
      </c>
    </row>
    <row r="29" outlineLevel="2">
      <c r="A29" s="12" t="s">
        <v>45</v>
      </c>
      <c r="B29" s="0" t="s">
        <v>34</v>
      </c>
      <c r="C29" s="13">
        <f>IFERROR(100.05*(1-w)+w*100,"")</f>
        <v/>
      </c>
      <c r="D29" s="13">
        <v>100.05</v>
      </c>
      <c r="E29" s="13">
        <v>100.0517063081696</v>
      </c>
      <c r="F29" s="13"/>
      <c r="G29" s="13"/>
      <c r="I29" s="5"/>
      <c r="J29" s="0" t="s">
        <v>37</v>
      </c>
    </row>
    <row r="30" outlineLevel="1">
      <c r="A30" s="11" t="s">
        <v>46</v>
      </c>
      <c r="I30" s="5"/>
    </row>
    <row r="31" outlineLevel="2">
      <c r="A31" s="12" t="s">
        <v>47</v>
      </c>
      <c r="B31" s="0" t="s">
        <v>48</v>
      </c>
      <c r="C31" s="13">
        <f>IFERROR(19.43795*(1-w)-w*2.443,"")</f>
        <v/>
      </c>
      <c r="D31" s="13">
        <v>19.43795</v>
      </c>
      <c r="E31" s="13">
        <v>20.101292657704242</v>
      </c>
      <c r="F31" s="13"/>
      <c r="G31" s="13"/>
      <c r="I31" s="5"/>
    </row>
    <row r="32" outlineLevel="2">
      <c r="A32" s="12" t="s">
        <v>49</v>
      </c>
      <c r="B32" s="0" t="s">
        <v>48</v>
      </c>
      <c r="C32" s="13">
        <f>IFERROR(20.9*(1-w),"")</f>
        <v/>
      </c>
      <c r="D32" s="13">
        <v>20.9</v>
      </c>
      <c r="E32" s="13">
        <v>21.613236814891415</v>
      </c>
      <c r="F32" s="13"/>
      <c r="G32" s="13"/>
      <c r="I32" s="5"/>
    </row>
    <row r="33" outlineLevel="2">
      <c r="A33" s="12" t="s">
        <v>50</v>
      </c>
      <c r="B33" s="0" t="s">
        <v>48</v>
      </c>
      <c r="C33" s="13">
        <f>IFERROR(22.35280617*(1-w),"")</f>
        <v/>
      </c>
      <c r="D33" s="13">
        <v>22.35280617</v>
      </c>
      <c r="E33" s="13">
        <v>23.115621685625648</v>
      </c>
      <c r="F33" s="13"/>
      <c r="G33" s="13"/>
      <c r="I33" s="5"/>
      <c r="J33" s="0" t="s">
        <v>37</v>
      </c>
    </row>
    <row r="34" outlineLevel="1">
      <c r="A34" s="11" t="s">
        <v>51</v>
      </c>
      <c r="I34" s="5"/>
    </row>
    <row r="35" outlineLevel="2">
      <c r="A35" s="14" t="s">
        <v>52</v>
      </c>
      <c r="I35" s="5"/>
    </row>
    <row r="36" outlineLevel="3">
      <c r="A36" s="15" t="s">
        <v>53</v>
      </c>
      <c r="B36" s="0" t="s">
        <v>54</v>
      </c>
      <c r="C36" s="13">
        <v>24</v>
      </c>
      <c r="D36" s="13"/>
      <c r="E36" s="13"/>
      <c r="F36" s="13"/>
      <c r="G36" s="13"/>
      <c r="I36" s="5"/>
      <c r="J36" s="0" t="s">
        <v>40</v>
      </c>
    </row>
    <row r="37" outlineLevel="3">
      <c r="A37" s="15" t="s">
        <v>55</v>
      </c>
      <c r="B37" s="0" t="s">
        <v>54</v>
      </c>
      <c r="C37" s="13">
        <v>23.6</v>
      </c>
      <c r="D37" s="13"/>
      <c r="E37" s="13"/>
      <c r="F37" s="13"/>
      <c r="G37" s="13"/>
      <c r="I37" s="5"/>
      <c r="J37" s="0" t="s">
        <v>40</v>
      </c>
    </row>
    <row r="38" outlineLevel="3">
      <c r="A38" s="15" t="s">
        <v>56</v>
      </c>
      <c r="B38" s="0" t="s">
        <v>54</v>
      </c>
      <c r="C38" s="13">
        <v>48.4</v>
      </c>
      <c r="D38" s="13"/>
      <c r="E38" s="13"/>
      <c r="F38" s="13"/>
      <c r="G38" s="13"/>
      <c r="I38" s="5"/>
      <c r="J38" s="0" t="s">
        <v>40</v>
      </c>
    </row>
    <row r="39" outlineLevel="2">
      <c r="A39" s="14" t="s">
        <v>57</v>
      </c>
      <c r="I39" s="5"/>
    </row>
    <row r="40" outlineLevel="3">
      <c r="A40" s="15" t="s">
        <v>58</v>
      </c>
      <c r="B40" s="0" t="s">
        <v>54</v>
      </c>
      <c r="C40" s="13">
        <v>9.4</v>
      </c>
      <c r="D40" s="13"/>
      <c r="E40" s="13"/>
      <c r="F40" s="13"/>
      <c r="G40" s="13"/>
      <c r="I40" s="5"/>
      <c r="J40" s="0" t="s">
        <v>40</v>
      </c>
    </row>
    <row r="41" outlineLevel="3">
      <c r="A41" s="15" t="s">
        <v>59</v>
      </c>
      <c r="B41" s="0" t="s">
        <v>54</v>
      </c>
      <c r="C41" s="13">
        <v>108.7</v>
      </c>
      <c r="D41" s="13"/>
      <c r="E41" s="13"/>
      <c r="F41" s="13"/>
      <c r="G41" s="13"/>
      <c r="I41" s="5"/>
      <c r="J41" s="0" t="s">
        <v>37</v>
      </c>
    </row>
    <row r="42">
      <c r="A42" s="7" t="s">
        <v>60</v>
      </c>
      <c r="I42" s="5"/>
    </row>
    <row r="43" outlineLevel="1">
      <c r="A43" s="11" t="s">
        <v>61</v>
      </c>
      <c r="I43" s="5"/>
    </row>
    <row r="44" outlineLevel="2">
      <c r="A44" s="12" t="s">
        <v>62</v>
      </c>
      <c r="B44" s="0" t="s">
        <v>63</v>
      </c>
      <c r="C44" s="13">
        <v>0.6</v>
      </c>
      <c r="D44" s="13"/>
      <c r="E44" s="13"/>
      <c r="F44" s="13"/>
      <c r="G44" s="13"/>
      <c r="I44" s="5"/>
    </row>
    <row r="45" outlineLevel="2">
      <c r="A45" s="12" t="s">
        <v>64</v>
      </c>
      <c r="B45" s="0" t="s">
        <v>63</v>
      </c>
      <c r="C45" s="13">
        <v>2.5</v>
      </c>
      <c r="D45" s="13"/>
      <c r="E45" s="13"/>
      <c r="F45" s="13"/>
      <c r="G45" s="13"/>
      <c r="I45" s="5"/>
    </row>
    <row r="46" outlineLevel="2">
      <c r="A46" s="12" t="s">
        <v>65</v>
      </c>
      <c r="B46" s="0" t="s">
        <v>63</v>
      </c>
      <c r="C46" s="13">
        <v>29.4</v>
      </c>
      <c r="D46" s="13"/>
      <c r="E46" s="13"/>
      <c r="F46" s="13"/>
      <c r="G46" s="13"/>
      <c r="I46" s="5"/>
    </row>
    <row r="47" outlineLevel="2">
      <c r="A47" s="12" t="s">
        <v>66</v>
      </c>
      <c r="B47" s="0" t="s">
        <v>63</v>
      </c>
      <c r="C47" s="13">
        <v>6.3</v>
      </c>
      <c r="D47" s="13"/>
      <c r="E47" s="13"/>
      <c r="F47" s="13"/>
      <c r="G47" s="13"/>
      <c r="I47" s="5"/>
    </row>
    <row r="48" outlineLevel="2">
      <c r="A48" s="12" t="s">
        <v>67</v>
      </c>
      <c r="B48" s="0" t="s">
        <v>63</v>
      </c>
      <c r="C48" s="13">
        <v>8.4</v>
      </c>
      <c r="D48" s="13"/>
      <c r="E48" s="13"/>
      <c r="F48" s="13"/>
      <c r="G48" s="13"/>
      <c r="I48" s="5"/>
    </row>
    <row r="49" outlineLevel="2">
      <c r="A49" s="12" t="s">
        <v>68</v>
      </c>
      <c r="B49" s="0" t="s">
        <v>63</v>
      </c>
      <c r="C49" s="13">
        <v>14.5</v>
      </c>
      <c r="D49" s="13"/>
      <c r="E49" s="13"/>
      <c r="F49" s="13"/>
      <c r="G49" s="13"/>
      <c r="I49" s="5"/>
    </row>
    <row r="50" outlineLevel="2">
      <c r="A50" s="12" t="s">
        <v>69</v>
      </c>
      <c r="B50" s="0" t="s">
        <v>63</v>
      </c>
      <c r="C50" s="13">
        <v>4.2</v>
      </c>
      <c r="D50" s="13"/>
      <c r="E50" s="13"/>
      <c r="F50" s="13"/>
      <c r="G50" s="13"/>
      <c r="I50" s="5"/>
    </row>
    <row r="51" outlineLevel="2">
      <c r="A51" s="12" t="s">
        <v>70</v>
      </c>
      <c r="B51" s="0" t="s">
        <v>63</v>
      </c>
      <c r="C51" s="13">
        <v>26.2</v>
      </c>
      <c r="D51" s="13"/>
      <c r="E51" s="13"/>
      <c r="F51" s="13"/>
      <c r="G51" s="13"/>
      <c r="I51" s="5"/>
    </row>
    <row r="52" outlineLevel="2">
      <c r="A52" s="12" t="s">
        <v>71</v>
      </c>
      <c r="B52" s="0" t="s">
        <v>63</v>
      </c>
      <c r="C52" s="13">
        <v>4.3</v>
      </c>
      <c r="D52" s="13"/>
      <c r="E52" s="13"/>
      <c r="F52" s="13"/>
      <c r="G52" s="13"/>
      <c r="I52" s="5"/>
    </row>
    <row r="53" outlineLevel="2">
      <c r="A53" s="12" t="s">
        <v>72</v>
      </c>
      <c r="B53" s="0" t="s">
        <v>63</v>
      </c>
      <c r="C53" s="13">
        <v>0.3</v>
      </c>
      <c r="D53" s="13"/>
      <c r="E53" s="13"/>
      <c r="F53" s="13"/>
      <c r="G53" s="13"/>
      <c r="I53" s="5"/>
    </row>
    <row r="54">
      <c r="I54" s="5"/>
    </row>
    <row r="55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6:E36"/>
    <mergeCell ref="C37:E37"/>
    <mergeCell ref="C38:E38"/>
    <mergeCell ref="C40:E40"/>
    <mergeCell ref="C41:E41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</mergeCells>
  <dataValidations count="1">
    <dataValidation type="decimal" sqref="C19" errorStyle="stop" promptTitle="Enter moisture content" errorTitle="Invalid moisture content" prompt="Value should be between 0 and 100.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https://phyllis.nl/Biomass/View/2316</dc:description>
  <dcterms:created xsi:type="dcterms:W3CDTF">2026-03-17T05:41:55Z</dcterms:created>
  <dc:title>Phyllis2 #2316 olive husk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