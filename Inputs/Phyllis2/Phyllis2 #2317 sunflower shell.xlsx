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17 sunflower shell" sheetId="1" r:id="rId1"/>
  </sheets>
  <definedNames>
    <definedName name="w" localSheetId="0">IF(ISBLANK('Phyllis2 #2317 sunflower shell'!$C$19),#N/A,'Phyllis2 #2317 sunflower shell'!$C$19/100)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<sst xmlns="http://schemas.openxmlformats.org/spreadsheetml/2006/main" count="73" uniqueCount="73">
  <si>
    <t>Phyllis2</t>
  </si>
  <si>
    <t>https://phyllis.nl/Biomass/View/2317</t>
  </si>
  <si>
    <t>sunflower shell (#2317)</t>
  </si>
  <si>
    <t>ID-number</t>
  </si>
  <si>
    <t>#2317</t>
  </si>
  <si>
    <t>Material</t>
  </si>
  <si>
    <t>sunflower shell</t>
  </si>
  <si>
    <t>Classification</t>
  </si>
  <si>
    <t>ECN Phyllis classification &gt; husk/shell/pit &gt; sunflower &gt; sunflower shell</t>
  </si>
  <si>
    <t>NTA 8003 classification &gt; [200] biomassa uit land- en tuinbouw &gt; [230] restproducten (doppen) &gt; [239] overige doppen</t>
  </si>
  <si>
    <t>Submitter organisation</t>
  </si>
  <si>
    <t>ECN (Netherlands)</t>
  </si>
  <si>
    <t>Submission date</t>
  </si>
  <si>
    <t>Remarks</t>
  </si>
  <si>
    <t>extractive matter (alcohol/benzene 1/1) 2.7%; cellulose etc. extractive-free</t>
  </si>
  <si>
    <t>Literature</t>
  </si>
  <si>
    <t>Demirbas, A.: Fuel characteristics of olive husk and walnut, hazelnut, sunflower, and almond shells. Energy Sources 24 (2002) 215-221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</si>
  <si>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</si>
  <si>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</si>
  <si>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</si>
  <si>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</si>
  <si>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</si>
  <si>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</si>
  <si>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</si>
  <si>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</si>
  <si>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</si>
  <si>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</si>
  <si>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</si>
  <si>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</si>
  <si>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</si>
  <si>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</si>
  <si>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</si>
  <si>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</si>
  <si>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</si>
  <si>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</si>
  <si>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</si>
  <si>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</si>
  <si>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</si>
  <si>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</si>
  <si>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</si>
  <si>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</si>
  <si>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</si>
  <si>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</si>
  <si>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</si>
  <si>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</si>
  <si>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</si>
  <si>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</si>
  <si>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</si>
  <si>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</si>
  <si>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</si>
  <si>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</si>
  <si>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Biochemical analysis</t>
  </si>
  <si>
    <t>Cellulose, hemicellulose, lignin</t>
  </si>
  <si>
    <t>Cellulose</t>
  </si>
  <si>
    <t>wt% (dry)</t>
  </si>
  <si>
    <t>Hemicellulose</t>
  </si>
  <si>
    <t>Lignin</t>
  </si>
  <si>
    <t>Other</t>
  </si>
  <si>
    <t>Extractives EtOH/toluene</t>
  </si>
  <si>
    <t>Total ash + biochemical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</si>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</sst>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1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37494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IFERROR(4*(1-w),"")</f>
        <v/>
      </c>
      <c r="D20" s="13">
        <v>4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IFERROR(76.2*(1-w),"")</f>
        <v/>
      </c>
      <c r="D21" s="13">
        <v>76.2</v>
      </c>
      <c r="E21" s="13">
        <v>79.375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IFERROR(19.8*(1-w),"")</f>
        <v/>
      </c>
      <c r="D22" s="13">
        <v>19.799999999999997</v>
      </c>
      <c r="E22" s="13">
        <v>20.624999999999996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IFERROR(47.4*(1-w),"")</f>
        <v/>
      </c>
      <c r="D24" s="13">
        <v>47.4</v>
      </c>
      <c r="E24" s="13">
        <v>49.375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IFERROR(5.8*(1-w),"")</f>
        <v/>
      </c>
      <c r="D25" s="13">
        <v>5.8</v>
      </c>
      <c r="E25" s="13">
        <v>6.041666666666667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IFERROR(41.4*(1-w),"")</f>
        <v/>
      </c>
      <c r="D26" s="13">
        <v>41.4</v>
      </c>
      <c r="E26" s="13">
        <v>43.125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34</v>
      </c>
      <c r="C27" s="13">
        <f>IFERROR(1.4*(1-w),"")</f>
        <v/>
      </c>
      <c r="D27" s="13">
        <v>1.4</v>
      </c>
      <c r="E27" s="13">
        <v>1.4583333333333333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34</v>
      </c>
      <c r="C28" s="13">
        <f>IFERROR(0.05*(1-w),"")</f>
        <v/>
      </c>
      <c r="D28" s="13">
        <v>0.05</v>
      </c>
      <c r="E28" s="13">
        <v>0.052083333333333336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34</v>
      </c>
      <c r="C29" s="13">
        <f>IFERROR(100.05*(1-w)+w*100,"")</f>
        <v/>
      </c>
      <c r="D29" s="13">
        <v>100.05</v>
      </c>
      <c r="E29" s="13">
        <v>100.05208333333333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3">
        <f>IFERROR(16.73434*(1-w)-w*2.443,"")</f>
        <v/>
      </c>
      <c r="D31" s="13">
        <v>16.73434</v>
      </c>
      <c r="E31" s="13">
        <v>17.431604166666666</v>
      </c>
      <c r="F31" s="13"/>
      <c r="G31" s="13"/>
      <c r="I31" s="5"/>
    </row>
    <row r="32" outlineLevel="2">
      <c r="A32" s="12" t="s">
        <v>49</v>
      </c>
      <c r="B32" s="0" t="s">
        <v>48</v>
      </c>
      <c r="C32" s="13">
        <f>IFERROR(18*(1-w),"")</f>
        <v/>
      </c>
      <c r="D32" s="13">
        <v>18</v>
      </c>
      <c r="E32" s="13">
        <v>18.75</v>
      </c>
      <c r="F32" s="13"/>
      <c r="G32" s="13"/>
      <c r="I32" s="5"/>
    </row>
    <row r="33" outlineLevel="2">
      <c r="A33" s="12" t="s">
        <v>50</v>
      </c>
      <c r="B33" s="0" t="s">
        <v>48</v>
      </c>
      <c r="C33" s="13">
        <f>IFERROR(18.639678*(1-w),"")</f>
        <v/>
      </c>
      <c r="D33" s="13">
        <v>18.639678</v>
      </c>
      <c r="E33" s="13">
        <v>19.416331250000002</v>
      </c>
      <c r="F33" s="13"/>
      <c r="G33" s="13"/>
      <c r="I33" s="5"/>
      <c r="J33" s="0" t="s">
        <v>37</v>
      </c>
    </row>
    <row r="34" outlineLevel="1">
      <c r="A34" s="11" t="s">
        <v>51</v>
      </c>
      <c r="I34" s="5"/>
    </row>
    <row r="35" outlineLevel="2">
      <c r="A35" s="14" t="s">
        <v>52</v>
      </c>
      <c r="I35" s="5"/>
    </row>
    <row r="36" outlineLevel="3">
      <c r="A36" s="15" t="s">
        <v>53</v>
      </c>
      <c r="B36" s="0" t="s">
        <v>54</v>
      </c>
      <c r="C36" s="13">
        <v>48.4</v>
      </c>
      <c r="D36" s="13"/>
      <c r="E36" s="13"/>
      <c r="F36" s="13"/>
      <c r="G36" s="13"/>
      <c r="I36" s="5"/>
      <c r="J36" s="0" t="s">
        <v>40</v>
      </c>
    </row>
    <row r="37" outlineLevel="3">
      <c r="A37" s="15" t="s">
        <v>55</v>
      </c>
      <c r="B37" s="0" t="s">
        <v>54</v>
      </c>
      <c r="C37" s="13">
        <v>34.6</v>
      </c>
      <c r="D37" s="13"/>
      <c r="E37" s="13"/>
      <c r="F37" s="13"/>
      <c r="G37" s="13"/>
      <c r="I37" s="5"/>
      <c r="J37" s="0" t="s">
        <v>40</v>
      </c>
    </row>
    <row r="38" outlineLevel="3">
      <c r="A38" s="15" t="s">
        <v>56</v>
      </c>
      <c r="B38" s="0" t="s">
        <v>54</v>
      </c>
      <c r="C38" s="13">
        <v>17</v>
      </c>
      <c r="D38" s="13"/>
      <c r="E38" s="13"/>
      <c r="F38" s="13"/>
      <c r="G38" s="13"/>
      <c r="I38" s="5"/>
      <c r="J38" s="0" t="s">
        <v>40</v>
      </c>
    </row>
    <row r="39" outlineLevel="2">
      <c r="A39" s="14" t="s">
        <v>57</v>
      </c>
      <c r="I39" s="5"/>
    </row>
    <row r="40" outlineLevel="3">
      <c r="A40" s="15" t="s">
        <v>58</v>
      </c>
      <c r="B40" s="0" t="s">
        <v>54</v>
      </c>
      <c r="C40" s="13">
        <v>2.7</v>
      </c>
      <c r="D40" s="13"/>
      <c r="E40" s="13"/>
      <c r="F40" s="13"/>
      <c r="G40" s="13"/>
      <c r="I40" s="5"/>
      <c r="J40" s="0" t="s">
        <v>40</v>
      </c>
    </row>
    <row r="41" outlineLevel="3">
      <c r="A41" s="15" t="s">
        <v>59</v>
      </c>
      <c r="B41" s="0" t="s">
        <v>54</v>
      </c>
      <c r="C41" s="13">
        <v>106.7</v>
      </c>
      <c r="D41" s="13"/>
      <c r="E41" s="13"/>
      <c r="F41" s="13"/>
      <c r="G41" s="13"/>
      <c r="I41" s="5"/>
      <c r="J41" s="0" t="s">
        <v>37</v>
      </c>
    </row>
    <row r="42">
      <c r="A42" s="7" t="s">
        <v>60</v>
      </c>
      <c r="I42" s="5"/>
    </row>
    <row r="43" outlineLevel="1">
      <c r="A43" s="11" t="s">
        <v>61</v>
      </c>
      <c r="I43" s="5"/>
    </row>
    <row r="44" outlineLevel="2">
      <c r="A44" s="12" t="s">
        <v>62</v>
      </c>
      <c r="B44" s="0" t="s">
        <v>63</v>
      </c>
      <c r="C44" s="13">
        <v>1.3</v>
      </c>
      <c r="D44" s="13"/>
      <c r="E44" s="13"/>
      <c r="F44" s="13"/>
      <c r="G44" s="13"/>
      <c r="I44" s="5"/>
    </row>
    <row r="45" outlineLevel="2">
      <c r="A45" s="12" t="s">
        <v>64</v>
      </c>
      <c r="B45" s="0" t="s">
        <v>63</v>
      </c>
      <c r="C45" s="13">
        <v>4.8</v>
      </c>
      <c r="D45" s="13"/>
      <c r="E45" s="13"/>
      <c r="F45" s="13"/>
      <c r="G45" s="13"/>
      <c r="I45" s="5"/>
    </row>
    <row r="46" outlineLevel="2">
      <c r="A46" s="12" t="s">
        <v>65</v>
      </c>
      <c r="B46" s="0" t="s">
        <v>63</v>
      </c>
      <c r="C46" s="13">
        <v>16.6</v>
      </c>
      <c r="D46" s="13"/>
      <c r="E46" s="13"/>
      <c r="F46" s="13"/>
      <c r="G46" s="13"/>
      <c r="I46" s="5"/>
    </row>
    <row r="47" outlineLevel="2">
      <c r="A47" s="12" t="s">
        <v>66</v>
      </c>
      <c r="B47" s="0" t="s">
        <v>63</v>
      </c>
      <c r="C47" s="13">
        <v>2.1</v>
      </c>
      <c r="D47" s="13"/>
      <c r="E47" s="13"/>
      <c r="F47" s="13"/>
      <c r="G47" s="13"/>
      <c r="I47" s="5"/>
    </row>
    <row r="48" outlineLevel="2">
      <c r="A48" s="12" t="s">
        <v>67</v>
      </c>
      <c r="B48" s="0" t="s">
        <v>63</v>
      </c>
      <c r="C48" s="13">
        <v>2.9</v>
      </c>
      <c r="D48" s="13"/>
      <c r="E48" s="13"/>
      <c r="F48" s="13"/>
      <c r="G48" s="13"/>
      <c r="I48" s="5"/>
    </row>
    <row r="49" outlineLevel="2">
      <c r="A49" s="12" t="s">
        <v>68</v>
      </c>
      <c r="B49" s="0" t="s">
        <v>63</v>
      </c>
      <c r="C49" s="13">
        <v>15.8</v>
      </c>
      <c r="D49" s="13"/>
      <c r="E49" s="13"/>
      <c r="F49" s="13"/>
      <c r="G49" s="13"/>
      <c r="I49" s="5"/>
    </row>
    <row r="50" outlineLevel="2">
      <c r="A50" s="12" t="s">
        <v>69</v>
      </c>
      <c r="B50" s="0" t="s">
        <v>63</v>
      </c>
      <c r="C50" s="13">
        <v>6.1</v>
      </c>
      <c r="D50" s="13"/>
      <c r="E50" s="13"/>
      <c r="F50" s="13"/>
      <c r="G50" s="13"/>
      <c r="I50" s="5"/>
    </row>
    <row r="51" outlineLevel="2">
      <c r="A51" s="12" t="s">
        <v>70</v>
      </c>
      <c r="B51" s="0" t="s">
        <v>63</v>
      </c>
      <c r="C51" s="13">
        <v>1.5</v>
      </c>
      <c r="D51" s="13"/>
      <c r="E51" s="13"/>
      <c r="F51" s="13"/>
      <c r="G51" s="13"/>
      <c r="I51" s="5"/>
    </row>
    <row r="52" outlineLevel="2">
      <c r="A52" s="12" t="s">
        <v>71</v>
      </c>
      <c r="B52" s="0" t="s">
        <v>63</v>
      </c>
      <c r="C52" s="13">
        <v>35.6</v>
      </c>
      <c r="D52" s="13"/>
      <c r="E52" s="13"/>
      <c r="F52" s="13"/>
      <c r="G52" s="13"/>
      <c r="I52" s="5"/>
    </row>
    <row r="53" outlineLevel="2">
      <c r="A53" s="12" t="s">
        <v>72</v>
      </c>
      <c r="B53" s="0" t="s">
        <v>63</v>
      </c>
      <c r="C53" s="13">
        <v>0.1</v>
      </c>
      <c r="D53" s="13"/>
      <c r="E53" s="13"/>
      <c r="F53" s="13"/>
      <c r="G53" s="13"/>
      <c r="I53" s="5"/>
    </row>
    <row r="54">
      <c r="I54" s="5"/>
    </row>
    <row r="5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  <mergeCell ref="C37:E37"/>
    <mergeCell ref="C38:E38"/>
    <mergeCell ref="C40:E40"/>
    <mergeCell ref="C41:E41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https://phyllis.nl/Biomass/View/2317</dc:description>
  <dcterms:created xsi:type="dcterms:W3CDTF">2026-03-17T05:48:15Z</dcterms:created>
  <dc:title>Phyllis2 #2317 sunflower shell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