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8 walnut shell" sheetId="1" r:id="rId1"/>
  </sheets>
  <definedNames>
    <definedName name="w" localSheetId="0">IF(ISBLANK('Phyllis2 #2318 walnut shell'!$C$19),#N/A,'Phyllis2 #2318 walnut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<sst xmlns="http://schemas.openxmlformats.org/spreadsheetml/2006/main" count="73" uniqueCount="73">
  <si>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</si>
  <si>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https://phyllis.nl/Biomass/View/2318</t>
  </si>
  <si>
    <t>walnut shell (#2318)</t>
  </si>
  <si>
    <t>ID-number</t>
  </si>
  <si>
    <t>#2318</t>
  </si>
  <si>
    <t>Material</t>
  </si>
  <si>
    <t>walnut shell</t>
  </si>
  <si>
    <t>Classification</t>
  </si>
  <si>
    <t>ECN Phyllis classification &gt; husk/shell/pit &gt; walnut &gt; walnut shell</t>
  </si>
  <si>
    <t>NTA 8003 classification &gt; [200] biomassa uit land- en tuinbouw &gt; [230] restproducten (doppen) &gt; [234] (wal)noten</t>
  </si>
  <si>
    <t>Submitter organisation</t>
  </si>
  <si>
    <t>ECN (Netherlands)</t>
  </si>
  <si>
    <t>Submission date</t>
  </si>
  <si>
    <t>Remarks</t>
  </si>
  <si>
    <t>extractive matter (alcohol/benzene 1/1) 2,8%; cellulose etc. extractive-free</t>
  </si>
  <si>
    <t>Literature</t>
  </si>
  <si>
    <t>Demirbas, A.: Fuel characteristics of olive husk and walnut, hazelnut, sunflower, and almond shells. Energy Sources 24 (2002) 215-221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</si>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</sst>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IFERROR(2.8*(1-w),"")</f>
        <v/>
      </c>
      <c r="D20" s="13">
        <v>2.8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IFERROR(59.3*(1-w),"")</f>
        <v/>
      </c>
      <c r="D21" s="13">
        <v>59.3</v>
      </c>
      <c r="E21" s="13">
        <v>61.008230452674894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IFERROR(37.9*(1-w),"")</f>
        <v/>
      </c>
      <c r="D22" s="13">
        <v>37.900000000000006</v>
      </c>
      <c r="E22" s="13">
        <v>38.991769547325113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IFERROR(53.5*(1-w),"")</f>
        <v/>
      </c>
      <c r="D24" s="13">
        <v>53.5</v>
      </c>
      <c r="E24" s="13">
        <v>55.041152263374485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IFERROR(6.6*(1-w),"")</f>
        <v/>
      </c>
      <c r="D25" s="13">
        <v>6.6</v>
      </c>
      <c r="E25" s="13">
        <v>6.7901234567901234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IFERROR(35.5*(1-w),"")</f>
        <v/>
      </c>
      <c r="D26" s="13">
        <v>35.5</v>
      </c>
      <c r="E26" s="13">
        <v>36.522633744855966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IFERROR(1.5*(1-w),"")</f>
        <v/>
      </c>
      <c r="D27" s="13">
        <v>1.5</v>
      </c>
      <c r="E27" s="13">
        <v>1.5432098765432098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IFERROR(0.1*(1-w),"")</f>
        <v/>
      </c>
      <c r="D28" s="13">
        <v>0.1</v>
      </c>
      <c r="E28" s="13">
        <v>0.102880658436214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IFERROR(100*(1-w)+w*100,"")</f>
        <v/>
      </c>
      <c r="D29" s="13">
        <v>99.999999999999986</v>
      </c>
      <c r="E29" s="13">
        <v>99.999999999999986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IFERROR(20.15977*(1-w)-w*2.443,"")</f>
        <v/>
      </c>
      <c r="D31" s="13">
        <v>20.15977</v>
      </c>
      <c r="E31" s="13">
        <v>20.74050411522634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IFERROR(21.6*(1-w),"")</f>
        <v/>
      </c>
      <c r="D32" s="13">
        <v>21.6</v>
      </c>
      <c r="E32" s="13">
        <v>22.222222222222225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IFERROR(22.49391952*(1-w),"")</f>
        <v/>
      </c>
      <c r="D33" s="13">
        <v>22.493919519999995</v>
      </c>
      <c r="E33" s="13">
        <v>23.141892510288063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25.6</v>
      </c>
      <c r="D36" s="13"/>
      <c r="E36" s="13"/>
      <c r="F36" s="13"/>
      <c r="G36" s="13"/>
      <c r="I36" s="5"/>
      <c r="J36" s="0" t="s">
        <v>40</v>
      </c>
    </row>
    <row r="37" outlineLevel="3">
      <c r="A37" s="15" t="s">
        <v>55</v>
      </c>
      <c r="B37" s="0" t="s">
        <v>54</v>
      </c>
      <c r="C37" s="13">
        <v>22.1</v>
      </c>
      <c r="D37" s="13"/>
      <c r="E37" s="13"/>
      <c r="F37" s="13"/>
      <c r="G37" s="13"/>
      <c r="I37" s="5"/>
      <c r="J37" s="0" t="s">
        <v>40</v>
      </c>
    </row>
    <row r="38" outlineLevel="3">
      <c r="A38" s="15" t="s">
        <v>56</v>
      </c>
      <c r="B38" s="0" t="s">
        <v>54</v>
      </c>
      <c r="C38" s="13">
        <v>52.3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57</v>
      </c>
      <c r="I39" s="5"/>
    </row>
    <row r="40" outlineLevel="3">
      <c r="A40" s="15" t="s">
        <v>58</v>
      </c>
      <c r="B40" s="0" t="s">
        <v>54</v>
      </c>
      <c r="C40" s="13">
        <v>2.8</v>
      </c>
      <c r="D40" s="13"/>
      <c r="E40" s="13"/>
      <c r="F40" s="13"/>
      <c r="G40" s="13"/>
      <c r="I40" s="5"/>
      <c r="J40" s="0" t="s">
        <v>40</v>
      </c>
    </row>
    <row r="41" outlineLevel="3">
      <c r="A41" s="15" t="s">
        <v>59</v>
      </c>
      <c r="B41" s="0" t="s">
        <v>54</v>
      </c>
      <c r="C41" s="13">
        <v>105.6</v>
      </c>
      <c r="D41" s="13"/>
      <c r="E41" s="13"/>
      <c r="F41" s="13"/>
      <c r="G41" s="13"/>
      <c r="I41" s="5"/>
      <c r="J41" s="0" t="s">
        <v>37</v>
      </c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2.2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6.2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9.9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1.5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2.4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16.6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13.4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63</v>
      </c>
      <c r="C51" s="13">
        <v>1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63</v>
      </c>
      <c r="C52" s="13">
        <v>32.9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63</v>
      </c>
      <c r="C53" s="13">
        <v>0.1</v>
      </c>
      <c r="D53" s="13"/>
      <c r="E53" s="13"/>
      <c r="F53" s="13"/>
      <c r="G53" s="13"/>
      <c r="I53" s="5"/>
    </row>
    <row r="54">
      <c r="I54" s="5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https://phyllis.nl/Biomass/View/2318</dc:description>
  <dcterms:created xsi:type="dcterms:W3CDTF">2026-03-17T05:48:43Z</dcterms:created>
  <dc:title>Phyllis2 #2318 walnut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