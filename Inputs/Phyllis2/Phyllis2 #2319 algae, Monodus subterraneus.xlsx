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19 algae, Monodus s" sheetId="1" r:id="rId1"/>
  </sheets>
  <definedNames>
    <definedName name="w" localSheetId="0">IF(ISBLANK('Phyllis2 #2319 algae, Monodus s'!$C$19),#N/A,'Phyllis2 #2319 algae, Monodus 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<sst xmlns="http://schemas.openxmlformats.org/spreadsheetml/2006/main" count="64" uniqueCount="64">
  <si>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</si>
  <si>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https://phyllis.nl/Biomass/View/2319</t>
  </si>
  <si>
    <t>algae, Monodus subterraneus (#2319)</t>
  </si>
  <si>
    <t>ID-number</t>
  </si>
  <si>
    <t>#2319</t>
  </si>
  <si>
    <t>Material</t>
  </si>
  <si>
    <t>algae, Monodus subterraneus</t>
  </si>
  <si>
    <t>Classification</t>
  </si>
  <si>
    <t>CEN/TS 14961 classification &gt; Solid biofuels &gt; Herbaceous biomass &gt; Herb processing industry</t>
  </si>
  <si>
    <t>ECN Phyllis classification &gt; Marine biomass (algae) &gt; others</t>
  </si>
  <si>
    <t>NTA 8003 classification &gt; [200] biomassa uit land- en tuinbouw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</si>
  <si>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</si>
  <si>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</si>
  <si>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</si>
  <si>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</si>
  <si>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</si>
  <si>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</si>
  <si>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</si>
  <si>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</si>
  <si>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</si>
  <si>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</si>
  <si>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</si>
  <si>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</si>
  <si>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</si>
  <si>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</si>
  <si>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</si>
  <si>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</si>
  <si>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</si>
  <si>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</si>
  <si>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</si>
  <si>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</si>
  <si>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</si>
  <si>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</si>
  <si>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</si>
  <si>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</si>
  <si>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</si>
  <si>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</si>
  <si>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</si>
  <si>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</si>
  <si>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</si>
  <si>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</si>
  <si>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</si>
  <si>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</si>
  <si>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</si>
  <si>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</si>
  <si>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B.N.213</t>
  </si>
  <si>
    <t>Nitrogen</t>
  </si>
  <si>
    <t>Sulphur</t>
  </si>
  <si>
    <t>CEN/TS 15289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</si>
  <si>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</si>
  <si>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</si>
  <si>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</si>
  <si>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</si>
  <si>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</si>
  <si>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</si>
  <si>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</si>
  <si>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</si>
  <si>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CEN/TS 14918</t>
  </si>
  <si>
    <t>HHVMilne</t>
  </si>
  <si>
    <t>Biochemical analysis</t>
  </si>
  <si>
    <t>Other</t>
  </si>
  <si>
    <t>Protein</t>
  </si>
  <si>
    <t>wt% (dry)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</si>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</sst>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37512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83.7</v>
      </c>
      <c r="D19" s="13"/>
      <c r="E19" s="13"/>
      <c r="F19" s="13"/>
      <c r="G19" s="13"/>
      <c r="H19" s="0" t="s">
        <v>33</v>
      </c>
      <c r="I19" s="5"/>
      <c r="J19" s="0" t="s">
        <v>34</v>
      </c>
    </row>
    <row r="20" outlineLevel="2">
      <c r="A20" s="12" t="s">
        <v>35</v>
      </c>
      <c r="B20" s="0" t="s">
        <v>32</v>
      </c>
      <c r="C20" s="13">
        <f>IFERROR(8.18*(1-w),"")</f>
        <v>1.3333399999999993</v>
      </c>
      <c r="D20" s="13">
        <v>8.18</v>
      </c>
      <c r="E20" s="13">
        <v/>
      </c>
      <c r="F20" s="13"/>
      <c r="G20" s="13"/>
      <c r="H20" s="0" t="s">
        <v>33</v>
      </c>
      <c r="I20" s="5"/>
    </row>
    <row r="21" outlineLevel="2">
      <c r="A21" s="12" t="s">
        <v>36</v>
      </c>
      <c r="B21" s="0" t="s">
        <v>32</v>
      </c>
      <c r="C21" s="13">
        <f>IFERROR(79.47*(1-w),"")</f>
        <v>12.953609999999994</v>
      </c>
      <c r="D21" s="13">
        <v>79.47</v>
      </c>
      <c r="E21" s="13">
        <v>86.549771291657592</v>
      </c>
      <c r="F21" s="13"/>
      <c r="G21" s="13"/>
      <c r="H21" s="0" t="s">
        <v>33</v>
      </c>
      <c r="I21" s="5"/>
    </row>
    <row r="22" outlineLevel="2">
      <c r="A22" s="12" t="s">
        <v>37</v>
      </c>
      <c r="B22" s="0" t="s">
        <v>32</v>
      </c>
      <c r="C22" s="13">
        <f>IFERROR(12.35*(1-w),"")</f>
        <v>2.013049999999998</v>
      </c>
      <c r="D22" s="13">
        <v>12.349999999999994</v>
      </c>
      <c r="E22" s="13">
        <v>13.450228708342403</v>
      </c>
      <c r="F22" s="13"/>
      <c r="G22" s="13"/>
      <c r="I22" s="5"/>
      <c r="J22" s="0" t="s">
        <v>38</v>
      </c>
    </row>
    <row r="23" outlineLevel="1">
      <c r="A23" s="11" t="s">
        <v>39</v>
      </c>
      <c r="I23" s="5"/>
    </row>
    <row r="24" outlineLevel="2">
      <c r="A24" s="12" t="s">
        <v>40</v>
      </c>
      <c r="B24" s="0" t="s">
        <v>32</v>
      </c>
      <c r="C24" s="13">
        <f>IFERROR(54.75*(1-w),"")</f>
        <v>8.9242499999999954</v>
      </c>
      <c r="D24" s="13">
        <v>54.75</v>
      </c>
      <c r="E24" s="13">
        <v>59.627532128076673</v>
      </c>
      <c r="F24" s="13"/>
      <c r="G24" s="13"/>
      <c r="H24" s="0" t="s">
        <v>33</v>
      </c>
      <c r="I24" s="5"/>
      <c r="J24" s="0" t="s">
        <v>41</v>
      </c>
    </row>
    <row r="25" outlineLevel="2">
      <c r="A25" s="12" t="s">
        <v>42</v>
      </c>
      <c r="B25" s="0" t="s">
        <v>32</v>
      </c>
      <c r="C25" s="13">
        <f>IFERROR(6.67*(1-w),"")</f>
        <v>1.0872099999999996</v>
      </c>
      <c r="D25" s="13">
        <v>6.67</v>
      </c>
      <c r="E25" s="13">
        <v>7.2642125898497056</v>
      </c>
      <c r="F25" s="13"/>
      <c r="G25" s="13"/>
      <c r="H25" s="0" t="s">
        <v>33</v>
      </c>
      <c r="I25" s="5"/>
      <c r="J25" s="0" t="s">
        <v>41</v>
      </c>
    </row>
    <row r="26" outlineLevel="2">
      <c r="A26" s="12" t="s">
        <v>43</v>
      </c>
      <c r="B26" s="0" t="s">
        <v>32</v>
      </c>
      <c r="C26" s="13">
        <f>IFERROR(23.48*(1-w),"")</f>
        <v>3.8272399999999984</v>
      </c>
      <c r="D26" s="13">
        <v>23.48</v>
      </c>
      <c r="E26" s="13">
        <v>25.571770856022653</v>
      </c>
      <c r="F26" s="13"/>
      <c r="G26" s="13"/>
      <c r="H26" s="0" t="s">
        <v>33</v>
      </c>
      <c r="I26" s="5"/>
      <c r="J26" s="0" t="s">
        <v>44</v>
      </c>
      <c r="K26" s="0" t="s">
        <v>45</v>
      </c>
    </row>
    <row r="27" outlineLevel="2">
      <c r="A27" s="12" t="s">
        <v>46</v>
      </c>
      <c r="B27" s="0" t="s">
        <v>32</v>
      </c>
      <c r="C27" s="13">
        <f>IFERROR(6.66*(1-w),"")</f>
        <v>1.0855799999999995</v>
      </c>
      <c r="D27" s="13">
        <v>6.66</v>
      </c>
      <c r="E27" s="13">
        <v>7.253321716401655</v>
      </c>
      <c r="F27" s="13"/>
      <c r="G27" s="13"/>
      <c r="H27" s="0" t="s">
        <v>33</v>
      </c>
      <c r="I27" s="5"/>
      <c r="J27" s="0" t="s">
        <v>41</v>
      </c>
    </row>
    <row r="28" outlineLevel="2">
      <c r="A28" s="12" t="s">
        <v>47</v>
      </c>
      <c r="B28" s="0" t="s">
        <v>32</v>
      </c>
      <c r="C28" s="13">
        <f>IFERROR(0.44*(1-w),"")</f>
        <v>0.071719999999999964</v>
      </c>
      <c r="D28" s="13">
        <v>0.44</v>
      </c>
      <c r="E28" s="13">
        <v>0.47919843171422349</v>
      </c>
      <c r="F28" s="13"/>
      <c r="G28" s="13"/>
      <c r="H28" s="0" t="s">
        <v>33</v>
      </c>
      <c r="I28" s="5"/>
      <c r="J28" s="0" t="s">
        <v>48</v>
      </c>
    </row>
    <row r="29" outlineLevel="2">
      <c r="A29" s="12" t="s">
        <v>49</v>
      </c>
      <c r="B29" s="0" t="s">
        <v>32</v>
      </c>
      <c r="C29" s="13">
        <f>IFERROR(100.234*(1-w)+w*100,"")</f>
        <v>100.038142</v>
      </c>
      <c r="D29" s="13">
        <v>100.23400000000001</v>
      </c>
      <c r="E29" s="13">
        <v>100.25484643868438</v>
      </c>
      <c r="F29" s="13"/>
      <c r="G29" s="13"/>
      <c r="I29" s="5"/>
      <c r="J29" s="0" t="s">
        <v>38</v>
      </c>
    </row>
    <row r="30" outlineLevel="1">
      <c r="A30" s="11" t="s">
        <v>50</v>
      </c>
      <c r="I30" s="5"/>
    </row>
    <row r="31" outlineLevel="2">
      <c r="A31" s="12" t="s">
        <v>51</v>
      </c>
      <c r="B31" s="0" t="s">
        <v>52</v>
      </c>
      <c r="C31" s="14">
        <f>IFERROR(540*(1-w),"")</f>
        <v>88.019999999999953</v>
      </c>
      <c r="D31" s="14">
        <v>540</v>
      </c>
      <c r="E31" s="14">
        <v>588.10716619472885</v>
      </c>
      <c r="F31" s="14"/>
      <c r="G31" s="14"/>
      <c r="H31" s="0" t="s">
        <v>33</v>
      </c>
      <c r="I31" s="5"/>
      <c r="J31" s="0" t="s">
        <v>48</v>
      </c>
    </row>
    <row r="32" outlineLevel="1">
      <c r="A32" s="11" t="s">
        <v>53</v>
      </c>
      <c r="I32" s="5"/>
    </row>
    <row r="33" outlineLevel="2">
      <c r="A33" s="12" t="s">
        <v>54</v>
      </c>
      <c r="B33" s="0" t="s">
        <v>55</v>
      </c>
      <c r="C33" s="13">
        <f>IFERROR(24.90149*(1-w)-w*2.443,"")</f>
        <v>2.0141518699999983</v>
      </c>
      <c r="D33" s="13">
        <v>24.90149</v>
      </c>
      <c r="E33" s="13">
        <v>27.119897625789587</v>
      </c>
      <c r="F33" s="13"/>
      <c r="G33" s="13"/>
      <c r="H33" s="0" t="s">
        <v>33</v>
      </c>
      <c r="I33" s="5"/>
    </row>
    <row r="34" outlineLevel="2">
      <c r="A34" s="12" t="s">
        <v>56</v>
      </c>
      <c r="B34" s="0" t="s">
        <v>55</v>
      </c>
      <c r="C34" s="13">
        <f>IFERROR(26.357*(1-w),"")</f>
        <v>4.2961909999999977</v>
      </c>
      <c r="D34" s="13">
        <v>26.357</v>
      </c>
      <c r="E34" s="13">
        <v>28.70507514702679</v>
      </c>
      <c r="F34" s="13"/>
      <c r="G34" s="13"/>
      <c r="H34" s="0" t="s">
        <v>33</v>
      </c>
      <c r="I34" s="5"/>
      <c r="J34" s="0" t="s">
        <v>57</v>
      </c>
    </row>
    <row r="35" outlineLevel="2">
      <c r="A35" s="12" t="s">
        <v>58</v>
      </c>
      <c r="B35" s="0" t="s">
        <v>55</v>
      </c>
      <c r="C35" s="13">
        <f>IFERROR(23.7859575972*(1-w),"")</f>
        <v>3.8771110883435989</v>
      </c>
      <c r="D35" s="13">
        <v>23.785957597200003</v>
      </c>
      <c r="E35" s="13">
        <v>25.904985403180138</v>
      </c>
      <c r="F35" s="13"/>
      <c r="G35" s="13"/>
      <c r="I35" s="5"/>
      <c r="J35" s="0" t="s">
        <v>38</v>
      </c>
    </row>
    <row r="36" outlineLevel="1">
      <c r="A36" s="11" t="s">
        <v>59</v>
      </c>
      <c r="I36" s="5"/>
    </row>
    <row r="37" outlineLevel="2">
      <c r="A37" s="15" t="s">
        <v>60</v>
      </c>
      <c r="I37" s="5"/>
    </row>
    <row r="38" outlineLevel="3">
      <c r="A38" s="16" t="s">
        <v>61</v>
      </c>
      <c r="B38" s="0" t="s">
        <v>62</v>
      </c>
      <c r="C38" s="13">
        <v>42.5</v>
      </c>
      <c r="D38" s="13"/>
      <c r="E38" s="13"/>
      <c r="F38" s="13"/>
      <c r="G38" s="13"/>
      <c r="I38" s="5"/>
      <c r="J38" s="0" t="s">
        <v>38</v>
      </c>
    </row>
    <row r="39" outlineLevel="3">
      <c r="A39" s="16" t="s">
        <v>63</v>
      </c>
      <c r="B39" s="0" t="s">
        <v>62</v>
      </c>
      <c r="C39" s="13">
        <v>50.68</v>
      </c>
      <c r="D39" s="13"/>
      <c r="E39" s="13"/>
      <c r="F39" s="13"/>
      <c r="G39" s="13"/>
      <c r="I39" s="5"/>
      <c r="J39" s="0" t="s">
        <v>38</v>
      </c>
    </row>
    <row r="40">
      <c r="I40" s="5"/>
    </row>
    <row r="41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83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https://phyllis.nl/Biomass/View/2319</dc:description>
  <dcterms:created xsi:type="dcterms:W3CDTF">2026-03-17T06:00:03Z</dcterms:created>
  <dc:title>Phyllis2 #2319 algae, Monodus subterraneus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