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21 waste wheat stra" sheetId="1" r:id="rId1"/>
  </sheets>
  <definedNames>
    <definedName name="w" localSheetId="0">IF(ISBLANK('Phyllis2 #2321 waste wheat stra'!$C$20),#N/A,'Phyllis2 #2321 waste wheat stra'!$C$20/100)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<sst xmlns="http://schemas.openxmlformats.org/spreadsheetml/2006/main" count="81" uniqueCount="81">
  <si>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</si>
  <si>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https://phyllis.nl/Biomass/View/2321</t>
  </si>
  <si>
    <t>waste wheat straw (China) (#2321)</t>
  </si>
  <si>
    <t>ID-number</t>
  </si>
  <si>
    <t>#2321</t>
  </si>
  <si>
    <t>Material</t>
  </si>
  <si>
    <t>waste wheat straw (China)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</si>
  <si>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</si>
  <si>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</si>
  <si>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</si>
  <si>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</si>
  <si>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550 deg C</t>
  </si>
  <si>
    <t>Submitter organisation</t>
  </si>
  <si>
    <t>ECN (Netherlands)</t>
  </si>
  <si>
    <t>Submission date</t>
  </si>
  <si>
    <t>Remarks</t>
  </si>
  <si>
    <t>Straw (WSW) from China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</si>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</sst>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37575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10.06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IFERROR(18.85*(1-w),"")</f>
        <v>16.95369</v>
      </c>
      <c r="D21" s="13">
        <v>18.85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IFERROR(38.58*(1-w),"")</f>
        <v>34.698851999999995</v>
      </c>
      <c r="D23" s="13">
        <v>38.58</v>
      </c>
      <c r="E23" s="13">
        <v>47.541589648798521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IFERROR(5.07*(1-w),"")</f>
        <v>4.559958</v>
      </c>
      <c r="D24" s="13">
        <v>5.07</v>
      </c>
      <c r="E24" s="13">
        <v>6.2476894639556377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IFERROR(36.28*(1-w),"")</f>
        <v>32.630232</v>
      </c>
      <c r="D25" s="13">
        <v>36.28</v>
      </c>
      <c r="E25" s="13">
        <v>44.707332101047442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34</v>
      </c>
      <c r="C26" s="13">
        <f>IFERROR(1.07*(1-w),"")</f>
        <v>0.962358</v>
      </c>
      <c r="D26" s="13">
        <v>1.07</v>
      </c>
      <c r="E26" s="13">
        <v>1.3185459026494148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34</v>
      </c>
      <c r="C27" s="13">
        <f>IFERROR(0.29*(1-w),"")</f>
        <v>0.260826</v>
      </c>
      <c r="D27" s="13">
        <v>0.29</v>
      </c>
      <c r="E27" s="13">
        <v>0.35736290819470112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34</v>
      </c>
      <c r="C28" s="13">
        <f>IFERROR(101.61*(1-w)+w*100,"")</f>
        <v>101.448034</v>
      </c>
      <c r="D28" s="13">
        <v>101.61000000000001</v>
      </c>
      <c r="E28" s="13">
        <v>101.98398028342578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IFERROR(14700*(1-w),"")</f>
        <v>13221.18</v>
      </c>
      <c r="D30" s="14">
        <v>14700</v>
      </c>
      <c r="E30" s="14">
        <v>18114.602587800371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IFERROR(15.08164*(1-w)-w*2.443,"")</f>
        <v>13.318661215999999</v>
      </c>
      <c r="D32" s="13">
        <v>15.08164</v>
      </c>
      <c r="E32" s="13">
        <v>18.584892174984596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IFERROR(16.188*(1-w),"")</f>
        <v>14.559487199999998</v>
      </c>
      <c r="D33" s="13">
        <v>16.188</v>
      </c>
      <c r="E33" s="13">
        <v>19.948243992606283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IFERROR(15.1621733425*(1-w),"")</f>
        <v>13.636858704244503</v>
      </c>
      <c r="D34" s="13">
        <v>15.162173342500003</v>
      </c>
      <c r="E34" s="13">
        <v>18.684132276648185</v>
      </c>
      <c r="F34" s="13"/>
      <c r="G34" s="13"/>
      <c r="I34" s="5"/>
      <c r="J34" s="0" t="s">
        <v>44</v>
      </c>
    </row>
    <row r="35" outlineLevel="1">
      <c r="A35" s="11" t="s">
        <v>53</v>
      </c>
      <c r="I35" s="5"/>
    </row>
    <row r="36" outlineLevel="2">
      <c r="A36" s="12" t="s">
        <v>54</v>
      </c>
      <c r="B36" s="0" t="s">
        <v>55</v>
      </c>
      <c r="C36" s="14">
        <v>5041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56</v>
      </c>
      <c r="B37" s="0" t="s">
        <v>55</v>
      </c>
      <c r="C37" s="14">
        <v>1.33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57</v>
      </c>
      <c r="B38" s="0" t="s">
        <v>55</v>
      </c>
      <c r="C38" s="14">
        <v>27.23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58</v>
      </c>
      <c r="B39" s="0" t="s">
        <v>55</v>
      </c>
      <c r="C39" s="14">
        <v>86.44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59</v>
      </c>
      <c r="B40" s="0" t="s">
        <v>55</v>
      </c>
      <c r="C40" s="14">
        <v>8172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60</v>
      </c>
      <c r="B41" s="0" t="s">
        <v>55</v>
      </c>
      <c r="C41" s="14">
        <v>0.086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61</v>
      </c>
      <c r="B42" s="0" t="s">
        <v>55</v>
      </c>
      <c r="C42" s="14">
        <v>2.277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62</v>
      </c>
      <c r="B43" s="0" t="s">
        <v>55</v>
      </c>
      <c r="C43" s="14">
        <v>81.195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63</v>
      </c>
      <c r="B44" s="0" t="s">
        <v>55</v>
      </c>
      <c r="C44" s="14">
        <v>5.681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64</v>
      </c>
      <c r="B45" s="0" t="s">
        <v>55</v>
      </c>
      <c r="C45" s="14">
        <v>2455.5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65</v>
      </c>
      <c r="B46" s="0" t="s">
        <v>55</v>
      </c>
      <c r="C46" s="14">
        <v>22450</v>
      </c>
      <c r="D46" s="14"/>
      <c r="E46" s="14"/>
      <c r="F46" s="14"/>
      <c r="G46" s="14"/>
      <c r="I46" s="5"/>
      <c r="J46" s="0" t="s">
        <v>38</v>
      </c>
    </row>
    <row r="47" outlineLevel="2">
      <c r="A47" s="12" t="s">
        <v>66</v>
      </c>
      <c r="B47" s="0" t="s">
        <v>55</v>
      </c>
      <c r="C47" s="14">
        <v>3400</v>
      </c>
      <c r="D47" s="14"/>
      <c r="E47" s="14"/>
      <c r="F47" s="14"/>
      <c r="G47" s="14"/>
      <c r="I47" s="5"/>
      <c r="J47" s="0" t="s">
        <v>38</v>
      </c>
    </row>
    <row r="48" outlineLevel="2">
      <c r="A48" s="12" t="s">
        <v>67</v>
      </c>
      <c r="B48" s="0" t="s">
        <v>55</v>
      </c>
      <c r="C48" s="14">
        <v>100</v>
      </c>
      <c r="D48" s="14"/>
      <c r="E48" s="14"/>
      <c r="F48" s="14"/>
      <c r="G48" s="14"/>
      <c r="I48" s="5"/>
      <c r="J48" s="0" t="s">
        <v>38</v>
      </c>
    </row>
    <row r="49" outlineLevel="2">
      <c r="A49" s="12" t="s">
        <v>68</v>
      </c>
      <c r="B49" s="0" t="s">
        <v>55</v>
      </c>
      <c r="C49" s="14">
        <v>1.5</v>
      </c>
      <c r="D49" s="14"/>
      <c r="E49" s="14"/>
      <c r="F49" s="14"/>
      <c r="G49" s="14"/>
      <c r="I49" s="5"/>
      <c r="J49" s="0" t="s">
        <v>38</v>
      </c>
    </row>
    <row r="50" outlineLevel="2">
      <c r="A50" s="12" t="s">
        <v>69</v>
      </c>
      <c r="B50" s="0" t="s">
        <v>55</v>
      </c>
      <c r="C50" s="14">
        <v>2800</v>
      </c>
      <c r="D50" s="14"/>
      <c r="E50" s="14"/>
      <c r="F50" s="14"/>
      <c r="G50" s="14"/>
      <c r="I50" s="5"/>
      <c r="J50" s="0" t="s">
        <v>38</v>
      </c>
    </row>
    <row r="51" outlineLevel="2">
      <c r="A51" s="12" t="s">
        <v>70</v>
      </c>
      <c r="B51" s="0" t="s">
        <v>55</v>
      </c>
      <c r="C51" s="14">
        <v>423</v>
      </c>
      <c r="D51" s="14"/>
      <c r="E51" s="14"/>
      <c r="F51" s="14"/>
      <c r="G51" s="14"/>
      <c r="I51" s="5"/>
      <c r="J51" s="0" t="s">
        <v>38</v>
      </c>
    </row>
    <row r="52" outlineLevel="2">
      <c r="A52" s="12" t="s">
        <v>71</v>
      </c>
      <c r="B52" s="0" t="s">
        <v>55</v>
      </c>
      <c r="C52" s="14">
        <v>1015</v>
      </c>
      <c r="D52" s="14"/>
      <c r="E52" s="14"/>
      <c r="F52" s="14"/>
      <c r="G52" s="14"/>
      <c r="I52" s="5"/>
      <c r="J52" s="0" t="s">
        <v>38</v>
      </c>
    </row>
    <row r="53" outlineLevel="2">
      <c r="A53" s="12" t="s">
        <v>72</v>
      </c>
      <c r="B53" s="0" t="s">
        <v>55</v>
      </c>
      <c r="C53" s="14">
        <v>5.2</v>
      </c>
      <c r="D53" s="14"/>
      <c r="E53" s="14"/>
      <c r="F53" s="14"/>
      <c r="G53" s="14"/>
      <c r="I53" s="5"/>
      <c r="J53" s="0" t="s">
        <v>38</v>
      </c>
    </row>
    <row r="54" outlineLevel="2">
      <c r="A54" s="12" t="s">
        <v>73</v>
      </c>
      <c r="B54" s="0" t="s">
        <v>55</v>
      </c>
      <c r="C54" s="14"/>
      <c r="D54" s="14"/>
      <c r="E54" s="14"/>
      <c r="F54" s="14"/>
      <c r="G54" s="14">
        <v>0.7</v>
      </c>
      <c r="I54" s="5"/>
    </row>
    <row r="55" outlineLevel="2">
      <c r="A55" s="12" t="s">
        <v>74</v>
      </c>
      <c r="B55" s="0" t="s">
        <v>55</v>
      </c>
      <c r="C55" s="14"/>
      <c r="D55" s="14"/>
      <c r="E55" s="14"/>
      <c r="F55" s="14"/>
      <c r="G55" s="14">
        <v>0.2</v>
      </c>
      <c r="I55" s="5"/>
    </row>
    <row r="56" outlineLevel="2">
      <c r="A56" s="12" t="s">
        <v>75</v>
      </c>
      <c r="B56" s="0" t="s">
        <v>55</v>
      </c>
      <c r="C56" s="14">
        <v>30000</v>
      </c>
      <c r="D56" s="14"/>
      <c r="E56" s="14"/>
      <c r="F56" s="14"/>
      <c r="G56" s="14"/>
      <c r="I56" s="5"/>
      <c r="J56" s="0" t="s">
        <v>38</v>
      </c>
    </row>
    <row r="57" outlineLevel="2">
      <c r="A57" s="12" t="s">
        <v>76</v>
      </c>
      <c r="B57" s="0" t="s">
        <v>55</v>
      </c>
      <c r="C57" s="14"/>
      <c r="D57" s="14"/>
      <c r="E57" s="14"/>
      <c r="F57" s="14"/>
      <c r="G57" s="14">
        <v>0.8</v>
      </c>
      <c r="I57" s="5"/>
    </row>
    <row r="58" outlineLevel="2">
      <c r="A58" s="12" t="s">
        <v>77</v>
      </c>
      <c r="B58" s="0" t="s">
        <v>55</v>
      </c>
      <c r="C58" s="14">
        <v>75</v>
      </c>
      <c r="D58" s="14"/>
      <c r="E58" s="14"/>
      <c r="F58" s="14"/>
      <c r="G58" s="14"/>
      <c r="I58" s="5"/>
      <c r="J58" s="0" t="s">
        <v>38</v>
      </c>
    </row>
    <row r="59" outlineLevel="2">
      <c r="A59" s="12" t="s">
        <v>78</v>
      </c>
      <c r="B59" s="0" t="s">
        <v>55</v>
      </c>
      <c r="C59" s="14">
        <v>179</v>
      </c>
      <c r="D59" s="14"/>
      <c r="E59" s="14"/>
      <c r="F59" s="14"/>
      <c r="G59" s="14"/>
      <c r="I59" s="5"/>
      <c r="J59" s="0" t="s">
        <v>38</v>
      </c>
    </row>
    <row r="60" outlineLevel="2">
      <c r="A60" s="12" t="s">
        <v>79</v>
      </c>
      <c r="B60" s="0" t="s">
        <v>55</v>
      </c>
      <c r="C60" s="14">
        <v>5.9</v>
      </c>
      <c r="D60" s="14"/>
      <c r="E60" s="14"/>
      <c r="F60" s="14"/>
      <c r="G60" s="14"/>
      <c r="I60" s="5"/>
      <c r="J60" s="0" t="s">
        <v>38</v>
      </c>
    </row>
    <row r="61" outlineLevel="2">
      <c r="A61" s="12" t="s">
        <v>80</v>
      </c>
      <c r="B61" s="0" t="s">
        <v>55</v>
      </c>
      <c r="C61" s="14">
        <v>17</v>
      </c>
      <c r="D61" s="14"/>
      <c r="E61" s="14"/>
      <c r="F61" s="14"/>
      <c r="G61" s="14"/>
      <c r="I61" s="5"/>
      <c r="J61" s="0" t="s">
        <v>38</v>
      </c>
    </row>
    <row r="62">
      <c r="I62" s="5"/>
    </row>
    <row r="6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0" errorStyle="stop" promptTitle="Enter moisture content" errorTitle="Invalid moisture content" prompt="Value should be between 0 and 100.&#10;Original value: 10.0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https://phyllis.nl/Biomass/View/2321</dc:description>
  <dcterms:created xsi:type="dcterms:W3CDTF">2026-03-17T06:18:09Z</dcterms:created>
  <dc:title>Phyllis2 #2321 waste wheat straw (China)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