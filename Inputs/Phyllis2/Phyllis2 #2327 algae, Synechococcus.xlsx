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27 algae, Synechoco" sheetId="1" r:id="rId1"/>
  </sheets>
  <definedNames>
    <definedName name="w" localSheetId="0">IF(ISBLANK('Phyllis2 #2327 algae, Synechoco'!$C$22),#N/A,'Phyllis2 #2327 algae, Synechoco'!$C$22/100)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<sst xmlns="http://schemas.openxmlformats.org/spreadsheetml/2006/main" count="92" uniqueCount="92">
  <si>
    <t>Phyllis2</t>
  </si>
  <si>
    <t>https://phyllis.nl/Biomass/View/2327</t>
  </si>
  <si>
    <t>algae, Synechococcus (#2327)</t>
  </si>
  <si>
    <t>ID-number</t>
  </si>
  <si>
    <t>#2327</t>
  </si>
  <si>
    <t>Material</t>
  </si>
  <si>
    <t>algae, Synechococcus</t>
  </si>
  <si>
    <t>Alternative name</t>
  </si>
  <si>
    <t>synechococcus 7942</t>
  </si>
  <si>
    <t>Classification</t>
  </si>
  <si>
    <t>CEN/TS 14961 classification &gt; Solid biofuels &gt; Herbaceous biomass &gt; Herb processing industry</t>
  </si>
  <si>
    <t>ECN Phyllis classification &gt; Marine biomass (algae) &gt; others</t>
  </si>
  <si>
    <t>NTA 8003 classification &gt; [200] biomassa uit land- en tuinbouw</t>
  </si>
  <si>
    <t>Ash type</t>
  </si>
  <si>
    <t>550 deg.C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</si>
  <si>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</si>
  <si>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</si>
  <si>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</si>
  <si>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</si>
  <si>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</si>
  <si>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</si>
  <si>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</si>
  <si>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</si>
  <si>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</si>
  <si>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</si>
  <si>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</si>
  <si>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</si>
  <si>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</si>
  <si>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</si>
  <si>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</si>
  <si>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</si>
  <si>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</si>
  <si>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</si>
  <si>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</si>
  <si>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</si>
  <si>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</si>
  <si>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</si>
  <si>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</si>
  <si>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</si>
  <si>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</si>
  <si>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</si>
  <si>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</si>
  <si>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</si>
  <si>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</si>
  <si>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</si>
  <si>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</si>
  <si>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</si>
  <si>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</si>
  <si>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</si>
  <si>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</si>
  <si>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</si>
  <si>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</si>
  <si>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</si>
  <si>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</si>
  <si>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Halides</t>
  </si>
  <si>
    <t>Bromine (Br)</t>
  </si>
  <si>
    <t>mg/kg</t>
  </si>
  <si>
    <t>B.N203</t>
  </si>
  <si>
    <t>Chlorine (Cl)</t>
  </si>
  <si>
    <t>Fluorine (F)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</si>
  <si>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</si>
  <si>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</si>
  <si>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</si>
  <si>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</si>
  <si>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</si>
  <si>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</si>
  <si>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</si>
  <si>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</si>
  <si>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</si>
  <si>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</si>
  <si>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</si>
  <si>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</si>
  <si>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Calcium (Ca)</t>
  </si>
  <si>
    <t>Cadmium (Cd)</t>
  </si>
  <si>
    <t>Cobalt (Co)</t>
  </si>
  <si>
    <t>Chromium (Cr)</t>
  </si>
  <si>
    <t>Copper (Cu)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</si>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</sst>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37589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>
      <c r="A16" s="7"/>
    </row>
    <row r="17" s="1" customFormat="1">
      <c r="A17" s="9" t="s">
        <v>22</v>
      </c>
    </row>
    <row r="18" s="1" customFormat="1">
      <c r="A18" s="10" t="s">
        <v>23</v>
      </c>
      <c r="B18" s="10" t="s">
        <v>24</v>
      </c>
      <c r="C18" s="10" t="s">
        <v>25</v>
      </c>
      <c r="D18" s="10"/>
      <c r="E18" s="10"/>
      <c r="F18" s="10" t="s">
        <v>26</v>
      </c>
      <c r="G18" s="10" t="s">
        <v>27</v>
      </c>
      <c r="H18" s="10" t="s">
        <v>28</v>
      </c>
      <c r="I18" s="10" t="s">
        <v>29</v>
      </c>
      <c r="J18" s="10" t="s">
        <v>30</v>
      </c>
      <c r="K18" s="10" t="s">
        <v>18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>3.8</v>
      </c>
      <c r="D22" s="13"/>
      <c r="E22" s="13"/>
      <c r="F22" s="13"/>
      <c r="G22" s="13">
        <v>0.1</v>
      </c>
      <c r="H22" s="0" t="s">
        <v>19</v>
      </c>
      <c r="I22" s="5"/>
      <c r="J22" s="0" t="s">
        <v>38</v>
      </c>
    </row>
    <row r="23" outlineLevel="2">
      <c r="A23" s="12" t="s">
        <v>39</v>
      </c>
      <c r="B23" s="0" t="s">
        <v>37</v>
      </c>
      <c r="C23" s="13">
        <f>IFERROR(6.26*(1-w),"")</f>
        <v>6.0221199999999993</v>
      </c>
      <c r="D23" s="13">
        <v>6.26</v>
      </c>
      <c r="E23" s="13">
        <v/>
      </c>
      <c r="F23" s="13"/>
      <c r="G23" s="13">
        <v>0.1</v>
      </c>
      <c r="H23" s="0" t="s">
        <v>19</v>
      </c>
      <c r="I23" s="5"/>
    </row>
    <row r="24" outlineLevel="2">
      <c r="A24" s="12" t="s">
        <v>40</v>
      </c>
      <c r="B24" s="0" t="s">
        <v>37</v>
      </c>
      <c r="C24" s="13">
        <f>IFERROR(76.52*(1-w),"")</f>
        <v>73.61224</v>
      </c>
      <c r="D24" s="13">
        <v>76.52</v>
      </c>
      <c r="E24" s="13">
        <v>81.630040537657351</v>
      </c>
      <c r="F24" s="13"/>
      <c r="G24" s="13">
        <v>0.1</v>
      </c>
      <c r="H24" s="0" t="s">
        <v>19</v>
      </c>
      <c r="I24" s="5"/>
    </row>
    <row r="25" outlineLevel="2">
      <c r="A25" s="12" t="s">
        <v>41</v>
      </c>
      <c r="B25" s="0" t="s">
        <v>37</v>
      </c>
      <c r="C25" s="13">
        <f>IFERROR(17.22*(1-w),"")</f>
        <v>16.56564</v>
      </c>
      <c r="D25" s="13">
        <v>17.22</v>
      </c>
      <c r="E25" s="13">
        <v>18.369959462342649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37</v>
      </c>
      <c r="C27" s="13">
        <f>IFERROR(47.48*(1-w),"")</f>
        <v>45.67576</v>
      </c>
      <c r="D27" s="13">
        <v>47.48</v>
      </c>
      <c r="E27" s="13">
        <v>50.650736078515038</v>
      </c>
      <c r="F27" s="13"/>
      <c r="G27" s="13">
        <v>0.1</v>
      </c>
      <c r="H27" s="0" t="s">
        <v>19</v>
      </c>
      <c r="I27" s="5"/>
      <c r="J27" s="0" t="s">
        <v>45</v>
      </c>
    </row>
    <row r="28" outlineLevel="2">
      <c r="A28" s="12" t="s">
        <v>46</v>
      </c>
      <c r="B28" s="0" t="s">
        <v>37</v>
      </c>
      <c r="C28" s="13">
        <f>IFERROR(6.79*(1-w),"")</f>
        <v>6.53198</v>
      </c>
      <c r="D28" s="13">
        <v>6.79</v>
      </c>
      <c r="E28" s="13">
        <v>7.24343930019202</v>
      </c>
      <c r="F28" s="13"/>
      <c r="G28" s="13">
        <v>0.1</v>
      </c>
      <c r="H28" s="0" t="s">
        <v>19</v>
      </c>
      <c r="I28" s="5"/>
      <c r="J28" s="0" t="s">
        <v>45</v>
      </c>
    </row>
    <row r="29" outlineLevel="2">
      <c r="A29" s="12" t="s">
        <v>47</v>
      </c>
      <c r="B29" s="0" t="s">
        <v>37</v>
      </c>
      <c r="C29" s="13">
        <f>IFERROR(24.11*(1-w),"")</f>
        <v>23.19382</v>
      </c>
      <c r="D29" s="13">
        <v>24.11</v>
      </c>
      <c r="E29" s="13">
        <v>25.720076808192871</v>
      </c>
      <c r="F29" s="13"/>
      <c r="G29" s="13">
        <v>0.1</v>
      </c>
      <c r="H29" s="0" t="s">
        <v>19</v>
      </c>
      <c r="I29" s="5"/>
      <c r="J29" s="0" t="s">
        <v>48</v>
      </c>
      <c r="K29" s="0" t="s">
        <v>49</v>
      </c>
    </row>
    <row r="30" outlineLevel="2">
      <c r="A30" s="12" t="s">
        <v>50</v>
      </c>
      <c r="B30" s="0" t="s">
        <v>37</v>
      </c>
      <c r="C30" s="13">
        <f>IFERROR(11.56*(1-w),"")</f>
        <v>11.12072</v>
      </c>
      <c r="D30" s="13">
        <v>11.56</v>
      </c>
      <c r="E30" s="13">
        <v>12.33198207808833</v>
      </c>
      <c r="F30" s="13"/>
      <c r="G30" s="13">
        <v>0.1</v>
      </c>
      <c r="H30" s="0" t="s">
        <v>19</v>
      </c>
      <c r="I30" s="5"/>
      <c r="J30" s="0" t="s">
        <v>45</v>
      </c>
    </row>
    <row r="31" outlineLevel="2">
      <c r="A31" s="12" t="s">
        <v>51</v>
      </c>
      <c r="B31" s="0" t="s">
        <v>37</v>
      </c>
      <c r="C31" s="13">
        <f>IFERROR(0.5*(1-w),"")</f>
        <v>0.481</v>
      </c>
      <c r="D31" s="13">
        <v>0.5</v>
      </c>
      <c r="E31" s="13">
        <v>0.53339022829101768</v>
      </c>
      <c r="F31" s="13"/>
      <c r="G31" s="13">
        <v>0.0004</v>
      </c>
      <c r="H31" s="0" t="s">
        <v>19</v>
      </c>
      <c r="I31" s="5"/>
      <c r="J31" s="0" t="s">
        <v>52</v>
      </c>
      <c r="K31" s="0" t="s">
        <v>45</v>
      </c>
    </row>
    <row r="32" outlineLevel="2">
      <c r="A32" s="12" t="s">
        <v>53</v>
      </c>
      <c r="B32" s="0" t="s">
        <v>37</v>
      </c>
      <c r="C32" s="13">
        <f>IFERROR(96.71929*(1-w)+w*100,"")</f>
        <v>96.84395698</v>
      </c>
      <c r="D32" s="13">
        <v>96.71929</v>
      </c>
      <c r="E32" s="13">
        <v>96.500202688286748</v>
      </c>
      <c r="F32" s="13"/>
      <c r="G32" s="13"/>
      <c r="I32" s="5"/>
      <c r="J32" s="0" t="s">
        <v>42</v>
      </c>
    </row>
    <row r="33" outlineLevel="1">
      <c r="A33" s="11" t="s">
        <v>54</v>
      </c>
      <c r="I33" s="5"/>
    </row>
    <row r="34" outlineLevel="2">
      <c r="A34" s="12" t="s">
        <v>55</v>
      </c>
      <c r="B34" s="0" t="s">
        <v>56</v>
      </c>
      <c r="C34" s="14">
        <f>IFERROR(0.9*(1-w),"")</f>
        <v>0.8658</v>
      </c>
      <c r="D34" s="14">
        <v>0.9</v>
      </c>
      <c r="E34" s="14">
        <v>0.96010241092383186</v>
      </c>
      <c r="F34" s="14"/>
      <c r="G34" s="14"/>
      <c r="H34" s="0" t="s">
        <v>19</v>
      </c>
      <c r="I34" s="5"/>
      <c r="J34" s="0" t="s">
        <v>48</v>
      </c>
      <c r="K34" s="0" t="s">
        <v>57</v>
      </c>
    </row>
    <row r="35" outlineLevel="2">
      <c r="A35" s="12" t="s">
        <v>58</v>
      </c>
      <c r="B35" s="0" t="s">
        <v>56</v>
      </c>
      <c r="C35" s="14">
        <f>IFERROR(191*(1-w),"")</f>
        <v>183.742</v>
      </c>
      <c r="D35" s="14">
        <v>191</v>
      </c>
      <c r="E35" s="14">
        <v>203.75506720716876</v>
      </c>
      <c r="F35" s="14"/>
      <c r="G35" s="14">
        <v>12.5</v>
      </c>
      <c r="H35" s="0" t="s">
        <v>19</v>
      </c>
      <c r="I35" s="5"/>
      <c r="J35" s="0" t="s">
        <v>52</v>
      </c>
    </row>
    <row r="36" outlineLevel="2">
      <c r="A36" s="12" t="s">
        <v>59</v>
      </c>
      <c r="B36" s="0" t="s">
        <v>56</v>
      </c>
      <c r="C36" s="14">
        <f>IFERROR(1*(1-w),"")</f>
        <v>0.962</v>
      </c>
      <c r="D36" s="14">
        <v>1</v>
      </c>
      <c r="E36" s="14">
        <v>1.0667804565820354</v>
      </c>
      <c r="F36" s="14"/>
      <c r="G36" s="14"/>
      <c r="H36" s="0" t="s">
        <v>19</v>
      </c>
      <c r="I36" s="5"/>
      <c r="J36" s="0" t="s">
        <v>48</v>
      </c>
      <c r="K36" s="0" t="s">
        <v>57</v>
      </c>
    </row>
    <row r="37" outlineLevel="1">
      <c r="A37" s="11" t="s">
        <v>60</v>
      </c>
      <c r="I37" s="5"/>
    </row>
    <row r="38" outlineLevel="2">
      <c r="A38" s="12" t="s">
        <v>61</v>
      </c>
      <c r="B38" s="0" t="s">
        <v>62</v>
      </c>
      <c r="C38" s="13">
        <f>IFERROR(20.20331*(1-w)-w*2.443,"")</f>
        <v>19.34275022</v>
      </c>
      <c r="D38" s="13">
        <v>20.20331</v>
      </c>
      <c r="E38" s="13">
        <v>21.5524962662684</v>
      </c>
      <c r="F38" s="13"/>
      <c r="G38" s="13"/>
      <c r="H38" s="0" t="s">
        <v>19</v>
      </c>
      <c r="I38" s="5"/>
    </row>
    <row r="39" outlineLevel="2">
      <c r="A39" s="12" t="s">
        <v>63</v>
      </c>
      <c r="B39" s="0" t="s">
        <v>62</v>
      </c>
      <c r="C39" s="13">
        <f>IFERROR(21.685*(1-w),"")</f>
        <v>20.86097</v>
      </c>
      <c r="D39" s="13">
        <v>21.685</v>
      </c>
      <c r="E39" s="13">
        <v>23.133134200981438</v>
      </c>
      <c r="F39" s="13"/>
      <c r="G39" s="13"/>
      <c r="H39" s="0" t="s">
        <v>19</v>
      </c>
      <c r="I39" s="5"/>
      <c r="J39" s="0" t="s">
        <v>64</v>
      </c>
    </row>
    <row r="40" outlineLevel="2">
      <c r="A40" s="12" t="s">
        <v>65</v>
      </c>
      <c r="B40" s="0" t="s">
        <v>62</v>
      </c>
      <c r="C40" s="13">
        <f>IFERROR(20.8311777028*(1-w),"")</f>
        <v>20.0395929500936</v>
      </c>
      <c r="D40" s="13">
        <v>20.8311777028</v>
      </c>
      <c r="E40" s="13">
        <v>22.2222932609345</v>
      </c>
      <c r="F40" s="13"/>
      <c r="G40" s="13"/>
      <c r="I40" s="5"/>
      <c r="J40" s="0" t="s">
        <v>42</v>
      </c>
    </row>
    <row r="41" outlineLevel="1">
      <c r="A41" s="11" t="s">
        <v>66</v>
      </c>
      <c r="I41" s="5"/>
    </row>
    <row r="42" outlineLevel="2">
      <c r="A42" s="12" t="s">
        <v>67</v>
      </c>
      <c r="B42" s="0" t="s">
        <v>68</v>
      </c>
      <c r="C42" s="14">
        <v>268</v>
      </c>
      <c r="D42" s="14"/>
      <c r="E42" s="14"/>
      <c r="F42" s="14"/>
      <c r="G42" s="14"/>
      <c r="H42" s="0" t="s">
        <v>19</v>
      </c>
      <c r="I42" s="5"/>
      <c r="J42" s="0" t="s">
        <v>69</v>
      </c>
    </row>
    <row r="43" outlineLevel="2">
      <c r="A43" s="12" t="s">
        <v>70</v>
      </c>
      <c r="B43" s="0" t="s">
        <v>68</v>
      </c>
      <c r="C43" s="14"/>
      <c r="D43" s="14"/>
      <c r="E43" s="14"/>
      <c r="F43" s="14"/>
      <c r="G43" s="14">
        <v>0.8</v>
      </c>
      <c r="H43" s="0" t="s">
        <v>19</v>
      </c>
      <c r="I43" s="5"/>
      <c r="J43" s="0" t="s">
        <v>71</v>
      </c>
    </row>
    <row r="44" outlineLevel="2">
      <c r="A44" s="12" t="s">
        <v>72</v>
      </c>
      <c r="B44" s="0" t="s">
        <v>68</v>
      </c>
      <c r="C44" s="14">
        <v>1589</v>
      </c>
      <c r="D44" s="14"/>
      <c r="E44" s="14"/>
      <c r="F44" s="14"/>
      <c r="G44" s="14"/>
      <c r="H44" s="0" t="s">
        <v>19</v>
      </c>
      <c r="I44" s="5"/>
      <c r="J44" s="0" t="s">
        <v>69</v>
      </c>
    </row>
    <row r="45" outlineLevel="2">
      <c r="A45" s="12" t="s">
        <v>73</v>
      </c>
      <c r="B45" s="0" t="s">
        <v>68</v>
      </c>
      <c r="C45" s="14"/>
      <c r="D45" s="14"/>
      <c r="E45" s="14"/>
      <c r="F45" s="14"/>
      <c r="G45" s="14">
        <v>0.06</v>
      </c>
      <c r="H45" s="0" t="s">
        <v>19</v>
      </c>
      <c r="I45" s="5"/>
      <c r="J45" s="0" t="s">
        <v>71</v>
      </c>
    </row>
    <row r="46" outlineLevel="2">
      <c r="A46" s="12" t="s">
        <v>74</v>
      </c>
      <c r="B46" s="0" t="s">
        <v>68</v>
      </c>
      <c r="C46" s="14">
        <v>3.24</v>
      </c>
      <c r="D46" s="14"/>
      <c r="E46" s="14"/>
      <c r="F46" s="14"/>
      <c r="G46" s="14"/>
      <c r="H46" s="0" t="s">
        <v>19</v>
      </c>
      <c r="I46" s="5"/>
      <c r="J46" s="0" t="s">
        <v>71</v>
      </c>
    </row>
    <row r="47" outlineLevel="2">
      <c r="A47" s="12" t="s">
        <v>75</v>
      </c>
      <c r="B47" s="0" t="s">
        <v>68</v>
      </c>
      <c r="C47" s="14">
        <v>0.44</v>
      </c>
      <c r="D47" s="14"/>
      <c r="E47" s="14"/>
      <c r="F47" s="14"/>
      <c r="G47" s="14"/>
      <c r="H47" s="0" t="s">
        <v>19</v>
      </c>
      <c r="I47" s="5"/>
      <c r="J47" s="0" t="s">
        <v>71</v>
      </c>
    </row>
    <row r="48" outlineLevel="2">
      <c r="A48" s="12" t="s">
        <v>76</v>
      </c>
      <c r="B48" s="0" t="s">
        <v>68</v>
      </c>
      <c r="C48" s="14">
        <v>22.7</v>
      </c>
      <c r="D48" s="14"/>
      <c r="E48" s="14"/>
      <c r="F48" s="14"/>
      <c r="G48" s="14"/>
      <c r="H48" s="0" t="s">
        <v>19</v>
      </c>
      <c r="I48" s="5"/>
      <c r="J48" s="0" t="s">
        <v>71</v>
      </c>
    </row>
    <row r="49" outlineLevel="2">
      <c r="A49" s="12" t="s">
        <v>77</v>
      </c>
      <c r="B49" s="0" t="s">
        <v>68</v>
      </c>
      <c r="C49" s="14">
        <v>11323</v>
      </c>
      <c r="D49" s="14"/>
      <c r="E49" s="14"/>
      <c r="F49" s="14"/>
      <c r="G49" s="14"/>
      <c r="H49" s="0" t="s">
        <v>19</v>
      </c>
      <c r="I49" s="5"/>
      <c r="J49" s="0" t="s">
        <v>69</v>
      </c>
    </row>
    <row r="50" outlineLevel="2">
      <c r="A50" s="12" t="s">
        <v>78</v>
      </c>
      <c r="B50" s="0" t="s">
        <v>68</v>
      </c>
      <c r="C50" s="14">
        <v>4158</v>
      </c>
      <c r="D50" s="14"/>
      <c r="E50" s="14"/>
      <c r="F50" s="14"/>
      <c r="G50" s="14"/>
      <c r="H50" s="0" t="s">
        <v>19</v>
      </c>
      <c r="I50" s="5"/>
      <c r="J50" s="0" t="s">
        <v>69</v>
      </c>
    </row>
    <row r="51" outlineLevel="2">
      <c r="A51" s="12" t="s">
        <v>79</v>
      </c>
      <c r="B51" s="0" t="s">
        <v>68</v>
      </c>
      <c r="C51" s="14">
        <v>380</v>
      </c>
      <c r="D51" s="14"/>
      <c r="E51" s="14"/>
      <c r="F51" s="14"/>
      <c r="G51" s="14"/>
      <c r="H51" s="0" t="s">
        <v>19</v>
      </c>
      <c r="I51" s="5"/>
      <c r="J51" s="0" t="s">
        <v>71</v>
      </c>
    </row>
    <row r="52" outlineLevel="2">
      <c r="A52" s="12" t="s">
        <v>80</v>
      </c>
      <c r="B52" s="0" t="s">
        <v>68</v>
      </c>
      <c r="C52" s="14">
        <v>2303</v>
      </c>
      <c r="D52" s="14"/>
      <c r="E52" s="14"/>
      <c r="F52" s="14"/>
      <c r="G52" s="14"/>
      <c r="H52" s="0" t="s">
        <v>19</v>
      </c>
      <c r="I52" s="5"/>
      <c r="J52" s="0" t="s">
        <v>69</v>
      </c>
    </row>
    <row r="53" outlineLevel="2">
      <c r="A53" s="12" t="s">
        <v>81</v>
      </c>
      <c r="B53" s="0" t="s">
        <v>68</v>
      </c>
      <c r="C53" s="14">
        <v>2.4</v>
      </c>
      <c r="D53" s="14"/>
      <c r="E53" s="14"/>
      <c r="F53" s="14"/>
      <c r="G53" s="14"/>
      <c r="H53" s="0" t="s">
        <v>19</v>
      </c>
      <c r="I53" s="5"/>
      <c r="J53" s="0" t="s">
        <v>71</v>
      </c>
    </row>
    <row r="54" outlineLevel="2">
      <c r="A54" s="12" t="s">
        <v>82</v>
      </c>
      <c r="B54" s="0" t="s">
        <v>68</v>
      </c>
      <c r="C54" s="14">
        <v>11236</v>
      </c>
      <c r="D54" s="14"/>
      <c r="E54" s="14"/>
      <c r="F54" s="14"/>
      <c r="G54" s="14"/>
      <c r="H54" s="0" t="s">
        <v>19</v>
      </c>
      <c r="I54" s="5"/>
      <c r="J54" s="0" t="s">
        <v>69</v>
      </c>
    </row>
    <row r="55" outlineLevel="2">
      <c r="A55" s="12" t="s">
        <v>83</v>
      </c>
      <c r="B55" s="0" t="s">
        <v>68</v>
      </c>
      <c r="C55" s="14">
        <v>0.5</v>
      </c>
      <c r="D55" s="14"/>
      <c r="E55" s="14"/>
      <c r="F55" s="14"/>
      <c r="G55" s="14"/>
      <c r="H55" s="0" t="s">
        <v>19</v>
      </c>
      <c r="I55" s="5"/>
      <c r="J55" s="0" t="s">
        <v>71</v>
      </c>
    </row>
    <row r="56" outlineLevel="2">
      <c r="A56" s="12" t="s">
        <v>84</v>
      </c>
      <c r="B56" s="0" t="s">
        <v>68</v>
      </c>
      <c r="C56" s="14">
        <v>0.7</v>
      </c>
      <c r="D56" s="14"/>
      <c r="E56" s="14"/>
      <c r="F56" s="14"/>
      <c r="G56" s="14"/>
      <c r="H56" s="0" t="s">
        <v>19</v>
      </c>
      <c r="I56" s="5"/>
      <c r="J56" s="0" t="s">
        <v>48</v>
      </c>
      <c r="K56" s="0" t="s">
        <v>85</v>
      </c>
    </row>
    <row r="57" outlineLevel="2">
      <c r="A57" s="12" t="s">
        <v>86</v>
      </c>
      <c r="B57" s="0" t="s">
        <v>68</v>
      </c>
      <c r="C57" s="14">
        <v>0.2</v>
      </c>
      <c r="D57" s="14"/>
      <c r="E57" s="14"/>
      <c r="F57" s="14"/>
      <c r="G57" s="14"/>
      <c r="H57" s="0" t="s">
        <v>19</v>
      </c>
      <c r="I57" s="5"/>
      <c r="J57" s="0" t="s">
        <v>71</v>
      </c>
    </row>
    <row r="58" outlineLevel="2">
      <c r="A58" s="12" t="s">
        <v>87</v>
      </c>
      <c r="B58" s="0" t="s">
        <v>68</v>
      </c>
      <c r="C58" s="14">
        <v>817</v>
      </c>
      <c r="D58" s="14"/>
      <c r="E58" s="14"/>
      <c r="F58" s="14"/>
      <c r="G58" s="14"/>
      <c r="H58" s="0" t="s">
        <v>19</v>
      </c>
      <c r="I58" s="5"/>
      <c r="J58" s="0" t="s">
        <v>69</v>
      </c>
    </row>
    <row r="59" outlineLevel="2">
      <c r="A59" s="12" t="s">
        <v>88</v>
      </c>
      <c r="B59" s="0" t="s">
        <v>68</v>
      </c>
      <c r="C59" s="14">
        <v>0.65</v>
      </c>
      <c r="D59" s="14"/>
      <c r="E59" s="14"/>
      <c r="F59" s="14"/>
      <c r="G59" s="14"/>
      <c r="H59" s="0" t="s">
        <v>19</v>
      </c>
      <c r="I59" s="5"/>
      <c r="J59" s="0" t="s">
        <v>48</v>
      </c>
      <c r="K59" s="0" t="s">
        <v>85</v>
      </c>
    </row>
    <row r="60" outlineLevel="2">
      <c r="A60" s="12" t="s">
        <v>89</v>
      </c>
      <c r="B60" s="0" t="s">
        <v>68</v>
      </c>
      <c r="C60" s="14">
        <v>0.29</v>
      </c>
      <c r="D60" s="14"/>
      <c r="E60" s="14"/>
      <c r="F60" s="14"/>
      <c r="G60" s="14"/>
      <c r="H60" s="0" t="s">
        <v>19</v>
      </c>
      <c r="I60" s="5"/>
      <c r="J60" s="0" t="s">
        <v>71</v>
      </c>
    </row>
    <row r="61" outlineLevel="2">
      <c r="A61" s="12" t="s">
        <v>90</v>
      </c>
      <c r="B61" s="0" t="s">
        <v>68</v>
      </c>
      <c r="C61" s="14">
        <v>0.22</v>
      </c>
      <c r="D61" s="14"/>
      <c r="E61" s="14"/>
      <c r="F61" s="14"/>
      <c r="G61" s="14"/>
      <c r="H61" s="0" t="s">
        <v>19</v>
      </c>
      <c r="I61" s="5"/>
      <c r="J61" s="0" t="s">
        <v>71</v>
      </c>
    </row>
    <row r="62" outlineLevel="2">
      <c r="A62" s="12" t="s">
        <v>91</v>
      </c>
      <c r="B62" s="0" t="s">
        <v>68</v>
      </c>
      <c r="C62" s="14">
        <v>107</v>
      </c>
      <c r="D62" s="14"/>
      <c r="E62" s="14"/>
      <c r="F62" s="14"/>
      <c r="G62" s="14"/>
      <c r="H62" s="0" t="s">
        <v>19</v>
      </c>
      <c r="I62" s="5"/>
      <c r="J62" s="0" t="s">
        <v>71</v>
      </c>
    </row>
    <row r="63">
      <c r="I63" s="5"/>
    </row>
    <row r="64" s="1" customFormat="1"/>
  </sheetData>
  <mergeCells>
    <mergeCell ref="A8:A10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</mergeCells>
  <dataValidations count="1">
    <dataValidation type="decimal" sqref="C22" errorStyle="stop" promptTitle="Enter moisture content" errorTitle="Invalid moisture content" prompt="Value should be between 0 and 100.&#10;Original value: 3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https://phyllis.nl/Biomass/View/2327</dc:description>
  <dcterms:created xsi:type="dcterms:W3CDTF">2026-03-17T06:00:06Z</dcterms:created>
  <dc:title>Phyllis2 #2327 algae, Synechococcus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