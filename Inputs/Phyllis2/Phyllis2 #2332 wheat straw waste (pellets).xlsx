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32 wheat straw wast" sheetId="1" r:id="rId1"/>
  </sheets>
  <definedNames>
    <definedName name="w" localSheetId="0">IF(ISBLANK('Phyllis2 #2332 wheat straw wast'!$C$20),#N/A,'Phyllis2 #2332 wheat straw wast'!$C$20/100)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<sst xmlns="http://schemas.openxmlformats.org/spreadsheetml/2006/main" count="51" uniqueCount="51">
  <si>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</si>
  <si>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https://phyllis.nl/Biomass/View/2332</t>
  </si>
  <si>
    <t>wheat straw waste (pellets) (#2332)</t>
  </si>
  <si>
    <t>ID-number</t>
  </si>
  <si>
    <t>#2332</t>
  </si>
  <si>
    <t>Material</t>
  </si>
  <si>
    <t>wheat straw waste (pellets)</t>
  </si>
  <si>
    <t>Classification</t>
  </si>
  <si>
    <t>ECN Phyllis classification &gt; straw (stalk/cob/ear) &gt; wheat</t>
  </si>
  <si>
    <t>NTA 8003 classification &gt; [200] biomassa uit land- en tuinbouw &gt; [220] stro &gt; [223] tarwestro</t>
  </si>
  <si>
    <t>Ash type</t>
  </si>
  <si>
    <t>550 deg C</t>
  </si>
  <si>
    <t>Submitter organisation</t>
  </si>
  <si>
    <t>ECN (Netherlands)</t>
  </si>
  <si>
    <t>Submission date</t>
  </si>
  <si>
    <t>Remarks</t>
  </si>
  <si>
    <t>Wheat straw from China (WSW)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</si>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</sst>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3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37628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7.48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IFERROR(19.18*(1-w),"")</f>
        <v>17.745336</v>
      </c>
      <c r="D21" s="13">
        <v>19.18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IFERROR(63.55*(1-w),"")</f>
        <v>58.796459999999996</v>
      </c>
      <c r="D22" s="13">
        <v>63.55</v>
      </c>
      <c r="E22" s="13">
        <v>78.631526849789651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IFERROR(17.27*(1-w),"")</f>
        <v>15.978203999999996</v>
      </c>
      <c r="D23" s="13">
        <v>17.269999999999996</v>
      </c>
      <c r="E23" s="13">
        <v>21.368473150210338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IFERROR(38.28*(1-w),"")</f>
        <v>35.416656</v>
      </c>
      <c r="D25" s="13">
        <v>38.28</v>
      </c>
      <c r="E25" s="13">
        <v>47.364513734224204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IFERROR(4.785*(1-w),"")</f>
        <v>4.427082</v>
      </c>
      <c r="D26" s="13">
        <v>4.785</v>
      </c>
      <c r="E26" s="13">
        <v>5.9205642167780255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IFERROR(35.915*(1-w),"")</f>
        <v>33.228558</v>
      </c>
      <c r="D27" s="13">
        <v>35.915</v>
      </c>
      <c r="E27" s="13">
        <v>44.438257856966096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IFERROR(1.19*(1-w),"")</f>
        <v>1.100988</v>
      </c>
      <c r="D28" s="13">
        <v>1.19</v>
      </c>
      <c r="E28" s="13">
        <v>1.4724078198465724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IFERROR(99.35*(1-w)+w*100,"")</f>
        <v>99.39862</v>
      </c>
      <c r="D29" s="13">
        <v>99.35</v>
      </c>
      <c r="E29" s="13">
        <v>99.195743627814878</v>
      </c>
      <c r="F29" s="13"/>
      <c r="G29" s="13"/>
      <c r="I29" s="5"/>
      <c r="J29" s="0" t="s">
        <v>38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IFERROR(14.46883*(1-w)-w*2.443,"")</f>
        <v>13.203825116</v>
      </c>
      <c r="D31" s="13">
        <v>14.46883</v>
      </c>
      <c r="E31" s="13">
        <v>17.902536500866123</v>
      </c>
      <c r="F31" s="13"/>
      <c r="G31" s="13"/>
      <c r="I31" s="5"/>
    </row>
    <row r="32" outlineLevel="2">
      <c r="A32" s="12" t="s">
        <v>49</v>
      </c>
      <c r="B32" s="0" t="s">
        <v>48</v>
      </c>
      <c r="C32" s="13">
        <f>IFERROR(15.513*(1-w),"")</f>
        <v>14.3526276</v>
      </c>
      <c r="D32" s="13">
        <v>15.513</v>
      </c>
      <c r="E32" s="13">
        <v>19.194506310319227</v>
      </c>
      <c r="F32" s="13"/>
      <c r="G32" s="13"/>
      <c r="I32" s="5"/>
    </row>
    <row r="33" outlineLevel="2">
      <c r="A33" s="12" t="s">
        <v>50</v>
      </c>
      <c r="B33" s="0" t="s">
        <v>48</v>
      </c>
      <c r="C33" s="13">
        <f>IFERROR(14.6894804772*(1-w),"")</f>
        <v>13.590707337505442</v>
      </c>
      <c r="D33" s="13">
        <v>14.689480477200002</v>
      </c>
      <c r="E33" s="13">
        <v>18.175551196733483</v>
      </c>
      <c r="F33" s="13"/>
      <c r="G33" s="13"/>
      <c r="I33" s="5"/>
      <c r="J33" s="0" t="s">
        <v>38</v>
      </c>
    </row>
    <row r="34">
      <c r="I34" s="5"/>
    </row>
    <row r="35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&#10;Original value: 7.4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https://phyllis.nl/Biomass/View/2332</dc:description>
  <dcterms:created xsi:type="dcterms:W3CDTF">2026-03-17T06:18:28Z</dcterms:created>
  <dc:title>Phyllis2 #2332 wheat straw waste (pellets)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