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39 tobacco oriental" sheetId="1" r:id="rId1"/>
  </sheets>
  <definedNames>
    <definedName name="w" localSheetId="0">IF(ISBLANK('Phyllis2 #2339 tobacco oriental'!$C$18),#N/A,'Phyllis2 #2339 tobacco oriental'!$C$18/100)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<sst xmlns="http://schemas.openxmlformats.org/spreadsheetml/2006/main" count="45" uniqueCount="45">
  <si>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</si>
  <si>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https://phyllis.nl/Biomass/View/2339</t>
  </si>
  <si>
    <t>tobacco oriental (#2339)</t>
  </si>
  <si>
    <t>ID-number</t>
  </si>
  <si>
    <t>#2339</t>
  </si>
  <si>
    <t>Material</t>
  </si>
  <si>
    <t>tobacco oriental</t>
  </si>
  <si>
    <t>Classification</t>
  </si>
  <si>
    <t>ECN Phyllis classification &gt; grass/plant &gt; other plants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</si>
  <si>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</si>
  <si>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</si>
  <si>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</si>
  <si>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</si>
  <si>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</si>
  <si>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>M.A. Wójtowicz, R. Baasilakis, W.W. Smith, Y. Chen, R.M. Carangelo: Modeling the evolution of volatile species during tobacco pyrolysis. J. Anal. Appl. Pyrolysis 66 (2002) 235-261.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</si>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</sst>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37705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10.33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IFERROR(16.56*(1-w),"")</f>
        <v>14.849352</v>
      </c>
      <c r="D19" s="13">
        <v>16.56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IFERROR(42.01204*(1-w),"")</f>
        <v>37.672196268</v>
      </c>
      <c r="D21" s="13">
        <v>42.01204</v>
      </c>
      <c r="E21" s="13">
        <v>50.349999999999994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IFERROR(5.240032*(1-w),"")</f>
        <v>4.6987366944000009</v>
      </c>
      <c r="D22" s="13">
        <v>5.240032</v>
      </c>
      <c r="E22" s="13">
        <v>6.28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IFERROR(37.99023*(1-w),"")</f>
        <v>34.065839241</v>
      </c>
      <c r="D23" s="13">
        <v>37.99023</v>
      </c>
      <c r="E23" s="13">
        <v>45.529997603068068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IFERROR(2.319632*(1-w),"")</f>
        <v>2.0800140144</v>
      </c>
      <c r="D24" s="13">
        <v>2.319632</v>
      </c>
      <c r="E24" s="13">
        <v>2.78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IFERROR(0.50064*(1-w),"")</f>
        <v>0.448923888</v>
      </c>
      <c r="D25" s="13">
        <v>0.50064</v>
      </c>
      <c r="E25" s="13">
        <v>0.6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IFERROR(104.622574*(1-w)+w*100,"")</f>
        <v>104.14506210580001</v>
      </c>
      <c r="D26" s="13">
        <v>104.622574</v>
      </c>
      <c r="E26" s="13">
        <v>105.53999760306807</v>
      </c>
      <c r="F26" s="13"/>
      <c r="G26" s="13"/>
      <c r="I26" s="5"/>
      <c r="J26" s="0" t="s">
        <v>38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3">
        <f>IFERROR(16.2391781488*(1-w),"")</f>
        <v>14.561671046028961</v>
      </c>
      <c r="D28" s="13">
        <v>16.2391781488</v>
      </c>
      <c r="E28" s="13">
        <v>19.462102287631833</v>
      </c>
      <c r="F28" s="13"/>
      <c r="G28" s="13"/>
      <c r="I28" s="5"/>
      <c r="J28" s="0" t="s">
        <v>38</v>
      </c>
    </row>
    <row r="29">
      <c r="I29" s="5"/>
    </row>
    <row r="3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10.3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https://phyllis.nl/Biomass/View/2339</dc:description>
  <dcterms:created xsi:type="dcterms:W3CDTF">2026-03-04T04:33:28Z</dcterms:created>
  <dc:title>Phyllis2 #2339 tobacco oriental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