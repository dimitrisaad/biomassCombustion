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2 wood, fir, wester" sheetId="1" r:id="rId1"/>
  </sheets>
  <definedNames>
    <definedName name="w" localSheetId="0">IF(ISBLANK('Phyllis2 #242 wood, fir, wester'!$C$17),#N/A,'Phyllis2 #242 wood, fir, wester'!$C$17/100)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<sst xmlns="http://schemas.openxmlformats.org/spreadsheetml/2006/main" count="50" uniqueCount="50">
  <si>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</si>
  <si>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https://phyllis.nl/Biomass/View/242</t>
  </si>
  <si>
    <t>wood, fir, western hemlock (#242)</t>
  </si>
  <si>
    <t>ID-number</t>
  </si>
  <si>
    <t>#242</t>
  </si>
  <si>
    <t>Material</t>
  </si>
  <si>
    <t>wood, fir, western hemlock</t>
  </si>
  <si>
    <t>Classification</t>
  </si>
  <si>
    <t>ECN Phyllis classification &gt; untreated wood &gt; fir/pine/spruce &gt; wood, fir, western hemlock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</si>
  <si>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</si>
  <si>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</si>
  <si>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</si>
  <si>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</si>
  <si>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</si>
  <si>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</si>
  <si>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</si>
  <si>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</si>
  <si>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</si>
  <si>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</si>
  <si>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</si>
  <si>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</si>
  <si>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</si>
  <si>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</si>
  <si>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</si>
  <si>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</si>
  <si>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</si>
  <si>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</si>
  <si>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</si>
  <si>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</si>
  <si>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</si>
  <si>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</si>
  <si>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</si>
  <si>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</si>
  <si>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</si>
  <si>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</si>
  <si>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</si>
  <si>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</si>
  <si>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</si>
  <si>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Unknown</t>
  </si>
  <si>
    <t>Hydrogen</t>
  </si>
  <si>
    <t>Oxygen</t>
  </si>
  <si>
    <t>Measured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</si>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</sst>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IFERROR(2.2*(1-w),"")</f>
        <v/>
      </c>
      <c r="D18" s="11">
        <v>2.2</v>
      </c>
      <c r="E18" s="11">
        <v/>
      </c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IFERROR(84.8*(1-w),"")</f>
        <v/>
      </c>
      <c r="D19" s="11">
        <v>84.8</v>
      </c>
      <c r="E19" s="11">
        <v>86.707566462167691</v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IFERROR(13*(1-w),"")</f>
        <v/>
      </c>
      <c r="D20" s="11">
        <v>13</v>
      </c>
      <c r="E20" s="11">
        <v>13.292433537832311</v>
      </c>
      <c r="F20" s="11"/>
      <c r="G20" s="11"/>
      <c r="I20" s="12"/>
      <c r="J20" s="0" t="s">
        <v>35</v>
      </c>
    </row>
    <row r="21" outlineLevel="1">
      <c r="A21" s="9" t="s">
        <v>36</v>
      </c>
      <c r="I21" s="12"/>
    </row>
    <row r="22" outlineLevel="2">
      <c r="A22" s="10" t="s">
        <v>37</v>
      </c>
      <c r="B22" s="0" t="s">
        <v>32</v>
      </c>
      <c r="C22" s="11">
        <f>IFERROR(50.4*(1-w),"")</f>
        <v/>
      </c>
      <c r="D22" s="11">
        <v>50.4</v>
      </c>
      <c r="E22" s="11">
        <v>51.533742331288344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IFERROR(5.8*(1-w),"")</f>
        <v/>
      </c>
      <c r="D23" s="11">
        <v>5.8</v>
      </c>
      <c r="E23" s="11">
        <v>5.9304703476482619</v>
      </c>
      <c r="F23" s="11"/>
      <c r="G23" s="11"/>
      <c r="I23" s="12"/>
      <c r="J23" s="0" t="s">
        <v>38</v>
      </c>
    </row>
    <row r="24" outlineLevel="2">
      <c r="A24" s="10" t="s">
        <v>40</v>
      </c>
      <c r="B24" s="0" t="s">
        <v>32</v>
      </c>
      <c r="C24" s="11">
        <f>IFERROR(41.1*(1-w),"")</f>
        <v/>
      </c>
      <c r="D24" s="11">
        <v>41.1</v>
      </c>
      <c r="E24" s="11">
        <v>42.024539877300619</v>
      </c>
      <c r="F24" s="11"/>
      <c r="G24" s="11"/>
      <c r="I24" s="12"/>
      <c r="J24" s="0" t="s">
        <v>41</v>
      </c>
    </row>
    <row r="25" outlineLevel="2">
      <c r="A25" s="10" t="s">
        <v>42</v>
      </c>
      <c r="B25" s="0" t="s">
        <v>32</v>
      </c>
      <c r="C25" s="11">
        <f>IFERROR(0.1*(1-w),"")</f>
        <v/>
      </c>
      <c r="D25" s="11">
        <v>0.1</v>
      </c>
      <c r="E25" s="11">
        <v>0.10224948875255624</v>
      </c>
      <c r="F25" s="11"/>
      <c r="G25" s="11"/>
      <c r="I25" s="12"/>
      <c r="J25" s="0" t="s">
        <v>38</v>
      </c>
    </row>
    <row r="26" outlineLevel="2">
      <c r="A26" s="10" t="s">
        <v>43</v>
      </c>
      <c r="B26" s="0" t="s">
        <v>32</v>
      </c>
      <c r="C26" s="11">
        <f>IFERROR(0.1*(1-w),"")</f>
        <v/>
      </c>
      <c r="D26" s="11">
        <v>0.1</v>
      </c>
      <c r="E26" s="11">
        <v>0.10224948875255624</v>
      </c>
      <c r="F26" s="11"/>
      <c r="G26" s="11"/>
      <c r="I26" s="12"/>
      <c r="J26" s="0" t="s">
        <v>38</v>
      </c>
    </row>
    <row r="27" outlineLevel="2">
      <c r="A27" s="10" t="s">
        <v>44</v>
      </c>
      <c r="B27" s="0" t="s">
        <v>32</v>
      </c>
      <c r="C27" s="11">
        <f>IFERROR(99.7*(1-w)+w*100,"")</f>
        <v/>
      </c>
      <c r="D27" s="11">
        <v>99.699999999999989</v>
      </c>
      <c r="E27" s="11">
        <v>99.693251533742313</v>
      </c>
      <c r="F27" s="11"/>
      <c r="G27" s="11"/>
      <c r="I27" s="12"/>
      <c r="J27" s="0" t="s">
        <v>35</v>
      </c>
    </row>
    <row r="28" outlineLevel="1">
      <c r="A28" s="9" t="s">
        <v>45</v>
      </c>
      <c r="I28" s="12"/>
    </row>
    <row r="29" outlineLevel="2">
      <c r="A29" s="10" t="s">
        <v>46</v>
      </c>
      <c r="B29" s="0" t="s">
        <v>47</v>
      </c>
      <c r="C29" s="11">
        <f>IFERROR(18.78434*(1-w)-w*2.443,"")</f>
        <v/>
      </c>
      <c r="D29" s="11">
        <v>18.78434</v>
      </c>
      <c r="E29" s="11">
        <v>19.206891615541924</v>
      </c>
      <c r="F29" s="11"/>
      <c r="G29" s="11"/>
      <c r="I29" s="12"/>
    </row>
    <row r="30" outlineLevel="2">
      <c r="A30" s="10" t="s">
        <v>48</v>
      </c>
      <c r="B30" s="0" t="s">
        <v>47</v>
      </c>
      <c r="C30" s="11">
        <f>IFERROR(20.05*(1-w),"")</f>
        <v/>
      </c>
      <c r="D30" s="11">
        <v>20.05</v>
      </c>
      <c r="E30" s="11">
        <v>20.501022494887525</v>
      </c>
      <c r="F30" s="11"/>
      <c r="G30" s="11"/>
      <c r="I30" s="12"/>
    </row>
    <row r="31" outlineLevel="2">
      <c r="A31" s="10" t="s">
        <v>49</v>
      </c>
      <c r="B31" s="0" t="s">
        <v>47</v>
      </c>
      <c r="C31" s="11">
        <f>IFERROR(19.88394052*(1-w),"")</f>
        <v/>
      </c>
      <c r="D31" s="11">
        <v>19.883940520000003</v>
      </c>
      <c r="E31" s="11">
        <v>20.331227525562376</v>
      </c>
      <c r="F31" s="11"/>
      <c r="G31" s="11"/>
      <c r="I31" s="12"/>
      <c r="J31" s="0" t="s">
        <v>35</v>
      </c>
    </row>
    <row r="32">
      <c r="I32" s="12"/>
    </row>
    <row r="33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https://phyllis.nl/Biomass/View/242</dc:description>
  <dcterms:created xsi:type="dcterms:W3CDTF">2026-03-19T04:22:32Z</dcterms:created>
  <dc:title>Phyllis2 #242 wood, fir, western hemlock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