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425 wheatgrass" sheetId="1" r:id="rId1"/>
  </sheets>
  <definedNames>
    <definedName name="w" localSheetId="0">IF(ISBLANK('Phyllis2 #2425 wheatgrass'!$C$19),#N/A,'Phyllis2 #2425 wheatgrass'!$C$19/100)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<sst xmlns="http://schemas.openxmlformats.org/spreadsheetml/2006/main" count="49" uniqueCount="49">
  <si>
    <t>Phyllis2</t>
  </si>
  <si>
    <t>https://phyllis.nl/Biomass/View/2425</t>
  </si>
  <si>
    <t>wheatgrass (#2425)</t>
  </si>
  <si>
    <t>ID-number</t>
  </si>
  <si>
    <t>#2425</t>
  </si>
  <si>
    <t>Material</t>
  </si>
  <si>
    <t>wheatgrass</t>
  </si>
  <si>
    <t>Classification</t>
  </si>
  <si>
    <t>ECN Phyllis classification &gt; grass/plant &gt; other grass &gt; wheatgrass</t>
  </si>
  <si>
    <t>NTA 8003 classification &gt; [200] biomassa uit land- en tuinbouw &gt; [210] gras &gt; [219] overig gras</t>
  </si>
  <si>
    <t>Submitter organisation</t>
  </si>
  <si>
    <t>ECN (Netherlands)</t>
  </si>
  <si>
    <t>Submission date</t>
  </si>
  <si>
    <t>Remarks</t>
  </si>
  <si>
    <t>intermediate Thinopyrum intermedium (Host) Barkw. &amp; D.R. Dewey)</t>
  </si>
  <si>
    <t>Literature</t>
  </si>
  <si>
    <t>D. W. Meyer, W. E. Norby, D. O. Erickson and R. G. Johnson: Evaluation of Herbaceous Biomass Crops in the Northern Great Plains. North Dakota Agricultural Experiment Station, North Dakota State University, Fargo North Dakota. 2002.(1994)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</si>
  <si>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</si>
  <si>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</si>
  <si>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</si>
  <si>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</si>
  <si>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</si>
  <si>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</si>
  <si>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</si>
  <si>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</si>
  <si>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</si>
  <si>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</si>
  <si>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</si>
  <si>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</si>
  <si>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</si>
  <si>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</si>
  <si>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</si>
  <si>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</si>
  <si>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</si>
  <si>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</si>
  <si>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</si>
  <si>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Total (with halides)</t>
  </si>
  <si>
    <t>Calculated</t>
  </si>
  <si>
    <t>Biochemical analysis</t>
  </si>
  <si>
    <t>Cellulose, hemicellulose, lignin</t>
  </si>
  <si>
    <t>Cellulose</t>
  </si>
  <si>
    <t>wt% (dry)</t>
  </si>
  <si>
    <t>van Soest</t>
  </si>
  <si>
    <t>Hemicellulose</t>
  </si>
  <si>
    <t>Lignin</t>
  </si>
  <si>
    <t>Measured</t>
  </si>
  <si>
    <t>Other</t>
  </si>
  <si>
    <t>Total non-structural carbo-hydrates (TNC)</t>
  </si>
  <si>
    <t>Total ash + biochemical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</si>
</sst>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6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425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1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41.3183822631836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37719</v>
      </c>
    </row>
    <row r="11" outlineLevel="1">
      <c r="A11" s="7" t="s">
        <v>13</v>
      </c>
      <c r="B11" s="0" t="s">
        <v>14</v>
      </c>
    </row>
    <row r="12" outlineLevel="1">
      <c r="A12" s="7" t="s">
        <v>15</v>
      </c>
      <c r="B12" s="0" t="s">
        <v>16</v>
      </c>
    </row>
    <row r="13">
      <c r="A13" s="7"/>
    </row>
    <row r="14" s="1" customFormat="1">
      <c r="A14" s="9" t="s">
        <v>17</v>
      </c>
    </row>
    <row r="15" s="1" customFormat="1">
      <c r="A15" s="10" t="s">
        <v>18</v>
      </c>
      <c r="B15" s="10" t="s">
        <v>19</v>
      </c>
      <c r="C15" s="10" t="s">
        <v>20</v>
      </c>
      <c r="D15" s="10"/>
      <c r="E15" s="10"/>
      <c r="F15" s="10" t="s">
        <v>21</v>
      </c>
      <c r="G15" s="10" t="s">
        <v>22</v>
      </c>
      <c r="H15" s="10" t="s">
        <v>23</v>
      </c>
      <c r="I15" s="10" t="s">
        <v>24</v>
      </c>
      <c r="J15" s="10" t="s">
        <v>25</v>
      </c>
      <c r="K15" s="10" t="s">
        <v>13</v>
      </c>
      <c r="L15" s="10"/>
    </row>
    <row r="16" s="1" customFormat="1">
      <c r="A16" s="10"/>
      <c r="B16" s="10"/>
      <c r="C16" s="10" t="s">
        <v>26</v>
      </c>
      <c r="D16" s="10" t="s">
        <v>27</v>
      </c>
      <c r="E16" s="10" t="s">
        <v>28</v>
      </c>
      <c r="F16" s="10"/>
      <c r="G16" s="10"/>
      <c r="H16" s="10"/>
      <c r="I16" s="10"/>
      <c r="J16" s="10"/>
      <c r="K16" s="10"/>
      <c r="L16" s="10"/>
    </row>
    <row r="17">
      <c r="A17" s="7" t="s">
        <v>29</v>
      </c>
      <c r="I17" s="5"/>
    </row>
    <row r="18" outlineLevel="1">
      <c r="A18" s="11" t="s">
        <v>30</v>
      </c>
      <c r="I18" s="5"/>
    </row>
    <row r="19" outlineLevel="2">
      <c r="A19" s="12" t="s">
        <v>31</v>
      </c>
      <c r="B19" s="0" t="s">
        <v>32</v>
      </c>
      <c r="C19" s="13">
        <v/>
      </c>
      <c r="D19" s="13"/>
      <c r="E19" s="13"/>
      <c r="F19" s="13"/>
      <c r="G19" s="13"/>
      <c r="I19" s="5"/>
    </row>
    <row r="20" outlineLevel="2">
      <c r="A20" s="12" t="s">
        <v>33</v>
      </c>
      <c r="B20" s="0" t="s">
        <v>34</v>
      </c>
      <c r="C20" s="13">
        <f>IFERROR(9.2*(1-w),"")</f>
        <v/>
      </c>
      <c r="D20" s="13">
        <v>9.2</v>
      </c>
      <c r="E20" s="13">
        <v/>
      </c>
      <c r="F20" s="13"/>
      <c r="G20" s="13"/>
      <c r="I20" s="5"/>
    </row>
    <row r="21" outlineLevel="1">
      <c r="A21" s="11" t="s">
        <v>35</v>
      </c>
      <c r="I21" s="5"/>
    </row>
    <row r="22" outlineLevel="2">
      <c r="A22" s="12" t="s">
        <v>36</v>
      </c>
      <c r="B22" s="0" t="s">
        <v>34</v>
      </c>
      <c r="C22" s="13">
        <f>IFERROR(9.2*(1-w)+w*100,"")</f>
        <v/>
      </c>
      <c r="D22" s="13">
        <v>9.2</v>
      </c>
      <c r="E22" s="13">
        <v>0</v>
      </c>
      <c r="F22" s="13"/>
      <c r="G22" s="13"/>
      <c r="I22" s="5"/>
      <c r="J22" s="0" t="s">
        <v>37</v>
      </c>
    </row>
    <row r="23" outlineLevel="1">
      <c r="A23" s="11" t="s">
        <v>38</v>
      </c>
      <c r="I23" s="5"/>
    </row>
    <row r="24" outlineLevel="2">
      <c r="A24" s="14" t="s">
        <v>39</v>
      </c>
      <c r="I24" s="5"/>
    </row>
    <row r="25" outlineLevel="3">
      <c r="A25" s="15" t="s">
        <v>40</v>
      </c>
      <c r="B25" s="0" t="s">
        <v>41</v>
      </c>
      <c r="C25" s="13">
        <v>37.3</v>
      </c>
      <c r="D25" s="13"/>
      <c r="E25" s="13"/>
      <c r="F25" s="13"/>
      <c r="G25" s="13"/>
      <c r="I25" s="5"/>
      <c r="J25" s="0" t="s">
        <v>42</v>
      </c>
    </row>
    <row r="26" outlineLevel="3">
      <c r="A26" s="15" t="s">
        <v>43</v>
      </c>
      <c r="B26" s="0" t="s">
        <v>41</v>
      </c>
      <c r="C26" s="13">
        <v>23.9</v>
      </c>
      <c r="D26" s="13"/>
      <c r="E26" s="13"/>
      <c r="F26" s="13"/>
      <c r="G26" s="13"/>
      <c r="I26" s="5"/>
      <c r="J26" s="0" t="s">
        <v>42</v>
      </c>
    </row>
    <row r="27" outlineLevel="3">
      <c r="A27" s="15" t="s">
        <v>44</v>
      </c>
      <c r="B27" s="0" t="s">
        <v>41</v>
      </c>
      <c r="C27" s="13">
        <v>5.3</v>
      </c>
      <c r="D27" s="13"/>
      <c r="E27" s="13"/>
      <c r="F27" s="13"/>
      <c r="G27" s="13"/>
      <c r="I27" s="5"/>
      <c r="J27" s="0" t="s">
        <v>45</v>
      </c>
    </row>
    <row r="28" outlineLevel="2">
      <c r="A28" s="14" t="s">
        <v>46</v>
      </c>
      <c r="I28" s="5"/>
    </row>
    <row r="29" outlineLevel="3">
      <c r="A29" s="15" t="s">
        <v>47</v>
      </c>
      <c r="B29" s="0" t="s">
        <v>41</v>
      </c>
      <c r="C29" s="13">
        <v>6.9</v>
      </c>
      <c r="D29" s="13"/>
      <c r="E29" s="13"/>
      <c r="F29" s="13"/>
      <c r="G29" s="13"/>
      <c r="I29" s="5"/>
      <c r="J29" s="0" t="s">
        <v>45</v>
      </c>
    </row>
    <row r="30" outlineLevel="3">
      <c r="A30" s="15" t="s">
        <v>48</v>
      </c>
      <c r="B30" s="0" t="s">
        <v>41</v>
      </c>
      <c r="C30" s="13">
        <v>82.600000000000009</v>
      </c>
      <c r="D30" s="13"/>
      <c r="E30" s="13"/>
      <c r="F30" s="13"/>
      <c r="G30" s="13"/>
      <c r="I30" s="5"/>
      <c r="J30" s="0" t="s">
        <v>37</v>
      </c>
    </row>
    <row r="31">
      <c r="I31" s="5"/>
    </row>
    <row r="32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25:E25"/>
    <mergeCell ref="C26:E26"/>
    <mergeCell ref="C27:E27"/>
    <mergeCell ref="C29:E29"/>
    <mergeCell ref="C30:E30"/>
  </mergeCells>
  <dataValidations count="1">
    <dataValidation type="decimal" sqref="C19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https://phyllis.nl/Biomass/View/2425</dc:description>
  <dcterms:created xsi:type="dcterms:W3CDTF">2026-03-04T04:25:52Z</dcterms:created>
  <dc:title>Phyllis2 #2425 wheatgrass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