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428 switchgrass" sheetId="1" r:id="rId1"/>
  </sheets>
  <definedNames>
    <definedName name="w" localSheetId="0">IF(ISBLANK('Phyllis2 #2428 switchgrass'!$C$19),#N/A,'Phyllis2 #2428 switchgrass'!$C$19/100)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<sst xmlns="http://schemas.openxmlformats.org/spreadsheetml/2006/main" count="72" uniqueCount="72">
  <si>
    <t>Phyllis2</t>
  </si>
  <si>
    <t>https://phyllis.nl/Biomass/View/2428</t>
  </si>
  <si>
    <t>switchgrass (#2428)</t>
  </si>
  <si>
    <t>ID-number</t>
  </si>
  <si>
    <t>#2428</t>
  </si>
  <si>
    <t>Material</t>
  </si>
  <si>
    <t>switchgrass</t>
  </si>
  <si>
    <t>Classification</t>
  </si>
  <si>
    <t>ECN Phyllis classification &gt; grass/plant &gt; switch grass &gt; switchgrass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</si>
  <si>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</si>
  <si>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</si>
  <si>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</si>
  <si>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</si>
  <si>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Remarks</t>
  </si>
  <si>
    <t>cave in rock</t>
  </si>
  <si>
    <t>Literature</t>
  </si>
  <si>
    <t>R. Lemus, E.C. Brummer, K.J. Moore, N.E. Molstad, C.L. Burras, M.F. Barker: Biomass yield and quality of 20 switchgrass populations in southern Iowa, Usa. Biomass &amp; bioenergy 23 (2002) 433-442.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</si>
  <si>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</si>
  <si>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</si>
  <si>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</si>
  <si>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</si>
  <si>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</si>
  <si>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</si>
  <si>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</si>
  <si>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</si>
  <si>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</si>
  <si>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</si>
  <si>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</si>
  <si>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</si>
  <si>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</si>
  <si>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</si>
  <si>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</si>
  <si>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</si>
  <si>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</si>
  <si>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</si>
  <si>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</si>
  <si>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</si>
  <si>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</si>
  <si>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</si>
  <si>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</si>
  <si>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Average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</si>
  <si>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</si>
  <si>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</si>
  <si>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</si>
  <si>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</si>
  <si>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</si>
  <si>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</si>
  <si>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</si>
  <si>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</si>
  <si>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</si>
  <si>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</si>
  <si>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</si>
  <si>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</si>
  <si>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Cellulose</t>
  </si>
  <si>
    <t>wt% (dry)</t>
  </si>
  <si>
    <t>van Soest</t>
  </si>
  <si>
    <t>Hemicellulose</t>
  </si>
  <si>
    <t>Lignin</t>
  </si>
  <si>
    <t>Other</t>
  </si>
  <si>
    <t>Total ash + biochemical</t>
  </si>
  <si>
    <t>Ash Properties</t>
  </si>
  <si>
    <t>Ash composition</t>
  </si>
  <si>
    <t>Cl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</si>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</sst>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42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37719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IFERROR(6*(1-w),"")</f>
        <v/>
      </c>
      <c r="D20" s="13">
        <v>6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IFERROR(81.7*(1-w),"")</f>
        <v/>
      </c>
      <c r="D21" s="13">
        <v>81.7</v>
      </c>
      <c r="E21" s="13">
        <v>86.914893617021278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IFERROR(12.3*(1-w),"")</f>
        <v/>
      </c>
      <c r="D22" s="13">
        <v>12.299999999999997</v>
      </c>
      <c r="E22" s="13">
        <v>13.08510638297872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IFERROR(47.3*(1-w),"")</f>
        <v/>
      </c>
      <c r="D24" s="13">
        <v>47.3</v>
      </c>
      <c r="E24" s="13">
        <v>50.319148936170215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IFERROR(5.3*(1-w),"")</f>
        <v/>
      </c>
      <c r="D25" s="13">
        <v>5.3</v>
      </c>
      <c r="E25" s="13">
        <v>5.6382978723404253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IFERROR(41.1*(1-w),"")</f>
        <v/>
      </c>
      <c r="D26" s="13">
        <v>41.1</v>
      </c>
      <c r="E26" s="13">
        <v>43.723404255319153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34</v>
      </c>
      <c r="C27" s="13">
        <f>IFERROR(0.51*(1-w),"")</f>
        <v/>
      </c>
      <c r="D27" s="13">
        <v>0.51</v>
      </c>
      <c r="E27" s="13">
        <v>0.54255319148936176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IFERROR(0.13*(1-w),"")</f>
        <v/>
      </c>
      <c r="D28" s="13">
        <v>0.13</v>
      </c>
      <c r="E28" s="13">
        <v>0.13829787234042554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34</v>
      </c>
      <c r="C29" s="13">
        <f>IFERROR(100.34*(1-w)+w*100,"")</f>
        <v/>
      </c>
      <c r="D29" s="13">
        <v>100.33999999999999</v>
      </c>
      <c r="E29" s="13">
        <v>100.36170212765957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IFERROR(16.37*(1-w)-w*2.443,"")</f>
        <v/>
      </c>
      <c r="D31" s="13">
        <v>16.37</v>
      </c>
      <c r="E31" s="13">
        <v>17.414893617021278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IFERROR(17.52655*(1-w),"")</f>
        <v/>
      </c>
      <c r="D32" s="13">
        <v>17.52655</v>
      </c>
      <c r="E32" s="13">
        <v>18.64526595744681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IFERROR(18.065326*(1-w),"")</f>
        <v/>
      </c>
      <c r="D33" s="13">
        <v>18.065326</v>
      </c>
      <c r="E33" s="13">
        <v>19.218431914893618</v>
      </c>
      <c r="F33" s="13"/>
      <c r="G33" s="13"/>
      <c r="I33" s="5"/>
      <c r="J33" s="0" t="s">
        <v>37</v>
      </c>
    </row>
    <row r="34" outlineLevel="1">
      <c r="A34" s="11" t="s">
        <v>51</v>
      </c>
      <c r="I34" s="5"/>
    </row>
    <row r="35" outlineLevel="2">
      <c r="A35" s="14" t="s">
        <v>52</v>
      </c>
      <c r="I35" s="5"/>
    </row>
    <row r="36" outlineLevel="3">
      <c r="A36" s="15" t="s">
        <v>53</v>
      </c>
      <c r="B36" s="0" t="s">
        <v>54</v>
      </c>
      <c r="C36" s="13">
        <v>37.9</v>
      </c>
      <c r="D36" s="13"/>
      <c r="E36" s="13"/>
      <c r="F36" s="13"/>
      <c r="G36" s="13"/>
      <c r="I36" s="5"/>
      <c r="J36" s="0" t="s">
        <v>55</v>
      </c>
    </row>
    <row r="37" outlineLevel="3">
      <c r="A37" s="15" t="s">
        <v>56</v>
      </c>
      <c r="B37" s="0" t="s">
        <v>54</v>
      </c>
      <c r="C37" s="13">
        <v>32</v>
      </c>
      <c r="D37" s="13"/>
      <c r="E37" s="13"/>
      <c r="F37" s="13"/>
      <c r="G37" s="13"/>
      <c r="I37" s="5"/>
      <c r="J37" s="0" t="s">
        <v>55</v>
      </c>
    </row>
    <row r="38" outlineLevel="3">
      <c r="A38" s="15" t="s">
        <v>57</v>
      </c>
      <c r="B38" s="0" t="s">
        <v>54</v>
      </c>
      <c r="C38" s="13">
        <v>6.7</v>
      </c>
      <c r="D38" s="13"/>
      <c r="E38" s="13"/>
      <c r="F38" s="13"/>
      <c r="G38" s="13"/>
      <c r="I38" s="5"/>
      <c r="J38" s="0" t="s">
        <v>40</v>
      </c>
    </row>
    <row r="39" outlineLevel="2">
      <c r="A39" s="14" t="s">
        <v>58</v>
      </c>
      <c r="I39" s="5"/>
    </row>
    <row r="40" outlineLevel="3">
      <c r="A40" s="15" t="s">
        <v>59</v>
      </c>
      <c r="B40" s="0" t="s">
        <v>54</v>
      </c>
      <c r="C40" s="13">
        <v>82.600000000000009</v>
      </c>
      <c r="D40" s="13"/>
      <c r="E40" s="13"/>
      <c r="F40" s="13"/>
      <c r="G40" s="13"/>
      <c r="I40" s="5"/>
      <c r="J40" s="0" t="s">
        <v>37</v>
      </c>
    </row>
    <row r="41">
      <c r="A41" s="7" t="s">
        <v>60</v>
      </c>
      <c r="I41" s="5"/>
    </row>
    <row r="42" outlineLevel="1">
      <c r="A42" s="11" t="s">
        <v>61</v>
      </c>
      <c r="I42" s="5"/>
    </row>
    <row r="43" outlineLevel="2">
      <c r="A43" s="12" t="s">
        <v>62</v>
      </c>
      <c r="B43" s="0" t="s">
        <v>63</v>
      </c>
      <c r="C43" s="13">
        <v>0.28</v>
      </c>
      <c r="D43" s="13"/>
      <c r="E43" s="13"/>
      <c r="F43" s="13"/>
      <c r="G43" s="13"/>
      <c r="I43" s="5"/>
    </row>
    <row r="44" outlineLevel="2">
      <c r="A44" s="12" t="s">
        <v>64</v>
      </c>
      <c r="B44" s="0" t="s">
        <v>63</v>
      </c>
      <c r="C44" s="13">
        <v>5.6</v>
      </c>
      <c r="D44" s="13"/>
      <c r="E44" s="13"/>
      <c r="F44" s="13"/>
      <c r="G44" s="13"/>
      <c r="I44" s="5"/>
    </row>
    <row r="45" outlineLevel="2">
      <c r="A45" s="12" t="s">
        <v>65</v>
      </c>
      <c r="B45" s="0" t="s">
        <v>63</v>
      </c>
      <c r="C45" s="13">
        <v>58.8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63</v>
      </c>
      <c r="C46" s="13">
        <v>0.35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63</v>
      </c>
      <c r="C47" s="13">
        <v>0.7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63</v>
      </c>
      <c r="C48" s="13">
        <v>12.1</v>
      </c>
      <c r="D48" s="13"/>
      <c r="E48" s="13"/>
      <c r="F48" s="13"/>
      <c r="G48" s="13"/>
      <c r="I48" s="5"/>
    </row>
    <row r="49" outlineLevel="2">
      <c r="A49" s="12" t="s">
        <v>69</v>
      </c>
      <c r="B49" s="0" t="s">
        <v>63</v>
      </c>
      <c r="C49" s="13">
        <v>3.5</v>
      </c>
      <c r="D49" s="13"/>
      <c r="E49" s="13"/>
      <c r="F49" s="13"/>
      <c r="G49" s="13"/>
      <c r="I49" s="5"/>
    </row>
    <row r="50" outlineLevel="2">
      <c r="A50" s="12" t="s">
        <v>70</v>
      </c>
      <c r="B50" s="0" t="s">
        <v>63</v>
      </c>
      <c r="C50" s="13">
        <v>0.1</v>
      </c>
      <c r="D50" s="13"/>
      <c r="E50" s="13"/>
      <c r="F50" s="13"/>
      <c r="G50" s="13"/>
      <c r="I50" s="5"/>
    </row>
    <row r="51" outlineLevel="2">
      <c r="A51" s="12" t="s">
        <v>71</v>
      </c>
      <c r="B51" s="0" t="s">
        <v>63</v>
      </c>
      <c r="C51" s="13">
        <v>8.1</v>
      </c>
      <c r="D51" s="13"/>
      <c r="E51" s="13"/>
      <c r="F51" s="13"/>
      <c r="G51" s="13"/>
      <c r="I51" s="5"/>
    </row>
    <row r="52">
      <c r="I52" s="5"/>
    </row>
    <row r="5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40:E40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https://phyllis.nl/Biomass/View/2428</dc:description>
  <dcterms:created xsi:type="dcterms:W3CDTF">2026-03-04T04:41:26Z</dcterms:created>
  <dc:title>Phyllis2 #2428 switchgrass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