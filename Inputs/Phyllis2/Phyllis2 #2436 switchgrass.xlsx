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36 switchgrass" sheetId="1" r:id="rId1"/>
  </sheets>
  <definedNames>
    <definedName name="w" localSheetId="0">IF(ISBLANK('Phyllis2 #2436 switchgrass'!$C$19),#N/A,'Phyllis2 #2436 switchgrass'!$C$19/100)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<sst xmlns="http://schemas.openxmlformats.org/spreadsheetml/2006/main" count="72" uniqueCount="72">
  <si>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</si>
  <si>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https://phyllis.nl/Biomass/View/2436</t>
  </si>
  <si>
    <t>switchgrass (#2436)</t>
  </si>
  <si>
    <t>ID-number</t>
  </si>
  <si>
    <t>#2436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</si>
  <si>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</si>
  <si>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</si>
  <si>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</si>
  <si>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</si>
  <si>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</si>
  <si>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</si>
  <si>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</si>
  <si>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</si>
  <si>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</si>
  <si>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kanlow</t>
  </si>
  <si>
    <t>Literature</t>
  </si>
  <si>
    <t>R. Lemus, E.C. Brummer, K.J. Moore, N.E. Molstad, C.L. Burras, M.F. Barker: Biomass yield and quality of 20 switchgrass populations in southern Iowa, Usa. Biomass &amp; bioenergy 23 (2002) 433-442.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</si>
  <si>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</si>
  <si>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</si>
  <si>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</si>
  <si>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</si>
  <si>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</si>
  <si>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</si>
  <si>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</si>
  <si>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</si>
  <si>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</si>
  <si>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</si>
  <si>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</si>
  <si>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</si>
  <si>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</si>
  <si>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</si>
  <si>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</si>
  <si>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</si>
  <si>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</si>
  <si>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</si>
  <si>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</si>
  <si>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</si>
  <si>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</si>
  <si>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</si>
  <si>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</si>
  <si>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Average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</si>
  <si>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</si>
  <si>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</si>
  <si>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</si>
  <si>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</si>
  <si>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</si>
  <si>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</si>
  <si>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</si>
  <si>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</si>
  <si>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</si>
  <si>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</si>
  <si>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</si>
  <si>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</si>
  <si>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</si>
  <si>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</si>
  <si>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</si>
  <si>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</si>
  <si>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</si>
  <si>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Other</t>
  </si>
  <si>
    <t>Total ash + biochemical</t>
  </si>
  <si>
    <t>Ash Properties</t>
  </si>
  <si>
    <t>Ash composition</t>
  </si>
  <si>
    <t>Cl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</si>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</sst>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IFERROR(5.4*(1-w),"")</f>
        <v/>
      </c>
      <c r="D20" s="13">
        <v>5.4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IFERROR(81.5*(1-w),"")</f>
        <v/>
      </c>
      <c r="D21" s="13">
        <v>81.5</v>
      </c>
      <c r="E21" s="13">
        <v>86.152219873150116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IFERROR(13.1*(1-w),"")</f>
        <v/>
      </c>
      <c r="D22" s="13">
        <v>13.099999999999994</v>
      </c>
      <c r="E22" s="13">
        <v>13.847780126849889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IFERROR(48*(1-w),"")</f>
        <v/>
      </c>
      <c r="D24" s="13">
        <v>48</v>
      </c>
      <c r="E24" s="13">
        <v>50.7399577167019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IFERROR(5.4*(1-w),"")</f>
        <v/>
      </c>
      <c r="D25" s="13">
        <v>5.4</v>
      </c>
      <c r="E25" s="13">
        <v>5.7082452431289648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IFERROR(41.4*(1-w),"")</f>
        <v/>
      </c>
      <c r="D26" s="13">
        <v>41.4</v>
      </c>
      <c r="E26" s="13">
        <v>43.763213530655392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IFERROR(0.46*(1-w),"")</f>
        <v/>
      </c>
      <c r="D27" s="13">
        <v>0.46</v>
      </c>
      <c r="E27" s="13">
        <v>0.4862579281183933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IFERROR(0.16*(1-w),"")</f>
        <v/>
      </c>
      <c r="D28" s="13">
        <v>0.16</v>
      </c>
      <c r="E28" s="13">
        <v>0.16913319238900634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IFERROR(100.82*(1-w)+w*100,"")</f>
        <v/>
      </c>
      <c r="D29" s="13">
        <v>100.82</v>
      </c>
      <c r="E29" s="13">
        <v>100.86680761099365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IFERROR(16.43*(1-w)-w*2.443,"")</f>
        <v/>
      </c>
      <c r="D31" s="13">
        <v>16.43</v>
      </c>
      <c r="E31" s="13">
        <v>17.367864693446091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IFERROR(17.60837*(1-w),"")</f>
        <v/>
      </c>
      <c r="D32" s="13">
        <v>17.60837</v>
      </c>
      <c r="E32" s="13">
        <v>18.613498942917548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IFERROR(18.41641748*(1-w),"")</f>
        <v/>
      </c>
      <c r="D33" s="13">
        <v>18.416417480000003</v>
      </c>
      <c r="E33" s="13">
        <v>19.467671754756875</v>
      </c>
      <c r="F33" s="13"/>
      <c r="G33" s="13"/>
      <c r="I33" s="5"/>
      <c r="J33" s="0" t="s">
        <v>37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3">
        <v>38.5</v>
      </c>
      <c r="D36" s="13"/>
      <c r="E36" s="13"/>
      <c r="F36" s="13"/>
      <c r="G36" s="13"/>
      <c r="I36" s="5"/>
      <c r="J36" s="0" t="s">
        <v>55</v>
      </c>
    </row>
    <row r="37" outlineLevel="3">
      <c r="A37" s="15" t="s">
        <v>56</v>
      </c>
      <c r="B37" s="0" t="s">
        <v>54</v>
      </c>
      <c r="C37" s="13">
        <v>32.9</v>
      </c>
      <c r="D37" s="13"/>
      <c r="E37" s="13"/>
      <c r="F37" s="13"/>
      <c r="G37" s="13"/>
      <c r="I37" s="5"/>
      <c r="J37" s="0" t="s">
        <v>55</v>
      </c>
    </row>
    <row r="38" outlineLevel="3">
      <c r="A38" s="15" t="s">
        <v>57</v>
      </c>
      <c r="B38" s="0" t="s">
        <v>54</v>
      </c>
      <c r="C38" s="13">
        <v>6</v>
      </c>
      <c r="D38" s="13"/>
      <c r="E38" s="13"/>
      <c r="F38" s="13"/>
      <c r="G38" s="13"/>
      <c r="I38" s="5"/>
      <c r="J38" s="0" t="s">
        <v>40</v>
      </c>
    </row>
    <row r="39" outlineLevel="2">
      <c r="A39" s="14" t="s">
        <v>58</v>
      </c>
      <c r="I39" s="5"/>
    </row>
    <row r="40" outlineLevel="3">
      <c r="A40" s="15" t="s">
        <v>59</v>
      </c>
      <c r="B40" s="0" t="s">
        <v>54</v>
      </c>
      <c r="C40" s="13">
        <v>82.800000000000011</v>
      </c>
      <c r="D40" s="13"/>
      <c r="E40" s="13"/>
      <c r="F40" s="13"/>
      <c r="G40" s="13"/>
      <c r="I40" s="5"/>
      <c r="J40" s="0" t="s">
        <v>37</v>
      </c>
    </row>
    <row r="41">
      <c r="A41" s="7" t="s">
        <v>60</v>
      </c>
      <c r="I41" s="5"/>
    </row>
    <row r="42" outlineLevel="1">
      <c r="A42" s="11" t="s">
        <v>61</v>
      </c>
      <c r="I42" s="5"/>
    </row>
    <row r="43" outlineLevel="2">
      <c r="A43" s="12" t="s">
        <v>62</v>
      </c>
      <c r="B43" s="0" t="s">
        <v>63</v>
      </c>
      <c r="C43" s="13">
        <v>0.63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63</v>
      </c>
      <c r="C44" s="13">
        <v>5.1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63</v>
      </c>
      <c r="C45" s="13">
        <v>57.3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63</v>
      </c>
      <c r="C46" s="13">
        <v>0.4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63</v>
      </c>
      <c r="C47" s="13">
        <v>0.8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63</v>
      </c>
      <c r="C48" s="13">
        <v>10.8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63</v>
      </c>
      <c r="C49" s="13">
        <v>5.2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63</v>
      </c>
      <c r="C50" s="13">
        <v>0.4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63</v>
      </c>
      <c r="C51" s="13">
        <v>9.1</v>
      </c>
      <c r="D51" s="13"/>
      <c r="E51" s="13"/>
      <c r="F51" s="13"/>
      <c r="G51" s="13"/>
      <c r="I51" s="5"/>
    </row>
    <row r="52">
      <c r="I52" s="5"/>
    </row>
    <row r="5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https://phyllis.nl/Biomass/View/2436</dc:description>
  <dcterms:created xsi:type="dcterms:W3CDTF">2026-03-04T04:41:40Z</dcterms:created>
  <dc:title>Phyllis2 #2436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