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8 wood, gum chips" sheetId="1" r:id="rId1"/>
  </sheets>
  <definedNames>
    <definedName name="w" localSheetId="0">IF(ISBLANK('Phyllis2 #248 wood, gum chips'!$C$17),#N/A,'Phyllis2 #248 wood, gum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<sst xmlns="http://schemas.openxmlformats.org/spreadsheetml/2006/main" count="51" uniqueCount="51">
  <si>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</si>
  <si>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https://phyllis.nl/Biomass/View/248</t>
  </si>
  <si>
    <t>wood, gum chips (#248)</t>
  </si>
  <si>
    <t>ID-number</t>
  </si>
  <si>
    <t>#248</t>
  </si>
  <si>
    <t>Material</t>
  </si>
  <si>
    <t>wood, gum chips</t>
  </si>
  <si>
    <t>Classification</t>
  </si>
  <si>
    <t>ECN Phyllis classification &gt; untreated wood &gt; other hard wood &gt; wood, gum chips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</si>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</sst>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4.18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IFERROR(2.24*(1-w),"")</f>
        <v>2.1463680000000003</v>
      </c>
      <c r="D18" s="11">
        <v>2.24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IFERROR(82.92*(1-w),"")</f>
        <v>79.453944</v>
      </c>
      <c r="D19" s="11">
        <v>82.92</v>
      </c>
      <c r="E19" s="11">
        <v>84.819967266775777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IFERROR(14.84*(1-w),"")</f>
        <v>14.219688000000003</v>
      </c>
      <c r="D20" s="11">
        <v>14.840000000000003</v>
      </c>
      <c r="E20" s="11">
        <v>15.180032733224225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IFERROR(49.98*(1-w),"")</f>
        <v>47.890836</v>
      </c>
      <c r="D22" s="11">
        <v>49.98</v>
      </c>
      <c r="E22" s="11">
        <v>51.125204582651385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IFERROR(5.95*(1-w),"")</f>
        <v>5.70129</v>
      </c>
      <c r="D23" s="11">
        <v>5.95</v>
      </c>
      <c r="E23" s="11">
        <v>6.0863338788870704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IFERROR(41.51*(1-w),"")</f>
        <v>39.774882</v>
      </c>
      <c r="D24" s="11">
        <v>41.51</v>
      </c>
      <c r="E24" s="11">
        <v>42.461129296235676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IFERROR(0.18*(1-w),"")</f>
        <v>0.172476</v>
      </c>
      <c r="D25" s="11">
        <v>0.18</v>
      </c>
      <c r="E25" s="11">
        <v>0.1841243862520458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IFERROR(0.12*(1-w),"")</f>
        <v>0.114984</v>
      </c>
      <c r="D26" s="11">
        <v>0.12</v>
      </c>
      <c r="E26" s="11">
        <v>0.12274959083469721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191.64000000000001</v>
      </c>
      <c r="D29" s="12">
        <v>200</v>
      </c>
      <c r="E29" s="12">
        <v>204.58265139116202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IFERROR(18.20187*(1-w)-w*2.443,"")</f>
        <v>17.338914434</v>
      </c>
      <c r="D31" s="11">
        <v>18.20187</v>
      </c>
      <c r="E31" s="11">
        <v>18.61893412438625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IFERROR(19.50026*(1-w),"")</f>
        <v>18.685149132000003</v>
      </c>
      <c r="D32" s="11">
        <v>19.50026</v>
      </c>
      <c r="E32" s="11">
        <v>19.947074468085106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IFERROR(19.8810076928*(1-w),"")</f>
        <v>19.049981571240959</v>
      </c>
      <c r="D33" s="11">
        <v>19.881007692799997</v>
      </c>
      <c r="E33" s="11">
        <v>20.336546330605561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.1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https://phyllis.nl/Biomass/View/248</dc:description>
  <dcterms:created xsi:type="dcterms:W3CDTF">2026-03-19T07:14:39Z</dcterms:created>
  <dc:title>Phyllis2 #248 wood, gum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