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50 wood, mixed hardw" sheetId="1" r:id="rId1"/>
  </sheets>
  <definedNames>
    <definedName name="w" localSheetId="0">IF(ISBLANK('Phyllis2 #250 wood, mixed hardw'!$C$18),#N/A,'Phyllis2 #250 wood, mixed hardw'!$C$18/100)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<sst xmlns="http://schemas.openxmlformats.org/spreadsheetml/2006/main" count="52" uniqueCount="52">
  <si>
    <t>Phyllis2</t>
  </si>
  <si>
    <t>https://phyllis.nl/Biomass/View/250</t>
  </si>
  <si>
    <t>wood, mixed hardwood chips (#250)</t>
  </si>
  <si>
    <t>ID-number</t>
  </si>
  <si>
    <t>#250</t>
  </si>
  <si>
    <t>Material</t>
  </si>
  <si>
    <t>wood, mixed hardwood chips</t>
  </si>
  <si>
    <t>Classification</t>
  </si>
  <si>
    <t>ECN Phyllis classification &gt; untreated wood &gt; other hard wood &gt; wood, mixed hardwood chips</t>
  </si>
  <si>
    <t>NTA 8003 classification &gt; [100] hout &gt; [110] vers hout &gt; [120] loofhout &gt; [121] mengsel loofhout</t>
  </si>
  <si>
    <t>Submitter organisation</t>
  </si>
  <si>
    <t>ECN (Netherlands)</t>
  </si>
  <si>
    <t>Remarks</t>
  </si>
  <si>
    <t>chips</t>
  </si>
  <si>
    <t>Literature</t>
  </si>
  <si>
    <t>H. F. Feldmann, M. A. Paisley, H. R. Appelbaum and D. R. Taylor: Conversion of forest residues to a methane-rich gas in a high-throughput gasifier, Battelle, Columbus, OH (USA), DE88013138, 108 p. (1988).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</si>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</sst>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.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50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5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>
      <c r="A12" s="5"/>
    </row>
    <row r="13" s="1" customFormat="1">
      <c r="A13" s="7" t="s">
        <v>16</v>
      </c>
    </row>
    <row r="14" s="1" customFormat="1">
      <c r="A14" s="8" t="s">
        <v>17</v>
      </c>
      <c r="B14" s="8" t="s">
        <v>18</v>
      </c>
      <c r="C14" s="8" t="s">
        <v>19</v>
      </c>
      <c r="D14" s="8"/>
      <c r="E14" s="8"/>
      <c r="F14" s="8" t="s">
        <v>20</v>
      </c>
      <c r="G14" s="8" t="s">
        <v>21</v>
      </c>
      <c r="H14" s="8" t="s">
        <v>22</v>
      </c>
      <c r="I14" s="8" t="s">
        <v>23</v>
      </c>
      <c r="J14" s="8" t="s">
        <v>24</v>
      </c>
      <c r="K14" s="8" t="s">
        <v>12</v>
      </c>
      <c r="L14" s="8"/>
    </row>
    <row r="15" s="1" customFormat="1">
      <c r="A15" s="8"/>
      <c r="B15" s="8"/>
      <c r="C15" s="8" t="s">
        <v>25</v>
      </c>
      <c r="D15" s="8" t="s">
        <v>26</v>
      </c>
      <c r="E15" s="8" t="s">
        <v>27</v>
      </c>
      <c r="F15" s="8"/>
      <c r="G15" s="8"/>
      <c r="H15" s="8"/>
      <c r="I15" s="8"/>
      <c r="J15" s="8"/>
      <c r="K15" s="8"/>
      <c r="L15" s="8"/>
    </row>
    <row r="16">
      <c r="A16" s="5" t="s">
        <v>28</v>
      </c>
      <c r="I16" s="13"/>
    </row>
    <row r="17" outlineLevel="1">
      <c r="A17" s="9" t="s">
        <v>29</v>
      </c>
      <c r="I17" s="13"/>
    </row>
    <row r="18" outlineLevel="2">
      <c r="A18" s="10" t="s">
        <v>30</v>
      </c>
      <c r="B18" s="0" t="s">
        <v>31</v>
      </c>
      <c r="C18" s="11">
        <v>3</v>
      </c>
      <c r="D18" s="11"/>
      <c r="E18" s="11"/>
      <c r="F18" s="11"/>
      <c r="G18" s="11"/>
      <c r="I18" s="13"/>
    </row>
    <row r="19" outlineLevel="2">
      <c r="A19" s="10" t="s">
        <v>32</v>
      </c>
      <c r="B19" s="0" t="s">
        <v>31</v>
      </c>
      <c r="C19" s="11">
        <f>IFERROR(0.93*(1-w),"")</f>
        <v>0.9021</v>
      </c>
      <c r="D19" s="11">
        <v>0.93</v>
      </c>
      <c r="E19" s="11">
        <v/>
      </c>
      <c r="F19" s="11"/>
      <c r="G19" s="11"/>
      <c r="I19" s="13"/>
    </row>
    <row r="20" outlineLevel="2">
      <c r="A20" s="10" t="s">
        <v>33</v>
      </c>
      <c r="B20" s="0" t="s">
        <v>31</v>
      </c>
      <c r="C20" s="11">
        <f>IFERROR(83.41*(1-w),"")</f>
        <v>80.907699999999991</v>
      </c>
      <c r="D20" s="11">
        <v>83.41</v>
      </c>
      <c r="E20" s="11">
        <v>84.192994852124755</v>
      </c>
      <c r="F20" s="11"/>
      <c r="G20" s="11"/>
      <c r="I20" s="13"/>
    </row>
    <row r="21" outlineLevel="2">
      <c r="A21" s="10" t="s">
        <v>34</v>
      </c>
      <c r="B21" s="0" t="s">
        <v>31</v>
      </c>
      <c r="C21" s="11">
        <f>IFERROR(15.66*(1-w),"")</f>
        <v>15.190199999999995</v>
      </c>
      <c r="D21" s="11">
        <v>15.659999999999997</v>
      </c>
      <c r="E21" s="11">
        <v>15.807005147875236</v>
      </c>
      <c r="F21" s="11"/>
      <c r="G21" s="11"/>
      <c r="I21" s="13"/>
      <c r="J21" s="0" t="s">
        <v>35</v>
      </c>
    </row>
    <row r="22" outlineLevel="1">
      <c r="A22" s="9" t="s">
        <v>36</v>
      </c>
      <c r="I22" s="13"/>
    </row>
    <row r="23" outlineLevel="2">
      <c r="A23" s="10" t="s">
        <v>37</v>
      </c>
      <c r="B23" s="0" t="s">
        <v>31</v>
      </c>
      <c r="C23" s="11">
        <f>IFERROR(49.63*(1-w),"")</f>
        <v>48.1411</v>
      </c>
      <c r="D23" s="11">
        <v>49.63</v>
      </c>
      <c r="E23" s="11">
        <v>50.09589179368124</v>
      </c>
      <c r="F23" s="11"/>
      <c r="G23" s="11"/>
      <c r="I23" s="13"/>
      <c r="J23" s="0" t="s">
        <v>38</v>
      </c>
    </row>
    <row r="24" outlineLevel="2">
      <c r="A24" s="10" t="s">
        <v>39</v>
      </c>
      <c r="B24" s="0" t="s">
        <v>31</v>
      </c>
      <c r="C24" s="11">
        <f>IFERROR(6*(1-w),"")</f>
        <v>5.82</v>
      </c>
      <c r="D24" s="11">
        <v>6</v>
      </c>
      <c r="E24" s="11">
        <v>6.0563238114464522</v>
      </c>
      <c r="F24" s="11"/>
      <c r="G24" s="11"/>
      <c r="I24" s="13"/>
      <c r="J24" s="0" t="s">
        <v>38</v>
      </c>
    </row>
    <row r="25" outlineLevel="2">
      <c r="A25" s="10" t="s">
        <v>40</v>
      </c>
      <c r="B25" s="0" t="s">
        <v>31</v>
      </c>
      <c r="C25" s="11">
        <f>IFERROR(43.1*(1-w),"")</f>
        <v>41.807</v>
      </c>
      <c r="D25" s="11">
        <v>43.1</v>
      </c>
      <c r="E25" s="11">
        <v>43.504592712223683</v>
      </c>
      <c r="F25" s="11"/>
      <c r="G25" s="11"/>
      <c r="I25" s="13"/>
      <c r="J25" s="0" t="s">
        <v>35</v>
      </c>
    </row>
    <row r="26" outlineLevel="2">
      <c r="A26" s="10" t="s">
        <v>41</v>
      </c>
      <c r="B26" s="0" t="s">
        <v>31</v>
      </c>
      <c r="C26" s="11">
        <f>IFERROR(0.31*(1-w),"")</f>
        <v>0.30069999999999997</v>
      </c>
      <c r="D26" s="11">
        <v>0.31</v>
      </c>
      <c r="E26" s="11">
        <v>0.3129100635914</v>
      </c>
      <c r="F26" s="11"/>
      <c r="G26" s="11"/>
      <c r="I26" s="13"/>
      <c r="J26" s="0" t="s">
        <v>38</v>
      </c>
    </row>
    <row r="27" outlineLevel="2">
      <c r="A27" s="10" t="s">
        <v>42</v>
      </c>
      <c r="B27" s="0" t="s">
        <v>31</v>
      </c>
      <c r="C27" s="11">
        <f>IFERROR(0*(1-w),"")</f>
        <v>0</v>
      </c>
      <c r="D27" s="11">
        <v>0</v>
      </c>
      <c r="E27" s="11">
        <v>0</v>
      </c>
      <c r="F27" s="11"/>
      <c r="G27" s="11"/>
      <c r="I27" s="13"/>
      <c r="J27" s="0" t="s">
        <v>38</v>
      </c>
    </row>
    <row r="28" outlineLevel="2">
      <c r="A28" s="10" t="s">
        <v>43</v>
      </c>
      <c r="B28" s="0" t="s">
        <v>31</v>
      </c>
      <c r="C28" s="11">
        <f>IFERROR(100*(1-w)+w*100,"")</f>
        <v>100.00000000000001</v>
      </c>
      <c r="D28" s="11">
        <v>100.00000000000001</v>
      </c>
      <c r="E28" s="11">
        <v>100</v>
      </c>
      <c r="F28" s="11"/>
      <c r="G28" s="11"/>
      <c r="I28" s="13"/>
      <c r="J28" s="0" t="s">
        <v>35</v>
      </c>
    </row>
    <row r="29" outlineLevel="1">
      <c r="A29" s="9" t="s">
        <v>44</v>
      </c>
      <c r="I29" s="13"/>
    </row>
    <row r="30" outlineLevel="2">
      <c r="A30" s="10" t="s">
        <v>45</v>
      </c>
      <c r="B30" s="0" t="s">
        <v>46</v>
      </c>
      <c r="C30" s="12">
        <f>IFERROR(300*(1-w),"")</f>
        <v>291</v>
      </c>
      <c r="D30" s="12">
        <v>300</v>
      </c>
      <c r="E30" s="12">
        <v>302.81619057232257</v>
      </c>
      <c r="F30" s="12"/>
      <c r="G30" s="12"/>
      <c r="I30" s="13"/>
      <c r="J30" s="0" t="s">
        <v>38</v>
      </c>
    </row>
    <row r="31" outlineLevel="1">
      <c r="A31" s="9" t="s">
        <v>47</v>
      </c>
      <c r="I31" s="13"/>
    </row>
    <row r="32" outlineLevel="2">
      <c r="A32" s="10" t="s">
        <v>48</v>
      </c>
      <c r="B32" s="0" t="s">
        <v>49</v>
      </c>
      <c r="C32" s="11">
        <f>IFERROR(17.95826*(1-w)-w*2.443,"")</f>
        <v>17.3462222</v>
      </c>
      <c r="D32" s="11">
        <v>17.95826</v>
      </c>
      <c r="E32" s="11">
        <v>18.126839608357727</v>
      </c>
      <c r="F32" s="11"/>
      <c r="G32" s="11"/>
      <c r="I32" s="13"/>
    </row>
    <row r="33" outlineLevel="2">
      <c r="A33" s="10" t="s">
        <v>50</v>
      </c>
      <c r="B33" s="0" t="s">
        <v>49</v>
      </c>
      <c r="C33" s="11">
        <f>IFERROR(19.26756*(1-w),"")</f>
        <v>18.6895332</v>
      </c>
      <c r="D33" s="11">
        <v>19.26756</v>
      </c>
      <c r="E33" s="11">
        <v>19.448430402745533</v>
      </c>
      <c r="F33" s="11"/>
      <c r="G33" s="11"/>
      <c r="I33" s="13"/>
    </row>
    <row r="34" outlineLevel="2">
      <c r="A34" s="10" t="s">
        <v>51</v>
      </c>
      <c r="B34" s="0" t="s">
        <v>49</v>
      </c>
      <c r="C34" s="11">
        <f>IFERROR(19.6325333297*(1-w),"")</f>
        <v>19.043557329809005</v>
      </c>
      <c r="D34" s="11">
        <v>19.632533329700006</v>
      </c>
      <c r="E34" s="11">
        <v>19.816829847279706</v>
      </c>
      <c r="F34" s="11"/>
      <c r="G34" s="11"/>
      <c r="I34" s="13"/>
      <c r="J34" s="0" t="s">
        <v>35</v>
      </c>
    </row>
    <row r="35">
      <c r="I35" s="13"/>
    </row>
    <row r="36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</mergeCells>
  <dataValidations count="1">
    <dataValidation type="decimal" sqref="C18" errorStyle="stop" promptTitle="Enter moisture content" errorTitle="Invalid moisture content" prompt="Value should be between 0 and 100.&#10;Original value: 3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https://phyllis.nl/Biomass/View/250</dc:description>
  <dcterms:created xsi:type="dcterms:W3CDTF">2026-03-19T07:15:14Z</dcterms:created>
  <dc:title>Phyllis2 #250 wood, mixed hardwood chips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