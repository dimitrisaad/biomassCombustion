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54 bark, hardwood" sheetId="1" r:id="rId1"/>
  </sheets>
  <definedNames>
    <definedName name="w" localSheetId="0">IF(ISBLANK('Phyllis2 #254 bark, hardwood'!$C$17),#N/A,'Phyllis2 #254 bark, hardwood'!$C$17/100)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<sst xmlns="http://schemas.openxmlformats.org/spreadsheetml/2006/main" count="51" uniqueCount="51">
  <si>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</si>
  <si>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https://phyllis.nl/Biomass/View/254</t>
  </si>
  <si>
    <t>bark, hardwood (#254)</t>
  </si>
  <si>
    <t>ID-number</t>
  </si>
  <si>
    <t>#254</t>
  </si>
  <si>
    <t>Material</t>
  </si>
  <si>
    <t>bark, hardwood</t>
  </si>
  <si>
    <t>Classification</t>
  </si>
  <si>
    <t>ECN Phyllis classification &gt; untreated wood &gt; bark &gt; bark, hardwood</t>
  </si>
  <si>
    <t>NTA 8003 classification &gt; [100] hout &gt; [110] vers hout &gt; [112] schors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</si>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</sst>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5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20.4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IFERROR(8.54*(1-w),"")</f>
        <v>6.79784</v>
      </c>
      <c r="D18" s="11">
        <v>8.54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IFERROR(74.52*(1-w),"")</f>
        <v>59.31792</v>
      </c>
      <c r="D19" s="11">
        <v>74.52</v>
      </c>
      <c r="E19" s="11">
        <v>81.478241854362565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IFERROR(16.94*(1-w),"")</f>
        <v>13.48424000000001</v>
      </c>
      <c r="D20" s="11">
        <v>16.940000000000012</v>
      </c>
      <c r="E20" s="11">
        <v>18.521758145637452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IFERROR(47.06*(1-w),"")</f>
        <v>37.45976</v>
      </c>
      <c r="D22" s="11">
        <v>47.06</v>
      </c>
      <c r="E22" s="11">
        <v>51.454187623004593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IFERROR(5.74*(1-w),"")</f>
        <v>4.56904</v>
      </c>
      <c r="D23" s="11">
        <v>5.74</v>
      </c>
      <c r="E23" s="11">
        <v>6.275967636125082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IFERROR(38.15*(1-w),"")</f>
        <v>30.3674</v>
      </c>
      <c r="D24" s="11">
        <v>38.15</v>
      </c>
      <c r="E24" s="11">
        <v>41.712223923026457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IFERROR(0.39*(1-w),"")</f>
        <v>0.31044000000000005</v>
      </c>
      <c r="D25" s="11">
        <v>0.39</v>
      </c>
      <c r="E25" s="11">
        <v>0.42641591952766239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IFERROR(0.11*(1-w),"")</f>
        <v>0.08756</v>
      </c>
      <c r="D26" s="11">
        <v>0.11</v>
      </c>
      <c r="E26" s="11">
        <v>0.12027115678985349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</v>
      </c>
      <c r="E27" s="11">
        <v>100.00000000000001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IFERROR(100*(1-w),"")</f>
        <v>79.600000000000009</v>
      </c>
      <c r="D29" s="12">
        <v>100</v>
      </c>
      <c r="E29" s="12">
        <v>109.33741526350317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IFERROR(16.89338*(1-w)-w*2.443,"")</f>
        <v>12.94875848</v>
      </c>
      <c r="D31" s="11">
        <v>16.89338</v>
      </c>
      <c r="E31" s="11">
        <v>18.470785042641594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IFERROR(18.14595*(1-w),"")</f>
        <v>14.4441762</v>
      </c>
      <c r="D32" s="11">
        <v>18.14595</v>
      </c>
      <c r="E32" s="11">
        <v>19.840312705007655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IFERROR(18.8989825348*(1-w),"")</f>
        <v>15.043590097700802</v>
      </c>
      <c r="D33" s="11">
        <v>18.898982534800002</v>
      </c>
      <c r="E33" s="11">
        <v>20.663659014651216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20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https://phyllis.nl/Biomass/View/254</dc:description>
  <dcterms:created xsi:type="dcterms:W3CDTF">2026-03-19T04:15:13Z</dcterms:created>
  <dc:title>Phyllis2 #254 bark, hardwood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