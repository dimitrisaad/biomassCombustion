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5 bark, hardwood" sheetId="1" r:id="rId1"/>
  </sheets>
  <definedNames>
    <definedName name="w" localSheetId="0">IF(ISBLANK('Phyllis2 #255 bark, hardwood'!$C$17),#N/A,'Phyllis2 #255 bark, hardwood'!$C$17/100)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<sst xmlns="http://schemas.openxmlformats.org/spreadsheetml/2006/main" count="51" uniqueCount="51">
  <si>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</si>
  <si>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https://phyllis.nl/Biomass/View/255</t>
  </si>
  <si>
    <t>bark, hardwood (#255)</t>
  </si>
  <si>
    <t>ID-number</t>
  </si>
  <si>
    <t>#255</t>
  </si>
  <si>
    <t>Material</t>
  </si>
  <si>
    <t>bark, hardwood</t>
  </si>
  <si>
    <t>Classification</t>
  </si>
  <si>
    <t>ECN Phyllis classification &gt; untreated wood &gt; bark &gt; bark, hardwood</t>
  </si>
  <si>
    <t>NTA 8003 classification &gt; [100] hout &gt; [110] vers hout &gt; [112] schors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</si>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</sst>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16.92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IFERROR(9.37*(1-w),"")</f>
        <v>7.784596</v>
      </c>
      <c r="D18" s="11">
        <v>9.37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IFERROR(75.65*(1-w),"")</f>
        <v>62.85002</v>
      </c>
      <c r="D19" s="11">
        <v>75.65</v>
      </c>
      <c r="E19" s="11">
        <v>83.471256758247833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IFERROR(14.98*(1-w),"")</f>
        <v>12.445383999999992</v>
      </c>
      <c r="D20" s="11">
        <v>14.97999999999999</v>
      </c>
      <c r="E20" s="11">
        <v>16.528743241752167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IFERROR(47.27*(1-w),"")</f>
        <v>39.271916000000004</v>
      </c>
      <c r="D22" s="11">
        <v>47.27</v>
      </c>
      <c r="E22" s="11">
        <v>52.157122365662588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IFERROR(5.2*(1-w),"")</f>
        <v>4.32016</v>
      </c>
      <c r="D23" s="11">
        <v>5.2</v>
      </c>
      <c r="E23" s="11">
        <v>5.7376144764426789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IFERROR(37.68*(1-w),"")</f>
        <v>31.304544</v>
      </c>
      <c r="D24" s="11">
        <v>37.68</v>
      </c>
      <c r="E24" s="11">
        <v>41.575637206223107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IFERROR(0.4*(1-w),"")</f>
        <v>0.33232</v>
      </c>
      <c r="D25" s="11">
        <v>0.4</v>
      </c>
      <c r="E25" s="11">
        <v>0.44135495972635996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IFERROR(0.05*(1-w),"")</f>
        <v>0.04154</v>
      </c>
      <c r="D26" s="11">
        <v>0.05</v>
      </c>
      <c r="E26" s="11">
        <v>0.055169369965794995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249.24</v>
      </c>
      <c r="D29" s="12">
        <v>300</v>
      </c>
      <c r="E29" s="12">
        <v>331.01621979476994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IFERROR(16.83204*(1-w)-w*2.443,"")</f>
        <v>13.570703232</v>
      </c>
      <c r="D31" s="11">
        <v>16.83204</v>
      </c>
      <c r="E31" s="11">
        <v>18.572260840781198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IFERROR(17.96677*(1-w),"")</f>
        <v>14.926792516</v>
      </c>
      <c r="D32" s="11">
        <v>17.96677</v>
      </c>
      <c r="E32" s="11">
        <v>19.824307624406931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IFERROR(18.2973719257*(1-w),"")</f>
        <v>15.201456595871564</v>
      </c>
      <c r="D33" s="11">
        <v>18.297371925700006</v>
      </c>
      <c r="E33" s="11">
        <v>20.189089623413885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6.9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https://phyllis.nl/Biomass/View/255</dc:description>
  <dcterms:created xsi:type="dcterms:W3CDTF">2026-03-19T04:15:17Z</dcterms:created>
  <dc:title>Phyllis2 #255 bark, hardwood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