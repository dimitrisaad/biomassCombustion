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56 bark, hardwood" sheetId="1" r:id="rId1"/>
  </sheets>
  <definedNames>
    <definedName name="w" localSheetId="0">IF(ISBLANK('Phyllis2 #256 bark, hardwood'!$C$17),#N/A,'Phyllis2 #256 bark, hardwood'!$C$17/100)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<sst xmlns="http://schemas.openxmlformats.org/spreadsheetml/2006/main" count="51" uniqueCount="51">
  <si>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</si>
  <si>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https://phyllis.nl/Biomass/View/256</t>
  </si>
  <si>
    <t>bark, hardwood (#256)</t>
  </si>
  <si>
    <t>ID-number</t>
  </si>
  <si>
    <t>#256</t>
  </si>
  <si>
    <t>Material</t>
  </si>
  <si>
    <t>bark, hardwood</t>
  </si>
  <si>
    <t>Classification</t>
  </si>
  <si>
    <t>ECN Phyllis classification &gt; untreated wood &gt; bark &gt; bark, hardwood</t>
  </si>
  <si>
    <t>NTA 8003 classification &gt; [100] hout &gt; [110] vers hout &gt; [112] schors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</si>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</sst>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5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20.46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IFERROR(10.63*(1-w),"")</f>
        <v>8.455102</v>
      </c>
      <c r="D18" s="11">
        <v>10.63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IFERROR(73.56*(1-w),"")</f>
        <v>58.509624</v>
      </c>
      <c r="D19" s="11">
        <v>73.56</v>
      </c>
      <c r="E19" s="11">
        <v>82.309499832158451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IFERROR(15.81*(1-w),"")</f>
        <v>12.575274000000002</v>
      </c>
      <c r="D20" s="11">
        <v>15.810000000000002</v>
      </c>
      <c r="E20" s="11">
        <v>17.690500167841563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IFERROR(46.27*(1-w),"")</f>
        <v>36.803158</v>
      </c>
      <c r="D22" s="11">
        <v>46.27</v>
      </c>
      <c r="E22" s="11">
        <v>51.773525791652688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IFERROR(5.07*(1-w),"")</f>
        <v>4.032678</v>
      </c>
      <c r="D23" s="11">
        <v>5.07</v>
      </c>
      <c r="E23" s="11">
        <v>5.673044645854314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IFERROR(37.46*(1-w),"")</f>
        <v>29.795684</v>
      </c>
      <c r="D24" s="11">
        <v>37.46</v>
      </c>
      <c r="E24" s="11">
        <v>41.915631643728325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IFERROR(0.47*(1-w),"")</f>
        <v>0.373838</v>
      </c>
      <c r="D25" s="11">
        <v>0.47</v>
      </c>
      <c r="E25" s="11">
        <v>0.52590354705158326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IFERROR(0.08*(1-w),"")</f>
        <v>0.063632</v>
      </c>
      <c r="D26" s="11">
        <v>0.08</v>
      </c>
      <c r="E26" s="11">
        <v>0.089515497370482269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100.00000000000001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159.08</v>
      </c>
      <c r="D29" s="12">
        <v>200</v>
      </c>
      <c r="E29" s="12">
        <v>223.78874342620568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IFERROR(16.61374*(1-w)-w*2.443,"")</f>
        <v>12.714730996</v>
      </c>
      <c r="D31" s="11">
        <v>16.61374</v>
      </c>
      <c r="E31" s="11">
        <v>18.58983999104845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IFERROR(17.72011*(1-w),"")</f>
        <v>14.094575493999999</v>
      </c>
      <c r="D32" s="11">
        <v>17.72011</v>
      </c>
      <c r="E32" s="11">
        <v>19.827805751370704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IFERROR(17.7891475257*(1-w),"")</f>
        <v>14.149487941941782</v>
      </c>
      <c r="D33" s="11">
        <v>17.789147525700002</v>
      </c>
      <c r="E33" s="11">
        <v>19.905054856998998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20.4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https://phyllis.nl/Biomass/View/256</dc:description>
  <dcterms:created xsi:type="dcterms:W3CDTF">2026-03-19T04:15:20Z</dcterms:created>
  <dc:title>Phyllis2 #256 bark, hardwood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