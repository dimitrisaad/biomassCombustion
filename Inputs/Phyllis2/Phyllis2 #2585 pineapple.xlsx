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2585 pineapple" sheetId="1" r:id="rId1"/>
  </sheets>
  <definedNames>
    <definedName name="w" localSheetId="0">IF(ISBLANK('Phyllis2 #2585 pineapple'!$C$18),#N/A,'Phyllis2 #2585 pineapple'!$C$18/100)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<sst xmlns="http://schemas.openxmlformats.org/spreadsheetml/2006/main" count="57" uniqueCount="57">
  <si>
    <t>Phyllis2</t>
  </si>
  <si>
    <t>https://phyllis.nl/Biomass/View/2585</t>
  </si>
  <si>
    <t>pineapple (#2585)</t>
  </si>
  <si>
    <t>ID-number</t>
  </si>
  <si>
    <t>#2585</t>
  </si>
  <si>
    <t>Material</t>
  </si>
  <si>
    <t>pineapple</t>
  </si>
  <si>
    <t>Classification</t>
  </si>
  <si>
    <t>ECN Phyllis classification &gt; grass/plant &gt; other plants</t>
  </si>
  <si>
    <t>NTA 8003 classification &gt; [200] biomassa uit land- en tuinbouw</t>
  </si>
  <si>
    <t>Submitter organisation</t>
  </si>
  <si>
    <t>ECN (Netherlands)</t>
  </si>
  <si>
    <t>Submission date</t>
  </si>
  <si>
    <t>Literature</t>
  </si>
  <si>
    <t>J.S. Han: Properties of Nonwood fibers. 1998 Proceedings of the Korean Society of Wood Science and Technology annual meeting.(1998)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</si>
  <si>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</si>
  <si>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</si>
  <si>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</si>
  <si>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</si>
  <si>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</si>
  <si>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</si>
  <si>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</si>
  <si>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</si>
  <si>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</si>
  <si>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</si>
  <si>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</si>
  <si>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</si>
  <si>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</si>
  <si>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</si>
  <si>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</si>
  <si>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</si>
  <si>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</si>
  <si>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</si>
  <si>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</si>
  <si>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Ultimate analysis (macroelements)</t>
  </si>
  <si>
    <t>Total (with halides)</t>
  </si>
  <si>
    <t>Calculated</t>
  </si>
  <si>
    <t>Biochemical analysis</t>
  </si>
  <si>
    <t>Cellulose, hemicellulose, lignin</t>
  </si>
  <si>
    <t>Cellulose</t>
  </si>
  <si>
    <t>wt% (dry)</t>
  </si>
  <si>
    <t>Sugar Analysis</t>
  </si>
  <si>
    <t>Hemicellulose</t>
  </si>
  <si>
    <t>Lignin</t>
  </si>
  <si>
    <t>Measured</t>
  </si>
  <si>
    <t>Other</t>
  </si>
  <si>
    <t>C5</t>
  </si>
  <si>
    <t>Arabinan</t>
  </si>
  <si>
    <t>Xylan</t>
  </si>
  <si>
    <t>Sum C5</t>
  </si>
  <si>
    <t>C6</t>
  </si>
  <si>
    <t>Mannan</t>
  </si>
  <si>
    <t>Galactan</t>
  </si>
  <si>
    <t>Glucan</t>
  </si>
  <si>
    <t>Rhamnan</t>
  </si>
  <si>
    <t>Sum C6</t>
  </si>
  <si>
    <t>Total ash + biochemical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</si>
</sst>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0.0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8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  <xf numFmtId="0" applyNumberFormat="1" fontId="4" applyFont="1" xfId="0">
      <alignment indent="3"/>
    </xf>
    <xf numFmtId="0" applyNumberFormat="1" fontId="0" applyFont="1" xfId="0">
      <alignment indent="4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2585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9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3.8981866836548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6">
        <v>37719</v>
      </c>
    </row>
    <row r="11" outlineLevel="1">
      <c r="A11" s="7" t="s">
        <v>13</v>
      </c>
      <c r="B11" s="0" t="s">
        <v>14</v>
      </c>
    </row>
    <row r="12">
      <c r="A12" s="7"/>
    </row>
    <row r="13" s="1" customFormat="1">
      <c r="A13" s="9" t="s">
        <v>15</v>
      </c>
    </row>
    <row r="14" s="1" customFormat="1">
      <c r="A14" s="10" t="s">
        <v>16</v>
      </c>
      <c r="B14" s="10" t="s">
        <v>17</v>
      </c>
      <c r="C14" s="10" t="s">
        <v>18</v>
      </c>
      <c r="D14" s="10"/>
      <c r="E14" s="10"/>
      <c r="F14" s="10" t="s">
        <v>19</v>
      </c>
      <c r="G14" s="10" t="s">
        <v>20</v>
      </c>
      <c r="H14" s="10" t="s">
        <v>21</v>
      </c>
      <c r="I14" s="10" t="s">
        <v>22</v>
      </c>
      <c r="J14" s="10" t="s">
        <v>23</v>
      </c>
      <c r="K14" s="10" t="s">
        <v>24</v>
      </c>
      <c r="L14" s="10"/>
    </row>
    <row r="15" s="1" customFormat="1">
      <c r="A15" s="10"/>
      <c r="B15" s="10"/>
      <c r="C15" s="10" t="s">
        <v>25</v>
      </c>
      <c r="D15" s="10" t="s">
        <v>26</v>
      </c>
      <c r="E15" s="10" t="s">
        <v>27</v>
      </c>
      <c r="F15" s="10"/>
      <c r="G15" s="10"/>
      <c r="H15" s="10"/>
      <c r="I15" s="10"/>
      <c r="J15" s="10"/>
      <c r="K15" s="10"/>
      <c r="L15" s="10"/>
    </row>
    <row r="16">
      <c r="A16" s="7" t="s">
        <v>28</v>
      </c>
      <c r="I16" s="5"/>
    </row>
    <row r="17" outlineLevel="1">
      <c r="A17" s="11" t="s">
        <v>29</v>
      </c>
      <c r="I17" s="5"/>
    </row>
    <row r="18" outlineLevel="2">
      <c r="A18" s="12" t="s">
        <v>30</v>
      </c>
      <c r="B18" s="0" t="s">
        <v>31</v>
      </c>
      <c r="C18" s="13">
        <v/>
      </c>
      <c r="D18" s="13"/>
      <c r="E18" s="13"/>
      <c r="F18" s="13"/>
      <c r="G18" s="13"/>
      <c r="I18" s="5"/>
    </row>
    <row r="19" outlineLevel="2">
      <c r="A19" s="12" t="s">
        <v>32</v>
      </c>
      <c r="B19" s="0" t="s">
        <v>33</v>
      </c>
      <c r="C19" s="13">
        <f>IFERROR(0.1*(1-w),"")</f>
        <v/>
      </c>
      <c r="D19" s="13">
        <v>0.1</v>
      </c>
      <c r="E19" s="13">
        <v/>
      </c>
      <c r="F19" s="13"/>
      <c r="G19" s="13"/>
      <c r="I19" s="5"/>
    </row>
    <row r="20" outlineLevel="1">
      <c r="A20" s="11" t="s">
        <v>34</v>
      </c>
      <c r="I20" s="5"/>
    </row>
    <row r="21" outlineLevel="2">
      <c r="A21" s="12" t="s">
        <v>35</v>
      </c>
      <c r="B21" s="0" t="s">
        <v>33</v>
      </c>
      <c r="C21" s="13">
        <f>IFERROR(0.1*(1-w)+w*100,"")</f>
        <v/>
      </c>
      <c r="D21" s="13">
        <v>0.1</v>
      </c>
      <c r="E21" s="13">
        <v>0</v>
      </c>
      <c r="F21" s="13"/>
      <c r="G21" s="13"/>
      <c r="I21" s="5"/>
      <c r="J21" s="0" t="s">
        <v>36</v>
      </c>
    </row>
    <row r="22" outlineLevel="1">
      <c r="A22" s="11" t="s">
        <v>37</v>
      </c>
      <c r="I22" s="5"/>
    </row>
    <row r="23" outlineLevel="2">
      <c r="A23" s="14" t="s">
        <v>38</v>
      </c>
      <c r="I23" s="5"/>
    </row>
    <row r="24" outlineLevel="3">
      <c r="A24" s="15" t="s">
        <v>39</v>
      </c>
      <c r="B24" s="0" t="s">
        <v>40</v>
      </c>
      <c r="C24" s="13">
        <v>64.35</v>
      </c>
      <c r="D24" s="13"/>
      <c r="E24" s="13"/>
      <c r="F24" s="13"/>
      <c r="G24" s="13"/>
      <c r="I24" s="5"/>
      <c r="J24" s="0" t="s">
        <v>41</v>
      </c>
    </row>
    <row r="25" outlineLevel="3">
      <c r="A25" s="15" t="s">
        <v>42</v>
      </c>
      <c r="B25" s="0" t="s">
        <v>40</v>
      </c>
      <c r="C25" s="13">
        <v>13.85</v>
      </c>
      <c r="D25" s="13"/>
      <c r="E25" s="13"/>
      <c r="F25" s="13"/>
      <c r="G25" s="13"/>
      <c r="I25" s="5"/>
      <c r="J25" s="0" t="s">
        <v>41</v>
      </c>
    </row>
    <row r="26" outlineLevel="3">
      <c r="A26" s="15" t="s">
        <v>43</v>
      </c>
      <c r="B26" s="0" t="s">
        <v>40</v>
      </c>
      <c r="C26" s="13">
        <v>4.6</v>
      </c>
      <c r="D26" s="13"/>
      <c r="E26" s="13"/>
      <c r="F26" s="13"/>
      <c r="G26" s="13"/>
      <c r="I26" s="5"/>
      <c r="J26" s="0" t="s">
        <v>44</v>
      </c>
    </row>
    <row r="27" outlineLevel="2">
      <c r="A27" s="14" t="s">
        <v>45</v>
      </c>
      <c r="I27" s="5"/>
    </row>
    <row r="28" outlineLevel="3">
      <c r="A28" s="16" t="s">
        <v>46</v>
      </c>
      <c r="I28" s="5"/>
    </row>
    <row r="29" outlineLevel="4">
      <c r="A29" s="17" t="s">
        <v>47</v>
      </c>
      <c r="B29" s="0" t="s">
        <v>40</v>
      </c>
      <c r="C29" s="13">
        <v>0.9</v>
      </c>
      <c r="D29" s="13"/>
      <c r="E29" s="13"/>
      <c r="F29" s="13"/>
      <c r="G29" s="13"/>
      <c r="I29" s="5"/>
    </row>
    <row r="30" outlineLevel="4">
      <c r="A30" s="17" t="s">
        <v>48</v>
      </c>
      <c r="B30" s="0" t="s">
        <v>40</v>
      </c>
      <c r="C30" s="13">
        <v>12.04</v>
      </c>
      <c r="D30" s="13"/>
      <c r="E30" s="13"/>
      <c r="F30" s="13"/>
      <c r="G30" s="13"/>
      <c r="I30" s="5"/>
    </row>
    <row r="31" outlineLevel="4">
      <c r="A31" s="17" t="s">
        <v>49</v>
      </c>
      <c r="B31" s="0" t="s">
        <v>40</v>
      </c>
      <c r="C31" s="13">
        <v>12.94</v>
      </c>
      <c r="D31" s="13"/>
      <c r="E31" s="13"/>
      <c r="F31" s="13"/>
      <c r="G31" s="13"/>
      <c r="I31" s="5"/>
      <c r="J31" s="0" t="s">
        <v>36</v>
      </c>
    </row>
    <row r="32" outlineLevel="3">
      <c r="A32" s="16" t="s">
        <v>50</v>
      </c>
      <c r="I32" s="5"/>
    </row>
    <row r="33" outlineLevel="4">
      <c r="A33" s="17" t="s">
        <v>51</v>
      </c>
      <c r="B33" s="0" t="s">
        <v>40</v>
      </c>
      <c r="C33" s="13">
        <v>0.2</v>
      </c>
      <c r="D33" s="13"/>
      <c r="E33" s="13"/>
      <c r="F33" s="13"/>
      <c r="G33" s="13"/>
      <c r="I33" s="5"/>
    </row>
    <row r="34" outlineLevel="4">
      <c r="A34" s="17" t="s">
        <v>52</v>
      </c>
      <c r="B34" s="0" t="s">
        <v>40</v>
      </c>
      <c r="C34" s="13">
        <v>0.71</v>
      </c>
      <c r="D34" s="13"/>
      <c r="E34" s="13"/>
      <c r="F34" s="13"/>
      <c r="G34" s="13"/>
      <c r="I34" s="5"/>
    </row>
    <row r="35" outlineLevel="4">
      <c r="A35" s="17" t="s">
        <v>53</v>
      </c>
      <c r="B35" s="0" t="s">
        <v>40</v>
      </c>
      <c r="C35" s="13">
        <v>64.35</v>
      </c>
      <c r="D35" s="13"/>
      <c r="E35" s="13"/>
      <c r="F35" s="13"/>
      <c r="G35" s="13"/>
      <c r="I35" s="5"/>
    </row>
    <row r="36" outlineLevel="4">
      <c r="A36" s="17" t="s">
        <v>54</v>
      </c>
      <c r="B36" s="0" t="s">
        <v>40</v>
      </c>
      <c r="C36" s="13">
        <v>0.06</v>
      </c>
      <c r="D36" s="13"/>
      <c r="E36" s="13"/>
      <c r="F36" s="13"/>
      <c r="G36" s="13"/>
      <c r="I36" s="5"/>
    </row>
    <row r="37" outlineLevel="4">
      <c r="A37" s="17" t="s">
        <v>55</v>
      </c>
      <c r="B37" s="0" t="s">
        <v>40</v>
      </c>
      <c r="C37" s="13">
        <v>65.32</v>
      </c>
      <c r="D37" s="13"/>
      <c r="E37" s="13"/>
      <c r="F37" s="13"/>
      <c r="G37" s="13"/>
      <c r="I37" s="5"/>
      <c r="J37" s="0" t="s">
        <v>36</v>
      </c>
    </row>
    <row r="38" outlineLevel="3">
      <c r="A38" s="15" t="s">
        <v>56</v>
      </c>
      <c r="B38" s="0" t="s">
        <v>40</v>
      </c>
      <c r="C38" s="13">
        <v>82.95999999999998</v>
      </c>
      <c r="D38" s="13"/>
      <c r="E38" s="13"/>
      <c r="F38" s="13"/>
      <c r="G38" s="13"/>
      <c r="I38" s="5"/>
      <c r="J38" s="0" t="s">
        <v>36</v>
      </c>
    </row>
    <row r="39">
      <c r="I39" s="5"/>
    </row>
    <row r="40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  <mergeCell ref="C24:E24"/>
    <mergeCell ref="C25:E25"/>
    <mergeCell ref="C26:E26"/>
    <mergeCell ref="C29:E29"/>
    <mergeCell ref="C30:E30"/>
    <mergeCell ref="C31:E31"/>
    <mergeCell ref="C33:E33"/>
    <mergeCell ref="C34:E34"/>
    <mergeCell ref="C35:E35"/>
    <mergeCell ref="C36:E36"/>
    <mergeCell ref="C37:E37"/>
    <mergeCell ref="C38:E38"/>
  </mergeCells>
  <dataValidations count="1">
    <dataValidation type="decimal" sqref="C18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https://phyllis.nl/Biomass/View/2585</dc:description>
  <dcterms:created xsi:type="dcterms:W3CDTF">2026-03-04T04:32:41Z</dcterms:created>
  <dc:title>Phyllis2 #2585 pineapple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