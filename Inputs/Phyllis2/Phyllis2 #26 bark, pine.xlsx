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 bark, pine" sheetId="1" r:id="rId1"/>
  </sheets>
  <definedNames>
    <definedName name="w" localSheetId="0">IF(ISBLANK('Phyllis2 #26 bark, pine'!$C$17),#N/A,'Phyllis2 #26 bark,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<sst xmlns="http://schemas.openxmlformats.org/spreadsheetml/2006/main" count="46" uniqueCount="46">
  <si>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</si>
  <si>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https://phyllis.nl/Biomass/View/26</t>
  </si>
  <si>
    <t>bark, pine (#26)</t>
  </si>
  <si>
    <t>ID-number</t>
  </si>
  <si>
    <t>#26</t>
  </si>
  <si>
    <t>Material</t>
  </si>
  <si>
    <t>bark, pine</t>
  </si>
  <si>
    <t>Classification</t>
  </si>
  <si>
    <t>ECN Phyllis classification &gt; untreated wood &gt; bark &gt; bark, pine</t>
  </si>
  <si>
    <t>NTA 8003 classification &gt; [100] hout &gt; [110] vers hout &gt; [112] schors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</si>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</sst>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IFERROR(2.9*(1-w),"")</f>
        <v/>
      </c>
      <c r="D18" s="11">
        <v>2.9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IFERROR(52.3*(1-w),"")</f>
        <v/>
      </c>
      <c r="D20" s="11">
        <v>52.3</v>
      </c>
      <c r="E20" s="11">
        <v>53.861997940267763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IFERROR(5.8*(1-w),"")</f>
        <v/>
      </c>
      <c r="D21" s="11">
        <v>5.8</v>
      </c>
      <c r="E21" s="11">
        <v>5.9732234809474765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IFERROR(38.8*(1-w),"")</f>
        <v/>
      </c>
      <c r="D22" s="11">
        <v>38.8</v>
      </c>
      <c r="E22" s="11">
        <v>39.958805355303809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IFERROR(0.2*(1-w),"")</f>
        <v/>
      </c>
      <c r="D23" s="11">
        <v>0.2</v>
      </c>
      <c r="E23" s="11">
        <v>0.20597322348094749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IFERROR(100*(1-w)+w*100,"")</f>
        <v/>
      </c>
      <c r="D24" s="11">
        <v>100</v>
      </c>
      <c r="E24" s="11">
        <v>100</v>
      </c>
      <c r="F24" s="11"/>
      <c r="G24" s="11"/>
      <c r="I24" s="12"/>
      <c r="J24" s="0" t="s">
        <v>38</v>
      </c>
    </row>
    <row r="25" outlineLevel="1">
      <c r="A25" s="9" t="s">
        <v>41</v>
      </c>
      <c r="I25" s="12"/>
    </row>
    <row r="26" outlineLevel="2">
      <c r="A26" s="10" t="s">
        <v>42</v>
      </c>
      <c r="B26" s="0" t="s">
        <v>43</v>
      </c>
      <c r="C26" s="11">
        <f>IFERROR(19.1654*(1-w)-w*2.443,"")</f>
        <v/>
      </c>
      <c r="D26" s="11">
        <v>19.1654</v>
      </c>
      <c r="E26" s="11">
        <v>19.737796086508755</v>
      </c>
      <c r="F26" s="11"/>
      <c r="G26" s="11"/>
      <c r="I26" s="12"/>
    </row>
    <row r="27" outlineLevel="2">
      <c r="A27" s="10" t="s">
        <v>44</v>
      </c>
      <c r="B27" s="0" t="s">
        <v>43</v>
      </c>
      <c r="C27" s="11">
        <f>IFERROR(20.43106*(1-w),"")</f>
        <v/>
      </c>
      <c r="D27" s="11">
        <v>20.43106</v>
      </c>
      <c r="E27" s="11">
        <v>21.041256436663232</v>
      </c>
      <c r="F27" s="11"/>
      <c r="G27" s="11"/>
      <c r="I27" s="12"/>
    </row>
    <row r="28" outlineLevel="2">
      <c r="A28" s="10" t="s">
        <v>45</v>
      </c>
      <c r="B28" s="0" t="s">
        <v>43</v>
      </c>
      <c r="C28" s="11">
        <f>IFERROR(20.77881673*(1-w),"")</f>
        <v/>
      </c>
      <c r="D28" s="11">
        <v>20.77881673</v>
      </c>
      <c r="E28" s="11">
        <v>21.3993993099897</v>
      </c>
      <c r="F28" s="11"/>
      <c r="G28" s="11"/>
      <c r="I28" s="12"/>
      <c r="J28" s="0" t="s">
        <v>38</v>
      </c>
    </row>
    <row r="29">
      <c r="I29" s="12"/>
    </row>
    <row r="30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</dc:description>
  <dcterms:created xsi:type="dcterms:W3CDTF">2026-03-19T04:15:37Z</dcterms:created>
  <dc:title>Phyllis2 #26 bark,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