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60 wood, mixed hardw" sheetId="1" r:id="rId1"/>
  </sheets>
  <definedNames>
    <definedName name="w" localSheetId="0">IF(ISBLANK('Phyllis2 #260 wood, mixed hardw'!$C$17),#N/A,'Phyllis2 #260 wood, mixed hardw'!$C$17/100)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<sst xmlns="http://schemas.openxmlformats.org/spreadsheetml/2006/main" count="51" uniqueCount="51">
  <si>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</si>
  <si>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https://phyllis.nl/Biomass/View/260</t>
  </si>
  <si>
    <t>wood, mixed hardwood chips (#260)</t>
  </si>
  <si>
    <t>ID-number</t>
  </si>
  <si>
    <t>#260</t>
  </si>
  <si>
    <t>Material</t>
  </si>
  <si>
    <t>wood, mixed hardwood chips</t>
  </si>
  <si>
    <t>Classification</t>
  </si>
  <si>
    <t>ECN Phyllis classification &gt; untreated wood &gt; other hard wood &gt; wood, mixed hardwood chips</t>
  </si>
  <si>
    <t>NTA 8003 classification &gt; [100] hout &gt; [110] vers hout &gt; [120] loofhout &gt; [121] mengsel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</si>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</sst>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6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5.74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IFERROR(1.26*(1-w),"")</f>
        <v>1.187676</v>
      </c>
      <c r="D18" s="11">
        <v>1.26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IFERROR(84.2*(1-w),"")</f>
        <v>79.366920000000007</v>
      </c>
      <c r="D19" s="11">
        <v>84.2</v>
      </c>
      <c r="E19" s="11">
        <v>85.274458172979536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IFERROR(14.54*(1-w),"")</f>
        <v>13.705403999999993</v>
      </c>
      <c r="D20" s="11">
        <v>14.539999999999992</v>
      </c>
      <c r="E20" s="11">
        <v>14.725541827020448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IFERROR(50.37*(1-w),"")</f>
        <v>47.478761999999996</v>
      </c>
      <c r="D22" s="11">
        <v>50.37</v>
      </c>
      <c r="E22" s="11">
        <v>51.012760785902366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IFERROR(6*(1-w),"")</f>
        <v>5.6556</v>
      </c>
      <c r="D23" s="11">
        <v>6</v>
      </c>
      <c r="E23" s="11">
        <v>6.0765647154142188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IFERROR(42.15*(1-w),"")</f>
        <v>39.73059</v>
      </c>
      <c r="D24" s="11">
        <v>42.15</v>
      </c>
      <c r="E24" s="11">
        <v>42.687867125784884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IFERROR(0.19*(1-w),"")</f>
        <v>0.179094</v>
      </c>
      <c r="D25" s="11">
        <v>0.19</v>
      </c>
      <c r="E25" s="11">
        <v>0.19242454932145026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IFERROR(0.02*(1-w),"")</f>
        <v>0.018852</v>
      </c>
      <c r="D26" s="11">
        <v>0.02</v>
      </c>
      <c r="E26" s="11">
        <v>0.020255215718047396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</v>
      </c>
      <c r="E27" s="11">
        <v>99.999999999999986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IFERROR(100*(1-w),"")</f>
        <v>94.26</v>
      </c>
      <c r="D29" s="12">
        <v>100</v>
      </c>
      <c r="E29" s="12">
        <v>101.27607859023698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IFERROR(17.75115*(1-w)-w*2.443,"")</f>
        <v>16.592005789999998</v>
      </c>
      <c r="D31" s="11">
        <v>17.75115</v>
      </c>
      <c r="E31" s="11">
        <v>17.977668624670851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IFERROR(19.06046*(1-w),"")</f>
        <v>17.966389596</v>
      </c>
      <c r="D32" s="11">
        <v>19.06046</v>
      </c>
      <c r="E32" s="11">
        <v>19.303686449260681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IFERROR(20.0097069028*(1-w),"")</f>
        <v>18.861149726579281</v>
      </c>
      <c r="D33" s="11">
        <v>20.0097069028</v>
      </c>
      <c r="E33" s="11">
        <v>20.265046488555804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5.7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https://phyllis.nl/Biomass/View/260</dc:description>
  <dcterms:created xsi:type="dcterms:W3CDTF">2026-03-19T07:15:32Z</dcterms:created>
  <dc:title>Phyllis2 #260 wood, mixed hardwood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