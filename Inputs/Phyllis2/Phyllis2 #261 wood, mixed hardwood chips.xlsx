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61 wood, mixed hardw" sheetId="1" r:id="rId1"/>
  </sheets>
  <definedNames>
    <definedName name="w" localSheetId="0">IF(ISBLANK('Phyllis2 #261 wood, mixed hardw'!$C$17),#N/A,'Phyllis2 #261 wood, mixed hardw'!$C$17/100)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<sst xmlns="http://schemas.openxmlformats.org/spreadsheetml/2006/main" count="51" uniqueCount="51">
  <si>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</si>
  <si>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https://phyllis.nl/Biomass/View/261</t>
  </si>
  <si>
    <t>wood, mixed hardwood chips (#261)</t>
  </si>
  <si>
    <t>ID-number</t>
  </si>
  <si>
    <t>#261</t>
  </si>
  <si>
    <t>Material</t>
  </si>
  <si>
    <t>wood, mixed hardwood chips</t>
  </si>
  <si>
    <t>Classification</t>
  </si>
  <si>
    <t>ECN Phyllis classification &gt; untreated wood &gt; other hard wood &gt; wood, mixed hardwood chips</t>
  </si>
  <si>
    <t>NTA 8003 classification &gt; [100] hout &gt; [110] vers hout &gt; [120] loofhout &gt; [121] mengsel loofhout</t>
  </si>
  <si>
    <t>Submitter organisation</t>
  </si>
  <si>
    <t>ECN (Netherlands)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</si>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</sst>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3"/>
    </row>
    <row r="16" outlineLevel="1">
      <c r="A16" s="9" t="s">
        <v>28</v>
      </c>
      <c r="I16" s="13"/>
    </row>
    <row r="17" outlineLevel="2">
      <c r="A17" s="10" t="s">
        <v>29</v>
      </c>
      <c r="B17" s="0" t="s">
        <v>30</v>
      </c>
      <c r="C17" s="11">
        <v>4.59</v>
      </c>
      <c r="D17" s="11"/>
      <c r="E17" s="11"/>
      <c r="F17" s="11"/>
      <c r="G17" s="11"/>
      <c r="I17" s="13"/>
    </row>
    <row r="18" outlineLevel="2">
      <c r="A18" s="10" t="s">
        <v>31</v>
      </c>
      <c r="B18" s="0" t="s">
        <v>30</v>
      </c>
      <c r="C18" s="11">
        <f>IFERROR(0.45*(1-w),"")</f>
        <v>0.429345</v>
      </c>
      <c r="D18" s="11">
        <v>0.45</v>
      </c>
      <c r="E18" s="11">
        <v/>
      </c>
      <c r="F18" s="11"/>
      <c r="G18" s="11"/>
      <c r="I18" s="13"/>
    </row>
    <row r="19" outlineLevel="2">
      <c r="A19" s="10" t="s">
        <v>32</v>
      </c>
      <c r="B19" s="0" t="s">
        <v>30</v>
      </c>
      <c r="C19" s="11">
        <f>IFERROR(85.6*(1-w),"")</f>
        <v>81.67096</v>
      </c>
      <c r="D19" s="11">
        <v>85.6</v>
      </c>
      <c r="E19" s="11">
        <v>85.98694123556001</v>
      </c>
      <c r="F19" s="11"/>
      <c r="G19" s="11"/>
      <c r="I19" s="13"/>
    </row>
    <row r="20" outlineLevel="2">
      <c r="A20" s="10" t="s">
        <v>33</v>
      </c>
      <c r="B20" s="0" t="s">
        <v>30</v>
      </c>
      <c r="C20" s="11">
        <f>IFERROR(13.95*(1-w),"")</f>
        <v>13.309695000000001</v>
      </c>
      <c r="D20" s="11">
        <v>13.950000000000003</v>
      </c>
      <c r="E20" s="11">
        <v>14.013058764439982</v>
      </c>
      <c r="F20" s="11"/>
      <c r="G20" s="11"/>
      <c r="I20" s="13"/>
      <c r="J20" s="0" t="s">
        <v>34</v>
      </c>
    </row>
    <row r="21" outlineLevel="1">
      <c r="A21" s="9" t="s">
        <v>35</v>
      </c>
      <c r="I21" s="13"/>
    </row>
    <row r="22" outlineLevel="2">
      <c r="A22" s="10" t="s">
        <v>36</v>
      </c>
      <c r="B22" s="0" t="s">
        <v>30</v>
      </c>
      <c r="C22" s="11">
        <f>IFERROR(51.3*(1-w),"")</f>
        <v>48.945329999999991</v>
      </c>
      <c r="D22" s="11">
        <v>51.3</v>
      </c>
      <c r="E22" s="11">
        <v>51.531893520843795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30</v>
      </c>
      <c r="C23" s="11">
        <f>IFERROR(6.12*(1-w),"")</f>
        <v>5.839092</v>
      </c>
      <c r="D23" s="11">
        <v>6.12</v>
      </c>
      <c r="E23" s="11">
        <v>6.1476644902059263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30</v>
      </c>
      <c r="C24" s="11">
        <f>IFERROR(41.89*(1-w),"")</f>
        <v>39.967248999999995</v>
      </c>
      <c r="D24" s="11">
        <v>41.89</v>
      </c>
      <c r="E24" s="11">
        <v>42.079357106981412</v>
      </c>
      <c r="F24" s="11"/>
      <c r="G24" s="11"/>
      <c r="I24" s="13"/>
      <c r="J24" s="0" t="s">
        <v>34</v>
      </c>
    </row>
    <row r="25" outlineLevel="2">
      <c r="A25" s="10" t="s">
        <v>40</v>
      </c>
      <c r="B25" s="0" t="s">
        <v>30</v>
      </c>
      <c r="C25" s="11">
        <f>IFERROR(0.11*(1-w),"")</f>
        <v>0.10495099999999999</v>
      </c>
      <c r="D25" s="11">
        <v>0.11</v>
      </c>
      <c r="E25" s="11">
        <v>0.11049723756906077</v>
      </c>
      <c r="F25" s="11"/>
      <c r="G25" s="11"/>
      <c r="I25" s="13"/>
      <c r="J25" s="0" t="s">
        <v>37</v>
      </c>
    </row>
    <row r="26" outlineLevel="2">
      <c r="A26" s="10" t="s">
        <v>41</v>
      </c>
      <c r="B26" s="0" t="s">
        <v>30</v>
      </c>
      <c r="C26" s="11">
        <f>IFERROR(0.1*(1-w),"")</f>
        <v>0.09541</v>
      </c>
      <c r="D26" s="11">
        <v>0.1</v>
      </c>
      <c r="E26" s="11">
        <v>0.10045203415369161</v>
      </c>
      <c r="F26" s="11"/>
      <c r="G26" s="11"/>
      <c r="I26" s="13"/>
      <c r="J26" s="0" t="s">
        <v>37</v>
      </c>
    </row>
    <row r="27" outlineLevel="2">
      <c r="A27" s="10" t="s">
        <v>42</v>
      </c>
      <c r="B27" s="0" t="s">
        <v>30</v>
      </c>
      <c r="C27" s="11">
        <f>IFERROR(100*(1-w)+w*100,"")</f>
        <v>100</v>
      </c>
      <c r="D27" s="11">
        <v>100</v>
      </c>
      <c r="E27" s="11">
        <v>99.999999999999986</v>
      </c>
      <c r="F27" s="11"/>
      <c r="G27" s="11"/>
      <c r="I27" s="13"/>
      <c r="J27" s="0" t="s">
        <v>34</v>
      </c>
    </row>
    <row r="28" outlineLevel="1">
      <c r="A28" s="9" t="s">
        <v>43</v>
      </c>
      <c r="I28" s="13"/>
    </row>
    <row r="29" outlineLevel="2">
      <c r="A29" s="10" t="s">
        <v>44</v>
      </c>
      <c r="B29" s="0" t="s">
        <v>45</v>
      </c>
      <c r="C29" s="12">
        <f>IFERROR(300*(1-w),"")</f>
        <v>286.22999999999996</v>
      </c>
      <c r="D29" s="12">
        <v>300</v>
      </c>
      <c r="E29" s="12">
        <v>301.35610246107484</v>
      </c>
      <c r="F29" s="12"/>
      <c r="G29" s="12"/>
      <c r="I29" s="13"/>
      <c r="J29" s="0" t="s">
        <v>37</v>
      </c>
    </row>
    <row r="30" outlineLevel="1">
      <c r="A30" s="9" t="s">
        <v>46</v>
      </c>
      <c r="I30" s="13"/>
    </row>
    <row r="31" outlineLevel="2">
      <c r="A31" s="10" t="s">
        <v>47</v>
      </c>
      <c r="B31" s="0" t="s">
        <v>48</v>
      </c>
      <c r="C31" s="11">
        <f>IFERROR(18.44169*(1-w)-w*2.443,"")</f>
        <v>17.483082729</v>
      </c>
      <c r="D31" s="11">
        <v>18.44169</v>
      </c>
      <c r="E31" s="11">
        <v>18.525052737317932</v>
      </c>
      <c r="F31" s="11"/>
      <c r="G31" s="11"/>
      <c r="I31" s="13"/>
    </row>
    <row r="32" outlineLevel="2">
      <c r="A32" s="10" t="s">
        <v>49</v>
      </c>
      <c r="B32" s="0" t="s">
        <v>48</v>
      </c>
      <c r="C32" s="11">
        <f>IFERROR(19.77717*(1-w),"")</f>
        <v>18.869397897</v>
      </c>
      <c r="D32" s="11">
        <v>19.77717</v>
      </c>
      <c r="E32" s="11">
        <v>19.866569563033654</v>
      </c>
      <c r="F32" s="11"/>
      <c r="G32" s="11"/>
      <c r="I32" s="13"/>
    </row>
    <row r="33" outlineLevel="2">
      <c r="A33" s="10" t="s">
        <v>50</v>
      </c>
      <c r="B33" s="0" t="s">
        <v>48</v>
      </c>
      <c r="C33" s="11">
        <f>IFERROR(20.5439459825*(1-w),"")</f>
        <v>19.600978861903251</v>
      </c>
      <c r="D33" s="11">
        <v>20.543945982500002</v>
      </c>
      <c r="E33" s="11">
        <v>20.636811634856858</v>
      </c>
      <c r="F33" s="11"/>
      <c r="G33" s="11"/>
      <c r="I33" s="13"/>
      <c r="J33" s="0" t="s">
        <v>34</v>
      </c>
    </row>
    <row r="34">
      <c r="I34" s="13"/>
    </row>
    <row r="35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&#10;Original value: 4.5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https://phyllis.nl/Biomass/View/261</dc:description>
  <dcterms:created xsi:type="dcterms:W3CDTF">2026-03-19T07:15:34Z</dcterms:created>
  <dc:title>Phyllis2 #261 wood, mixed hardwood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