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62 wood, hickory" sheetId="1" r:id="rId1"/>
  </sheets>
  <definedNames>
    <definedName name="w" localSheetId="0">IF(ISBLANK('Phyllis2 #262 wood, hickory'!$C$17),#N/A,'Phyllis2 #262 wood, hickory'!$C$17/100)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<sst xmlns="http://schemas.openxmlformats.org/spreadsheetml/2006/main" count="45" uniqueCount="45">
  <si>
    <t>Phyllis2</t>
  </si>
  <si>
    <t>https://phyllis.nl/Biomass/View/262</t>
  </si>
  <si>
    <t>wood, hickory (#262)</t>
  </si>
  <si>
    <t>ID-number</t>
  </si>
  <si>
    <t>#262</t>
  </si>
  <si>
    <t>Material</t>
  </si>
  <si>
    <t>wood, hickory</t>
  </si>
  <si>
    <t>Classification</t>
  </si>
  <si>
    <t>ECN Phyllis classification &gt; untreated wood &gt; other hard wood</t>
  </si>
  <si>
    <t>NTA 8003 classification &gt; [100] hout &gt; [110] vers hout &gt; [120] loofhout &gt; [125] hard loofhout</t>
  </si>
  <si>
    <t>Submitter organisation</t>
  </si>
  <si>
    <t>ECN (Netherlands)</t>
  </si>
  <si>
    <t>Literature</t>
  </si>
  <si>
    <t>S. Gaur and T. B. Reed: Thermal data for natural and synthetic fuels, Marcel Dekker, New York, 259 p. (1998).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</si>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</sst>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6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IFERROR(0.73*(1-w),"")</f>
        <v/>
      </c>
      <c r="D18" s="11">
        <v>0.73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IFERROR(47.67*(1-w),"")</f>
        <v/>
      </c>
      <c r="D20" s="11">
        <v>47.67</v>
      </c>
      <c r="E20" s="11">
        <v>48.0205500151103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IFERROR(6.49*(1-w),"")</f>
        <v/>
      </c>
      <c r="D21" s="11">
        <v>6.49</v>
      </c>
      <c r="E21" s="11">
        <v>6.53772539538632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IFERROR(43.11*(1-w),"")</f>
        <v/>
      </c>
      <c r="D22" s="11">
        <v>43.11</v>
      </c>
      <c r="E22" s="11">
        <v>43.42701722574796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IFERROR(98*(1-w)+w*100,"")</f>
        <v/>
      </c>
      <c r="D23" s="11">
        <v>98.000000000000014</v>
      </c>
      <c r="E23" s="11">
        <v>97.9852926362446</v>
      </c>
      <c r="F23" s="11"/>
      <c r="G23" s="11"/>
      <c r="I23" s="12"/>
      <c r="J23" s="0" t="s">
        <v>38</v>
      </c>
    </row>
    <row r="24" outlineLevel="1">
      <c r="A24" s="9" t="s">
        <v>40</v>
      </c>
      <c r="I24" s="12"/>
    </row>
    <row r="25" outlineLevel="2">
      <c r="A25" s="10" t="s">
        <v>41</v>
      </c>
      <c r="B25" s="0" t="s">
        <v>42</v>
      </c>
      <c r="C25" s="11">
        <f>IFERROR(18.75377*(1-w)-w*2.443,"")</f>
        <v/>
      </c>
      <c r="D25" s="11">
        <v>18.75377</v>
      </c>
      <c r="E25" s="11">
        <v>18.89167925858769</v>
      </c>
      <c r="F25" s="11"/>
      <c r="G25" s="11"/>
      <c r="I25" s="12"/>
    </row>
    <row r="26" outlineLevel="2">
      <c r="A26" s="10" t="s">
        <v>43</v>
      </c>
      <c r="B26" s="0" t="s">
        <v>42</v>
      </c>
      <c r="C26" s="11">
        <f>IFERROR(20.17*(1-w),"")</f>
        <v/>
      </c>
      <c r="D26" s="11">
        <v>20.17</v>
      </c>
      <c r="E26" s="11">
        <v>20.318323763473355</v>
      </c>
      <c r="F26" s="11"/>
      <c r="G26" s="11"/>
      <c r="I26" s="12"/>
    </row>
    <row r="27" outlineLevel="2">
      <c r="A27" s="10" t="s">
        <v>44</v>
      </c>
      <c r="B27" s="0" t="s">
        <v>42</v>
      </c>
      <c r="C27" s="11">
        <f>IFERROR(19.6509625337*(1-w),"")</f>
        <v/>
      </c>
      <c r="D27" s="11">
        <v>19.6509625337</v>
      </c>
      <c r="E27" s="11">
        <v>19.795469460763574</v>
      </c>
      <c r="F27" s="11"/>
      <c r="G27" s="11"/>
      <c r="I27" s="12"/>
      <c r="J27" s="0" t="s">
        <v>38</v>
      </c>
    </row>
    <row r="28">
      <c r="I28" s="12"/>
    </row>
    <row r="29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https://phyllis.nl/Biomass/View/262</dc:description>
  <dcterms:created xsi:type="dcterms:W3CDTF">2026-03-19T07:17:59Z</dcterms:created>
  <dc:title>Phyllis2 #262 wood, hickory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