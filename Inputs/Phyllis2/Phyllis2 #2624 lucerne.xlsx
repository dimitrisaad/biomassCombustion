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624 lucerne" sheetId="1" r:id="rId1"/>
  </sheets>
  <definedNames>
    <definedName name="w" localSheetId="0">IF(ISBLANK('Phyllis2 #2624 lucerne'!$C$18),#N/A,'Phyllis2 #2624 lucerne'!$C$18/100)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<sst xmlns="http://schemas.openxmlformats.org/spreadsheetml/2006/main" count="45" uniqueCount="45">
  <si>
    <t>Phyllis2</t>
  </si>
  <si>
    <t>https://phyllis.nl/Biomass/View/2624</t>
  </si>
  <si>
    <t>lucerne (#2624)</t>
  </si>
  <si>
    <t>ID-number</t>
  </si>
  <si>
    <t>#2624</t>
  </si>
  <si>
    <t>Material</t>
  </si>
  <si>
    <t>lucerne</t>
  </si>
  <si>
    <t>Classification</t>
  </si>
  <si>
    <t>ECN Phyllis classification &gt; grass/plant &gt; alfalfa &gt; lucerne</t>
  </si>
  <si>
    <t>NTA 8003 classification &gt; [200] biomassa uit land- en tuinbouw &gt; [240] gewassen &gt; [249] overige gewassen</t>
  </si>
  <si>
    <t>Submitter organisation</t>
  </si>
  <si>
    <t>ECN (Netherlands)</t>
  </si>
  <si>
    <t>Submission date</t>
  </si>
  <si>
    <t>Literature</t>
  </si>
  <si>
    <t>K. Singh, H. Honig, M. Wermke and E. Zimmer: Fermentation pattern and changes in cell wall constituents of straw-forage silages, straws and partners during storage. Animal Feed Science and Technology 61(1-4) (1996) 137-153.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</si>
  <si>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</si>
  <si>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</si>
  <si>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</si>
  <si>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</si>
  <si>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</si>
  <si>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</si>
  <si>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</si>
  <si>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</si>
  <si>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</si>
  <si>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</si>
  <si>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</si>
  <si>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</si>
  <si>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</si>
  <si>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</si>
  <si>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</si>
  <si>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</si>
  <si>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</si>
  <si>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Biochemical analysis</t>
  </si>
  <si>
    <t>Cellulose, hemicellulose, lignin</t>
  </si>
  <si>
    <t>Cellulose</t>
  </si>
  <si>
    <t>wt% (dry)</t>
  </si>
  <si>
    <t>van Soest</t>
  </si>
  <si>
    <t>Hemicellulose</t>
  </si>
  <si>
    <t>Lignin</t>
  </si>
  <si>
    <t>Measured</t>
  </si>
  <si>
    <t>Other</t>
  </si>
  <si>
    <t>Protein</t>
  </si>
  <si>
    <t>Total non-structural carbo-hydrates (TNC)</t>
  </si>
  <si>
    <t>Total ash + biochemical</t>
  </si>
  <si>
    <t>Calculated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</si>
</sst>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6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62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2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41.3183822631836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37722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>74.4</v>
      </c>
      <c r="D18" s="13"/>
      <c r="E18" s="13"/>
      <c r="F18" s="13"/>
      <c r="G18" s="13"/>
      <c r="I18" s="5"/>
    </row>
    <row r="19" outlineLevel="1">
      <c r="A19" s="11" t="s">
        <v>32</v>
      </c>
      <c r="I19" s="5"/>
    </row>
    <row r="20" outlineLevel="2">
      <c r="A20" s="14" t="s">
        <v>33</v>
      </c>
      <c r="I20" s="5"/>
    </row>
    <row r="21" outlineLevel="3">
      <c r="A21" s="15" t="s">
        <v>34</v>
      </c>
      <c r="B21" s="0" t="s">
        <v>35</v>
      </c>
      <c r="C21" s="13">
        <v>12.7</v>
      </c>
      <c r="D21" s="13"/>
      <c r="E21" s="13"/>
      <c r="F21" s="13"/>
      <c r="G21" s="13"/>
      <c r="I21" s="5"/>
      <c r="J21" s="0" t="s">
        <v>36</v>
      </c>
    </row>
    <row r="22" outlineLevel="3">
      <c r="A22" s="15" t="s">
        <v>37</v>
      </c>
      <c r="B22" s="0" t="s">
        <v>35</v>
      </c>
      <c r="C22" s="13">
        <v>5.9</v>
      </c>
      <c r="D22" s="13"/>
      <c r="E22" s="13"/>
      <c r="F22" s="13"/>
      <c r="G22" s="13"/>
      <c r="I22" s="5"/>
      <c r="J22" s="0" t="s">
        <v>36</v>
      </c>
    </row>
    <row r="23" outlineLevel="3">
      <c r="A23" s="15" t="s">
        <v>38</v>
      </c>
      <c r="B23" s="0" t="s">
        <v>35</v>
      </c>
      <c r="C23" s="13">
        <v>4</v>
      </c>
      <c r="D23" s="13"/>
      <c r="E23" s="13"/>
      <c r="F23" s="13"/>
      <c r="G23" s="13"/>
      <c r="I23" s="5"/>
      <c r="J23" s="0" t="s">
        <v>39</v>
      </c>
    </row>
    <row r="24" outlineLevel="2">
      <c r="A24" s="14" t="s">
        <v>40</v>
      </c>
      <c r="I24" s="5"/>
    </row>
    <row r="25" outlineLevel="3">
      <c r="A25" s="15" t="s">
        <v>41</v>
      </c>
      <c r="B25" s="0" t="s">
        <v>35</v>
      </c>
      <c r="C25" s="13">
        <v>25.9</v>
      </c>
      <c r="D25" s="13"/>
      <c r="E25" s="13"/>
      <c r="F25" s="13"/>
      <c r="G25" s="13"/>
      <c r="I25" s="5"/>
      <c r="J25" s="0" t="s">
        <v>39</v>
      </c>
    </row>
    <row r="26" outlineLevel="3">
      <c r="A26" s="15" t="s">
        <v>42</v>
      </c>
      <c r="B26" s="0" t="s">
        <v>35</v>
      </c>
      <c r="C26" s="13">
        <v>11.8</v>
      </c>
      <c r="D26" s="13"/>
      <c r="E26" s="13"/>
      <c r="F26" s="13"/>
      <c r="G26" s="13"/>
      <c r="I26" s="5"/>
      <c r="J26" s="0" t="s">
        <v>39</v>
      </c>
    </row>
    <row r="27" outlineLevel="3">
      <c r="A27" s="15" t="s">
        <v>43</v>
      </c>
      <c r="B27" s="0" t="s">
        <v>35</v>
      </c>
      <c r="C27" s="13">
        <v>60.3</v>
      </c>
      <c r="D27" s="13"/>
      <c r="E27" s="13"/>
      <c r="F27" s="13"/>
      <c r="G27" s="13"/>
      <c r="I27" s="5"/>
      <c r="J27" s="0" t="s">
        <v>44</v>
      </c>
    </row>
    <row r="28">
      <c r="I28" s="5"/>
    </row>
    <row r="29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21:E21"/>
    <mergeCell ref="C22:E22"/>
    <mergeCell ref="C23:E23"/>
    <mergeCell ref="C25:E25"/>
    <mergeCell ref="C26:E26"/>
    <mergeCell ref="C27:E27"/>
  </mergeCells>
  <dataValidations count="1">
    <dataValidation type="decimal" sqref="C18" errorStyle="stop" promptTitle="Enter moisture content" errorTitle="Invalid moisture content" prompt="Value should be between 0 and 100.&#10;Original value: 74.4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https://phyllis.nl/Biomass/View/2624</dc:description>
  <dcterms:created xsi:type="dcterms:W3CDTF">2026-03-04T03:59:18Z</dcterms:created>
  <dc:title>Phyllis2 #2624 lucerne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