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63 wood, whole tree " sheetId="1" r:id="rId1"/>
  </sheets>
  <definedNames>
    <definedName name="w" localSheetId="0">IF(ISBLANK('Phyllis2 #263 wood, whole tree '!$C$18),#N/A,'Phyllis2 #263 wood, whole tree 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<sst xmlns="http://schemas.openxmlformats.org/spreadsheetml/2006/main" count="52" uniqueCount="52">
  <si>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</si>
  <si>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https://phyllis.nl/Biomass/View/263</t>
  </si>
  <si>
    <t>wood, whole tree hogfuel (#263)</t>
  </si>
  <si>
    <t>ID-number</t>
  </si>
  <si>
    <t>#263</t>
  </si>
  <si>
    <t>Material</t>
  </si>
  <si>
    <t>wood, whole tree hogfuel</t>
  </si>
  <si>
    <t>Classification</t>
  </si>
  <si>
    <t>ECN Phyllis classification &gt; untreated wood &gt; others &gt; wood, whole tree hogfuel</t>
  </si>
  <si>
    <t>NTA 8003 classification &gt; [100] hout &gt; [110] vers hout &gt; [119] overig vers hout</t>
  </si>
  <si>
    <t>Submitter organisation</t>
  </si>
  <si>
    <t>ECN (Netherlands)</t>
  </si>
  <si>
    <t>Remarks</t>
  </si>
  <si>
    <t>hogfuel (whole tree chips)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</si>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</sst>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6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3"/>
    </row>
    <row r="17" outlineLevel="1">
      <c r="A17" s="9" t="s">
        <v>29</v>
      </c>
      <c r="I17" s="13"/>
    </row>
    <row r="18" outlineLevel="2">
      <c r="A18" s="10" t="s">
        <v>30</v>
      </c>
      <c r="B18" s="0" t="s">
        <v>31</v>
      </c>
      <c r="C18" s="11">
        <v>33.85</v>
      </c>
      <c r="D18" s="11"/>
      <c r="E18" s="11"/>
      <c r="F18" s="11"/>
      <c r="G18" s="11"/>
      <c r="I18" s="13"/>
    </row>
    <row r="19" outlineLevel="2">
      <c r="A19" s="10" t="s">
        <v>32</v>
      </c>
      <c r="B19" s="0" t="s">
        <v>31</v>
      </c>
      <c r="C19" s="11">
        <f>IFERROR(2.15*(1-w),"")</f>
        <v>1.4222249999999999</v>
      </c>
      <c r="D19" s="11">
        <v>2.15</v>
      </c>
      <c r="E19" s="11">
        <v/>
      </c>
      <c r="F19" s="11"/>
      <c r="G19" s="11"/>
      <c r="I19" s="13"/>
    </row>
    <row r="20" outlineLevel="2">
      <c r="A20" s="10" t="s">
        <v>33</v>
      </c>
      <c r="B20" s="0" t="s">
        <v>31</v>
      </c>
      <c r="C20" s="11">
        <f>IFERROR(81.02*(1-w),"")</f>
        <v>53.59473</v>
      </c>
      <c r="D20" s="11">
        <v>81.02</v>
      </c>
      <c r="E20" s="11">
        <v>82.800204394481341</v>
      </c>
      <c r="F20" s="11"/>
      <c r="G20" s="11"/>
      <c r="I20" s="13"/>
    </row>
    <row r="21" outlineLevel="2">
      <c r="A21" s="10" t="s">
        <v>34</v>
      </c>
      <c r="B21" s="0" t="s">
        <v>31</v>
      </c>
      <c r="C21" s="11">
        <f>IFERROR(16.83*(1-w),"")</f>
        <v>11.133045</v>
      </c>
      <c r="D21" s="11">
        <v>16.83</v>
      </c>
      <c r="E21" s="11">
        <v>17.199795605518649</v>
      </c>
      <c r="F21" s="11"/>
      <c r="G21" s="11"/>
      <c r="I21" s="13"/>
      <c r="J21" s="0" t="s">
        <v>35</v>
      </c>
    </row>
    <row r="22" outlineLevel="1">
      <c r="A22" s="9" t="s">
        <v>36</v>
      </c>
      <c r="I22" s="13"/>
    </row>
    <row r="23" outlineLevel="2">
      <c r="A23" s="10" t="s">
        <v>37</v>
      </c>
      <c r="B23" s="0" t="s">
        <v>31</v>
      </c>
      <c r="C23" s="11">
        <f>IFERROR(50.73*(1-w),"")</f>
        <v>33.557894999999995</v>
      </c>
      <c r="D23" s="11">
        <v>50.73</v>
      </c>
      <c r="E23" s="11">
        <v>51.84466019417475</v>
      </c>
      <c r="F23" s="11"/>
      <c r="G23" s="11"/>
      <c r="I23" s="13"/>
      <c r="J23" s="0" t="s">
        <v>38</v>
      </c>
    </row>
    <row r="24" outlineLevel="2">
      <c r="A24" s="10" t="s">
        <v>39</v>
      </c>
      <c r="B24" s="0" t="s">
        <v>31</v>
      </c>
      <c r="C24" s="11">
        <f>IFERROR(5.71*(1-w),"")</f>
        <v>3.7771649999999997</v>
      </c>
      <c r="D24" s="11">
        <v>5.71</v>
      </c>
      <c r="E24" s="11">
        <v>5.8354624425140518</v>
      </c>
      <c r="F24" s="11"/>
      <c r="G24" s="11"/>
      <c r="I24" s="13"/>
      <c r="J24" s="0" t="s">
        <v>38</v>
      </c>
    </row>
    <row r="25" outlineLevel="2">
      <c r="A25" s="10" t="s">
        <v>40</v>
      </c>
      <c r="B25" s="0" t="s">
        <v>31</v>
      </c>
      <c r="C25" s="11">
        <f>IFERROR(41*(1-w),"")</f>
        <v>27.121499999999997</v>
      </c>
      <c r="D25" s="11">
        <v>41</v>
      </c>
      <c r="E25" s="11">
        <v>41.900868676545734</v>
      </c>
      <c r="F25" s="11"/>
      <c r="G25" s="11"/>
      <c r="I25" s="13"/>
      <c r="J25" s="0" t="s">
        <v>35</v>
      </c>
    </row>
    <row r="26" outlineLevel="2">
      <c r="A26" s="10" t="s">
        <v>41</v>
      </c>
      <c r="B26" s="0" t="s">
        <v>31</v>
      </c>
      <c r="C26" s="11">
        <f>IFERROR(0.33*(1-w),"")</f>
        <v>0.218295</v>
      </c>
      <c r="D26" s="11">
        <v>0.33</v>
      </c>
      <c r="E26" s="11">
        <v>0.33725089422585591</v>
      </c>
      <c r="F26" s="11"/>
      <c r="G26" s="11"/>
      <c r="I26" s="13"/>
      <c r="J26" s="0" t="s">
        <v>38</v>
      </c>
    </row>
    <row r="27" outlineLevel="2">
      <c r="A27" s="10" t="s">
        <v>42</v>
      </c>
      <c r="B27" s="0" t="s">
        <v>31</v>
      </c>
      <c r="C27" s="11">
        <f>IFERROR(0.05*(1-w),"")</f>
        <v>0.033075</v>
      </c>
      <c r="D27" s="11">
        <v>0.05</v>
      </c>
      <c r="E27" s="11">
        <v>0.0510986203372509</v>
      </c>
      <c r="F27" s="11"/>
      <c r="G27" s="11"/>
      <c r="I27" s="13"/>
      <c r="J27" s="0" t="s">
        <v>38</v>
      </c>
    </row>
    <row r="28" outlineLevel="2">
      <c r="A28" s="10" t="s">
        <v>43</v>
      </c>
      <c r="B28" s="0" t="s">
        <v>31</v>
      </c>
      <c r="C28" s="11">
        <f>IFERROR(100*(1-w)+w*100,"")</f>
        <v>100</v>
      </c>
      <c r="D28" s="11">
        <v>100</v>
      </c>
      <c r="E28" s="11">
        <v>99.999999999999986</v>
      </c>
      <c r="F28" s="11"/>
      <c r="G28" s="11"/>
      <c r="I28" s="13"/>
      <c r="J28" s="0" t="s">
        <v>35</v>
      </c>
    </row>
    <row r="29" outlineLevel="1">
      <c r="A29" s="9" t="s">
        <v>44</v>
      </c>
      <c r="I29" s="13"/>
    </row>
    <row r="30" outlineLevel="2">
      <c r="A30" s="10" t="s">
        <v>45</v>
      </c>
      <c r="B30" s="0" t="s">
        <v>46</v>
      </c>
      <c r="C30" s="12">
        <f>IFERROR(300*(1-w),"")</f>
        <v>198.45</v>
      </c>
      <c r="D30" s="12">
        <v>300</v>
      </c>
      <c r="E30" s="12">
        <v>306.59172202350533</v>
      </c>
      <c r="F30" s="12"/>
      <c r="G30" s="12"/>
      <c r="I30" s="13"/>
      <c r="J30" s="0" t="s">
        <v>38</v>
      </c>
    </row>
    <row r="31" outlineLevel="1">
      <c r="A31" s="9" t="s">
        <v>47</v>
      </c>
      <c r="I31" s="13"/>
    </row>
    <row r="32" outlineLevel="2">
      <c r="A32" s="10" t="s">
        <v>48</v>
      </c>
      <c r="B32" s="0" t="s">
        <v>49</v>
      </c>
      <c r="C32" s="11">
        <f>IFERROR(18.44505*(1-w)-w*2.443,"")</f>
        <v>11.374445074999999</v>
      </c>
      <c r="D32" s="11">
        <v>18.44505</v>
      </c>
      <c r="E32" s="11">
        <v>18.85033214103219</v>
      </c>
      <c r="F32" s="11"/>
      <c r="G32" s="11"/>
      <c r="I32" s="13"/>
    </row>
    <row r="33" outlineLevel="2">
      <c r="A33" s="10" t="s">
        <v>50</v>
      </c>
      <c r="B33" s="0" t="s">
        <v>49</v>
      </c>
      <c r="C33" s="11">
        <f>IFERROR(19.69107*(1-w),"")</f>
        <v>13.025642804999999</v>
      </c>
      <c r="D33" s="11">
        <v>19.69107</v>
      </c>
      <c r="E33" s="11">
        <v>20.123730199284619</v>
      </c>
      <c r="F33" s="11"/>
      <c r="G33" s="11"/>
      <c r="I33" s="13"/>
    </row>
    <row r="34" outlineLevel="2">
      <c r="A34" s="10" t="s">
        <v>51</v>
      </c>
      <c r="B34" s="0" t="s">
        <v>49</v>
      </c>
      <c r="C34" s="11">
        <f>IFERROR(19.8591922425*(1-w),"")</f>
        <v>13.13685566841375</v>
      </c>
      <c r="D34" s="11">
        <v>19.8591922425</v>
      </c>
      <c r="E34" s="11">
        <v>20.295546492079716</v>
      </c>
      <c r="F34" s="11"/>
      <c r="G34" s="11"/>
      <c r="I34" s="13"/>
      <c r="J34" s="0" t="s">
        <v>35</v>
      </c>
    </row>
    <row r="35">
      <c r="I35" s="13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33.8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https://phyllis.nl/Biomass/View/263</dc:description>
  <dcterms:created xsi:type="dcterms:W3CDTF">2026-03-19T07:21:40Z</dcterms:created>
  <dc:title>Phyllis2 #263 wood, whole tree hogfuel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