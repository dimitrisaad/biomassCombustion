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5 wood, larch" sheetId="1" r:id="rId1"/>
  </sheets>
  <definedNames>
    <definedName name="w" localSheetId="0">IF(ISBLANK('Phyllis2 #265 wood, larch'!$C$19),#N/A,'Phyllis2 #265 wood, larch'!$C$19/100)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<sst xmlns="http://schemas.openxmlformats.org/spreadsheetml/2006/main" count="49" uniqueCount="49">
  <si>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</si>
  <si>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https://phyllis.nl/Biomass/View/265</t>
  </si>
  <si>
    <t>wood, larch (#265)</t>
  </si>
  <si>
    <t>ID-number</t>
  </si>
  <si>
    <t>#265</t>
  </si>
  <si>
    <t>Material</t>
  </si>
  <si>
    <t>wood, larch</t>
  </si>
  <si>
    <t>Classification</t>
  </si>
  <si>
    <t>ECN Phyllis classification &gt; untreated wood &gt; other soft wood &gt; wood, larch</t>
  </si>
  <si>
    <t>NTA 8003 classification &gt; [100] hout &gt; [110] vers hout &gt; [130] naaldhout &gt; [131] naaldhout</t>
  </si>
  <si>
    <t>Ash type</t>
  </si>
  <si>
    <t>laboratory</t>
  </si>
  <si>
    <t>Submitter organisation</t>
  </si>
  <si>
    <t>ECN (Netherlands)</t>
  </si>
  <si>
    <t>Remarks</t>
  </si>
  <si>
    <t>European, chipped, green round wood</t>
  </si>
  <si>
    <t>Literature</t>
  </si>
  <si>
    <t>Anonymous: Forestry waste firing of industrial boilers, Oldham (UK), FEC Consultants, ETSU-B--1178 (1990).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</si>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</sst>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>44.6</v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33</v>
      </c>
      <c r="C20" s="11">
        <f>IFERROR(0.7*(1-w),"")</f>
        <v>0.38780000000000003</v>
      </c>
      <c r="D20" s="11">
        <v>0.7</v>
      </c>
      <c r="E20" s="11">
        <v/>
      </c>
      <c r="F20" s="11"/>
      <c r="G20" s="11"/>
      <c r="I20" s="12"/>
    </row>
    <row r="21" outlineLevel="2">
      <c r="A21" s="10" t="s">
        <v>35</v>
      </c>
      <c r="B21" s="0" t="s">
        <v>33</v>
      </c>
      <c r="C21" s="11">
        <f>IFERROR(91.5*(1-w),"")</f>
        <v>50.691</v>
      </c>
      <c r="D21" s="11">
        <v>91.5</v>
      </c>
      <c r="E21" s="11">
        <v>92.145015105740185</v>
      </c>
      <c r="F21" s="11"/>
      <c r="G21" s="11"/>
      <c r="I21" s="12"/>
    </row>
    <row r="22" outlineLevel="2">
      <c r="A22" s="10" t="s">
        <v>36</v>
      </c>
      <c r="B22" s="0" t="s">
        <v>33</v>
      </c>
      <c r="C22" s="11">
        <f>IFERROR(7.8*(1-w),"")</f>
        <v>4.3211999999999984</v>
      </c>
      <c r="D22" s="11">
        <v>7.7999999999999972</v>
      </c>
      <c r="E22" s="11">
        <v>7.8549848942598155</v>
      </c>
      <c r="F22" s="11"/>
      <c r="G22" s="11"/>
      <c r="I22" s="12"/>
      <c r="J22" s="0" t="s">
        <v>37</v>
      </c>
    </row>
    <row r="23" outlineLevel="1">
      <c r="A23" s="9" t="s">
        <v>38</v>
      </c>
      <c r="I23" s="12"/>
    </row>
    <row r="24" outlineLevel="2">
      <c r="A24" s="10" t="s">
        <v>39</v>
      </c>
      <c r="B24" s="0" t="s">
        <v>33</v>
      </c>
      <c r="C24" s="11">
        <f>IFERROR(50.5437*(1-w),"")</f>
        <v>28.0012098</v>
      </c>
      <c r="D24" s="11">
        <v>50.5437</v>
      </c>
      <c r="E24" s="11">
        <v>50.9</v>
      </c>
      <c r="F24" s="11"/>
      <c r="G24" s="11"/>
      <c r="I24" s="12"/>
      <c r="J24" s="0" t="s">
        <v>40</v>
      </c>
    </row>
    <row r="25" outlineLevel="2">
      <c r="A25" s="10" t="s">
        <v>41</v>
      </c>
      <c r="B25" s="0" t="s">
        <v>33</v>
      </c>
      <c r="C25" s="11">
        <f>IFERROR(6.3552*(1-w),"")</f>
        <v>3.5207808000000003</v>
      </c>
      <c r="D25" s="11">
        <v>6.3552</v>
      </c>
      <c r="E25" s="11">
        <v>6.4</v>
      </c>
      <c r="F25" s="11"/>
      <c r="G25" s="11"/>
      <c r="I25" s="12"/>
      <c r="J25" s="0" t="s">
        <v>40</v>
      </c>
    </row>
    <row r="26" outlineLevel="2">
      <c r="A26" s="10" t="s">
        <v>42</v>
      </c>
      <c r="B26" s="0" t="s">
        <v>33</v>
      </c>
      <c r="C26" s="11">
        <f>IFERROR(42.4*(1-w),"")</f>
        <v>23.489600000000003</v>
      </c>
      <c r="D26" s="11">
        <v>42.4</v>
      </c>
      <c r="E26" s="11">
        <v>42.698892245720039</v>
      </c>
      <c r="F26" s="11"/>
      <c r="G26" s="11"/>
      <c r="I26" s="12"/>
      <c r="J26" s="0" t="s">
        <v>37</v>
      </c>
    </row>
    <row r="27" outlineLevel="2">
      <c r="A27" s="10" t="s">
        <v>43</v>
      </c>
      <c r="B27" s="0" t="s">
        <v>33</v>
      </c>
      <c r="C27" s="11">
        <f>IFERROR(99.9989*(1-w)+w*100,"")</f>
        <v>99.999390600000012</v>
      </c>
      <c r="D27" s="11">
        <v>99.9989</v>
      </c>
      <c r="E27" s="11">
        <v>99.998892245720043</v>
      </c>
      <c r="F27" s="11"/>
      <c r="G27" s="11"/>
      <c r="I27" s="12"/>
      <c r="J27" s="0" t="s">
        <v>37</v>
      </c>
    </row>
    <row r="28" outlineLevel="1">
      <c r="A28" s="9" t="s">
        <v>44</v>
      </c>
      <c r="I28" s="12"/>
    </row>
    <row r="29" outlineLevel="2">
      <c r="A29" s="10" t="s">
        <v>45</v>
      </c>
      <c r="B29" s="0" t="s">
        <v>46</v>
      </c>
      <c r="C29" s="11">
        <f>IFERROR(16.18441*(1-w)-w*2.443,"")</f>
        <v>7.8765851400000013</v>
      </c>
      <c r="D29" s="11">
        <v>16.18441</v>
      </c>
      <c r="E29" s="11">
        <v>16.298499496475326</v>
      </c>
      <c r="F29" s="11"/>
      <c r="G29" s="11"/>
      <c r="I29" s="12"/>
    </row>
    <row r="30" outlineLevel="2">
      <c r="A30" s="10" t="s">
        <v>47</v>
      </c>
      <c r="B30" s="0" t="s">
        <v>46</v>
      </c>
      <c r="C30" s="11">
        <f>IFERROR(17.581*(1-w),"")</f>
        <v>9.739874</v>
      </c>
      <c r="D30" s="11">
        <v>17.581</v>
      </c>
      <c r="E30" s="11">
        <v>17.704934541792547</v>
      </c>
      <c r="F30" s="11"/>
      <c r="G30" s="11"/>
      <c r="I30" s="12"/>
    </row>
    <row r="31" outlineLevel="2">
      <c r="A31" s="10" t="s">
        <v>48</v>
      </c>
      <c r="B31" s="0" t="s">
        <v>46</v>
      </c>
      <c r="C31" s="11">
        <f>IFERROR(20.53834107*(1-w),"")</f>
        <v>11.378240952780002</v>
      </c>
      <c r="D31" s="11">
        <v>20.53834107</v>
      </c>
      <c r="E31" s="11">
        <v>20.683122930513598</v>
      </c>
      <c r="F31" s="11"/>
      <c r="G31" s="11"/>
      <c r="I31" s="12"/>
      <c r="J31" s="0" t="s">
        <v>37</v>
      </c>
    </row>
    <row r="32">
      <c r="I32" s="12"/>
    </row>
    <row r="3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44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https://phyllis.nl/Biomass/View/265</dc:description>
  <dcterms:created xsi:type="dcterms:W3CDTF">2026-03-19T07:18:50Z</dcterms:created>
  <dc:title>Phyllis2 #265 wood, larch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