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651 wheat, whole cro" sheetId="1" r:id="rId1"/>
  </sheets>
  <definedNames>
    <definedName name="w" localSheetId="0">IF(ISBLANK('Phyllis2 #2651 wheat, whole cro'!$C$19),#N/A,'Phyllis2 #2651 wheat, whole cro'!$C$19/100)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<sst xmlns="http://schemas.openxmlformats.org/spreadsheetml/2006/main" count="49" uniqueCount="49">
  <si>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</si>
  <si>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https://phyllis.nl/Biomass/View/2651</t>
  </si>
  <si>
    <t>wheat, whole crop (#2651)</t>
  </si>
  <si>
    <t>ID-number</t>
  </si>
  <si>
    <t>#2651</t>
  </si>
  <si>
    <t>Material</t>
  </si>
  <si>
    <t>wheat, whole crop</t>
  </si>
  <si>
    <t>Classification</t>
  </si>
  <si>
    <t>ECN Phyllis classification &gt; grass/plant &gt; cattle feed &gt; wheat, whole crop</t>
  </si>
  <si>
    <t>NTA 8003 classification &gt; [200] biomassa uit land- en tuinbouw &gt; [220] stro &gt; [223] tarwestro</t>
  </si>
  <si>
    <t>Submitter organisation</t>
  </si>
  <si>
    <t>ECN (Netherlands)</t>
  </si>
  <si>
    <t>Submission date</t>
  </si>
  <si>
    <t>Remarks</t>
  </si>
  <si>
    <t>flowering cultivar Gonen</t>
  </si>
  <si>
    <t>Literature</t>
  </si>
  <si>
    <t>I. Filya: Nutritive value of whole crop wheat silage harvested at three stages of maturity. Animal Feed Science and Technology 103(1-4) (2003) 85-95.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</si>
  <si>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</si>
  <si>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</si>
  <si>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</si>
  <si>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</si>
  <si>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</si>
  <si>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</si>
  <si>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</si>
  <si>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</si>
  <si>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</si>
  <si>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</si>
  <si>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</si>
  <si>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</si>
  <si>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</si>
  <si>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</si>
  <si>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</si>
  <si>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</si>
  <si>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</si>
  <si>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</si>
  <si>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Total (with halides)</t>
  </si>
  <si>
    <t>Calculated</t>
  </si>
  <si>
    <t>Biochemical analysis</t>
  </si>
  <si>
    <t>Cellulose, hemicellulose, lignin</t>
  </si>
  <si>
    <t>Cellulose</t>
  </si>
  <si>
    <t>wt% (dry)</t>
  </si>
  <si>
    <t>van Soest</t>
  </si>
  <si>
    <t>Hemicellulose</t>
  </si>
  <si>
    <t>Lignin</t>
  </si>
  <si>
    <t>Measured</t>
  </si>
  <si>
    <t>Other</t>
  </si>
  <si>
    <t>Protein</t>
  </si>
  <si>
    <t>Total non-structural carbo-hydrates (TNC)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</si>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</sst>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65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41.3183822631836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37746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64.1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IFERROR(9.7*(1-w),"")</f>
        <v>3.4823000000000008</v>
      </c>
      <c r="D20" s="13">
        <v>9.7</v>
      </c>
      <c r="E20" s="13">
        <v/>
      </c>
      <c r="F20" s="13"/>
      <c r="G20" s="13"/>
      <c r="I20" s="5"/>
    </row>
    <row r="21" outlineLevel="1">
      <c r="A21" s="11" t="s">
        <v>34</v>
      </c>
      <c r="I21" s="5"/>
    </row>
    <row r="22" outlineLevel="2">
      <c r="A22" s="12" t="s">
        <v>35</v>
      </c>
      <c r="B22" s="0" t="s">
        <v>32</v>
      </c>
      <c r="C22" s="13">
        <f>IFERROR(9.7*(1-w)+w*100,"")</f>
        <v>67.582299999999989</v>
      </c>
      <c r="D22" s="13">
        <v>9.7</v>
      </c>
      <c r="E22" s="13">
        <v>0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4" t="s">
        <v>38</v>
      </c>
      <c r="I24" s="5"/>
    </row>
    <row r="25" outlineLevel="3">
      <c r="A25" s="15" t="s">
        <v>39</v>
      </c>
      <c r="B25" s="0" t="s">
        <v>40</v>
      </c>
      <c r="C25" s="13">
        <v>32.9</v>
      </c>
      <c r="D25" s="13"/>
      <c r="E25" s="13"/>
      <c r="F25" s="13"/>
      <c r="G25" s="13"/>
      <c r="I25" s="5"/>
      <c r="J25" s="0" t="s">
        <v>41</v>
      </c>
    </row>
    <row r="26" outlineLevel="3">
      <c r="A26" s="15" t="s">
        <v>42</v>
      </c>
      <c r="B26" s="0" t="s">
        <v>40</v>
      </c>
      <c r="C26" s="13">
        <v>16</v>
      </c>
      <c r="D26" s="13"/>
      <c r="E26" s="13"/>
      <c r="F26" s="13"/>
      <c r="G26" s="13"/>
      <c r="I26" s="5"/>
      <c r="J26" s="0" t="s">
        <v>41</v>
      </c>
    </row>
    <row r="27" outlineLevel="3">
      <c r="A27" s="15" t="s">
        <v>43</v>
      </c>
      <c r="B27" s="0" t="s">
        <v>40</v>
      </c>
      <c r="C27" s="13">
        <v>8.1</v>
      </c>
      <c r="D27" s="13"/>
      <c r="E27" s="13"/>
      <c r="F27" s="13"/>
      <c r="G27" s="13"/>
      <c r="I27" s="5"/>
      <c r="J27" s="0" t="s">
        <v>44</v>
      </c>
    </row>
    <row r="28" outlineLevel="2">
      <c r="A28" s="14" t="s">
        <v>45</v>
      </c>
      <c r="I28" s="5"/>
    </row>
    <row r="29" outlineLevel="3">
      <c r="A29" s="15" t="s">
        <v>46</v>
      </c>
      <c r="B29" s="0" t="s">
        <v>40</v>
      </c>
      <c r="C29" s="13">
        <v>7</v>
      </c>
      <c r="D29" s="13"/>
      <c r="E29" s="13"/>
      <c r="F29" s="13"/>
      <c r="G29" s="13"/>
      <c r="I29" s="5"/>
      <c r="J29" s="0" t="s">
        <v>44</v>
      </c>
    </row>
    <row r="30" outlineLevel="3">
      <c r="A30" s="15" t="s">
        <v>47</v>
      </c>
      <c r="B30" s="0" t="s">
        <v>40</v>
      </c>
      <c r="C30" s="13">
        <v>10.1</v>
      </c>
      <c r="D30" s="13"/>
      <c r="E30" s="13"/>
      <c r="F30" s="13"/>
      <c r="G30" s="13"/>
      <c r="I30" s="5"/>
      <c r="J30" s="0" t="s">
        <v>44</v>
      </c>
    </row>
    <row r="31" outlineLevel="3">
      <c r="A31" s="15" t="s">
        <v>48</v>
      </c>
      <c r="B31" s="0" t="s">
        <v>40</v>
      </c>
      <c r="C31" s="13">
        <v>83.8</v>
      </c>
      <c r="D31" s="13"/>
      <c r="E31" s="13"/>
      <c r="F31" s="13"/>
      <c r="G31" s="13"/>
      <c r="I31" s="5"/>
      <c r="J31" s="0" t="s">
        <v>36</v>
      </c>
    </row>
    <row r="32">
      <c r="I32" s="5"/>
    </row>
    <row r="3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25:E25"/>
    <mergeCell ref="C26:E26"/>
    <mergeCell ref="C27:E27"/>
    <mergeCell ref="C29:E29"/>
    <mergeCell ref="C30:E30"/>
    <mergeCell ref="C31:E31"/>
  </mergeCells>
  <dataValidations count="1">
    <dataValidation type="decimal" sqref="C19" errorStyle="stop" promptTitle="Enter moisture content" errorTitle="Invalid moisture content" prompt="Value should be between 0 and 100.&#10;Original value: 64.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https://phyllis.nl/Biomass/View/2651</dc:description>
  <dcterms:created xsi:type="dcterms:W3CDTF">2026-03-04T04:00:12Z</dcterms:created>
  <dc:title>Phyllis2 #2651 wheat, whole crop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