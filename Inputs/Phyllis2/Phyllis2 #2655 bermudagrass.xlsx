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image/png" PartName="/xl/media/1ECN-TNO.png"/>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hyllis2 #2655 bermudagrass" sheetId="1" r:id="rId1"/>
  </sheets>
  <definedNames>
    <definedName name="w" localSheetId="0">IF(ISBLANK('Phyllis2 #2655 bermudagrass'!$C$19),#N/A,'Phyllis2 #2655 bermudagrass'!$C$19/100)</definedName>
  </definedNames>
  <calcPr fullCalcOnLoad="1"/>
</workbook>
</file>

<file path=xl/comments1.xml><?xml version="1.0" encoding="utf-8"?>
<comments xmlns="http://schemas.openxmlformats.org/spreadsheetml/2006/main">
  <authors>
    <d:author xmlns:d="http://schemas.openxmlformats.org/spreadsheetml/2006/main">Phyllis2</d:author>
  </authors>
  <commentList>
    <comment ref="C16" authorId="0">
      <text>
        <d:r xmlns:d="http://schemas.openxmlformats.org/spreadsheetml/2006/main">
          <rPr>
            <sz val="11"/>
            <rFont val="Calibri"/>
          </rPr>
          <t xml:space="preserve">ar: as received, the material in its original form (including ash and moisture)</t>
        </d:r>
      </text>
    </comment>
    <comment ref="E16" authorId="0">
      <text>
        <d:r xmlns:d="http://schemas.openxmlformats.org/spreadsheetml/2006/main">
          <rPr>
            <sz val="11"/>
            <rFont val="Calibri"/>
          </rPr>
          <t xml:space="preserve">daf: the dry and ash free material</t>
        </d:r>
      </text>
    </comment>
    <comment ref="D16" authorId="0">
      <text>
        <d:r xmlns:d="http://schemas.openxmlformats.org/spreadsheetml/2006/main">
          <rPr>
            <sz val="11"/>
            <rFont val="Calibri"/>
          </rPr>
          <t xml:space="preserve">dry: the dry material (including ash)</t>
        </d:r>
      </text>
    </comment>
  </commentList>
</comments>
</file>

<file path=xl/sharedStrings.xml><?xml version="1.0" encoding="utf-8"?>
<sst xmlns="http://schemas.openxmlformats.org/spreadsheetml/2006/main" count="61" uniqueCount="61">
  <si>
    <t>Phyllis2</t>
  </si>
  <si>
    <t>https://phyllis.nl/Biomass/View/2655</t>
  </si>
  <si>
    <t>bermudagrass (#2655)</t>
  </si>
  <si>
    <t>ID-number</t>
  </si>
  <si>
    <t>#2655</t>
  </si>
  <si>
    <t>Material</t>
  </si>
  <si>
    <t>bermudagrass</t>
  </si>
  <si>
    <t>Classification</t>
  </si>
  <si>
    <t>ECN Phyllis classification &gt; grass/plant &gt; other grass &gt; bermudagrass</t>
  </si>
  <si>
    <t>NTA 8003 classification &gt; [200] biomassa uit land- en tuinbouw &gt; [210] gras &gt; [219] overig gras</t>
  </si>
  <si>
    <t>Submitter organisation</t>
  </si>
  <si>
    <t>ECN (Netherlands)</t>
  </si>
  <si>
    <t>Submission date</t>
  </si>
  <si>
    <t>Remarks</t>
  </si>
  <si>
    <t>Tifton after 3 weeks regrowth, compare ID 2656</t>
  </si>
  <si>
    <t>Literature</t>
  </si>
  <si>
    <t>P. Mandebvu, et al.: Effect of enzyme or microbial treatment of bermudagrass forages before ensiling on cell wall composition, end products of silage fermentation and in situ digestion kinetics. Animal Feed Science and Technology 77-3/4 (1999): 317-329.</t>
  </si>
  <si>
    <t>Values</t>
  </si>
  <si>
    <t>Property</t>
  </si>
  <si>
    <t>Unit</t>
  </si>
  <si>
    <t>Value</t>
  </si>
  <si>
    <t>Std dev</t>
  </si>
  <si>
    <t>Det lim</t>
  </si>
  <si>
    <t>Lab</t>
  </si>
  <si>
    <t>Date</t>
  </si>
  <si>
    <t>Method</t>
  </si>
  <si>
    <t>ar</t>
  </si>
  <si>
    <t>dry</t>
  </si>
  <si>
    <t>daf</t>
  </si>
  <si>
    <t>Main biomass properties</t>
  </si>
  <si>
    <t>Proximate analysis</t>
  </si>
  <si>
    <t>Moisture content</t>
  </si>
  <si>
    <t>wt%</t>
  </si>
  <si>
    <t>Ash content</t>
  </si>
  <si>
    <t>Ultimate analysis (macroelements)</t>
  </si>
  <si>
    <t>Total (with halides)</t>
  </si>
  <si>
    <t>Calculated</t>
  </si>
  <si>
    <t>Biochemical analysis</t>
  </si>
  <si>
    <t>Cellulose, hemicellulose, lignin</t>
  </si>
  <si>
    <t>Cellulose</t>
  </si>
  <si>
    <t>wt% (dry)</t>
  </si>
  <si>
    <t>Sugar Analysis</t>
  </si>
  <si>
    <t>Hemicellulose</t>
  </si>
  <si>
    <t>Lignin</t>
  </si>
  <si>
    <t>Measured</t>
  </si>
  <si>
    <t>Lignin analysis</t>
  </si>
  <si>
    <t>Acid insoluble lignin (Klason) (AIL)</t>
  </si>
  <si>
    <t>Other</t>
  </si>
  <si>
    <t>Protein</t>
  </si>
  <si>
    <t>Pectin</t>
  </si>
  <si>
    <t>C5</t>
  </si>
  <si>
    <t>Arabinan</t>
  </si>
  <si>
    <t>Xylan</t>
  </si>
  <si>
    <t>Sum C5</t>
  </si>
  <si>
    <t>C6</t>
  </si>
  <si>
    <t>Mannan</t>
  </si>
  <si>
    <t>Galactan</t>
  </si>
  <si>
    <t>Glucan</t>
  </si>
  <si>
    <t>Rhamnan</t>
  </si>
  <si>
    <t>Sum C6</t>
  </si>
  <si>
    <t>Total ash + biochemical</t>
  </si>
</sst>
</file>

<file path=xl/styles.xml><?xml version="1.0" encoding="utf-8"?>
<styleSheet xmlns="http://schemas.openxmlformats.org/spreadsheetml/2006/main">
  <numFmts count="2">
    <numFmt numFmtId="164" formatCode="yyyy-mm-dd"/>
    <numFmt numFmtId="165" formatCode="#,0.00"/>
  </numFmts>
  <fonts count="6">
    <font>
      <sz val="11"/>
      <name val="Calibri"/>
    </font>
    <font>
      <b/>
      <sz val="22"/>
      <name val="Calibri"/>
    </font>
    <font>
      <u/>
      <sz val="11"/>
      <color rgb="000000FF" tint="0"/>
      <name val="Calibri"/>
    </font>
    <font>
      <b/>
      <sz val="16.5"/>
      <name val="Calibri"/>
    </font>
    <font>
      <b/>
      <sz val="11"/>
      <name val="Calibri"/>
    </font>
    <font>
      <b/>
      <sz val="14.3"/>
      <name val="Calibri"/>
    </font>
  </fonts>
  <fills count="3">
    <fill>
      <patternFill patternType="none"/>
    </fill>
    <fill>
      <patternFill patternType="gray125"/>
    </fill>
    <fill>
      <patternFill patternType="solid">
        <fgColor rgb="00EEFFDD" tint="0"/>
      </patternFill>
    </fill>
  </fills>
  <borders count="1">
    <border>
      <left/>
      <right/>
      <top/>
      <bottom/>
      <diagonal/>
    </border>
  </borders>
  <cellStyleXfs count="1">
    <xf numFmtId="0" fontId="0"/>
  </cellStyleXfs>
  <cellXfs count="18">
    <xf numFmtId="0" applyNumberFormat="1" fontId="0" applyFont="1" xfId="0"/>
    <xf numFmtId="0" applyNumberFormat="1" fontId="0" applyFont="1" fillId="2" applyFill="1" xfId="0"/>
    <xf numFmtId="0" applyNumberFormat="1" fontId="1" applyFont="1" fillId="2" applyFill="1" xfId="0"/>
    <xf numFmtId="0" applyNumberFormat="1" fontId="2" applyFont="1" fillId="2" applyFill="1" xfId="0"/>
    <xf numFmtId="0" applyNumberFormat="1" fontId="3" applyFont="1" fillId="2" applyFill="1" xfId="0"/>
    <xf numFmtId="164" applyNumberFormat="1" fontId="0" applyFont="1" xfId="0"/>
    <xf numFmtId="164" applyNumberFormat="1" fontId="0" applyFont="1" xfId="0">
      <alignment horizontal="left"/>
    </xf>
    <xf numFmtId="0" applyNumberFormat="1" fontId="4" applyFont="1" xfId="0"/>
    <xf numFmtId="0" applyNumberFormat="1" fontId="4" applyFont="1" xfId="0">
      <alignment vertical="top"/>
    </xf>
    <xf numFmtId="0" applyNumberFormat="1" fontId="5" applyFont="1" fillId="2" applyFill="1" xfId="0"/>
    <xf numFmtId="0" applyNumberFormat="1" fontId="4" applyFont="1" fillId="2" applyFill="1" xfId="0">
      <alignment vertical="center"/>
    </xf>
    <xf numFmtId="0" applyNumberFormat="1" fontId="4" applyFont="1" xfId="0">
      <alignment indent="1"/>
    </xf>
    <xf numFmtId="0" applyNumberFormat="1" fontId="0" applyFont="1" xfId="0">
      <alignment indent="2"/>
    </xf>
    <xf numFmtId="165" applyNumberFormat="1" fontId="0" applyFont="1" xfId="0"/>
    <xf numFmtId="0" applyNumberFormat="1" fontId="4" applyFont="1" xfId="0">
      <alignment indent="2"/>
    </xf>
    <xf numFmtId="0" applyNumberFormat="1" fontId="0" applyFont="1" xfId="0">
      <alignment indent="3"/>
    </xf>
    <xf numFmtId="0" applyNumberFormat="1" fontId="4" applyFont="1" xfId="0">
      <alignment indent="3"/>
    </xf>
    <xf numFmtId="0" applyNumberFormat="1" fontId="0" applyFont="1" xfId="0">
      <alignment indent="4"/>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1ECN-TNO.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47625</xdr:rowOff>
    </xdr:from>
    <xdr:to>
      <xdr:col>7</xdr:col>
      <xdr:colOff>590550</xdr:colOff>
      <xdr:row>1</xdr:row>
      <xdr:rowOff>104775</xdr:rowOff>
    </xdr:to>
    <xdr:pic>
      <xdr:nvPicPr>
        <xdr:cNvPr id="0" descr="" name="TNO 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comments" Target="../comments1.xml"/><Relationship Id="rId3" Type="http://schemas.openxmlformats.org/officeDocument/2006/relationships/vmlDrawing" Target="../drawings/vmlDrawing1.vml"/><Relationship Id="rId4" Type="http://schemas.openxmlformats.org/officeDocument/2006/relationships/hyperlink" Target="https://phyllis.nl/Biomass/View/2655" TargetMode="External"/></Relationships>
</file>

<file path=xl/worksheets/sheet1.xml><?xml version="1.0" encoding="utf-8"?>
<worksheet xmlns:r="http://schemas.openxmlformats.org/officeDocument/2006/relationships" xmlns="http://schemas.openxmlformats.org/spreadsheetml/2006/main">
  <sheetPr>
    <outlinePr summaryBelow="0"/>
  </sheetPr>
  <dimension ref="A1:L44"/>
  <sheetViews>
    <sheetView workbookViewId="0">
      <pane xSplit="1" topLeftCell="B1" state="frozen" activePane="topRight"/>
      <selection pane="topRight" activeCell="A1" sqref="A1"/>
    </sheetView>
  </sheetViews>
  <sheetFormatPr defaultRowHeight="15"/>
  <cols>
    <col min="1" max="1" width="34.1753425598145" customWidth="1"/>
    <col min="2" max="2" width="12"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13.8981866836548" customWidth="1"/>
    <col min="11" max="11" width="9.140625" customWidth="1"/>
  </cols>
  <sheetData>
    <row r="1" s="1" customFormat="1">
      <c r="A1" s="2" t="s">
        <v>0</v>
      </c>
    </row>
    <row r="2" s="1" customFormat="1">
      <c r="A2" s="3" t="s">
        <v>1</v>
      </c>
    </row>
    <row r="4" s="1" customFormat="1">
      <c r="A4" s="4" t="s">
        <v>2</v>
      </c>
    </row>
    <row r="5" outlineLevel="1">
      <c r="A5" s="7" t="s">
        <v>3</v>
      </c>
      <c r="B5" s="0" t="s">
        <v>4</v>
      </c>
    </row>
    <row r="6" outlineLevel="1">
      <c r="A6" s="7" t="s">
        <v>5</v>
      </c>
      <c r="B6" s="0" t="s">
        <v>6</v>
      </c>
    </row>
    <row r="7" outlineLevel="1">
      <c r="A7" s="8" t="s">
        <v>7</v>
      </c>
      <c r="B7" s="0" t="s">
        <v>8</v>
      </c>
    </row>
    <row r="8" outlineLevel="1">
      <c r="A8" s="8"/>
      <c r="B8" s="0" t="s">
        <v>9</v>
      </c>
    </row>
    <row r="9" outlineLevel="1">
      <c r="A9" s="7" t="s">
        <v>10</v>
      </c>
      <c r="B9" s="0" t="s">
        <v>11</v>
      </c>
    </row>
    <row r="10" outlineLevel="1">
      <c r="A10" s="7" t="s">
        <v>12</v>
      </c>
      <c r="B10" s="6">
        <v>37746</v>
      </c>
    </row>
    <row r="11" outlineLevel="1">
      <c r="A11" s="7" t="s">
        <v>13</v>
      </c>
      <c r="B11" s="0" t="s">
        <v>14</v>
      </c>
    </row>
    <row r="12" outlineLevel="1">
      <c r="A12" s="7" t="s">
        <v>15</v>
      </c>
      <c r="B12" s="0" t="s">
        <v>16</v>
      </c>
    </row>
    <row r="13">
      <c r="A13" s="7"/>
    </row>
    <row r="14" s="1" customFormat="1">
      <c r="A14" s="9" t="s">
        <v>17</v>
      </c>
    </row>
    <row r="15" s="1" customFormat="1">
      <c r="A15" s="10" t="s">
        <v>18</v>
      </c>
      <c r="B15" s="10" t="s">
        <v>19</v>
      </c>
      <c r="C15" s="10" t="s">
        <v>20</v>
      </c>
      <c r="D15" s="10"/>
      <c r="E15" s="10"/>
      <c r="F15" s="10" t="s">
        <v>21</v>
      </c>
      <c r="G15" s="10" t="s">
        <v>22</v>
      </c>
      <c r="H15" s="10" t="s">
        <v>23</v>
      </c>
      <c r="I15" s="10" t="s">
        <v>24</v>
      </c>
      <c r="J15" s="10" t="s">
        <v>25</v>
      </c>
      <c r="K15" s="10" t="s">
        <v>13</v>
      </c>
      <c r="L15" s="10"/>
    </row>
    <row r="16" s="1" customFormat="1">
      <c r="A16" s="10"/>
      <c r="B16" s="10"/>
      <c r="C16" s="10" t="s">
        <v>26</v>
      </c>
      <c r="D16" s="10" t="s">
        <v>27</v>
      </c>
      <c r="E16" s="10" t="s">
        <v>28</v>
      </c>
      <c r="F16" s="10"/>
      <c r="G16" s="10"/>
      <c r="H16" s="10"/>
      <c r="I16" s="10"/>
      <c r="J16" s="10"/>
      <c r="K16" s="10"/>
      <c r="L16" s="10"/>
    </row>
    <row r="17">
      <c r="A17" s="7" t="s">
        <v>29</v>
      </c>
      <c r="I17" s="5"/>
    </row>
    <row r="18" outlineLevel="1">
      <c r="A18" s="11" t="s">
        <v>30</v>
      </c>
      <c r="I18" s="5"/>
    </row>
    <row r="19" outlineLevel="2">
      <c r="A19" s="12" t="s">
        <v>31</v>
      </c>
      <c r="B19" s="0" t="s">
        <v>32</v>
      </c>
      <c r="C19" s="13">
        <v>78.1</v>
      </c>
      <c r="D19" s="13"/>
      <c r="E19" s="13"/>
      <c r="F19" s="13"/>
      <c r="G19" s="13"/>
      <c r="I19" s="5"/>
    </row>
    <row r="20" outlineLevel="2">
      <c r="A20" s="12" t="s">
        <v>33</v>
      </c>
      <c r="B20" s="0" t="s">
        <v>32</v>
      </c>
      <c r="C20" s="13">
        <f>IFERROR(8*(1-w),"")</f>
        <v>1.7520000000000007</v>
      </c>
      <c r="D20" s="13">
        <v>8</v>
      </c>
      <c r="E20" s="13">
        <v/>
      </c>
      <c r="F20" s="13"/>
      <c r="G20" s="13"/>
      <c r="I20" s="5"/>
    </row>
    <row r="21" outlineLevel="1">
      <c r="A21" s="11" t="s">
        <v>34</v>
      </c>
      <c r="I21" s="5"/>
    </row>
    <row r="22" outlineLevel="2">
      <c r="A22" s="12" t="s">
        <v>35</v>
      </c>
      <c r="B22" s="0" t="s">
        <v>32</v>
      </c>
      <c r="C22" s="13">
        <f>IFERROR(8*(1-w)+w*100,"")</f>
        <v>79.85199999999999</v>
      </c>
      <c r="D22" s="13">
        <v>8</v>
      </c>
      <c r="E22" s="13">
        <v>0</v>
      </c>
      <c r="F22" s="13"/>
      <c r="G22" s="13"/>
      <c r="I22" s="5"/>
      <c r="J22" s="0" t="s">
        <v>36</v>
      </c>
    </row>
    <row r="23" outlineLevel="1">
      <c r="A23" s="11" t="s">
        <v>37</v>
      </c>
      <c r="I23" s="5"/>
    </row>
    <row r="24" outlineLevel="2">
      <c r="A24" s="14" t="s">
        <v>38</v>
      </c>
      <c r="I24" s="5"/>
    </row>
    <row r="25" outlineLevel="3">
      <c r="A25" s="15" t="s">
        <v>39</v>
      </c>
      <c r="B25" s="0" t="s">
        <v>40</v>
      </c>
      <c r="C25" s="13">
        <v>32.8</v>
      </c>
      <c r="D25" s="13"/>
      <c r="E25" s="13"/>
      <c r="F25" s="13"/>
      <c r="G25" s="13"/>
      <c r="I25" s="5"/>
      <c r="J25" s="0" t="s">
        <v>41</v>
      </c>
    </row>
    <row r="26" outlineLevel="3">
      <c r="A26" s="15" t="s">
        <v>42</v>
      </c>
      <c r="B26" s="0" t="s">
        <v>40</v>
      </c>
      <c r="C26" s="13">
        <v>25.5</v>
      </c>
      <c r="D26" s="13"/>
      <c r="E26" s="13"/>
      <c r="F26" s="13"/>
      <c r="G26" s="13"/>
      <c r="I26" s="5"/>
      <c r="J26" s="0" t="s">
        <v>41</v>
      </c>
    </row>
    <row r="27" outlineLevel="3">
      <c r="A27" s="15" t="s">
        <v>43</v>
      </c>
      <c r="B27" s="0" t="s">
        <v>40</v>
      </c>
      <c r="C27" s="13">
        <v>17.7</v>
      </c>
      <c r="D27" s="13"/>
      <c r="E27" s="13"/>
      <c r="F27" s="13"/>
      <c r="G27" s="13"/>
      <c r="I27" s="5"/>
      <c r="J27" s="0" t="s">
        <v>44</v>
      </c>
    </row>
    <row r="28" outlineLevel="2">
      <c r="A28" s="14" t="s">
        <v>45</v>
      </c>
      <c r="I28" s="5"/>
    </row>
    <row r="29" outlineLevel="3">
      <c r="A29" s="15" t="s">
        <v>46</v>
      </c>
      <c r="B29" s="0" t="s">
        <v>40</v>
      </c>
      <c r="C29" s="13">
        <v>20.2</v>
      </c>
      <c r="D29" s="13"/>
      <c r="E29" s="13"/>
      <c r="F29" s="13"/>
      <c r="G29" s="13"/>
      <c r="I29" s="5"/>
      <c r="J29" s="0" t="s">
        <v>44</v>
      </c>
    </row>
    <row r="30" outlineLevel="2">
      <c r="A30" s="14" t="s">
        <v>47</v>
      </c>
      <c r="I30" s="5"/>
    </row>
    <row r="31" outlineLevel="3">
      <c r="A31" s="15" t="s">
        <v>48</v>
      </c>
      <c r="B31" s="0" t="s">
        <v>40</v>
      </c>
      <c r="C31" s="13">
        <v>18.2</v>
      </c>
      <c r="D31" s="13"/>
      <c r="E31" s="13"/>
      <c r="F31" s="13"/>
      <c r="G31" s="13"/>
      <c r="I31" s="5"/>
      <c r="J31" s="0" t="s">
        <v>44</v>
      </c>
    </row>
    <row r="32" outlineLevel="3">
      <c r="A32" s="15" t="s">
        <v>49</v>
      </c>
      <c r="B32" s="0" t="s">
        <v>40</v>
      </c>
      <c r="C32" s="13">
        <v>2.1</v>
      </c>
      <c r="D32" s="13"/>
      <c r="E32" s="13"/>
      <c r="F32" s="13"/>
      <c r="G32" s="13"/>
      <c r="I32" s="5"/>
      <c r="J32" s="0" t="s">
        <v>44</v>
      </c>
    </row>
    <row r="33" outlineLevel="3">
      <c r="A33" s="16" t="s">
        <v>50</v>
      </c>
      <c r="I33" s="5"/>
    </row>
    <row r="34" outlineLevel="4">
      <c r="A34" s="17" t="s">
        <v>51</v>
      </c>
      <c r="B34" s="0" t="s">
        <v>40</v>
      </c>
      <c r="C34" s="13">
        <v>3.9</v>
      </c>
      <c r="D34" s="13"/>
      <c r="E34" s="13"/>
      <c r="F34" s="13"/>
      <c r="G34" s="13"/>
      <c r="I34" s="5"/>
    </row>
    <row r="35" outlineLevel="4">
      <c r="A35" s="17" t="s">
        <v>52</v>
      </c>
      <c r="B35" s="0" t="s">
        <v>40</v>
      </c>
      <c r="C35" s="13">
        <v>20.3</v>
      </c>
      <c r="D35" s="13"/>
      <c r="E35" s="13"/>
      <c r="F35" s="13"/>
      <c r="G35" s="13"/>
      <c r="I35" s="5"/>
    </row>
    <row r="36" outlineLevel="4">
      <c r="A36" s="17" t="s">
        <v>53</v>
      </c>
      <c r="B36" s="0" t="s">
        <v>40</v>
      </c>
      <c r="C36" s="13">
        <v>24.2</v>
      </c>
      <c r="D36" s="13"/>
      <c r="E36" s="13"/>
      <c r="F36" s="13"/>
      <c r="G36" s="13"/>
      <c r="I36" s="5"/>
      <c r="J36" s="0" t="s">
        <v>36</v>
      </c>
    </row>
    <row r="37" outlineLevel="3">
      <c r="A37" s="16" t="s">
        <v>54</v>
      </c>
      <c r="I37" s="5"/>
    </row>
    <row r="38" outlineLevel="4">
      <c r="A38" s="17" t="s">
        <v>55</v>
      </c>
      <c r="B38" s="0" t="s">
        <v>40</v>
      </c>
      <c r="C38" s="13">
        <v>0</v>
      </c>
      <c r="D38" s="13"/>
      <c r="E38" s="13"/>
      <c r="F38" s="13"/>
      <c r="G38" s="13"/>
      <c r="I38" s="5"/>
    </row>
    <row r="39" outlineLevel="4">
      <c r="A39" s="17" t="s">
        <v>56</v>
      </c>
      <c r="B39" s="0" t="s">
        <v>40</v>
      </c>
      <c r="C39" s="13">
        <v>1.3</v>
      </c>
      <c r="D39" s="13"/>
      <c r="E39" s="13"/>
      <c r="F39" s="13"/>
      <c r="G39" s="13"/>
      <c r="I39" s="5"/>
    </row>
    <row r="40" outlineLevel="4">
      <c r="A40" s="17" t="s">
        <v>57</v>
      </c>
      <c r="B40" s="0" t="s">
        <v>40</v>
      </c>
      <c r="C40" s="13">
        <v>32.8</v>
      </c>
      <c r="D40" s="13"/>
      <c r="E40" s="13"/>
      <c r="F40" s="13"/>
      <c r="G40" s="13"/>
      <c r="I40" s="5"/>
    </row>
    <row r="41" outlineLevel="4">
      <c r="A41" s="17" t="s">
        <v>58</v>
      </c>
      <c r="B41" s="0" t="s">
        <v>40</v>
      </c>
      <c r="C41" s="13">
        <v>0</v>
      </c>
      <c r="D41" s="13"/>
      <c r="E41" s="13"/>
      <c r="F41" s="13"/>
      <c r="G41" s="13"/>
      <c r="I41" s="5"/>
    </row>
    <row r="42" outlineLevel="4">
      <c r="A42" s="17" t="s">
        <v>59</v>
      </c>
      <c r="B42" s="0" t="s">
        <v>40</v>
      </c>
      <c r="C42" s="13">
        <v>34.099999999999994</v>
      </c>
      <c r="D42" s="13"/>
      <c r="E42" s="13"/>
      <c r="F42" s="13"/>
      <c r="G42" s="13"/>
      <c r="I42" s="5"/>
      <c r="J42" s="0" t="s">
        <v>36</v>
      </c>
    </row>
    <row r="43" outlineLevel="3">
      <c r="A43" s="15" t="s">
        <v>60</v>
      </c>
      <c r="B43" s="0" t="s">
        <v>40</v>
      </c>
      <c r="C43" s="13">
        <v>104.3</v>
      </c>
      <c r="D43" s="13"/>
      <c r="E43" s="13"/>
      <c r="F43" s="13"/>
      <c r="G43" s="13"/>
      <c r="I43" s="5"/>
      <c r="J43" s="0" t="s">
        <v>36</v>
      </c>
    </row>
    <row r="44">
      <c r="I44" s="5"/>
    </row>
    <row r="45" s="1" customFormat="1"/>
  </sheetData>
  <mergeCells>
    <mergeCell ref="A7:A8"/>
    <mergeCell ref="C15:E15"/>
    <mergeCell ref="A15:A16"/>
    <mergeCell ref="B15:B16"/>
    <mergeCell ref="F15:F16"/>
    <mergeCell ref="G15:G16"/>
    <mergeCell ref="H15:H16"/>
    <mergeCell ref="I15:I16"/>
    <mergeCell ref="J15:J16"/>
    <mergeCell ref="K15:K16"/>
    <mergeCell ref="C25:E25"/>
    <mergeCell ref="C26:E26"/>
    <mergeCell ref="C27:E27"/>
    <mergeCell ref="C29:E29"/>
    <mergeCell ref="C31:E31"/>
    <mergeCell ref="C32:E32"/>
    <mergeCell ref="C34:E34"/>
    <mergeCell ref="C35:E35"/>
    <mergeCell ref="C36:E36"/>
    <mergeCell ref="C38:E38"/>
    <mergeCell ref="C39:E39"/>
    <mergeCell ref="C40:E40"/>
    <mergeCell ref="C41:E41"/>
    <mergeCell ref="C42:E42"/>
    <mergeCell ref="C43:E43"/>
  </mergeCells>
  <dataValidations count="1">
    <dataValidation type="decimal" sqref="C19" errorStyle="stop" promptTitle="Enter moisture content" errorTitle="Invalid moisture content" prompt="Value should be between 0 and 100.&#10;Original value: 78.1" error="Value should be between 0 and 100." showInputMessage="1" showErrorMessage="1" allowBlank="0" operator="between">
      <formula1>0</formula1>
      <formula2>100</formula2>
    </dataValidation>
  </dataValidations>
  <hyperlinks>
    <hyperlink ref="A2" r:id="rId4"/>
  </hyperlinks>
  <headerFooter/>
  <drawing r:id="rId1"/>
  <legacyDrawing r:id="rId3"/>
</worksheet>
</file>

<file path=docProps/app.xml><?xml version="1.0" encoding="utf-8"?>
<Properties xmlns:vt="http://schemas.openxmlformats.org/officeDocument/2006/docPropsVTypes" xmlns="http://schemas.openxmlformats.org/officeDocument/2006/extended-properties">
  <Application>Phyllis2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https://phyllis.nl/Biomass/View/2655</dc:description>
  <dcterms:created xsi:type="dcterms:W3CDTF">2026-03-04T04:18:18Z</dcterms:created>
  <dc:title>Phyllis2 #2655 bermudagrass</dc:title>
</cp:coreProperties>
</file>

<file path=docProps/custom.xml><?xml version="1.0" encoding="utf-8"?>
<Properties xmlns:vt="http://schemas.openxmlformats.org/officeDocument/2006/docPropsVTypes" xmlns="http://schemas.openxmlformats.org/officeDocument/2006/custom-properties"/>
</file>