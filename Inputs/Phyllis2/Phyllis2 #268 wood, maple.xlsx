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8 wood, maple" sheetId="1" r:id="rId1"/>
  </sheets>
  <definedNames>
    <definedName name="w" localSheetId="0">IF(ISBLANK('Phyllis2 #268 wood, maple'!$C$17),#N/A,'Phyllis2 #268 wood, maple'!$C$17/100)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<sst xmlns="http://schemas.openxmlformats.org/spreadsheetml/2006/main" count="47" uniqueCount="47">
  <si>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</si>
  <si>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https://phyllis.nl/Biomass/View/268</t>
  </si>
  <si>
    <t>wood, maple (#268)</t>
  </si>
  <si>
    <t>ID-number</t>
  </si>
  <si>
    <t>#268</t>
  </si>
  <si>
    <t>Material</t>
  </si>
  <si>
    <t>wood, maple</t>
  </si>
  <si>
    <t>Classification</t>
  </si>
  <si>
    <t>ECN Phyllis classification &gt; untreated wood &gt; other hard wood &gt; wood, maple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</si>
  <si>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</si>
  <si>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</si>
  <si>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</si>
  <si>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</si>
  <si>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</si>
  <si>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</si>
  <si>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</si>
  <si>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</si>
  <si>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</si>
  <si>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</si>
  <si>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</si>
  <si>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</si>
  <si>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</si>
  <si>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</si>
  <si>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</si>
  <si>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</si>
  <si>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</si>
  <si>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</si>
  <si>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</si>
  <si>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</si>
  <si>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</si>
  <si>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</si>
  <si>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</si>
  <si>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</si>
  <si>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</si>
  <si>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</si>
  <si>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</si>
  <si>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</si>
  <si>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</si>
  <si>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Measured</t>
  </si>
  <si>
    <t>Nitrogen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</si>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</sst>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IFERROR(1.35*(1-w),"")</f>
        <v/>
      </c>
      <c r="D18" s="11">
        <v>1.35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IFERROR(50.64*(1-w),"")</f>
        <v/>
      </c>
      <c r="D20" s="11">
        <v>50.64</v>
      </c>
      <c r="E20" s="11">
        <v>51.332995438418649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IFERROR(6.02*(1-w),"")</f>
        <v/>
      </c>
      <c r="D21" s="11">
        <v>6.02</v>
      </c>
      <c r="E21" s="11">
        <v>6.1023821591485037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IFERROR(41.74*(1-w),"")</f>
        <v/>
      </c>
      <c r="D22" s="11">
        <v>41.74</v>
      </c>
      <c r="E22" s="11">
        <v>42.311201216421694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IFERROR(0.25*(1-w),"")</f>
        <v/>
      </c>
      <c r="D23" s="11">
        <v>0.25</v>
      </c>
      <c r="E23" s="11">
        <v>0.25342118601115055</v>
      </c>
      <c r="F23" s="11"/>
      <c r="G23" s="11"/>
      <c r="I23" s="12"/>
      <c r="J23" s="0" t="s">
        <v>38</v>
      </c>
    </row>
    <row r="24" outlineLevel="2">
      <c r="A24" s="10" t="s">
        <v>40</v>
      </c>
      <c r="B24" s="0" t="s">
        <v>32</v>
      </c>
      <c r="C24" s="11">
        <f>IFERROR(100*(1-w)+w*100,"")</f>
        <v/>
      </c>
      <c r="D24" s="11">
        <v>100</v>
      </c>
      <c r="E24" s="11">
        <v>100</v>
      </c>
      <c r="F24" s="11"/>
      <c r="G24" s="11"/>
      <c r="I24" s="12"/>
      <c r="J24" s="0" t="s">
        <v>41</v>
      </c>
    </row>
    <row r="25" outlineLevel="1">
      <c r="A25" s="9" t="s">
        <v>42</v>
      </c>
      <c r="I25" s="12"/>
    </row>
    <row r="26" outlineLevel="2">
      <c r="A26" s="10" t="s">
        <v>43</v>
      </c>
      <c r="B26" s="0" t="s">
        <v>44</v>
      </c>
      <c r="C26" s="11">
        <f>IFERROR(18.64633*(1-w)-w*2.443,"")</f>
        <v/>
      </c>
      <c r="D26" s="11">
        <v>18.64633</v>
      </c>
      <c r="E26" s="11">
        <v>18.901500253421183</v>
      </c>
      <c r="F26" s="11"/>
      <c r="G26" s="11"/>
      <c r="I26" s="12"/>
    </row>
    <row r="27" outlineLevel="2">
      <c r="A27" s="10" t="s">
        <v>45</v>
      </c>
      <c r="B27" s="0" t="s">
        <v>44</v>
      </c>
      <c r="C27" s="11">
        <f>IFERROR(19.96*(1-w),"")</f>
        <v/>
      </c>
      <c r="D27" s="11">
        <v>19.96</v>
      </c>
      <c r="E27" s="11">
        <v>20.233147491130257</v>
      </c>
      <c r="F27" s="11"/>
      <c r="G27" s="11"/>
      <c r="I27" s="12"/>
    </row>
    <row r="28" outlineLevel="2">
      <c r="A28" s="10" t="s">
        <v>46</v>
      </c>
      <c r="B28" s="0" t="s">
        <v>44</v>
      </c>
      <c r="C28" s="11">
        <f>IFERROR(20.1675038425*(1-w),"")</f>
        <v/>
      </c>
      <c r="D28" s="11">
        <v>20.167503842499997</v>
      </c>
      <c r="E28" s="11">
        <v>20.44349097060314</v>
      </c>
      <c r="F28" s="11"/>
      <c r="G28" s="11"/>
      <c r="I28" s="12"/>
      <c r="J28" s="0" t="s">
        <v>41</v>
      </c>
    </row>
    <row r="29">
      <c r="I29" s="12"/>
    </row>
    <row r="30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https://phyllis.nl/Biomass/View/268</dc:description>
  <dcterms:created xsi:type="dcterms:W3CDTF">2026-03-19T07:14:59Z</dcterms:created>
  <dc:title>Phyllis2 #268 wood, maple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