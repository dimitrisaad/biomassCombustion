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1 wood, maple" sheetId="1" r:id="rId1"/>
  </sheets>
  <definedNames>
    <definedName name="w" localSheetId="0">IF(ISBLANK('Phyllis2 #271 wood, maple'!$C$17),#N/A,'Phyllis2 #271 wood, maple'!$C$17/100)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<sst xmlns="http://schemas.openxmlformats.org/spreadsheetml/2006/main" count="46" uniqueCount="46">
  <si>
    <t>Phyllis2</t>
  </si>
  <si>
    <t>https://phyllis.nl/Biomass/View/271</t>
  </si>
  <si>
    <t>wood, maple (#271)</t>
  </si>
  <si>
    <t>ID-number</t>
  </si>
  <si>
    <t>#271</t>
  </si>
  <si>
    <t>Material</t>
  </si>
  <si>
    <t>wood, maple</t>
  </si>
  <si>
    <t>Classification</t>
  </si>
  <si>
    <t>ECN Phyllis classification &gt; untreated wood &gt; other hard wood &gt; wood, maple</t>
  </si>
  <si>
    <t>NTA 8003 classification &gt; [100] hout &gt; [110] vers hout &gt; [120] loofhout &gt; [125] hard loofhout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</si>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</sst>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IFERROR(1.4*(1-w),"")</f>
        <v/>
      </c>
      <c r="D18" s="11">
        <v>1.4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IFERROR(50.6*(1-w),"")</f>
        <v/>
      </c>
      <c r="D20" s="11">
        <v>50.6</v>
      </c>
      <c r="E20" s="11">
        <v>51.318458417849904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IFERROR(6*(1-w),"")</f>
        <v/>
      </c>
      <c r="D21" s="11">
        <v>6</v>
      </c>
      <c r="E21" s="11">
        <v>6.0851926977687629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IFERROR(41.7*(1-w),"")</f>
        <v/>
      </c>
      <c r="D22" s="11">
        <v>41.7</v>
      </c>
      <c r="E22" s="11">
        <v>42.2920892494929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IFERROR(0.3*(1-w),"")</f>
        <v/>
      </c>
      <c r="D23" s="11">
        <v>0.3</v>
      </c>
      <c r="E23" s="11">
        <v>0.3042596348884381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IFERROR(100*(1-w)+w*100,"")</f>
        <v/>
      </c>
      <c r="D24" s="11">
        <v>100.00000000000001</v>
      </c>
      <c r="E24" s="11">
        <v>100.00000000000001</v>
      </c>
      <c r="F24" s="11"/>
      <c r="G24" s="11"/>
      <c r="I24" s="12"/>
      <c r="J24" s="0" t="s">
        <v>38</v>
      </c>
    </row>
    <row r="25" outlineLevel="1">
      <c r="A25" s="9" t="s">
        <v>41</v>
      </c>
      <c r="I25" s="12"/>
    </row>
    <row r="26" outlineLevel="2">
      <c r="A26" s="10" t="s">
        <v>42</v>
      </c>
      <c r="B26" s="0" t="s">
        <v>43</v>
      </c>
      <c r="C26" s="11">
        <f>IFERROR(18.65636*(1-w)-w*2.443,"")</f>
        <v/>
      </c>
      <c r="D26" s="11">
        <v>18.65636</v>
      </c>
      <c r="E26" s="11">
        <v>18.921257606490872</v>
      </c>
      <c r="F26" s="11"/>
      <c r="G26" s="11"/>
      <c r="I26" s="12"/>
    </row>
    <row r="27" outlineLevel="2">
      <c r="A27" s="10" t="s">
        <v>44</v>
      </c>
      <c r="B27" s="0" t="s">
        <v>43</v>
      </c>
      <c r="C27" s="11">
        <f>IFERROR(19.96566*(1-w),"")</f>
        <v/>
      </c>
      <c r="D27" s="11">
        <v>19.96566</v>
      </c>
      <c r="E27" s="11">
        <v>20.249148073022312</v>
      </c>
      <c r="F27" s="11"/>
      <c r="G27" s="11"/>
      <c r="I27" s="12"/>
    </row>
    <row r="28" outlineLevel="2">
      <c r="A28" s="10" t="s">
        <v>45</v>
      </c>
      <c r="B28" s="0" t="s">
        <v>43</v>
      </c>
      <c r="C28" s="11">
        <f>IFERROR(20.12547988*(1-w),"")</f>
        <v/>
      </c>
      <c r="D28" s="11">
        <v>20.125479880000004</v>
      </c>
      <c r="E28" s="11">
        <v>20.411237200811364</v>
      </c>
      <c r="F28" s="11"/>
      <c r="G28" s="11"/>
      <c r="I28" s="12"/>
      <c r="J28" s="0" t="s">
        <v>38</v>
      </c>
    </row>
    <row r="29">
      <c r="I29" s="12"/>
    </row>
    <row r="30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https://phyllis.nl/Biomass/View/271</dc:description>
  <dcterms:created xsi:type="dcterms:W3CDTF">2026-03-19T07:15:07Z</dcterms:created>
  <dc:title>Phyllis2 #271 wood, maple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