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18 wood chips" sheetId="1" r:id="rId1"/>
  </sheets>
  <definedNames>
    <definedName name="w" localSheetId="0">IF(ISBLANK('Phyllis2 #2718 wood chips'!$C$20),#N/A,'Phyllis2 #2718 wood chips'!$C$20/100)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<sst xmlns="http://schemas.openxmlformats.org/spreadsheetml/2006/main" count="51" uniqueCount="51">
  <si>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</si>
  <si>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https://phyllis.nl/Biomass/View/2718</t>
  </si>
  <si>
    <t>wood chips (#2718)</t>
  </si>
  <si>
    <t>ID-number</t>
  </si>
  <si>
    <t>#2718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</si>
  <si>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</si>
  <si>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</si>
  <si>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</si>
  <si>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</si>
  <si>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[111] mengsel vers hout</t>
  </si>
  <si>
    <t>Ash type</t>
  </si>
  <si>
    <t>Ash 550 deg C</t>
  </si>
  <si>
    <t>Submitter organisation</t>
  </si>
  <si>
    <t>ECN (Netherlands)</t>
  </si>
  <si>
    <t>Submission date</t>
  </si>
  <si>
    <t>Remarks</t>
  </si>
  <si>
    <t>Lelystad mix of green wood, clean waste wood and park wood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</si>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</sst>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37914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5.1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IFERROR(6.9*(1-w),"")</f>
        <v>6.5481</v>
      </c>
      <c r="D21" s="13">
        <v>6.9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IFERROR(75.7*(1-w),"")</f>
        <v>71.8393</v>
      </c>
      <c r="D22" s="13">
        <v>75.7</v>
      </c>
      <c r="E22" s="13">
        <v>81.310418904403861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IFERROR(17.4*(1-w),"")</f>
        <v>16.512599999999992</v>
      </c>
      <c r="D23" s="13">
        <v>17.399999999999991</v>
      </c>
      <c r="E23" s="13">
        <v>18.689581095596122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IFERROR(44.8*(1-w),"")</f>
        <v>42.515199999999993</v>
      </c>
      <c r="D25" s="13">
        <v>44.8</v>
      </c>
      <c r="E25" s="13">
        <v>48.1203007518797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IFERROR(5.4*(1-w),"")</f>
        <v>5.1246</v>
      </c>
      <c r="D26" s="13">
        <v>5.4</v>
      </c>
      <c r="E26" s="13">
        <v>5.8002148227712143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IFERROR(41.4*(1-w),"")</f>
        <v>39.288599999999995</v>
      </c>
      <c r="D27" s="13">
        <v>41.4</v>
      </c>
      <c r="E27" s="13">
        <v>44.46831364124597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IFERROR(0.22*(1-w),"")</f>
        <v>0.20878</v>
      </c>
      <c r="D28" s="13">
        <v>0.22</v>
      </c>
      <c r="E28" s="13">
        <v>0.2363050483351235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IFERROR(98.72*(1-w)+w*100,"")</f>
        <v>98.785279999999986</v>
      </c>
      <c r="D29" s="13">
        <v>98.72</v>
      </c>
      <c r="E29" s="13">
        <v>98.625134264232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IFERROR(17.21363*(1-w)-w*2.443,"")</f>
        <v>16.211141869999995</v>
      </c>
      <c r="D31" s="13">
        <v>17.21363</v>
      </c>
      <c r="E31" s="13">
        <v>18.4893984962406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IFERROR(18.392*(1-w),"")</f>
        <v>17.454007999999998</v>
      </c>
      <c r="D32" s="13">
        <v>18.392</v>
      </c>
      <c r="E32" s="13">
        <v>19.755102040816325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IFERROR(17.32291433*(1-w),"")</f>
        <v>16.439445699169994</v>
      </c>
      <c r="D33" s="13">
        <v>17.322914329999996</v>
      </c>
      <c r="E33" s="13">
        <v>18.606782309344787</v>
      </c>
      <c r="F33" s="13"/>
      <c r="G33" s="13"/>
      <c r="I33" s="5"/>
      <c r="J33" s="0" t="s">
        <v>38</v>
      </c>
    </row>
    <row r="34">
      <c r="I34" s="5"/>
    </row>
    <row r="3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5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https://phyllis.nl/Biomass/View/2718</dc:description>
  <dcterms:created xsi:type="dcterms:W3CDTF">2026-03-19T07:21:01Z</dcterms:created>
  <dc:title>Phyllis2 #2718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