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36 cacao" sheetId="1" r:id="rId1"/>
  </sheets>
  <definedNames>
    <definedName name="w" localSheetId="0">IF(ISBLANK('Phyllis2 #2736 cacao'!$C$20),#N/A,'Phyllis2 #2736 cacao'!$C$20/100)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<sst xmlns="http://schemas.openxmlformats.org/spreadsheetml/2006/main" count="76" uniqueCount="76">
  <si>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</si>
  <si>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https://phyllis.nl/Biomass/View/2736</t>
  </si>
  <si>
    <t>cacao (#2736)</t>
  </si>
  <si>
    <t>ID-number</t>
  </si>
  <si>
    <t>#2736</t>
  </si>
  <si>
    <t>Material</t>
  </si>
  <si>
    <t>cacao</t>
  </si>
  <si>
    <t>Classification</t>
  </si>
  <si>
    <t>ECN Phyllis classification &gt; husk/shell/pit &gt; cacao &gt; cacao</t>
  </si>
  <si>
    <t>NTA 8003 classification &gt; [200] biomassa uit land- en tuinbouw &gt; [230] restproducten (doppen) &gt; [232] cacaodoppen</t>
  </si>
  <si>
    <t>Ash type</t>
  </si>
  <si>
    <t>815°C</t>
  </si>
  <si>
    <t>Submitter organisation</t>
  </si>
  <si>
    <t>ECN (Netherlands)</t>
  </si>
  <si>
    <t>Submission date</t>
  </si>
  <si>
    <t>Remarks</t>
  </si>
  <si>
    <t>Ash analysis of lab ash reported 550°C melt. Results from EC project SEFCO</t>
  </si>
  <si>
    <t>Literature</t>
  </si>
  <si>
    <t>Results from EC project SEFCO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</si>
  <si>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</si>
  <si>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</si>
  <si>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</si>
  <si>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</si>
  <si>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</si>
  <si>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</si>
  <si>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</si>
  <si>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</si>
  <si>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</si>
  <si>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</si>
  <si>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</si>
  <si>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</si>
  <si>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</si>
  <si>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</si>
  <si>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</si>
  <si>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</si>
  <si>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</si>
  <si>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</si>
  <si>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</si>
  <si>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</si>
  <si>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</si>
  <si>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</si>
  <si>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</si>
  <si>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</si>
  <si>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</si>
  <si>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</si>
  <si>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</si>
  <si>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</si>
  <si>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</si>
  <si>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</si>
  <si>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</si>
  <si>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</si>
  <si>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</si>
  <si>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</si>
  <si>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</si>
  <si>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</si>
  <si>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</si>
  <si>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</si>
  <si>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</si>
  <si>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</si>
  <si>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</si>
  <si>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</si>
  <si>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</si>
  <si>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</si>
  <si>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</si>
  <si>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</si>
  <si>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</si>
  <si>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</si>
  <si>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</si>
  <si>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</si>
  <si>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</si>
  <si>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</si>
  <si>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</si>
  <si>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</si>
  <si>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</si>
  <si>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Mn</t>
  </si>
  <si>
    <t>mg/kg (ash)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</si>
</sst>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38247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9.33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IFERROR(8.26*(1-w),"")</f>
        <v>7.4893420000000006</v>
      </c>
      <c r="D21" s="13">
        <v>8.26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IFERROR(71.92*(1-w),"")</f>
        <v>65.20986400000001</v>
      </c>
      <c r="D22" s="13">
        <v>71.92</v>
      </c>
      <c r="E22" s="13">
        <v>78.395465445825167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IFERROR(19.82*(1-w),"")</f>
        <v>17.970793999999994</v>
      </c>
      <c r="D23" s="13">
        <v>19.819999999999993</v>
      </c>
      <c r="E23" s="13">
        <v>21.604534554174833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IFERROR(48.24*(1-w),"")</f>
        <v>43.739208000000005</v>
      </c>
      <c r="D25" s="13">
        <v>48.24</v>
      </c>
      <c r="E25" s="13">
        <v>52.5833878351864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IFERROR(9.18*(1-w),"")</f>
        <v>8.323506</v>
      </c>
      <c r="D26" s="13">
        <v>9.18</v>
      </c>
      <c r="E26" s="13">
        <v>10.00654022236756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IFERROR(31.45*(1-w),"")</f>
        <v>28.515715</v>
      </c>
      <c r="D27" s="13">
        <v>31.45</v>
      </c>
      <c r="E27" s="13">
        <v>34.281665576629607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IFERROR(2.79*(1-w),"")</f>
        <v>2.5296930000000004</v>
      </c>
      <c r="D28" s="13">
        <v>2.79</v>
      </c>
      <c r="E28" s="13">
        <v>3.0412034009156312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IFERROR(0.06*(1-w),"")</f>
        <v>0.054402</v>
      </c>
      <c r="D29" s="13">
        <v>0.06</v>
      </c>
      <c r="E29" s="13">
        <v>0.06540222367560497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IFERROR(100*(1-w)+w*100,"")</f>
        <v>100.00000000000001</v>
      </c>
      <c r="D30" s="13">
        <v>100.00000000000001</v>
      </c>
      <c r="E30" s="13">
        <v>100.00000000000001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IFERROR(200*(1-w),"")</f>
        <v>181.34</v>
      </c>
      <c r="D32" s="14">
        <v>200</v>
      </c>
      <c r="E32" s="14">
        <v>218.00741225201656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IFERROR(18.30117*(1-w)-w*2.443,"")</f>
        <v>16.365738939</v>
      </c>
      <c r="D34" s="13">
        <v>18.30117</v>
      </c>
      <c r="E34" s="13">
        <v>19.948953564421188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IFERROR(20.3044*(1-w),"")</f>
        <v>18.409999480000003</v>
      </c>
      <c r="D35" s="13">
        <v>20.3044</v>
      </c>
      <c r="E35" s="13">
        <v>22.132548506649229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IFERROR(24.3651768228*(1-w),"")</f>
        <v>22.091905825232768</v>
      </c>
      <c r="D36" s="13">
        <v>24.365176822800006</v>
      </c>
      <c r="E36" s="13">
        <v>26.5589457410072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5" t="s">
        <v>56</v>
      </c>
      <c r="I38" s="5"/>
    </row>
    <row r="39" outlineLevel="3">
      <c r="A39" s="16" t="s">
        <v>57</v>
      </c>
      <c r="B39" s="0" t="s">
        <v>58</v>
      </c>
      <c r="C39" s="17">
        <v>1060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58</v>
      </c>
      <c r="C40" s="17">
        <v>1150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58</v>
      </c>
      <c r="C41" s="17">
        <v>1170</v>
      </c>
      <c r="D41" s="17"/>
      <c r="E41" s="17"/>
      <c r="F41" s="17"/>
      <c r="G41" s="17"/>
      <c r="I41" s="5"/>
    </row>
    <row r="42">
      <c r="A42" s="7" t="s">
        <v>61</v>
      </c>
      <c r="I42" s="5"/>
    </row>
    <row r="43" outlineLevel="1">
      <c r="A43" s="11" t="s">
        <v>62</v>
      </c>
      <c r="I43" s="5"/>
    </row>
    <row r="44" outlineLevel="2">
      <c r="A44" s="12" t="s">
        <v>63</v>
      </c>
      <c r="B44" s="0" t="s">
        <v>64</v>
      </c>
      <c r="C44" s="13">
        <v>2.72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64</v>
      </c>
      <c r="C45" s="13">
        <v>10.3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64</v>
      </c>
      <c r="C46" s="13">
        <v>22.1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64</v>
      </c>
      <c r="C47" s="13">
        <v>1.5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64</v>
      </c>
      <c r="C48" s="13">
        <v>2.6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64</v>
      </c>
      <c r="C49" s="13">
        <v>4.2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64</v>
      </c>
      <c r="C50" s="13">
        <v>10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64</v>
      </c>
      <c r="C51" s="13">
        <v>0.1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64</v>
      </c>
      <c r="C52" s="13">
        <v>33.1</v>
      </c>
      <c r="D52" s="13"/>
      <c r="E52" s="13"/>
      <c r="F52" s="13"/>
      <c r="G52" s="13"/>
      <c r="I52" s="5"/>
    </row>
    <row r="53" outlineLevel="2">
      <c r="A53" s="12" t="s">
        <v>73</v>
      </c>
      <c r="B53" s="0" t="s">
        <v>64</v>
      </c>
      <c r="C53" s="13">
        <v>0.3</v>
      </c>
      <c r="D53" s="13"/>
      <c r="E53" s="13"/>
      <c r="F53" s="13"/>
      <c r="G53" s="13"/>
      <c r="I53" s="5"/>
    </row>
    <row r="54" outlineLevel="2">
      <c r="A54" s="12" t="s">
        <v>74</v>
      </c>
      <c r="B54" s="0" t="s">
        <v>75</v>
      </c>
      <c r="C54" s="14">
        <v>700</v>
      </c>
      <c r="D54" s="14"/>
      <c r="E54" s="14"/>
      <c r="F54" s="14"/>
      <c r="G54" s="14"/>
      <c r="I54" s="5"/>
    </row>
    <row r="55">
      <c r="I55" s="5"/>
    </row>
    <row r="5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20" errorStyle="stop" promptTitle="Enter moisture content" errorTitle="Invalid moisture content" prompt="Value should be between 0 and 100.&#10;Original value: 9.3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https://phyllis.nl/Biomass/View/2736</dc:description>
  <dcterms:created xsi:type="dcterms:W3CDTF">2026-03-17T05:39:50Z</dcterms:created>
  <dc:title>Phyllis2 #2736 cacao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