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37 lemon pellets" sheetId="1" r:id="rId1"/>
  </sheets>
  <definedNames>
    <definedName name="w" localSheetId="0">IF(ISBLANK('Phyllis2 #2737 lemon pellets'!$C$20),#N/A,'Phyllis2 #2737 lemon pellets'!$C$20/100)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<sst xmlns="http://schemas.openxmlformats.org/spreadsheetml/2006/main" count="50" uniqueCount="50">
  <si>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</si>
  <si>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https://phyllis.nl/Biomass/View/2737</t>
  </si>
  <si>
    <t>lemon pellets (#2737)</t>
  </si>
  <si>
    <t>ID-number</t>
  </si>
  <si>
    <t>#2737</t>
  </si>
  <si>
    <t>Material</t>
  </si>
  <si>
    <t>lemon pellets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</si>
  <si>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</si>
  <si>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</si>
  <si>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</si>
  <si>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Ash type</t>
  </si>
  <si>
    <t>815°C</t>
  </si>
  <si>
    <t>Submitter organisation</t>
  </si>
  <si>
    <t>ECN (Netherlands)</t>
  </si>
  <si>
    <t>Submission date</t>
  </si>
  <si>
    <t>Remarks</t>
  </si>
  <si>
    <t>Results from EC project SEFCO</t>
  </si>
  <si>
    <t>Literature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</si>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</sst>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38247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16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15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9.14</v>
      </c>
      <c r="D20" s="13"/>
      <c r="E20" s="13"/>
      <c r="F20" s="13"/>
      <c r="G20" s="13"/>
      <c r="I20" s="5"/>
    </row>
    <row r="21" outlineLevel="2">
      <c r="A21" s="12" t="s">
        <v>34</v>
      </c>
      <c r="B21" s="0" t="s">
        <v>33</v>
      </c>
      <c r="C21" s="13">
        <f>IFERROR(3.85*(1-w),"")</f>
        <v>3.49811</v>
      </c>
      <c r="D21" s="13">
        <v>3.85</v>
      </c>
      <c r="E21" s="13">
        <v/>
      </c>
      <c r="F21" s="13"/>
      <c r="G21" s="13"/>
      <c r="I21" s="5"/>
    </row>
    <row r="22" outlineLevel="2">
      <c r="A22" s="12" t="s">
        <v>35</v>
      </c>
      <c r="B22" s="0" t="s">
        <v>33</v>
      </c>
      <c r="C22" s="13">
        <f>IFERROR(78.98*(1-w),"")</f>
        <v>71.761228</v>
      </c>
      <c r="D22" s="13">
        <v>78.98</v>
      </c>
      <c r="E22" s="13">
        <v>82.142485699427979</v>
      </c>
      <c r="F22" s="13"/>
      <c r="G22" s="13"/>
      <c r="I22" s="5"/>
    </row>
    <row r="23" outlineLevel="2">
      <c r="A23" s="12" t="s">
        <v>36</v>
      </c>
      <c r="B23" s="0" t="s">
        <v>33</v>
      </c>
      <c r="C23" s="13">
        <f>IFERROR(17.17*(1-w),"")</f>
        <v>15.600662000000002</v>
      </c>
      <c r="D23" s="13">
        <v>17.17</v>
      </c>
      <c r="E23" s="13">
        <v>17.857514300572024</v>
      </c>
      <c r="F23" s="13"/>
      <c r="G23" s="13"/>
      <c r="I23" s="5"/>
      <c r="J23" s="0" t="s">
        <v>37</v>
      </c>
    </row>
    <row r="24" outlineLevel="1">
      <c r="A24" s="11" t="s">
        <v>38</v>
      </c>
      <c r="I24" s="5"/>
    </row>
    <row r="25" outlineLevel="2">
      <c r="A25" s="12" t="s">
        <v>39</v>
      </c>
      <c r="B25" s="0" t="s">
        <v>33</v>
      </c>
      <c r="C25" s="13">
        <f>IFERROR(44.48*(1-w),"")</f>
        <v>40.414528</v>
      </c>
      <c r="D25" s="13">
        <v>44.48</v>
      </c>
      <c r="E25" s="13">
        <v>46.261050442017677</v>
      </c>
      <c r="F25" s="13"/>
      <c r="G25" s="13"/>
      <c r="I25" s="5"/>
      <c r="J25" s="0" t="s">
        <v>40</v>
      </c>
    </row>
    <row r="26" outlineLevel="2">
      <c r="A26" s="12" t="s">
        <v>41</v>
      </c>
      <c r="B26" s="0" t="s">
        <v>33</v>
      </c>
      <c r="C26" s="13">
        <f>IFERROR(6.47*(1-w),"")</f>
        <v>5.8786419999999993</v>
      </c>
      <c r="D26" s="13">
        <v>6.47</v>
      </c>
      <c r="E26" s="13">
        <v>6.7290691627665105</v>
      </c>
      <c r="F26" s="13"/>
      <c r="G26" s="13"/>
      <c r="I26" s="5"/>
      <c r="J26" s="0" t="s">
        <v>40</v>
      </c>
    </row>
    <row r="27" outlineLevel="2">
      <c r="A27" s="12" t="s">
        <v>42</v>
      </c>
      <c r="B27" s="0" t="s">
        <v>33</v>
      </c>
      <c r="C27" s="13">
        <f>IFERROR(44.33*(1-w),"")</f>
        <v>40.278237999999995</v>
      </c>
      <c r="D27" s="13">
        <v>44.33</v>
      </c>
      <c r="E27" s="13">
        <v>46.105044201768067</v>
      </c>
      <c r="F27" s="13"/>
      <c r="G27" s="13"/>
      <c r="I27" s="5"/>
      <c r="J27" s="0" t="s">
        <v>37</v>
      </c>
    </row>
    <row r="28" outlineLevel="2">
      <c r="A28" s="12" t="s">
        <v>43</v>
      </c>
      <c r="B28" s="0" t="s">
        <v>33</v>
      </c>
      <c r="C28" s="13">
        <f>IFERROR(0.87*(1-w),"")</f>
        <v>0.790482</v>
      </c>
      <c r="D28" s="13">
        <v>0.87</v>
      </c>
      <c r="E28" s="13">
        <v>0.90483619344773791</v>
      </c>
      <c r="F28" s="13"/>
      <c r="G28" s="13"/>
      <c r="I28" s="5"/>
      <c r="J28" s="0" t="s">
        <v>40</v>
      </c>
    </row>
    <row r="29" outlineLevel="2">
      <c r="A29" s="12" t="s">
        <v>44</v>
      </c>
      <c r="B29" s="0" t="s">
        <v>33</v>
      </c>
      <c r="C29" s="13">
        <f>IFERROR(100*(1-w)+w*100,"")</f>
        <v>100</v>
      </c>
      <c r="D29" s="13">
        <v>100</v>
      </c>
      <c r="E29" s="13">
        <v>100</v>
      </c>
      <c r="F29" s="13"/>
      <c r="G29" s="13"/>
      <c r="I29" s="5"/>
      <c r="J29" s="0" t="s">
        <v>37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IFERROR(14.68983*(1-w)-w*2.443,"")</f>
        <v>13.123889338000001</v>
      </c>
      <c r="D31" s="13">
        <v>14.68983</v>
      </c>
      <c r="E31" s="13">
        <v>15.278034321372855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IFERROR(16.1017*(1-w),"")</f>
        <v>14.630004620000001</v>
      </c>
      <c r="D32" s="13">
        <v>16.1017</v>
      </c>
      <c r="E32" s="13">
        <v>16.7464378575143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IFERROR(18.2403828425*(1-w),"")</f>
        <v>16.573211850695504</v>
      </c>
      <c r="D33" s="13">
        <v>18.240382842500004</v>
      </c>
      <c r="E33" s="13">
        <v>18.970756986479461</v>
      </c>
      <c r="F33" s="13"/>
      <c r="G33" s="13"/>
      <c r="I33" s="5"/>
      <c r="J33" s="0" t="s">
        <v>37</v>
      </c>
    </row>
    <row r="34">
      <c r="I34" s="5"/>
    </row>
    <row r="3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9.1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https://phyllis.nl/Biomass/View/2737</dc:description>
  <dcterms:created xsi:type="dcterms:W3CDTF">2026-03-17T05:44:34Z</dcterms:created>
  <dc:title>Phyllis2 #2737 lemon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