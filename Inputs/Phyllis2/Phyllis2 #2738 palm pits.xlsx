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38 palm pits" sheetId="1" r:id="rId1"/>
  </sheets>
  <definedNames>
    <definedName name="w" localSheetId="0">IF(ISBLANK('Phyllis2 #2738 palm pits'!$C$20),#N/A,'Phyllis2 #2738 palm pits'!$C$20/100)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<sst xmlns="http://schemas.openxmlformats.org/spreadsheetml/2006/main" count="51" uniqueCount="51">
  <si>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</si>
  <si>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https://phyllis.nl/Biomass/View/2738</t>
  </si>
  <si>
    <t>palm pits (#2738)</t>
  </si>
  <si>
    <t>ID-number</t>
  </si>
  <si>
    <t>#2738</t>
  </si>
  <si>
    <t>Material</t>
  </si>
  <si>
    <t>palm pits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</si>
  <si>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</si>
  <si>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</si>
  <si>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</si>
  <si>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Ash type</t>
  </si>
  <si>
    <t>815°C</t>
  </si>
  <si>
    <t>Submitter organisation</t>
  </si>
  <si>
    <t>ECN (Netherlands)</t>
  </si>
  <si>
    <t>Submission date</t>
  </si>
  <si>
    <t>Remarks</t>
  </si>
  <si>
    <t>Results from EC project SEFCO</t>
  </si>
  <si>
    <t>Literature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</si>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</sst>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38247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16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15</v>
      </c>
      <c r="L16" s="10"/>
    </row>
    <row r="17" s="1" customFormat="1">
      <c r="A17" s="10"/>
      <c r="B17" s="10"/>
      <c r="C17" s="10" t="s">
        <v>27</v>
      </c>
      <c r="D17" s="10" t="s">
        <v>28</v>
      </c>
      <c r="E17" s="10" t="s">
        <v>29</v>
      </c>
      <c r="F17" s="10"/>
      <c r="G17" s="10"/>
      <c r="H17" s="10"/>
      <c r="I17" s="10"/>
      <c r="J17" s="10"/>
      <c r="K17" s="10"/>
      <c r="L17" s="10"/>
    </row>
    <row r="18">
      <c r="A18" s="7" t="s">
        <v>30</v>
      </c>
      <c r="I18" s="5"/>
    </row>
    <row r="19" outlineLevel="1">
      <c r="A19" s="11" t="s">
        <v>31</v>
      </c>
      <c r="I19" s="5"/>
    </row>
    <row r="20" outlineLevel="2">
      <c r="A20" s="12" t="s">
        <v>32</v>
      </c>
      <c r="B20" s="0" t="s">
        <v>33</v>
      </c>
      <c r="C20" s="13">
        <v>7.79</v>
      </c>
      <c r="D20" s="13"/>
      <c r="E20" s="13"/>
      <c r="F20" s="13"/>
      <c r="G20" s="13"/>
      <c r="I20" s="5"/>
    </row>
    <row r="21" outlineLevel="2">
      <c r="A21" s="12" t="s">
        <v>34</v>
      </c>
      <c r="B21" s="0" t="s">
        <v>33</v>
      </c>
      <c r="C21" s="13">
        <f>IFERROR(5.86*(1-w),"")</f>
        <v>5.403506</v>
      </c>
      <c r="D21" s="13">
        <v>5.86</v>
      </c>
      <c r="E21" s="13">
        <v/>
      </c>
      <c r="F21" s="13"/>
      <c r="G21" s="13"/>
      <c r="I21" s="5"/>
    </row>
    <row r="22" outlineLevel="2">
      <c r="A22" s="12" t="s">
        <v>35</v>
      </c>
      <c r="B22" s="0" t="s">
        <v>33</v>
      </c>
      <c r="C22" s="13">
        <f>IFERROR(78.18*(1-w),"")</f>
        <v>72.08977800000001</v>
      </c>
      <c r="D22" s="13">
        <v>78.18</v>
      </c>
      <c r="E22" s="13">
        <v>83.046526449968141</v>
      </c>
      <c r="F22" s="13"/>
      <c r="G22" s="13"/>
      <c r="I22" s="5"/>
    </row>
    <row r="23" outlineLevel="2">
      <c r="A23" s="12" t="s">
        <v>36</v>
      </c>
      <c r="B23" s="0" t="s">
        <v>33</v>
      </c>
      <c r="C23" s="13">
        <f>IFERROR(15.96*(1-w),"")</f>
        <v>14.716715999999995</v>
      </c>
      <c r="D23" s="13">
        <v>15.959999999999994</v>
      </c>
      <c r="E23" s="13">
        <v>16.953473550031859</v>
      </c>
      <c r="F23" s="13"/>
      <c r="G23" s="13"/>
      <c r="I23" s="5"/>
      <c r="J23" s="0" t="s">
        <v>37</v>
      </c>
    </row>
    <row r="24" outlineLevel="1">
      <c r="A24" s="11" t="s">
        <v>38</v>
      </c>
      <c r="I24" s="5"/>
    </row>
    <row r="25" outlineLevel="2">
      <c r="A25" s="12" t="s">
        <v>39</v>
      </c>
      <c r="B25" s="0" t="s">
        <v>33</v>
      </c>
      <c r="C25" s="13">
        <f>IFERROR(50.47*(1-w),"")</f>
        <v>46.538387</v>
      </c>
      <c r="D25" s="13">
        <v>50.47</v>
      </c>
      <c r="E25" s="13">
        <v>53.611642234969196</v>
      </c>
      <c r="F25" s="13"/>
      <c r="G25" s="13"/>
      <c r="I25" s="5"/>
      <c r="J25" s="0" t="s">
        <v>40</v>
      </c>
    </row>
    <row r="26" outlineLevel="2">
      <c r="A26" s="12" t="s">
        <v>41</v>
      </c>
      <c r="B26" s="0" t="s">
        <v>33</v>
      </c>
      <c r="C26" s="13">
        <f>IFERROR(7.36*(1-w),"")</f>
        <v>6.7866560000000007</v>
      </c>
      <c r="D26" s="13">
        <v>7.36</v>
      </c>
      <c r="E26" s="13">
        <v>7.8181431909921395</v>
      </c>
      <c r="F26" s="13"/>
      <c r="G26" s="13"/>
      <c r="I26" s="5"/>
      <c r="J26" s="0" t="s">
        <v>40</v>
      </c>
    </row>
    <row r="27" outlineLevel="2">
      <c r="A27" s="12" t="s">
        <v>42</v>
      </c>
      <c r="B27" s="0" t="s">
        <v>33</v>
      </c>
      <c r="C27" s="13">
        <f>IFERROR(33.6*(1-w),"")</f>
        <v>30.982560000000003</v>
      </c>
      <c r="D27" s="13">
        <v>33.6</v>
      </c>
      <c r="E27" s="13">
        <v>35.691523263224987</v>
      </c>
      <c r="F27" s="13"/>
      <c r="G27" s="13"/>
      <c r="I27" s="5"/>
      <c r="J27" s="0" t="s">
        <v>37</v>
      </c>
    </row>
    <row r="28" outlineLevel="2">
      <c r="A28" s="12" t="s">
        <v>43</v>
      </c>
      <c r="B28" s="0" t="s">
        <v>33</v>
      </c>
      <c r="C28" s="13">
        <f>IFERROR(2.7*(1-w),"")</f>
        <v>2.4896700000000003</v>
      </c>
      <c r="D28" s="13">
        <v>2.7</v>
      </c>
      <c r="E28" s="13">
        <v>2.8680688336520079</v>
      </c>
      <c r="F28" s="13"/>
      <c r="G28" s="13"/>
      <c r="I28" s="5"/>
      <c r="J28" s="0" t="s">
        <v>40</v>
      </c>
    </row>
    <row r="29" outlineLevel="2">
      <c r="A29" s="12" t="s">
        <v>44</v>
      </c>
      <c r="B29" s="0" t="s">
        <v>33</v>
      </c>
      <c r="C29" s="13">
        <f>IFERROR(0.02*(1-w),"")</f>
        <v>0.018442</v>
      </c>
      <c r="D29" s="13">
        <v>0.02</v>
      </c>
      <c r="E29" s="13">
        <v>0.021244954323348206</v>
      </c>
      <c r="F29" s="13"/>
      <c r="G29" s="13"/>
      <c r="I29" s="5"/>
      <c r="J29" s="0" t="s">
        <v>40</v>
      </c>
    </row>
    <row r="30" outlineLevel="2">
      <c r="A30" s="12" t="s">
        <v>45</v>
      </c>
      <c r="B30" s="0" t="s">
        <v>33</v>
      </c>
      <c r="C30" s="13">
        <f>IFERROR(100.01*(1-w)+w*100,"")</f>
        <v>100.00922100000001</v>
      </c>
      <c r="D30" s="13">
        <v>100.01</v>
      </c>
      <c r="E30" s="13">
        <v>100.01062247716168</v>
      </c>
      <c r="F30" s="13"/>
      <c r="G30" s="13"/>
      <c r="I30" s="5"/>
      <c r="J30" s="0" t="s">
        <v>37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48</v>
      </c>
      <c r="C32" s="13">
        <f>IFERROR(16.48307*(1-w)-w*2.443,"")</f>
        <v>15.008729147000002</v>
      </c>
      <c r="D32" s="13">
        <v>16.48307</v>
      </c>
      <c r="E32" s="13">
        <v>17.509103462927555</v>
      </c>
      <c r="F32" s="13"/>
      <c r="G32" s="13"/>
      <c r="I32" s="5"/>
    </row>
    <row r="33" outlineLevel="2">
      <c r="A33" s="12" t="s">
        <v>49</v>
      </c>
      <c r="B33" s="0" t="s">
        <v>48</v>
      </c>
      <c r="C33" s="13">
        <f>IFERROR(18.08914*(1-w),"")</f>
        <v>16.679995994000002</v>
      </c>
      <c r="D33" s="13">
        <v>18.08914</v>
      </c>
      <c r="E33" s="13">
        <v>19.215147652432549</v>
      </c>
      <c r="F33" s="13"/>
      <c r="G33" s="13"/>
      <c r="I33" s="5"/>
    </row>
    <row r="34" outlineLevel="2">
      <c r="A34" s="12" t="s">
        <v>50</v>
      </c>
      <c r="B34" s="0" t="s">
        <v>48</v>
      </c>
      <c r="C34" s="13">
        <f>IFERROR(22.5011579588*(1-w),"")</f>
        <v>20.748317753809481</v>
      </c>
      <c r="D34" s="13">
        <v>22.5011579588</v>
      </c>
      <c r="E34" s="13">
        <v>23.901803652857446</v>
      </c>
      <c r="F34" s="13"/>
      <c r="G34" s="13"/>
      <c r="I34" s="5"/>
      <c r="J34" s="0" t="s">
        <v>37</v>
      </c>
    </row>
    <row r="35">
      <c r="I35" s="5"/>
    </row>
    <row r="3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7.7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https://phyllis.nl/Biomass/View/2738</dc:description>
  <dcterms:created xsi:type="dcterms:W3CDTF">2026-03-17T05:45:30Z</dcterms:created>
  <dc:title>Phyllis2 #2738 palm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