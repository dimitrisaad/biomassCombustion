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44 miscanthus" sheetId="1" r:id="rId1"/>
  </sheets>
  <definedNames>
    <definedName name="w" localSheetId="0">IF(ISBLANK('Phyllis2 #2744 miscanthus'!$C$20),#N/A,'Phyllis2 #2744 miscanthus'!$C$20/100)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<sst xmlns="http://schemas.openxmlformats.org/spreadsheetml/2006/main" count="53" uniqueCount="53">
  <si>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</si>
  <si>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https://phyllis.nl/Biomass/View/2744</t>
  </si>
  <si>
    <t>miscanthus (#2744)</t>
  </si>
  <si>
    <t>ID-number</t>
  </si>
  <si>
    <t>#2744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</si>
  <si>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</si>
  <si>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</si>
  <si>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</si>
  <si>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</si>
  <si>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</si>
  <si>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</si>
  <si>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815°C</t>
  </si>
  <si>
    <t>Submitter organisation</t>
  </si>
  <si>
    <t>ECN (Netherlands)</t>
  </si>
  <si>
    <t>Submission date</t>
  </si>
  <si>
    <t>Remarks</t>
  </si>
  <si>
    <t>Results from EC project SEFCO</t>
  </si>
  <si>
    <t>Literature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</si>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</sst>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38252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16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15</v>
      </c>
      <c r="L16" s="10"/>
    </row>
    <row r="17" s="1" customFormat="1">
      <c r="A17" s="10"/>
      <c r="B17" s="10"/>
      <c r="C17" s="10" t="s">
        <v>27</v>
      </c>
      <c r="D17" s="10" t="s">
        <v>28</v>
      </c>
      <c r="E17" s="10" t="s">
        <v>29</v>
      </c>
      <c r="F17" s="10"/>
      <c r="G17" s="10"/>
      <c r="H17" s="10"/>
      <c r="I17" s="10"/>
      <c r="J17" s="10"/>
      <c r="K17" s="10"/>
      <c r="L17" s="10"/>
    </row>
    <row r="18">
      <c r="A18" s="7" t="s">
        <v>30</v>
      </c>
      <c r="I18" s="5"/>
    </row>
    <row r="19" outlineLevel="1">
      <c r="A19" s="11" t="s">
        <v>31</v>
      </c>
      <c r="I19" s="5"/>
    </row>
    <row r="20" outlineLevel="2">
      <c r="A20" s="12" t="s">
        <v>32</v>
      </c>
      <c r="B20" s="0" t="s">
        <v>33</v>
      </c>
      <c r="C20" s="13">
        <v>17.75</v>
      </c>
      <c r="D20" s="13"/>
      <c r="E20" s="13"/>
      <c r="F20" s="13"/>
      <c r="G20" s="13"/>
      <c r="I20" s="5"/>
    </row>
    <row r="21" outlineLevel="2">
      <c r="A21" s="12" t="s">
        <v>34</v>
      </c>
      <c r="B21" s="0" t="s">
        <v>33</v>
      </c>
      <c r="C21" s="13">
        <f>IFERROR(2.78*(1-w),"")</f>
        <v>2.28655</v>
      </c>
      <c r="D21" s="13">
        <v>2.78</v>
      </c>
      <c r="E21" s="13">
        <v/>
      </c>
      <c r="F21" s="13"/>
      <c r="G21" s="13"/>
      <c r="I21" s="5"/>
    </row>
    <row r="22" outlineLevel="2">
      <c r="A22" s="12" t="s">
        <v>35</v>
      </c>
      <c r="B22" s="0" t="s">
        <v>33</v>
      </c>
      <c r="C22" s="13">
        <f>IFERROR(71.82*(1-w),"")</f>
        <v>59.071949999999994</v>
      </c>
      <c r="D22" s="13">
        <v>71.82</v>
      </c>
      <c r="E22" s="13">
        <v>73.873688541452367</v>
      </c>
      <c r="F22" s="13"/>
      <c r="G22" s="13"/>
      <c r="I22" s="5"/>
    </row>
    <row r="23" outlineLevel="2">
      <c r="A23" s="12" t="s">
        <v>36</v>
      </c>
      <c r="B23" s="0" t="s">
        <v>33</v>
      </c>
      <c r="C23" s="13">
        <f>IFERROR(25.4*(1-w),"")</f>
        <v>20.891500000000004</v>
      </c>
      <c r="D23" s="13">
        <v>25.400000000000006</v>
      </c>
      <c r="E23" s="13">
        <v>26.126311458547629</v>
      </c>
      <c r="F23" s="13"/>
      <c r="G23" s="13"/>
      <c r="I23" s="5"/>
      <c r="J23" s="0" t="s">
        <v>37</v>
      </c>
    </row>
    <row r="24" outlineLevel="1">
      <c r="A24" s="11" t="s">
        <v>38</v>
      </c>
      <c r="I24" s="5"/>
    </row>
    <row r="25" outlineLevel="2">
      <c r="A25" s="12" t="s">
        <v>39</v>
      </c>
      <c r="B25" s="0" t="s">
        <v>33</v>
      </c>
      <c r="C25" s="13">
        <f>IFERROR(45.43*(1-w),"")</f>
        <v>37.366175</v>
      </c>
      <c r="D25" s="13">
        <v>45.43</v>
      </c>
      <c r="E25" s="13">
        <v>46.729068092984981</v>
      </c>
      <c r="F25" s="13"/>
      <c r="G25" s="13"/>
      <c r="I25" s="5"/>
      <c r="J25" s="0" t="s">
        <v>40</v>
      </c>
    </row>
    <row r="26" outlineLevel="2">
      <c r="A26" s="12" t="s">
        <v>41</v>
      </c>
      <c r="B26" s="0" t="s">
        <v>33</v>
      </c>
      <c r="C26" s="13">
        <f>IFERROR(5.46*(1-w),"")</f>
        <v>4.49085</v>
      </c>
      <c r="D26" s="13">
        <v>5.46</v>
      </c>
      <c r="E26" s="13">
        <v>5.6161283686484262</v>
      </c>
      <c r="F26" s="13"/>
      <c r="G26" s="13"/>
      <c r="I26" s="5"/>
      <c r="J26" s="0" t="s">
        <v>40</v>
      </c>
    </row>
    <row r="27" outlineLevel="2">
      <c r="A27" s="12" t="s">
        <v>42</v>
      </c>
      <c r="B27" s="0" t="s">
        <v>33</v>
      </c>
      <c r="C27" s="13">
        <f>IFERROR(38.95*(1-w),"")</f>
        <v>32.036375</v>
      </c>
      <c r="D27" s="13">
        <v>38.95</v>
      </c>
      <c r="E27" s="13">
        <v>40.0637728862374</v>
      </c>
      <c r="F27" s="13"/>
      <c r="G27" s="13"/>
      <c r="I27" s="5"/>
      <c r="J27" s="0" t="s">
        <v>40</v>
      </c>
    </row>
    <row r="28" outlineLevel="2">
      <c r="A28" s="12" t="s">
        <v>43</v>
      </c>
      <c r="B28" s="0" t="s">
        <v>33</v>
      </c>
      <c r="C28" s="13">
        <f>IFERROR(0.33*(1-w),"")</f>
        <v>0.271425</v>
      </c>
      <c r="D28" s="13">
        <v>0.33</v>
      </c>
      <c r="E28" s="13">
        <v>0.33943632997325657</v>
      </c>
      <c r="F28" s="13"/>
      <c r="G28" s="13"/>
      <c r="I28" s="5"/>
      <c r="J28" s="0" t="s">
        <v>40</v>
      </c>
    </row>
    <row r="29" outlineLevel="2">
      <c r="A29" s="12" t="s">
        <v>44</v>
      </c>
      <c r="B29" s="0" t="s">
        <v>33</v>
      </c>
      <c r="C29" s="13">
        <f>IFERROR(93.06*(1-w)+w*100,"")</f>
        <v>94.29185</v>
      </c>
      <c r="D29" s="13">
        <v>93.06</v>
      </c>
      <c r="E29" s="13">
        <v>92.861551121168489</v>
      </c>
      <c r="F29" s="13"/>
      <c r="G29" s="13"/>
      <c r="I29" s="5"/>
      <c r="J29" s="0" t="s">
        <v>37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IFERROR(1100*(1-w),"")</f>
        <v>904.75</v>
      </c>
      <c r="D31" s="14">
        <v>1100</v>
      </c>
      <c r="E31" s="14">
        <v>1131.4544332441885</v>
      </c>
      <c r="F31" s="14"/>
      <c r="G31" s="14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IFERROR(20.38908*(1-w)-w*2.443,"")</f>
        <v>16.3363858</v>
      </c>
      <c r="D33" s="13">
        <v>20.38908</v>
      </c>
      <c r="E33" s="13">
        <v>20.972104505245834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IFERROR(21.58055*(1-w),"")</f>
        <v>17.750002374999998</v>
      </c>
      <c r="D34" s="13">
        <v>21.58055</v>
      </c>
      <c r="E34" s="13">
        <v>22.197644517588973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IFERROR(17.9547984452*(1-w),"")</f>
        <v>14.767821721177002</v>
      </c>
      <c r="D35" s="13">
        <v>17.9547984452</v>
      </c>
      <c r="E35" s="13">
        <v>18.468214817115822</v>
      </c>
      <c r="F35" s="13"/>
      <c r="G35" s="13"/>
      <c r="I35" s="5"/>
      <c r="J35" s="0" t="s">
        <v>37</v>
      </c>
    </row>
    <row r="36">
      <c r="I36" s="5"/>
    </row>
    <row r="3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7.7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https://phyllis.nl/Biomass/View/2744</dc:description>
  <dcterms:created xsi:type="dcterms:W3CDTF">2026-03-04T04:13:50Z</dcterms:created>
  <dc:title>Phyllis2 #2744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