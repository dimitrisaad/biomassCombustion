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45 olive husk" sheetId="1" r:id="rId1"/>
  </sheets>
  <definedNames>
    <definedName name="w" localSheetId="0">IF(ISBLANK('Phyllis2 #2745 olive husk'!$C$20),#N/A,'Phyllis2 #2745 olive husk'!$C$20/100)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<sst xmlns="http://schemas.openxmlformats.org/spreadsheetml/2006/main" count="54" uniqueCount="54">
  <si>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</si>
  <si>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https://phyllis.nl/Biomass/View/2745</t>
  </si>
  <si>
    <t>olive husk (#2745)</t>
  </si>
  <si>
    <t>ID-number</t>
  </si>
  <si>
    <t>#2745</t>
  </si>
  <si>
    <t>Material</t>
  </si>
  <si>
    <t>olive husk</t>
  </si>
  <si>
    <t>Classification</t>
  </si>
  <si>
    <t>ECN Phyllis classification &gt; husk/shell/pit &gt; olive &gt; olive husk</t>
  </si>
  <si>
    <t>NTA 8003 classification &gt; [500] biomassa uit de industrie &gt; [520] schillen/vliezen/pitten &gt; [524] olijven</t>
  </si>
  <si>
    <t>Ash type</t>
  </si>
  <si>
    <t>815°C</t>
  </si>
  <si>
    <t>Submitter organisation</t>
  </si>
  <si>
    <t>ECN (Netherlands)</t>
  </si>
  <si>
    <t>Submission date</t>
  </si>
  <si>
    <t>Remarks</t>
  </si>
  <si>
    <t>Results from EC project SEFCO</t>
  </si>
  <si>
    <t>Literature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</si>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</sst>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4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38252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16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15</v>
      </c>
      <c r="L16" s="10"/>
    </row>
    <row r="17" s="1" customFormat="1">
      <c r="A17" s="10"/>
      <c r="B17" s="10"/>
      <c r="C17" s="10" t="s">
        <v>27</v>
      </c>
      <c r="D17" s="10" t="s">
        <v>28</v>
      </c>
      <c r="E17" s="10" t="s">
        <v>29</v>
      </c>
      <c r="F17" s="10"/>
      <c r="G17" s="10"/>
      <c r="H17" s="10"/>
      <c r="I17" s="10"/>
      <c r="J17" s="10"/>
      <c r="K17" s="10"/>
      <c r="L17" s="10"/>
    </row>
    <row r="18">
      <c r="A18" s="7" t="s">
        <v>30</v>
      </c>
      <c r="I18" s="5"/>
    </row>
    <row r="19" outlineLevel="1">
      <c r="A19" s="11" t="s">
        <v>31</v>
      </c>
      <c r="I19" s="5"/>
    </row>
    <row r="20" outlineLevel="2">
      <c r="A20" s="12" t="s">
        <v>32</v>
      </c>
      <c r="B20" s="0" t="s">
        <v>33</v>
      </c>
      <c r="C20" s="13">
        <v>9.48</v>
      </c>
      <c r="D20" s="13"/>
      <c r="E20" s="13"/>
      <c r="F20" s="13"/>
      <c r="G20" s="13"/>
      <c r="I20" s="5"/>
    </row>
    <row r="21" outlineLevel="2">
      <c r="A21" s="12" t="s">
        <v>34</v>
      </c>
      <c r="B21" s="0" t="s">
        <v>33</v>
      </c>
      <c r="C21" s="13">
        <f>IFERROR(5.52*(1-w),"")</f>
        <v>4.9967039999999994</v>
      </c>
      <c r="D21" s="13">
        <v>5.52</v>
      </c>
      <c r="E21" s="13">
        <v/>
      </c>
      <c r="F21" s="13"/>
      <c r="G21" s="13"/>
      <c r="I21" s="5"/>
    </row>
    <row r="22" outlineLevel="2">
      <c r="A22" s="12" t="s">
        <v>35</v>
      </c>
      <c r="B22" s="0" t="s">
        <v>33</v>
      </c>
      <c r="C22" s="13">
        <f>IFERROR(67.5*(1-w),"")</f>
        <v>61.101</v>
      </c>
      <c r="D22" s="13">
        <v>67.5</v>
      </c>
      <c r="E22" s="13">
        <v>71.443691786621514</v>
      </c>
      <c r="F22" s="13"/>
      <c r="G22" s="13"/>
      <c r="I22" s="5"/>
    </row>
    <row r="23" outlineLevel="2">
      <c r="A23" s="12" t="s">
        <v>36</v>
      </c>
      <c r="B23" s="0" t="s">
        <v>33</v>
      </c>
      <c r="C23" s="13">
        <f>IFERROR(26.98*(1-w),"")</f>
        <v>24.422296000000003</v>
      </c>
      <c r="D23" s="13">
        <v>26.980000000000004</v>
      </c>
      <c r="E23" s="13">
        <v>28.556308213378497</v>
      </c>
      <c r="F23" s="13"/>
      <c r="G23" s="13"/>
      <c r="I23" s="5"/>
      <c r="J23" s="0" t="s">
        <v>37</v>
      </c>
    </row>
    <row r="24" outlineLevel="1">
      <c r="A24" s="11" t="s">
        <v>38</v>
      </c>
      <c r="I24" s="5"/>
    </row>
    <row r="25" outlineLevel="2">
      <c r="A25" s="12" t="s">
        <v>39</v>
      </c>
      <c r="B25" s="0" t="s">
        <v>33</v>
      </c>
      <c r="C25" s="13">
        <f>IFERROR(49.37*(1-w),"")</f>
        <v>44.689724</v>
      </c>
      <c r="D25" s="13">
        <v>49.37</v>
      </c>
      <c r="E25" s="13">
        <v>52.25444538526672</v>
      </c>
      <c r="F25" s="13"/>
      <c r="G25" s="13"/>
      <c r="I25" s="5"/>
      <c r="J25" s="0" t="s">
        <v>40</v>
      </c>
    </row>
    <row r="26" outlineLevel="2">
      <c r="A26" s="12" t="s">
        <v>41</v>
      </c>
      <c r="B26" s="0" t="s">
        <v>33</v>
      </c>
      <c r="C26" s="13">
        <f>IFERROR(7.84*(1-w),"")</f>
        <v>7.096768</v>
      </c>
      <c r="D26" s="13">
        <v>7.84</v>
      </c>
      <c r="E26" s="13">
        <v>8.29805249788315</v>
      </c>
      <c r="F26" s="13"/>
      <c r="G26" s="13"/>
      <c r="I26" s="5"/>
      <c r="J26" s="0" t="s">
        <v>40</v>
      </c>
    </row>
    <row r="27" outlineLevel="2">
      <c r="A27" s="12" t="s">
        <v>42</v>
      </c>
      <c r="B27" s="0" t="s">
        <v>33</v>
      </c>
      <c r="C27" s="13">
        <f>IFERROR(35.87*(1-w),"")</f>
        <v>32.469524</v>
      </c>
      <c r="D27" s="13">
        <v>35.87</v>
      </c>
      <c r="E27" s="13">
        <v>37.965707027942422</v>
      </c>
      <c r="F27" s="13"/>
      <c r="G27" s="13"/>
      <c r="I27" s="5"/>
      <c r="J27" s="0" t="s">
        <v>37</v>
      </c>
    </row>
    <row r="28" outlineLevel="2">
      <c r="A28" s="12" t="s">
        <v>43</v>
      </c>
      <c r="B28" s="0" t="s">
        <v>33</v>
      </c>
      <c r="C28" s="13">
        <f>IFERROR(1.28*(1-w),"")</f>
        <v>1.1586560000000001</v>
      </c>
      <c r="D28" s="13">
        <v>1.28</v>
      </c>
      <c r="E28" s="13">
        <v>1.3547840812870449</v>
      </c>
      <c r="F28" s="13"/>
      <c r="G28" s="13"/>
      <c r="I28" s="5"/>
      <c r="J28" s="0" t="s">
        <v>40</v>
      </c>
    </row>
    <row r="29" outlineLevel="2">
      <c r="A29" s="12" t="s">
        <v>44</v>
      </c>
      <c r="B29" s="0" t="s">
        <v>33</v>
      </c>
      <c r="C29" s="13">
        <f>IFERROR(0.11*(1-w),"")</f>
        <v>0.099572000000000008</v>
      </c>
      <c r="D29" s="13">
        <v>0.11</v>
      </c>
      <c r="E29" s="13">
        <v>0.11642675698560542</v>
      </c>
      <c r="F29" s="13"/>
      <c r="G29" s="13"/>
      <c r="I29" s="5"/>
      <c r="J29" s="0" t="s">
        <v>40</v>
      </c>
    </row>
    <row r="30" outlineLevel="2">
      <c r="A30" s="12" t="s">
        <v>45</v>
      </c>
      <c r="B30" s="0" t="s">
        <v>33</v>
      </c>
      <c r="C30" s="13">
        <f>IFERROR(100.14*(1-w)+w*100,"")</f>
        <v>100.12672799999999</v>
      </c>
      <c r="D30" s="13">
        <v>100.13999999999999</v>
      </c>
      <c r="E30" s="13">
        <v>100.14817950889076</v>
      </c>
      <c r="F30" s="13"/>
      <c r="G30" s="13"/>
      <c r="I30" s="5"/>
      <c r="J30" s="0" t="s">
        <v>37</v>
      </c>
    </row>
    <row r="31" outlineLevel="1">
      <c r="A31" s="11" t="s">
        <v>46</v>
      </c>
      <c r="I31" s="5"/>
    </row>
    <row r="32" outlineLevel="2">
      <c r="A32" s="12" t="s">
        <v>47</v>
      </c>
      <c r="B32" s="0" t="s">
        <v>48</v>
      </c>
      <c r="C32" s="14">
        <f>IFERROR(1500*(1-w),"")</f>
        <v>1357.8</v>
      </c>
      <c r="D32" s="14">
        <v>1500</v>
      </c>
      <c r="E32" s="14">
        <v>1587.6375952582557</v>
      </c>
      <c r="F32" s="14"/>
      <c r="G32" s="14"/>
      <c r="I32" s="5"/>
      <c r="J32" s="0" t="s">
        <v>40</v>
      </c>
    </row>
    <row r="33" outlineLevel="1">
      <c r="A33" s="11" t="s">
        <v>49</v>
      </c>
      <c r="I33" s="5"/>
    </row>
    <row r="34" outlineLevel="2">
      <c r="A34" s="12" t="s">
        <v>50</v>
      </c>
      <c r="B34" s="0" t="s">
        <v>51</v>
      </c>
      <c r="C34" s="13">
        <f>IFERROR(17.98648*(1-w)-w*2.443,"")</f>
        <v>16.049765296</v>
      </c>
      <c r="D34" s="13">
        <v>17.98648</v>
      </c>
      <c r="E34" s="13">
        <v>19.037341236240476</v>
      </c>
      <c r="F34" s="13"/>
      <c r="G34" s="13"/>
      <c r="I34" s="5"/>
    </row>
    <row r="35" outlineLevel="2">
      <c r="A35" s="12" t="s">
        <v>52</v>
      </c>
      <c r="B35" s="0" t="s">
        <v>51</v>
      </c>
      <c r="C35" s="13">
        <f>IFERROR(19.6973*(1-w),"")</f>
        <v>17.829995959999998</v>
      </c>
      <c r="D35" s="13">
        <v>19.6973</v>
      </c>
      <c r="E35" s="13">
        <v>20.848116003386959</v>
      </c>
      <c r="F35" s="13"/>
      <c r="G35" s="13"/>
      <c r="I35" s="5"/>
    </row>
    <row r="36" outlineLevel="2">
      <c r="A36" s="12" t="s">
        <v>53</v>
      </c>
      <c r="B36" s="0" t="s">
        <v>51</v>
      </c>
      <c r="C36" s="13">
        <f>IFERROR(22.6694019712*(1-w),"")</f>
        <v>20.52034266433024</v>
      </c>
      <c r="D36" s="13">
        <v>22.6694019712</v>
      </c>
      <c r="E36" s="13">
        <v>23.993863220999152</v>
      </c>
      <c r="F36" s="13"/>
      <c r="G36" s="13"/>
      <c r="I36" s="5"/>
      <c r="J36" s="0" t="s">
        <v>37</v>
      </c>
    </row>
    <row r="37">
      <c r="I37" s="5"/>
    </row>
    <row r="38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9.4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https://phyllis.nl/Biomass/View/2745</dc:description>
  <dcterms:created xsi:type="dcterms:W3CDTF">2026-03-17T05:41:57Z</dcterms:created>
  <dc:title>Phyllis2 #2745 olive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