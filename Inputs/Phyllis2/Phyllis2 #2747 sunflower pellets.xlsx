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47 sunflower pellet" sheetId="1" r:id="rId1"/>
  </sheets>
  <definedNames>
    <definedName name="w" localSheetId="0">IF(ISBLANK('Phyllis2 #2747 sunflower pellet'!$C$20),#N/A,'Phyllis2 #2747 sunflower pellet'!$C$20/100)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<sst xmlns="http://schemas.openxmlformats.org/spreadsheetml/2006/main" count="51" uniqueCount="51">
  <si>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</si>
  <si>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https://phyllis.nl/Biomass/View/2747</t>
  </si>
  <si>
    <t>sunflower pellets (#2747)</t>
  </si>
  <si>
    <t>ID-number</t>
  </si>
  <si>
    <t>#2747</t>
  </si>
  <si>
    <t>Material</t>
  </si>
  <si>
    <t>sunflower pellets</t>
  </si>
  <si>
    <t>Classification</t>
  </si>
  <si>
    <t>ECN Phyllis classification &gt; husk/shell/pit &gt; sunflower</t>
  </si>
  <si>
    <t>NTA 8003 classification &gt; [200] biomassa uit land- en tuinbouw &gt; [230] restproducten (doppen) &gt; [239] overige doppen</t>
  </si>
  <si>
    <t>Ash type</t>
  </si>
  <si>
    <t>815°C</t>
  </si>
  <si>
    <t>Submitter organisation</t>
  </si>
  <si>
    <t>ECN (Netherlands)</t>
  </si>
  <si>
    <t>Submission date</t>
  </si>
  <si>
    <t>Remarks</t>
  </si>
  <si>
    <t>Results from EC project SEFCO</t>
  </si>
  <si>
    <t>Literature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</si>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</sst>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16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15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8.59</v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33</v>
      </c>
      <c r="C21" s="13">
        <f>IFERROR(6.82*(1-w),"")</f>
        <v>6.234162</v>
      </c>
      <c r="D21" s="13">
        <v>6.82</v>
      </c>
      <c r="E21" s="13">
        <v/>
      </c>
      <c r="F21" s="13"/>
      <c r="G21" s="13"/>
      <c r="I21" s="5"/>
    </row>
    <row r="22" outlineLevel="2">
      <c r="A22" s="12" t="s">
        <v>35</v>
      </c>
      <c r="B22" s="0" t="s">
        <v>33</v>
      </c>
      <c r="C22" s="13">
        <f>IFERROR(76.8*(1-w),"")</f>
        <v>70.20288</v>
      </c>
      <c r="D22" s="13">
        <v>76.8</v>
      </c>
      <c r="E22" s="13">
        <v>82.421120412105608</v>
      </c>
      <c r="F22" s="13"/>
      <c r="G22" s="13"/>
      <c r="I22" s="5"/>
    </row>
    <row r="23" outlineLevel="2">
      <c r="A23" s="12" t="s">
        <v>36</v>
      </c>
      <c r="B23" s="0" t="s">
        <v>33</v>
      </c>
      <c r="C23" s="13">
        <f>IFERROR(16.38*(1-w),"")</f>
        <v>14.972958000000009</v>
      </c>
      <c r="D23" s="13">
        <v>16.38000000000001</v>
      </c>
      <c r="E23" s="13">
        <v>17.578879587894409</v>
      </c>
      <c r="F23" s="13"/>
      <c r="G23" s="13"/>
      <c r="I23" s="5"/>
      <c r="J23" s="0" t="s">
        <v>37</v>
      </c>
    </row>
    <row r="24" outlineLevel="1">
      <c r="A24" s="11" t="s">
        <v>38</v>
      </c>
      <c r="I24" s="5"/>
    </row>
    <row r="25" outlineLevel="2">
      <c r="A25" s="12" t="s">
        <v>39</v>
      </c>
      <c r="B25" s="0" t="s">
        <v>33</v>
      </c>
      <c r="C25" s="13">
        <f>IFERROR(46.89*(1-w),"")</f>
        <v>42.862149</v>
      </c>
      <c r="D25" s="13">
        <v>46.89</v>
      </c>
      <c r="E25" s="13">
        <v>50.321957501609788</v>
      </c>
      <c r="F25" s="13"/>
      <c r="G25" s="13"/>
      <c r="I25" s="5"/>
      <c r="J25" s="0" t="s">
        <v>40</v>
      </c>
    </row>
    <row r="26" outlineLevel="2">
      <c r="A26" s="12" t="s">
        <v>41</v>
      </c>
      <c r="B26" s="0" t="s">
        <v>33</v>
      </c>
      <c r="C26" s="13">
        <f>IFERROR(6.71*(1-w),"")</f>
        <v>6.133611</v>
      </c>
      <c r="D26" s="13">
        <v>6.71</v>
      </c>
      <c r="E26" s="13">
        <v>7.2011161193389146</v>
      </c>
      <c r="F26" s="13"/>
      <c r="G26" s="13"/>
      <c r="I26" s="5"/>
      <c r="J26" s="0" t="s">
        <v>40</v>
      </c>
    </row>
    <row r="27" outlineLevel="2">
      <c r="A27" s="12" t="s">
        <v>42</v>
      </c>
      <c r="B27" s="0" t="s">
        <v>33</v>
      </c>
      <c r="C27" s="13">
        <f>IFERROR(33.32*(1-w),"")</f>
        <v>30.457812</v>
      </c>
      <c r="D27" s="13">
        <v>33.32</v>
      </c>
      <c r="E27" s="13">
        <v>35.758746512127068</v>
      </c>
      <c r="F27" s="13"/>
      <c r="G27" s="13"/>
      <c r="I27" s="5"/>
      <c r="J27" s="0" t="s">
        <v>37</v>
      </c>
    </row>
    <row r="28" outlineLevel="2">
      <c r="A28" s="12" t="s">
        <v>43</v>
      </c>
      <c r="B28" s="0" t="s">
        <v>33</v>
      </c>
      <c r="C28" s="13">
        <f>IFERROR(5.98*(1-w),"")</f>
        <v>5.466318</v>
      </c>
      <c r="D28" s="13">
        <v>5.98</v>
      </c>
      <c r="E28" s="13">
        <v>6.4176861987550984</v>
      </c>
      <c r="F28" s="13"/>
      <c r="G28" s="13"/>
      <c r="I28" s="5"/>
      <c r="J28" s="0" t="s">
        <v>40</v>
      </c>
    </row>
    <row r="29" outlineLevel="2">
      <c r="A29" s="12" t="s">
        <v>44</v>
      </c>
      <c r="B29" s="0" t="s">
        <v>33</v>
      </c>
      <c r="C29" s="13">
        <f>IFERROR(0.29*(1-w),"")</f>
        <v>0.26508899999999996</v>
      </c>
      <c r="D29" s="13">
        <v>0.29</v>
      </c>
      <c r="E29" s="13">
        <v>0.31122558488946123</v>
      </c>
      <c r="F29" s="13"/>
      <c r="G29" s="13"/>
      <c r="I29" s="5"/>
      <c r="J29" s="0" t="s">
        <v>40</v>
      </c>
    </row>
    <row r="30" outlineLevel="2">
      <c r="A30" s="12" t="s">
        <v>45</v>
      </c>
      <c r="B30" s="0" t="s">
        <v>33</v>
      </c>
      <c r="C30" s="13">
        <f>IFERROR(100.01*(1-w)+w*100,"")</f>
        <v>100.00914100000001</v>
      </c>
      <c r="D30" s="13">
        <v>100.01</v>
      </c>
      <c r="E30" s="13">
        <v>100.01073191672035</v>
      </c>
      <c r="F30" s="13"/>
      <c r="G30" s="13"/>
      <c r="I30" s="5"/>
      <c r="J30" s="0" t="s">
        <v>37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48</v>
      </c>
      <c r="C32" s="13">
        <f>IFERROR(15.79864*(1-w)-w*2.443,"")</f>
        <v>14.231683124000002</v>
      </c>
      <c r="D32" s="13">
        <v>15.79864</v>
      </c>
      <c r="E32" s="13">
        <v>16.954968877441512</v>
      </c>
      <c r="F32" s="13"/>
      <c r="G32" s="13"/>
      <c r="I32" s="5"/>
    </row>
    <row r="33" outlineLevel="2">
      <c r="A33" s="12" t="s">
        <v>49</v>
      </c>
      <c r="B33" s="0" t="s">
        <v>48</v>
      </c>
      <c r="C33" s="13">
        <f>IFERROR(17.26288*(1-w),"")</f>
        <v>15.779998608</v>
      </c>
      <c r="D33" s="13">
        <v>17.26288</v>
      </c>
      <c r="E33" s="13">
        <v>18.526379051298562</v>
      </c>
      <c r="F33" s="13"/>
      <c r="G33" s="13"/>
      <c r="I33" s="5"/>
    </row>
    <row r="34" outlineLevel="2">
      <c r="A34" s="12" t="s">
        <v>50</v>
      </c>
      <c r="B34" s="0" t="s">
        <v>48</v>
      </c>
      <c r="C34" s="13">
        <f>IFERROR(20.0667743972*(1-w),"")</f>
        <v>18.343038476480523</v>
      </c>
      <c r="D34" s="13">
        <v>20.066774397200003</v>
      </c>
      <c r="E34" s="13">
        <v>21.535495167632543</v>
      </c>
      <c r="F34" s="13"/>
      <c r="G34" s="13"/>
      <c r="I34" s="5"/>
      <c r="J34" s="0" t="s">
        <v>37</v>
      </c>
    </row>
    <row r="35">
      <c r="I35" s="5"/>
    </row>
    <row r="3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8.5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https://phyllis.nl/Biomass/View/2747</dc:description>
  <dcterms:created xsi:type="dcterms:W3CDTF">2026-03-17T05:48:30Z</dcterms:created>
  <dc:title>Phyllis2 #2747 sunflower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