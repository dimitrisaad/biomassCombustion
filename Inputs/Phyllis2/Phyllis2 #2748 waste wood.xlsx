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48 waste wood" sheetId="1" r:id="rId1"/>
  </sheets>
  <definedNames>
    <definedName name="w" localSheetId="0">IF(ISBLANK('Phyllis2 #2748 waste wood'!$C$20),#N/A,'Phyllis2 #2748 waste wood'!$C$20/100)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<sst xmlns="http://schemas.openxmlformats.org/spreadsheetml/2006/main" count="76" uniqueCount="76">
  <si>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</si>
  <si>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https://phyllis.nl/Biomass/View/2748</t>
  </si>
  <si>
    <t>waste wood (#2748)</t>
  </si>
  <si>
    <t>ID-number</t>
  </si>
  <si>
    <t>#2748</t>
  </si>
  <si>
    <t>Material</t>
  </si>
  <si>
    <t>waste wood</t>
  </si>
  <si>
    <t>Classification</t>
  </si>
  <si>
    <t>ECN Phyllis classification &gt; treated wood &gt; demolition wood</t>
  </si>
  <si>
    <t>NTA 8003 classification &gt; [100] hout &gt; [150] verwerkt hout</t>
  </si>
  <si>
    <t>Ash type</t>
  </si>
  <si>
    <t>550°C</t>
  </si>
  <si>
    <t>Submitter organisation</t>
  </si>
  <si>
    <t>ECN (Netherlands)</t>
  </si>
  <si>
    <t>Submission date</t>
  </si>
  <si>
    <t>Remarks</t>
  </si>
  <si>
    <t>mixture of wood and particle board. Results from EC project SEFCO</t>
  </si>
  <si>
    <t>Literature</t>
  </si>
  <si>
    <t>Results from EC project SEFCO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</si>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</sst>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38252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IFERROR(3.97*(1-w),"")</f>
        <v>3.6365200000000004</v>
      </c>
      <c r="D21" s="13">
        <v>3.97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IFERROR(76.23*(1-w),"")</f>
        <v>69.82668000000001</v>
      </c>
      <c r="D22" s="13">
        <v>76.23</v>
      </c>
      <c r="E22" s="13">
        <v>79.381443298969074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IFERROR(19.8*(1-w),"")</f>
        <v>18.136799999999997</v>
      </c>
      <c r="D23" s="13">
        <v>19.799999999999997</v>
      </c>
      <c r="E23" s="13">
        <v>20.618556701030926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IFERROR(47.86*(1-w),"")</f>
        <v>43.83976</v>
      </c>
      <c r="D25" s="13">
        <v>47.86</v>
      </c>
      <c r="E25" s="13">
        <v>49.838592106633342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IFERROR(8.59*(1-w),"")</f>
        <v>7.8684400000000005</v>
      </c>
      <c r="D26" s="13">
        <v>8.59</v>
      </c>
      <c r="E26" s="13">
        <v>8.9451213162553369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IFERROR(37.46*(1-w),"")</f>
        <v>34.31336</v>
      </c>
      <c r="D27" s="13">
        <v>37.46</v>
      </c>
      <c r="E27" s="13">
        <v>39.008643132354472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IFERROR(1.12*(1-w),"")</f>
        <v>1.0259200000000002</v>
      </c>
      <c r="D28" s="13">
        <v>1.12</v>
      </c>
      <c r="E28" s="13">
        <v>1.1663021972300323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IFERROR(0.01*(1-w),"")</f>
        <v>0.00916</v>
      </c>
      <c r="D29" s="13">
        <v>0.01</v>
      </c>
      <c r="E29" s="13">
        <v>0.010413412475268145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IFERROR(99.99*(1-w)+w*100,"")</f>
        <v>99.99084000000002</v>
      </c>
      <c r="D30" s="13">
        <v>99.990000000000009</v>
      </c>
      <c r="E30" s="13">
        <v>99.989586587524741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IFERROR(9800*(1-w),"")</f>
        <v>8976.8000000000011</v>
      </c>
      <c r="D32" s="14">
        <v>9800</v>
      </c>
      <c r="E32" s="14">
        <v>10205.144225762782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IFERROR(17.52508*(1-w)-w*2.443,"")</f>
        <v>15.84776128</v>
      </c>
      <c r="D34" s="13">
        <v>17.52508</v>
      </c>
      <c r="E34" s="13">
        <v>18.249588670207224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IFERROR(19.39956*(1-w),"")</f>
        <v>17.76999696</v>
      </c>
      <c r="D35" s="13">
        <v>19.39956</v>
      </c>
      <c r="E35" s="13">
        <v>20.201562011871289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IFERROR(22.9889964177*(1-w),"")</f>
        <v>21.0579207186132</v>
      </c>
      <c r="D36" s="13">
        <v>22.9889964177</v>
      </c>
      <c r="E36" s="13">
        <v>23.939390208997189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1150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1200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58</v>
      </c>
      <c r="C41" s="17">
        <v>1220</v>
      </c>
      <c r="D41" s="17"/>
      <c r="E41" s="17"/>
      <c r="F41" s="17"/>
      <c r="G41" s="17"/>
      <c r="I41" s="5"/>
    </row>
    <row r="42">
      <c r="A42" s="7" t="s">
        <v>61</v>
      </c>
      <c r="I42" s="5"/>
    </row>
    <row r="43" outlineLevel="1">
      <c r="A43" s="11" t="s">
        <v>62</v>
      </c>
      <c r="I43" s="5"/>
    </row>
    <row r="44" outlineLevel="2">
      <c r="A44" s="12" t="s">
        <v>63</v>
      </c>
      <c r="B44" s="0" t="s">
        <v>64</v>
      </c>
      <c r="C44" s="13">
        <v>15.86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64</v>
      </c>
      <c r="C45" s="13">
        <v>0.6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64</v>
      </c>
      <c r="C46" s="13">
        <v>35.8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64</v>
      </c>
      <c r="C47" s="13">
        <v>3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64</v>
      </c>
      <c r="C48" s="13">
        <v>5.3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64</v>
      </c>
      <c r="C49" s="13">
        <v>22.4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64</v>
      </c>
      <c r="C50" s="13">
        <v>2.8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64</v>
      </c>
      <c r="C51" s="13">
        <v>2.4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64</v>
      </c>
      <c r="C52" s="13">
        <v>2.2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64</v>
      </c>
      <c r="C53" s="13">
        <v>4.1</v>
      </c>
      <c r="D53" s="13"/>
      <c r="E53" s="13"/>
      <c r="F53" s="13"/>
      <c r="G53" s="13"/>
      <c r="I53" s="5"/>
    </row>
    <row r="54" outlineLevel="2">
      <c r="A54" s="12" t="s">
        <v>74</v>
      </c>
      <c r="B54" s="0" t="s">
        <v>75</v>
      </c>
      <c r="C54" s="14">
        <v>1900</v>
      </c>
      <c r="D54" s="14"/>
      <c r="E54" s="14"/>
      <c r="F54" s="14"/>
      <c r="G54" s="14"/>
      <c r="I54" s="5"/>
    </row>
    <row r="55">
      <c r="I55" s="5"/>
    </row>
    <row r="5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20" errorStyle="stop" promptTitle="Enter moisture content" errorTitle="Invalid moisture content" prompt="Value should be between 0 and 100.&#10;Original value: 8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https://phyllis.nl/Biomass/View/2748</dc:description>
  <dcterms:created xsi:type="dcterms:W3CDTF">2026-03-19T04:03:11Z</dcterms:created>
  <dc:title>Phyllis2 #2748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