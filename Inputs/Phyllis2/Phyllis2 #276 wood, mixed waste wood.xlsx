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76 wood, mixed waste" sheetId="1" r:id="rId1"/>
  </sheets>
  <definedNames>
    <definedName name="w" localSheetId="0">IF(ISBLANK('Phyllis2 #276 wood, mixed waste'!$C$18),#N/A,'Phyllis2 #276 wood, mixed waste'!$C$18/100)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<sst xmlns="http://schemas.openxmlformats.org/spreadsheetml/2006/main" count="75" uniqueCount="75">
  <si>
    <t>Phyllis2</t>
  </si>
  <si>
    <t>https://phyllis.nl/Biomass/View/276</t>
  </si>
  <si>
    <t>wood, mixed waste wood (#276)</t>
  </si>
  <si>
    <t>ID-number</t>
  </si>
  <si>
    <t>#276</t>
  </si>
  <si>
    <t>Material</t>
  </si>
  <si>
    <t>wood, mixed waste wood</t>
  </si>
  <si>
    <t>Classification</t>
  </si>
  <si>
    <t>ECN Phyllis classification &gt; treated wood &gt; others</t>
  </si>
  <si>
    <t>NTA 8003 classification &gt; [100] hout &gt; [150] verwerkt hout</t>
  </si>
  <si>
    <t>Ash type</t>
  </si>
  <si>
    <t>industrial</t>
  </si>
  <si>
    <t>Submitter organisation</t>
  </si>
  <si>
    <t>ECN (Netherlands)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</si>
  <si>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</si>
  <si>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</si>
  <si>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</si>
  <si>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</si>
  <si>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</si>
  <si>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</si>
  <si>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</si>
  <si>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</si>
  <si>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</si>
  <si>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</si>
  <si>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</si>
  <si>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</si>
  <si>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</si>
  <si>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</si>
  <si>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</si>
  <si>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</si>
  <si>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</si>
  <si>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</si>
  <si>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</si>
  <si>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</si>
  <si>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</si>
  <si>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</si>
  <si>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Carbon</t>
  </si>
  <si>
    <t>Unknown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</si>
  <si>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</si>
  <si>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</si>
  <si>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</si>
  <si>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</si>
  <si>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</si>
  <si>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</si>
  <si>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</si>
  <si>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</si>
  <si>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</si>
  <si>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</si>
  <si>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</si>
  <si>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</si>
  <si>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</si>
  <si>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</si>
  <si>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</si>
  <si>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</si>
  <si>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</si>
  <si>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</si>
  <si>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</si>
  <si>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</si>
  <si>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</si>
  <si>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</si>
  <si>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</si>
  <si>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P2O5</t>
  </si>
  <si>
    <t>wt% (ash)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</si>
  <si>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</si>
  <si>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</si>
  <si>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</si>
  <si>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</si>
  <si>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</si>
  <si>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</si>
  <si>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</si>
  <si>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</si>
  <si>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</si>
  <si>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</si>
  <si>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</si>
  <si>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Cr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</si>
</sst>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7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>
      <c r="A12" s="5"/>
    </row>
    <row r="13" s="1" customFormat="1">
      <c r="A13" s="7" t="s">
        <v>16</v>
      </c>
    </row>
    <row r="14" s="1" customFormat="1">
      <c r="A14" s="8" t="s">
        <v>17</v>
      </c>
      <c r="B14" s="8" t="s">
        <v>18</v>
      </c>
      <c r="C14" s="8" t="s">
        <v>19</v>
      </c>
      <c r="D14" s="8"/>
      <c r="E14" s="8"/>
      <c r="F14" s="8" t="s">
        <v>20</v>
      </c>
      <c r="G14" s="8" t="s">
        <v>21</v>
      </c>
      <c r="H14" s="8" t="s">
        <v>22</v>
      </c>
      <c r="I14" s="8" t="s">
        <v>23</v>
      </c>
      <c r="J14" s="8" t="s">
        <v>24</v>
      </c>
      <c r="K14" s="8" t="s">
        <v>25</v>
      </c>
      <c r="L14" s="8"/>
    </row>
    <row r="15" s="1" customFormat="1">
      <c r="A15" s="8"/>
      <c r="B15" s="8"/>
      <c r="C15" s="8" t="s">
        <v>26</v>
      </c>
      <c r="D15" s="8" t="s">
        <v>27</v>
      </c>
      <c r="E15" s="8" t="s">
        <v>28</v>
      </c>
      <c r="F15" s="8"/>
      <c r="G15" s="8"/>
      <c r="H15" s="8"/>
      <c r="I15" s="8"/>
      <c r="J15" s="8"/>
      <c r="K15" s="8"/>
      <c r="L15" s="8"/>
    </row>
    <row r="16">
      <c r="A16" s="5" t="s">
        <v>29</v>
      </c>
      <c r="I16" s="16"/>
    </row>
    <row r="17" outlineLevel="1">
      <c r="A17" s="9" t="s">
        <v>30</v>
      </c>
      <c r="I17" s="16"/>
    </row>
    <row r="18" outlineLevel="2">
      <c r="A18" s="10" t="s">
        <v>31</v>
      </c>
      <c r="B18" s="0" t="s">
        <v>32</v>
      </c>
      <c r="C18" s="11">
        <v/>
      </c>
      <c r="D18" s="11"/>
      <c r="E18" s="11"/>
      <c r="F18" s="11"/>
      <c r="G18" s="11"/>
      <c r="I18" s="16"/>
    </row>
    <row r="19" outlineLevel="2">
      <c r="A19" s="10" t="s">
        <v>33</v>
      </c>
      <c r="B19" s="0" t="s">
        <v>34</v>
      </c>
      <c r="C19" s="11">
        <f>IFERROR(1.4*(1-w),"")</f>
        <v/>
      </c>
      <c r="D19" s="11">
        <v>1.4</v>
      </c>
      <c r="E19" s="11">
        <v/>
      </c>
      <c r="F19" s="11"/>
      <c r="G19" s="11"/>
      <c r="I19" s="16"/>
    </row>
    <row r="20" outlineLevel="1">
      <c r="A20" s="9" t="s">
        <v>35</v>
      </c>
      <c r="I20" s="16"/>
    </row>
    <row r="21" outlineLevel="2">
      <c r="A21" s="10" t="s">
        <v>36</v>
      </c>
      <c r="B21" s="0" t="s">
        <v>34</v>
      </c>
      <c r="C21" s="11">
        <f>IFERROR(50.7*(1-w),"")</f>
        <v/>
      </c>
      <c r="D21" s="11">
        <v>50.7</v>
      </c>
      <c r="E21" s="11">
        <v>51.419878296146045</v>
      </c>
      <c r="F21" s="11"/>
      <c r="G21" s="11"/>
      <c r="I21" s="16"/>
      <c r="J21" s="0" t="s">
        <v>37</v>
      </c>
    </row>
    <row r="22" outlineLevel="2">
      <c r="A22" s="10" t="s">
        <v>38</v>
      </c>
      <c r="B22" s="0" t="s">
        <v>34</v>
      </c>
      <c r="C22" s="11">
        <f>IFERROR(5.91*(1-w),"")</f>
        <v/>
      </c>
      <c r="D22" s="11">
        <v>5.91</v>
      </c>
      <c r="E22" s="11">
        <v>5.9939148073022315</v>
      </c>
      <c r="F22" s="11"/>
      <c r="G22" s="11"/>
      <c r="I22" s="16"/>
      <c r="J22" s="0" t="s">
        <v>37</v>
      </c>
    </row>
    <row r="23" outlineLevel="2">
      <c r="A23" s="10" t="s">
        <v>39</v>
      </c>
      <c r="B23" s="0" t="s">
        <v>34</v>
      </c>
      <c r="C23" s="11">
        <f>IFERROR(40.0855*(1-w),"")</f>
        <v/>
      </c>
      <c r="D23" s="11">
        <v>40.0855</v>
      </c>
      <c r="E23" s="11">
        <v>40.654665314401626</v>
      </c>
      <c r="F23" s="11"/>
      <c r="G23" s="11"/>
      <c r="I23" s="16"/>
      <c r="J23" s="0" t="s">
        <v>40</v>
      </c>
    </row>
    <row r="24" outlineLevel="2">
      <c r="A24" s="10" t="s">
        <v>41</v>
      </c>
      <c r="B24" s="0" t="s">
        <v>34</v>
      </c>
      <c r="C24" s="11">
        <f>IFERROR(1.68*(1-w),"")</f>
        <v/>
      </c>
      <c r="D24" s="11">
        <v>1.68</v>
      </c>
      <c r="E24" s="11">
        <v>1.7038539553752534</v>
      </c>
      <c r="F24" s="11"/>
      <c r="G24" s="11"/>
      <c r="I24" s="16"/>
      <c r="J24" s="0" t="s">
        <v>37</v>
      </c>
    </row>
    <row r="25" outlineLevel="2">
      <c r="A25" s="10" t="s">
        <v>42</v>
      </c>
      <c r="B25" s="0" t="s">
        <v>34</v>
      </c>
      <c r="C25" s="11">
        <f>IFERROR(0.06*(1-w),"")</f>
        <v/>
      </c>
      <c r="D25" s="11">
        <v>0.06</v>
      </c>
      <c r="E25" s="11">
        <v>0.060851926977687626</v>
      </c>
      <c r="F25" s="11"/>
      <c r="G25" s="11"/>
      <c r="I25" s="16"/>
      <c r="J25" s="0" t="s">
        <v>37</v>
      </c>
    </row>
    <row r="26" outlineLevel="2">
      <c r="A26" s="10" t="s">
        <v>43</v>
      </c>
      <c r="B26" s="0" t="s">
        <v>34</v>
      </c>
      <c r="C26" s="11">
        <f>IFERROR(100*(1-w)+w*100,"")</f>
        <v/>
      </c>
      <c r="D26" s="11">
        <v>100.00000000000003</v>
      </c>
      <c r="E26" s="11">
        <v>100.00000000000003</v>
      </c>
      <c r="F26" s="11"/>
      <c r="G26" s="11"/>
      <c r="I26" s="16"/>
      <c r="J26" s="0" t="s">
        <v>40</v>
      </c>
    </row>
    <row r="27" outlineLevel="1">
      <c r="A27" s="9" t="s">
        <v>44</v>
      </c>
      <c r="I27" s="16"/>
    </row>
    <row r="28" outlineLevel="2">
      <c r="A28" s="10" t="s">
        <v>45</v>
      </c>
      <c r="B28" s="0" t="s">
        <v>46</v>
      </c>
      <c r="C28" s="12">
        <f>IFERROR(1645*(1-w),"")</f>
        <v/>
      </c>
      <c r="D28" s="12">
        <v>1645</v>
      </c>
      <c r="E28" s="12">
        <v>1668.3569979716024</v>
      </c>
      <c r="F28" s="12"/>
      <c r="G28" s="12"/>
      <c r="I28" s="16"/>
      <c r="J28" s="0" t="s">
        <v>37</v>
      </c>
    </row>
    <row r="29" outlineLevel="1">
      <c r="A29" s="9" t="s">
        <v>47</v>
      </c>
      <c r="I29" s="16"/>
    </row>
    <row r="30" outlineLevel="2">
      <c r="A30" s="10" t="s">
        <v>48</v>
      </c>
      <c r="B30" s="0" t="s">
        <v>49</v>
      </c>
      <c r="C30" s="11">
        <f>IFERROR(16*(1-w)-w*2.443,"")</f>
        <v/>
      </c>
      <c r="D30" s="11">
        <v>16</v>
      </c>
      <c r="E30" s="11">
        <v>16.227180527383368</v>
      </c>
      <c r="F30" s="11"/>
      <c r="G30" s="11"/>
      <c r="I30" s="16"/>
    </row>
    <row r="31" outlineLevel="2">
      <c r="A31" s="10" t="s">
        <v>50</v>
      </c>
      <c r="B31" s="0" t="s">
        <v>49</v>
      </c>
      <c r="C31" s="11">
        <f>IFERROR(17.6*(1-w),"")</f>
        <v/>
      </c>
      <c r="D31" s="11">
        <v>17.6</v>
      </c>
      <c r="E31" s="11">
        <v>17.849898580121707</v>
      </c>
      <c r="F31" s="11"/>
      <c r="G31" s="11"/>
      <c r="I31" s="16"/>
    </row>
    <row r="32" outlineLevel="2">
      <c r="A32" s="10" t="s">
        <v>51</v>
      </c>
      <c r="B32" s="0" t="s">
        <v>49</v>
      </c>
      <c r="C32" s="11">
        <f>IFERROR(20.07285588*(1-w),"")</f>
        <v/>
      </c>
      <c r="D32" s="11">
        <v>20.07285588</v>
      </c>
      <c r="E32" s="11">
        <v>20.357866004056795</v>
      </c>
      <c r="F32" s="11"/>
      <c r="G32" s="11"/>
      <c r="I32" s="16"/>
      <c r="J32" s="0" t="s">
        <v>40</v>
      </c>
    </row>
    <row r="33" outlineLevel="1">
      <c r="A33" s="9" t="s">
        <v>52</v>
      </c>
      <c r="I33" s="16"/>
    </row>
    <row r="34" outlineLevel="2">
      <c r="A34" s="13" t="s">
        <v>53</v>
      </c>
      <c r="I34" s="16"/>
    </row>
    <row r="35" outlineLevel="3">
      <c r="A35" s="14" t="s">
        <v>54</v>
      </c>
      <c r="B35" s="0" t="s">
        <v>55</v>
      </c>
      <c r="C35" s="15">
        <v>990</v>
      </c>
      <c r="D35" s="15"/>
      <c r="E35" s="15"/>
      <c r="F35" s="15"/>
      <c r="G35" s="15"/>
      <c r="I35" s="16"/>
    </row>
    <row r="36" outlineLevel="3">
      <c r="A36" s="14" t="s">
        <v>56</v>
      </c>
      <c r="B36" s="0" t="s">
        <v>55</v>
      </c>
      <c r="C36" s="15">
        <v>1180</v>
      </c>
      <c r="D36" s="15"/>
      <c r="E36" s="15"/>
      <c r="F36" s="15"/>
      <c r="G36" s="15"/>
      <c r="I36" s="16"/>
    </row>
    <row r="37" outlineLevel="3">
      <c r="A37" s="14" t="s">
        <v>57</v>
      </c>
      <c r="B37" s="0" t="s">
        <v>55</v>
      </c>
      <c r="C37" s="15">
        <v>1230</v>
      </c>
      <c r="D37" s="15"/>
      <c r="E37" s="15"/>
      <c r="F37" s="15"/>
      <c r="G37" s="15"/>
      <c r="I37" s="16"/>
    </row>
    <row r="38" outlineLevel="3">
      <c r="A38" s="14" t="s">
        <v>58</v>
      </c>
      <c r="B38" s="0" t="s">
        <v>55</v>
      </c>
      <c r="C38" s="15">
        <v>1250</v>
      </c>
      <c r="D38" s="15"/>
      <c r="E38" s="15"/>
      <c r="F38" s="15"/>
      <c r="G38" s="15"/>
      <c r="I38" s="16"/>
    </row>
    <row r="39">
      <c r="A39" s="5" t="s">
        <v>59</v>
      </c>
      <c r="I39" s="16"/>
    </row>
    <row r="40" outlineLevel="1">
      <c r="A40" s="9" t="s">
        <v>60</v>
      </c>
      <c r="I40" s="16"/>
    </row>
    <row r="41" outlineLevel="2">
      <c r="A41" s="10" t="s">
        <v>61</v>
      </c>
      <c r="B41" s="0" t="s">
        <v>62</v>
      </c>
      <c r="C41" s="11">
        <v>0.74</v>
      </c>
      <c r="D41" s="11"/>
      <c r="E41" s="11"/>
      <c r="F41" s="11"/>
      <c r="G41" s="11"/>
      <c r="I41" s="16"/>
    </row>
    <row r="42" outlineLevel="2">
      <c r="A42" s="10" t="s">
        <v>63</v>
      </c>
      <c r="B42" s="0" t="s">
        <v>62</v>
      </c>
      <c r="C42" s="11">
        <v>26</v>
      </c>
      <c r="D42" s="11"/>
      <c r="E42" s="11"/>
      <c r="F42" s="11"/>
      <c r="G42" s="11"/>
      <c r="I42" s="16"/>
    </row>
    <row r="43" outlineLevel="2">
      <c r="A43" s="10" t="s">
        <v>64</v>
      </c>
      <c r="B43" s="0" t="s">
        <v>62</v>
      </c>
      <c r="C43" s="11">
        <v>3.43</v>
      </c>
      <c r="D43" s="11"/>
      <c r="E43" s="11"/>
      <c r="F43" s="11"/>
      <c r="G43" s="11"/>
      <c r="I43" s="16"/>
    </row>
    <row r="44" outlineLevel="2">
      <c r="A44" s="10" t="s">
        <v>65</v>
      </c>
      <c r="B44" s="0" t="s">
        <v>62</v>
      </c>
      <c r="C44" s="11">
        <v>4.51</v>
      </c>
      <c r="D44" s="11"/>
      <c r="E44" s="11"/>
      <c r="F44" s="11"/>
      <c r="G44" s="11"/>
      <c r="I44" s="16"/>
    </row>
    <row r="45" outlineLevel="2">
      <c r="A45" s="10" t="s">
        <v>66</v>
      </c>
      <c r="B45" s="0" t="s">
        <v>62</v>
      </c>
      <c r="C45" s="11">
        <v>33.7</v>
      </c>
      <c r="D45" s="11"/>
      <c r="E45" s="11"/>
      <c r="F45" s="11"/>
      <c r="G45" s="11"/>
      <c r="I45" s="16"/>
    </row>
    <row r="46" outlineLevel="2">
      <c r="A46" s="10" t="s">
        <v>67</v>
      </c>
      <c r="B46" s="0" t="s">
        <v>62</v>
      </c>
      <c r="C46" s="11">
        <v>7.35</v>
      </c>
      <c r="D46" s="11"/>
      <c r="E46" s="11"/>
      <c r="F46" s="11"/>
      <c r="G46" s="11"/>
      <c r="I46" s="16"/>
    </row>
    <row r="47" outlineLevel="2">
      <c r="A47" s="10" t="s">
        <v>68</v>
      </c>
      <c r="B47" s="0" t="s">
        <v>62</v>
      </c>
      <c r="C47" s="11">
        <v>3.31</v>
      </c>
      <c r="D47" s="11"/>
      <c r="E47" s="11"/>
      <c r="F47" s="11"/>
      <c r="G47" s="11"/>
      <c r="I47" s="16"/>
    </row>
    <row r="48" outlineLevel="2">
      <c r="A48" s="10" t="s">
        <v>69</v>
      </c>
      <c r="B48" s="0" t="s">
        <v>62</v>
      </c>
      <c r="C48" s="11">
        <v>2.45</v>
      </c>
      <c r="D48" s="11"/>
      <c r="E48" s="11"/>
      <c r="F48" s="11"/>
      <c r="G48" s="11"/>
      <c r="I48" s="16"/>
    </row>
    <row r="49" outlineLevel="2">
      <c r="A49" s="10" t="s">
        <v>70</v>
      </c>
      <c r="B49" s="0" t="s">
        <v>71</v>
      </c>
      <c r="C49" s="12">
        <v>180</v>
      </c>
      <c r="D49" s="12"/>
      <c r="E49" s="12"/>
      <c r="F49" s="12"/>
      <c r="G49" s="12"/>
      <c r="I49" s="16"/>
    </row>
    <row r="50" outlineLevel="2">
      <c r="A50" s="10" t="s">
        <v>72</v>
      </c>
      <c r="B50" s="0" t="s">
        <v>71</v>
      </c>
      <c r="C50" s="12">
        <v>0</v>
      </c>
      <c r="D50" s="12"/>
      <c r="E50" s="12"/>
      <c r="F50" s="12"/>
      <c r="G50" s="12"/>
      <c r="I50" s="16"/>
    </row>
    <row r="51" outlineLevel="2">
      <c r="A51" s="10" t="s">
        <v>73</v>
      </c>
      <c r="B51" s="0" t="s">
        <v>71</v>
      </c>
      <c r="C51" s="12">
        <v>5471</v>
      </c>
      <c r="D51" s="12"/>
      <c r="E51" s="12"/>
      <c r="F51" s="12"/>
      <c r="G51" s="12"/>
      <c r="I51" s="16"/>
    </row>
    <row r="52" outlineLevel="2">
      <c r="A52" s="10" t="s">
        <v>74</v>
      </c>
      <c r="B52" s="0" t="s">
        <v>71</v>
      </c>
      <c r="C52" s="12">
        <v>763</v>
      </c>
      <c r="D52" s="12"/>
      <c r="E52" s="12"/>
      <c r="F52" s="12"/>
      <c r="G52" s="12"/>
      <c r="I52" s="16"/>
    </row>
    <row r="53">
      <c r="I53" s="16"/>
    </row>
    <row r="5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5:E35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https://phyllis.nl/Biomass/View/276</dc:description>
  <dcterms:created xsi:type="dcterms:W3CDTF">2026-03-19T04:08:00Z</dcterms:created>
  <dc:title>Phyllis2 #276 wood, mixed waste wood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