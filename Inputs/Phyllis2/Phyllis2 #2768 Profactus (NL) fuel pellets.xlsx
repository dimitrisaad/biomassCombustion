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68 Profactus (NL) f" sheetId="1" r:id="rId1"/>
  </sheets>
  <definedNames>
    <definedName name="w" localSheetId="0">IF(ISBLANK('Phyllis2 #2768 Profactus (NL) f'!$C$19),#N/A,'Phyllis2 #2768 Profactus (NL) f'!$C$19/100)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<sst xmlns="http://schemas.openxmlformats.org/spreadsheetml/2006/main" count="92" uniqueCount="92">
  <si>
    <t>Phyllis2</t>
  </si>
  <si>
    <t>https://phyllis.nl/Biomass/View/2768</t>
  </si>
  <si>
    <t>Profactus (NL) fuel pellets (#2768)</t>
  </si>
  <si>
    <t>ID-number</t>
  </si>
  <si>
    <t>#2768</t>
  </si>
  <si>
    <t>Material</t>
  </si>
  <si>
    <t>Profactus (NL) fuel pellets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</si>
  <si>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</si>
  <si>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</si>
  <si>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</si>
  <si>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</si>
  <si>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</si>
  <si>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</si>
  <si>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</si>
  <si>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pellets (diameter 6 mm, length &lt; 40 mm) made from European and tropical hard wood like oak, beech, merant, merbau</t>
  </si>
  <si>
    <t>Literature</t>
  </si>
  <si>
    <t>Profactus, Oss, the Netherlands (analysed by TLR Technical Laboratory Rotterdam)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</si>
  <si>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</si>
  <si>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</si>
  <si>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</si>
  <si>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</si>
  <si>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</si>
  <si>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</si>
  <si>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</si>
  <si>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</si>
  <si>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</si>
  <si>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</si>
  <si>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</si>
  <si>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</si>
  <si>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</si>
  <si>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</si>
  <si>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</si>
  <si>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</si>
  <si>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</si>
  <si>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</si>
  <si>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</si>
  <si>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</si>
  <si>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</si>
  <si>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</si>
  <si>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</si>
  <si>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</si>
  <si>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</si>
  <si>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</si>
  <si>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</si>
  <si>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</si>
  <si>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</si>
  <si>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</si>
  <si>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</si>
  <si>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</si>
  <si>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</si>
  <si>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</si>
  <si>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</si>
  <si>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</si>
  <si>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</si>
  <si>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</si>
  <si>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</si>
  <si>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</si>
  <si>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Barium (Ba)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</si>
  <si>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</si>
  <si>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</si>
  <si>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</si>
  <si>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</si>
  <si>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</si>
  <si>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</si>
  <si>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</si>
  <si>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</si>
  <si>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</si>
  <si>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Selenium (Se)</t>
  </si>
  <si>
    <t>Tin (Sn)</t>
  </si>
  <si>
    <t>Tellurium (Te)</t>
  </si>
  <si>
    <t>Vanadium (V)</t>
  </si>
  <si>
    <t>Zinc (Zn)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</si>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</sst>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38264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8.65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IFERROR(0.48*(1-w),"")</f>
        <v>0.43848</v>
      </c>
      <c r="D20" s="13">
        <v>0.48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IFERROR(79.9*(1-w),"")</f>
        <v>72.98865</v>
      </c>
      <c r="D21" s="13">
        <v>79.9</v>
      </c>
      <c r="E21" s="13">
        <v>80.285369774919616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IFERROR(19.62*(1-w),"")</f>
        <v>17.922869999999993</v>
      </c>
      <c r="D22" s="13">
        <v>19.61999999999999</v>
      </c>
      <c r="E22" s="13">
        <v>19.714630225080377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IFERROR(52.65*(1-w),"")</f>
        <v>48.095774999999996</v>
      </c>
      <c r="D24" s="13">
        <v>52.65</v>
      </c>
      <c r="E24" s="13">
        <v>52.903938906752408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IFERROR(5.98*(1-w),"")</f>
        <v>5.4627300000000005</v>
      </c>
      <c r="D25" s="13">
        <v>5.98</v>
      </c>
      <c r="E25" s="13">
        <v>6.0088424437299039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IFERROR(40.57*(1-w),"")</f>
        <v>37.060695</v>
      </c>
      <c r="D26" s="13">
        <v>40.57</v>
      </c>
      <c r="E26" s="13">
        <v>40.76567524115756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IFERROR(0.21*(1-w),"")</f>
        <v>0.19183499999999998</v>
      </c>
      <c r="D27" s="13">
        <v>0.21</v>
      </c>
      <c r="E27" s="13">
        <v>0.21101286173633441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IFERROR(0.09*(1-w),"")</f>
        <v>0.082215</v>
      </c>
      <c r="D28" s="13">
        <v>0.09</v>
      </c>
      <c r="E28" s="13">
        <v>0.090434083601286172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IFERROR(100.0011*(1-w)+w*100,"")</f>
        <v>100.00100485</v>
      </c>
      <c r="D29" s="13">
        <v>100.0011</v>
      </c>
      <c r="E29" s="13">
        <v>100.00110530546623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IFERROR(200*(1-w),"")</f>
        <v>182.7</v>
      </c>
      <c r="D31" s="14">
        <v>200</v>
      </c>
      <c r="E31" s="14">
        <v>200.96463022508038</v>
      </c>
      <c r="F31" s="14"/>
      <c r="G31" s="14"/>
      <c r="I31" s="5"/>
      <c r="J31" s="0" t="s">
        <v>39</v>
      </c>
    </row>
    <row r="32" outlineLevel="2">
      <c r="A32" s="12" t="s">
        <v>48</v>
      </c>
      <c r="B32" s="0" t="s">
        <v>47</v>
      </c>
      <c r="C32" s="14">
        <f>IFERROR(11*(1-w),"")</f>
        <v>10.0485</v>
      </c>
      <c r="D32" s="14">
        <v>11</v>
      </c>
      <c r="E32" s="14">
        <v>11.053054662379422</v>
      </c>
      <c r="F32" s="14"/>
      <c r="G32" s="14"/>
      <c r="I32" s="5"/>
      <c r="J32" s="0" t="s">
        <v>39</v>
      </c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3">
        <f>IFERROR(19.14506*(1-w)-w*2.443,"")</f>
        <v>17.27769281</v>
      </c>
      <c r="D34" s="13">
        <v>19.14506</v>
      </c>
      <c r="E34" s="13">
        <v>19.237399517684889</v>
      </c>
      <c r="F34" s="13"/>
      <c r="G34" s="13"/>
      <c r="I34" s="5"/>
    </row>
    <row r="35" outlineLevel="2">
      <c r="A35" s="12" t="s">
        <v>52</v>
      </c>
      <c r="B35" s="0" t="s">
        <v>51</v>
      </c>
      <c r="C35" s="13">
        <f>IFERROR(20.45*(1-w),"")</f>
        <v>18.681075</v>
      </c>
      <c r="D35" s="13">
        <v>20.45</v>
      </c>
      <c r="E35" s="13">
        <v>20.548633440514468</v>
      </c>
      <c r="F35" s="13"/>
      <c r="G35" s="13"/>
      <c r="I35" s="5"/>
    </row>
    <row r="36" outlineLevel="2">
      <c r="A36" s="12" t="s">
        <v>53</v>
      </c>
      <c r="B36" s="0" t="s">
        <v>51</v>
      </c>
      <c r="C36" s="13">
        <f>IFERROR(20.9644752512*(1-w),"")</f>
        <v>19.1510481419712</v>
      </c>
      <c r="D36" s="13">
        <v>20.9644752512</v>
      </c>
      <c r="E36" s="13">
        <v>21.065590083601286</v>
      </c>
      <c r="F36" s="13"/>
      <c r="G36" s="13"/>
      <c r="I36" s="5"/>
      <c r="J36" s="0" t="s">
        <v>36</v>
      </c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4">
        <v>0.15</v>
      </c>
      <c r="D38" s="14"/>
      <c r="E38" s="14"/>
      <c r="F38" s="14"/>
      <c r="G38" s="14"/>
      <c r="I38" s="5"/>
      <c r="J38" s="0" t="s">
        <v>39</v>
      </c>
    </row>
    <row r="39" outlineLevel="2">
      <c r="A39" s="12" t="s">
        <v>57</v>
      </c>
      <c r="B39" s="0" t="s">
        <v>56</v>
      </c>
      <c r="C39" s="14">
        <v>10</v>
      </c>
      <c r="D39" s="14"/>
      <c r="E39" s="14"/>
      <c r="F39" s="14"/>
      <c r="G39" s="14"/>
      <c r="I39" s="5"/>
      <c r="J39" s="0" t="s">
        <v>39</v>
      </c>
    </row>
    <row r="40" outlineLevel="2">
      <c r="A40" s="12" t="s">
        <v>58</v>
      </c>
      <c r="B40" s="0" t="s">
        <v>56</v>
      </c>
      <c r="C40" s="14"/>
      <c r="D40" s="14"/>
      <c r="E40" s="14"/>
      <c r="F40" s="14"/>
      <c r="G40" s="14">
        <v>0.012</v>
      </c>
      <c r="I40" s="5"/>
    </row>
    <row r="41" outlineLevel="2">
      <c r="A41" s="12" t="s">
        <v>59</v>
      </c>
      <c r="B41" s="0" t="s">
        <v>56</v>
      </c>
      <c r="C41" s="14"/>
      <c r="D41" s="14"/>
      <c r="E41" s="14"/>
      <c r="F41" s="14"/>
      <c r="G41" s="14">
        <v>0.1</v>
      </c>
      <c r="I41" s="5"/>
    </row>
    <row r="42" outlineLevel="2">
      <c r="A42" s="12" t="s">
        <v>60</v>
      </c>
      <c r="B42" s="0" t="s">
        <v>56</v>
      </c>
      <c r="C42" s="14">
        <v>5.3</v>
      </c>
      <c r="D42" s="14"/>
      <c r="E42" s="14"/>
      <c r="F42" s="14"/>
      <c r="G42" s="14"/>
      <c r="I42" s="5"/>
      <c r="J42" s="0" t="s">
        <v>39</v>
      </c>
    </row>
    <row r="43" outlineLevel="2">
      <c r="A43" s="12" t="s">
        <v>61</v>
      </c>
      <c r="B43" s="0" t="s">
        <v>56</v>
      </c>
      <c r="C43" s="14"/>
      <c r="D43" s="14"/>
      <c r="E43" s="14"/>
      <c r="F43" s="14"/>
      <c r="G43" s="14">
        <v>5</v>
      </c>
      <c r="I43" s="5"/>
    </row>
    <row r="44" outlineLevel="2">
      <c r="A44" s="12" t="s">
        <v>62</v>
      </c>
      <c r="B44" s="0" t="s">
        <v>56</v>
      </c>
      <c r="C44" s="14"/>
      <c r="D44" s="14"/>
      <c r="E44" s="14"/>
      <c r="F44" s="14"/>
      <c r="G44" s="14">
        <v>0.02</v>
      </c>
      <c r="I44" s="5"/>
    </row>
    <row r="45" outlineLevel="2">
      <c r="A45" s="12" t="s">
        <v>63</v>
      </c>
      <c r="B45" s="0" t="s">
        <v>56</v>
      </c>
      <c r="C45" s="14">
        <v>23</v>
      </c>
      <c r="D45" s="14"/>
      <c r="E45" s="14"/>
      <c r="F45" s="14"/>
      <c r="G45" s="14"/>
      <c r="I45" s="5"/>
      <c r="J45" s="0" t="s">
        <v>39</v>
      </c>
    </row>
    <row r="46" outlineLevel="2">
      <c r="A46" s="12" t="s">
        <v>64</v>
      </c>
      <c r="B46" s="0" t="s">
        <v>56</v>
      </c>
      <c r="C46" s="14"/>
      <c r="D46" s="14"/>
      <c r="E46" s="14"/>
      <c r="F46" s="14"/>
      <c r="G46" s="14">
        <v>3</v>
      </c>
      <c r="I46" s="5"/>
    </row>
    <row r="47" outlineLevel="2">
      <c r="A47" s="12" t="s">
        <v>65</v>
      </c>
      <c r="B47" s="0" t="s">
        <v>56</v>
      </c>
      <c r="C47" s="14">
        <v>3.46</v>
      </c>
      <c r="D47" s="14"/>
      <c r="E47" s="14"/>
      <c r="F47" s="14"/>
      <c r="G47" s="14"/>
      <c r="I47" s="5"/>
      <c r="J47" s="0" t="s">
        <v>39</v>
      </c>
    </row>
    <row r="48" outlineLevel="2">
      <c r="A48" s="12" t="s">
        <v>66</v>
      </c>
      <c r="B48" s="0" t="s">
        <v>56</v>
      </c>
      <c r="C48" s="14"/>
      <c r="D48" s="14"/>
      <c r="E48" s="14"/>
      <c r="F48" s="14"/>
      <c r="G48" s="14">
        <v>1</v>
      </c>
      <c r="I48" s="5"/>
    </row>
    <row r="49" outlineLevel="2">
      <c r="A49" s="12" t="s">
        <v>67</v>
      </c>
      <c r="B49" s="0" t="s">
        <v>56</v>
      </c>
      <c r="C49" s="14"/>
      <c r="D49" s="14"/>
      <c r="E49" s="14"/>
      <c r="F49" s="14"/>
      <c r="G49" s="14">
        <v>0.1</v>
      </c>
      <c r="I49" s="5"/>
    </row>
    <row r="50" outlineLevel="2">
      <c r="A50" s="12" t="s">
        <v>68</v>
      </c>
      <c r="B50" s="0" t="s">
        <v>56</v>
      </c>
      <c r="C50" s="14"/>
      <c r="D50" s="14"/>
      <c r="E50" s="14"/>
      <c r="F50" s="14"/>
      <c r="G50" s="14">
        <v>1</v>
      </c>
      <c r="I50" s="5"/>
    </row>
    <row r="51" outlineLevel="2">
      <c r="A51" s="12" t="s">
        <v>69</v>
      </c>
      <c r="B51" s="0" t="s">
        <v>56</v>
      </c>
      <c r="C51" s="14"/>
      <c r="D51" s="14"/>
      <c r="E51" s="14"/>
      <c r="F51" s="14"/>
      <c r="G51" s="14">
        <v>1</v>
      </c>
      <c r="I51" s="5"/>
    </row>
    <row r="52" outlineLevel="2">
      <c r="A52" s="12" t="s">
        <v>70</v>
      </c>
      <c r="B52" s="0" t="s">
        <v>56</v>
      </c>
      <c r="C52" s="14"/>
      <c r="D52" s="14"/>
      <c r="E52" s="14"/>
      <c r="F52" s="14"/>
      <c r="G52" s="14">
        <v>1</v>
      </c>
      <c r="I52" s="5"/>
    </row>
    <row r="53" outlineLevel="2">
      <c r="A53" s="12" t="s">
        <v>71</v>
      </c>
      <c r="B53" s="0" t="s">
        <v>56</v>
      </c>
      <c r="C53" s="14">
        <v>14</v>
      </c>
      <c r="D53" s="14"/>
      <c r="E53" s="14"/>
      <c r="F53" s="14"/>
      <c r="G53" s="14"/>
      <c r="I53" s="5"/>
      <c r="J53" s="0" t="s">
        <v>39</v>
      </c>
    </row>
    <row r="54" outlineLevel="1">
      <c r="A54" s="11" t="s">
        <v>72</v>
      </c>
      <c r="I54" s="5"/>
    </row>
    <row r="55" outlineLevel="2">
      <c r="A55" s="15" t="s">
        <v>73</v>
      </c>
      <c r="I55" s="5"/>
    </row>
    <row r="56" outlineLevel="3">
      <c r="A56" s="16" t="s">
        <v>74</v>
      </c>
      <c r="B56" s="0" t="s">
        <v>75</v>
      </c>
      <c r="C56" s="17">
        <v>1360</v>
      </c>
      <c r="D56" s="17"/>
      <c r="E56" s="17"/>
      <c r="F56" s="17"/>
      <c r="G56" s="17"/>
      <c r="I56" s="5"/>
    </row>
    <row r="57" outlineLevel="3">
      <c r="A57" s="16" t="s">
        <v>76</v>
      </c>
      <c r="B57" s="0" t="s">
        <v>75</v>
      </c>
      <c r="C57" s="17">
        <v>1430</v>
      </c>
      <c r="D57" s="17"/>
      <c r="E57" s="17"/>
      <c r="F57" s="17"/>
      <c r="G57" s="17"/>
      <c r="I57" s="5"/>
    </row>
    <row r="58" outlineLevel="3">
      <c r="A58" s="16" t="s">
        <v>77</v>
      </c>
      <c r="B58" s="0" t="s">
        <v>75</v>
      </c>
      <c r="C58" s="17">
        <v>1440</v>
      </c>
      <c r="D58" s="17"/>
      <c r="E58" s="17"/>
      <c r="F58" s="17"/>
      <c r="G58" s="17"/>
      <c r="I58" s="5"/>
    </row>
    <row r="59" outlineLevel="3">
      <c r="A59" s="16" t="s">
        <v>78</v>
      </c>
      <c r="B59" s="0" t="s">
        <v>75</v>
      </c>
      <c r="C59" s="17">
        <v>1450</v>
      </c>
      <c r="D59" s="17"/>
      <c r="E59" s="17"/>
      <c r="F59" s="17"/>
      <c r="G59" s="17"/>
      <c r="I59" s="5"/>
    </row>
    <row r="60">
      <c r="A60" s="7" t="s">
        <v>79</v>
      </c>
      <c r="I60" s="5"/>
    </row>
    <row r="61" outlineLevel="1">
      <c r="A61" s="11" t="s">
        <v>80</v>
      </c>
      <c r="I61" s="5"/>
    </row>
    <row r="62" outlineLevel="2">
      <c r="A62" s="12" t="s">
        <v>81</v>
      </c>
      <c r="B62" s="0" t="s">
        <v>82</v>
      </c>
      <c r="C62" s="13">
        <v>1.8</v>
      </c>
      <c r="D62" s="13"/>
      <c r="E62" s="13"/>
      <c r="F62" s="13"/>
      <c r="G62" s="13"/>
      <c r="I62" s="5"/>
    </row>
    <row r="63" outlineLevel="2">
      <c r="A63" s="12" t="s">
        <v>83</v>
      </c>
      <c r="B63" s="0" t="s">
        <v>82</v>
      </c>
      <c r="C63" s="13">
        <v>0.7</v>
      </c>
      <c r="D63" s="13"/>
      <c r="E63" s="13"/>
      <c r="F63" s="13"/>
      <c r="G63" s="13"/>
      <c r="I63" s="5"/>
    </row>
    <row r="64" outlineLevel="2">
      <c r="A64" s="12" t="s">
        <v>84</v>
      </c>
      <c r="B64" s="0" t="s">
        <v>82</v>
      </c>
      <c r="C64" s="13">
        <v>14.3</v>
      </c>
      <c r="D64" s="13"/>
      <c r="E64" s="13"/>
      <c r="F64" s="13"/>
      <c r="G64" s="13"/>
      <c r="I64" s="5"/>
    </row>
    <row r="65" outlineLevel="2">
      <c r="A65" s="12" t="s">
        <v>85</v>
      </c>
      <c r="B65" s="0" t="s">
        <v>82</v>
      </c>
      <c r="C65" s="13">
        <v>2.1</v>
      </c>
      <c r="D65" s="13"/>
      <c r="E65" s="13"/>
      <c r="F65" s="13"/>
      <c r="G65" s="13"/>
      <c r="I65" s="5"/>
    </row>
    <row r="66" outlineLevel="2">
      <c r="A66" s="12" t="s">
        <v>86</v>
      </c>
      <c r="B66" s="0" t="s">
        <v>82</v>
      </c>
      <c r="C66" s="13">
        <v>2.3</v>
      </c>
      <c r="D66" s="13"/>
      <c r="E66" s="13"/>
      <c r="F66" s="13"/>
      <c r="G66" s="13"/>
      <c r="I66" s="5"/>
    </row>
    <row r="67" outlineLevel="2">
      <c r="A67" s="12" t="s">
        <v>87</v>
      </c>
      <c r="B67" s="0" t="s">
        <v>82</v>
      </c>
      <c r="C67" s="13">
        <v>36.5</v>
      </c>
      <c r="D67" s="13"/>
      <c r="E67" s="13"/>
      <c r="F67" s="13"/>
      <c r="G67" s="13"/>
      <c r="I67" s="5"/>
    </row>
    <row r="68" outlineLevel="2">
      <c r="A68" s="12" t="s">
        <v>88</v>
      </c>
      <c r="B68" s="0" t="s">
        <v>82</v>
      </c>
      <c r="C68" s="13">
        <v>8.1</v>
      </c>
      <c r="D68" s="13"/>
      <c r="E68" s="13"/>
      <c r="F68" s="13"/>
      <c r="G68" s="13"/>
      <c r="I68" s="5"/>
    </row>
    <row r="69" outlineLevel="2">
      <c r="A69" s="12" t="s">
        <v>89</v>
      </c>
      <c r="B69" s="0" t="s">
        <v>82</v>
      </c>
      <c r="C69" s="13">
        <v>1.2</v>
      </c>
      <c r="D69" s="13"/>
      <c r="E69" s="13"/>
      <c r="F69" s="13"/>
      <c r="G69" s="13"/>
      <c r="I69" s="5"/>
    </row>
    <row r="70" outlineLevel="2">
      <c r="A70" s="12" t="s">
        <v>90</v>
      </c>
      <c r="B70" s="0" t="s">
        <v>82</v>
      </c>
      <c r="C70" s="13">
        <v>6.8</v>
      </c>
      <c r="D70" s="13"/>
      <c r="E70" s="13"/>
      <c r="F70" s="13"/>
      <c r="G70" s="13"/>
      <c r="I70" s="5"/>
    </row>
    <row r="71" outlineLevel="2">
      <c r="A71" s="12" t="s">
        <v>91</v>
      </c>
      <c r="B71" s="0" t="s">
        <v>82</v>
      </c>
      <c r="C71" s="13">
        <v>0.6</v>
      </c>
      <c r="D71" s="13"/>
      <c r="E71" s="13"/>
      <c r="F71" s="13"/>
      <c r="G71" s="13"/>
      <c r="I71" s="5"/>
    </row>
    <row r="72">
      <c r="I72" s="5"/>
    </row>
    <row r="7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6:E56"/>
    <mergeCell ref="C57:E57"/>
    <mergeCell ref="C58:E58"/>
    <mergeCell ref="C59:E59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</mergeCells>
  <dataValidations count="1">
    <dataValidation type="decimal" sqref="C19" errorStyle="stop" promptTitle="Enter moisture content" errorTitle="Invalid moisture content" prompt="Value should be between 0 and 100.&#10;Original value: 8.6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https://phyllis.nl/Biomass/View/2768</dc:description>
  <dcterms:created xsi:type="dcterms:W3CDTF">2026-03-19T07:17:09Z</dcterms:created>
  <dc:title>Phyllis2 #2768 Profactus (NL) fuel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