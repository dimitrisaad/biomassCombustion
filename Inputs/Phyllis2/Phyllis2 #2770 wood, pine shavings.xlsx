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70 wood, pine shavi" sheetId="1" r:id="rId1"/>
  </sheets>
  <definedNames>
    <definedName name="w" localSheetId="0">IF(ISBLANK('Phyllis2 #2770 wood, pine shavi'!$C$18),#N/A,'Phyllis2 #2770 wood, pine shavi'!$C$18/100)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<sst xmlns="http://schemas.openxmlformats.org/spreadsheetml/2006/main" count="66" uniqueCount="66">
  <si>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</si>
  <si>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https://phyllis.nl/Biomass/View/2770</t>
  </si>
  <si>
    <t>wood, pine shavings (#2770)</t>
  </si>
  <si>
    <t>ID-number</t>
  </si>
  <si>
    <t>#2770</t>
  </si>
  <si>
    <t>Material</t>
  </si>
  <si>
    <t>wood, pine shavings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</si>
  <si>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</si>
  <si>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</si>
  <si>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</si>
  <si>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</si>
  <si>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</si>
  <si>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</si>
  <si>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Literature</t>
  </si>
  <si>
    <t>S.M. Miller, B.G. Miller: The occurrence of inorganic elements in various biofuels and its effect on the formation of melt phases during combustion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</si>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</sst>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38385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45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IFERROR(0.1*(1-w),"")</f>
        <v>0.055000000000000007</v>
      </c>
      <c r="D19" s="13">
        <v>0.1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IFERROR(84.7*(1-w),"")</f>
        <v>46.585000000000008</v>
      </c>
      <c r="D20" s="13">
        <v>84.7</v>
      </c>
      <c r="E20" s="13">
        <v>84.78478478478479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IFERROR(15.2*(1-w),"")</f>
        <v>8.360000000000003</v>
      </c>
      <c r="D21" s="13">
        <v>15.200000000000003</v>
      </c>
      <c r="E21" s="13">
        <v>15.215215215215219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IFERROR(49.1*(1-w),"")</f>
        <v>27.005000000000003</v>
      </c>
      <c r="D23" s="13">
        <v>49.1</v>
      </c>
      <c r="E23" s="13">
        <v>49.149149149149153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IFERROR(6.4*(1-w),"")</f>
        <v>3.5200000000000005</v>
      </c>
      <c r="D24" s="13">
        <v>6.4</v>
      </c>
      <c r="E24" s="13">
        <v>6.4064064064064068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IFERROR(44*(1-w),"")</f>
        <v>24.200000000000003</v>
      </c>
      <c r="D25" s="13">
        <v>44</v>
      </c>
      <c r="E25" s="13">
        <v>44.044044044044043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IFERROR(0.2*(1-w),"")</f>
        <v>0.11000000000000001</v>
      </c>
      <c r="D26" s="13">
        <v>0.2</v>
      </c>
      <c r="E26" s="13">
        <v>0.20020020020020021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IFERROR(0.2*(1-w),"")</f>
        <v>0.11000000000000001</v>
      </c>
      <c r="D27" s="13">
        <v>0.2</v>
      </c>
      <c r="E27" s="13">
        <v>0.20020020020020021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IFERROR(100*(1-w)+w*100,"")</f>
        <v>100</v>
      </c>
      <c r="D28" s="13">
        <v>100</v>
      </c>
      <c r="E28" s="13">
        <v>100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IFERROR(18.05841*(1-w)-w*2.443,"")</f>
        <v>8.8327755</v>
      </c>
      <c r="D30" s="13">
        <v>18.05841</v>
      </c>
      <c r="E30" s="13">
        <v>18.076486486486484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IFERROR(19.455*(1-w),"")</f>
        <v>10.70025</v>
      </c>
      <c r="D31" s="13">
        <v>19.455</v>
      </c>
      <c r="E31" s="13">
        <v>19.474474474474473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IFERROR(19.91209153*(1-w),"")</f>
        <v>10.951650341500006</v>
      </c>
      <c r="D32" s="13">
        <v>19.912091530000009</v>
      </c>
      <c r="E32" s="13">
        <v>19.932023553553563</v>
      </c>
      <c r="F32" s="13"/>
      <c r="G32" s="13"/>
      <c r="I32" s="5"/>
      <c r="J32" s="0" t="s">
        <v>35</v>
      </c>
    </row>
    <row r="33">
      <c r="A33" s="7" t="s">
        <v>49</v>
      </c>
      <c r="I33" s="5"/>
    </row>
    <row r="34" outlineLevel="1">
      <c r="A34" s="11" t="s">
        <v>50</v>
      </c>
      <c r="I34" s="5"/>
    </row>
    <row r="35" outlineLevel="2">
      <c r="A35" s="12" t="s">
        <v>51</v>
      </c>
      <c r="B35" s="0" t="s">
        <v>52</v>
      </c>
      <c r="C35" s="14">
        <v>100</v>
      </c>
      <c r="D35" s="14"/>
      <c r="E35" s="14"/>
      <c r="F35" s="14"/>
      <c r="G35" s="14"/>
      <c r="I35" s="5"/>
    </row>
    <row r="36">
      <c r="A36" s="7" t="s">
        <v>53</v>
      </c>
      <c r="I36" s="5"/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3">
        <v>0.05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56</v>
      </c>
      <c r="C39" s="13">
        <v>1.44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56</v>
      </c>
      <c r="C40" s="13">
        <v>57.2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56</v>
      </c>
      <c r="C41" s="13">
        <v>5.94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56</v>
      </c>
      <c r="C42" s="13">
        <v>13.4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56</v>
      </c>
      <c r="C43" s="13">
        <v>8.75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56</v>
      </c>
      <c r="C44" s="13">
        <v>3.35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56</v>
      </c>
      <c r="C45" s="13">
        <v>1.38</v>
      </c>
      <c r="D45" s="13"/>
      <c r="E45" s="13"/>
      <c r="F45" s="13"/>
      <c r="G45" s="13"/>
      <c r="I45" s="5"/>
    </row>
    <row r="46" outlineLevel="2">
      <c r="A46" s="12" t="s">
        <v>64</v>
      </c>
      <c r="B46" s="0" t="s">
        <v>56</v>
      </c>
      <c r="C46" s="13">
        <v>4.94</v>
      </c>
      <c r="D46" s="13"/>
      <c r="E46" s="13"/>
      <c r="F46" s="13"/>
      <c r="G46" s="13"/>
      <c r="I46" s="5"/>
    </row>
    <row r="47" outlineLevel="2">
      <c r="A47" s="12" t="s">
        <v>65</v>
      </c>
      <c r="B47" s="0" t="s">
        <v>56</v>
      </c>
      <c r="C47" s="13">
        <v>1.16</v>
      </c>
      <c r="D47" s="13"/>
      <c r="E47" s="13"/>
      <c r="F47" s="13"/>
      <c r="G47" s="13"/>
      <c r="I47" s="5"/>
    </row>
    <row r="48">
      <c r="I48" s="5"/>
    </row>
    <row r="4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8" errorStyle="stop" promptTitle="Enter moisture content" errorTitle="Invalid moisture content" prompt="Value should be between 0 and 100.&#10;Original value: 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https://phyllis.nl/Biomass/View/2770</dc:description>
  <dcterms:created xsi:type="dcterms:W3CDTF">2026-03-19T07:07:31Z</dcterms:created>
  <dc:title>Phyllis2 #2770 wood, pine shavings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