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71 reed canary gras" sheetId="1" r:id="rId1"/>
  </sheets>
  <definedNames>
    <definedName name="w" localSheetId="0">IF(ISBLANK('Phyllis2 #2771 reed canary gras'!$C$18),#N/A,'Phyllis2 #2771 reed canary gras'!$C$18/100)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<sst xmlns="http://schemas.openxmlformats.org/spreadsheetml/2006/main" count="66" uniqueCount="66">
  <si>
    <t>Phyllis2</t>
  </si>
  <si>
    <t>https://phyllis.nl/Biomass/View/2771</t>
  </si>
  <si>
    <t>reed canary grass (#2771)</t>
  </si>
  <si>
    <t>ID-number</t>
  </si>
  <si>
    <t>#2771</t>
  </si>
  <si>
    <t>Material</t>
  </si>
  <si>
    <t>reed canary grass</t>
  </si>
  <si>
    <t>Classification</t>
  </si>
  <si>
    <t>ECN Phyllis classification &gt; grass/plant &gt; reed &gt; reed canary grass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</si>
  <si>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</si>
  <si>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</si>
  <si>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</si>
  <si>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</si>
  <si>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Literature</t>
  </si>
  <si>
    <t>S.M. Miller, B.G. Miller: The occurrence of inorganic elements in various biofuels and its effect on the formation of melt phases during combustion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</si>
  <si>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</si>
  <si>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</si>
  <si>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</si>
  <si>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</si>
  <si>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</si>
  <si>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</si>
  <si>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</si>
  <si>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</si>
  <si>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</si>
  <si>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</si>
  <si>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</si>
  <si>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</si>
  <si>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</si>
  <si>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</si>
  <si>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</si>
  <si>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</si>
  <si>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</si>
  <si>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</si>
  <si>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</si>
  <si>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</si>
  <si>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</si>
  <si>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</si>
  <si>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</si>
  <si>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</si>
  <si>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</si>
  <si>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</si>
  <si>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</si>
  <si>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</si>
  <si>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</si>
  <si>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</si>
  <si>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</si>
  <si>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</si>
  <si>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</si>
  <si>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</si>
  <si>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Physical Properties</t>
  </si>
  <si>
    <t>Commonly used properties</t>
  </si>
  <si>
    <t>Bulk density (ar)</t>
  </si>
  <si>
    <t>kg/m³ (ar)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</si>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</sst>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7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38385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65.2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IFERROR(4.1*(1-w),"")</f>
        <v>1.4267999999999998</v>
      </c>
      <c r="D19" s="13">
        <v>4.1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IFERROR(76.1*(1-w),"")</f>
        <v>26.482799999999997</v>
      </c>
      <c r="D20" s="13">
        <v>76.1</v>
      </c>
      <c r="E20" s="13">
        <v>79.353493222106351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IFERROR(19.8*(1-w),"")</f>
        <v>6.8904000000000032</v>
      </c>
      <c r="D21" s="13">
        <v>19.800000000000011</v>
      </c>
      <c r="E21" s="13">
        <v>20.646506777893652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IFERROR(45.8*(1-w),"")</f>
        <v>15.938399999999998</v>
      </c>
      <c r="D23" s="13">
        <v>45.8</v>
      </c>
      <c r="E23" s="13">
        <v>47.75808133472367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IFERROR(6.1*(1-w),"")</f>
        <v>2.1228</v>
      </c>
      <c r="D24" s="13">
        <v>6.1</v>
      </c>
      <c r="E24" s="13">
        <v>6.3607924921793533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IFERROR(42.9*(1-w),"")</f>
        <v>14.929199999999998</v>
      </c>
      <c r="D25" s="13">
        <v>42.9</v>
      </c>
      <c r="E25" s="13">
        <v>44.734098018769551</v>
      </c>
      <c r="F25" s="13"/>
      <c r="G25" s="13"/>
      <c r="I25" s="5"/>
      <c r="J25" s="0" t="s">
        <v>38</v>
      </c>
    </row>
    <row r="26" outlineLevel="2">
      <c r="A26" s="12" t="s">
        <v>41</v>
      </c>
      <c r="B26" s="0" t="s">
        <v>31</v>
      </c>
      <c r="C26" s="13">
        <f>IFERROR(1*(1-w),"")</f>
        <v>0.348</v>
      </c>
      <c r="D26" s="13">
        <v>1</v>
      </c>
      <c r="E26" s="13">
        <v>1.0427528675703859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IFERROR(0.1*(1-w),"")</f>
        <v>0.0348</v>
      </c>
      <c r="D27" s="13">
        <v>0.1</v>
      </c>
      <c r="E27" s="13">
        <v>0.10427528675703859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IFERROR(100*(1-w)+w*100,"")</f>
        <v>100</v>
      </c>
      <c r="D28" s="13">
        <v>99.999999999999986</v>
      </c>
      <c r="E28" s="13">
        <v>100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IFERROR(15.49688*(1-w)-w*2.443,"")</f>
        <v>3.8000782399999995</v>
      </c>
      <c r="D30" s="13">
        <v>15.49688</v>
      </c>
      <c r="E30" s="13">
        <v>16.159416058394161</v>
      </c>
      <c r="F30" s="13"/>
      <c r="G30" s="13"/>
      <c r="I30" s="5"/>
    </row>
    <row r="31" outlineLevel="2">
      <c r="A31" s="12" t="s">
        <v>47</v>
      </c>
      <c r="B31" s="0" t="s">
        <v>46</v>
      </c>
      <c r="C31" s="13">
        <f>IFERROR(16.828*(1-w),"")</f>
        <v>5.856144</v>
      </c>
      <c r="D31" s="13">
        <v>16.828</v>
      </c>
      <c r="E31" s="13">
        <v>17.547445255474454</v>
      </c>
      <c r="F31" s="13"/>
      <c r="G31" s="13"/>
      <c r="I31" s="5"/>
    </row>
    <row r="32" outlineLevel="2">
      <c r="A32" s="12" t="s">
        <v>48</v>
      </c>
      <c r="B32" s="0" t="s">
        <v>46</v>
      </c>
      <c r="C32" s="13">
        <f>IFERROR(18.36070193*(1-w),"")</f>
        <v>6.38952427164</v>
      </c>
      <c r="D32" s="13">
        <v>18.36070193</v>
      </c>
      <c r="E32" s="13">
        <v>19.14567458811262</v>
      </c>
      <c r="F32" s="13"/>
      <c r="G32" s="13"/>
      <c r="I32" s="5"/>
      <c r="J32" s="0" t="s">
        <v>35</v>
      </c>
    </row>
    <row r="33">
      <c r="A33" s="7" t="s">
        <v>49</v>
      </c>
      <c r="I33" s="5"/>
    </row>
    <row r="34" outlineLevel="1">
      <c r="A34" s="11" t="s">
        <v>50</v>
      </c>
      <c r="I34" s="5"/>
    </row>
    <row r="35" outlineLevel="2">
      <c r="A35" s="12" t="s">
        <v>51</v>
      </c>
      <c r="B35" s="0" t="s">
        <v>52</v>
      </c>
      <c r="C35" s="14">
        <v>50</v>
      </c>
      <c r="D35" s="14"/>
      <c r="E35" s="14"/>
      <c r="F35" s="14"/>
      <c r="G35" s="14"/>
      <c r="I35" s="5"/>
    </row>
    <row r="36">
      <c r="A36" s="7" t="s">
        <v>53</v>
      </c>
      <c r="I36" s="5"/>
    </row>
    <row r="37" outlineLevel="1">
      <c r="A37" s="11" t="s">
        <v>54</v>
      </c>
      <c r="I37" s="5"/>
    </row>
    <row r="38" outlineLevel="2">
      <c r="A38" s="12" t="s">
        <v>55</v>
      </c>
      <c r="B38" s="0" t="s">
        <v>56</v>
      </c>
      <c r="C38" s="13">
        <v>0.02</v>
      </c>
      <c r="D38" s="13"/>
      <c r="E38" s="13"/>
      <c r="F38" s="13"/>
      <c r="G38" s="13"/>
      <c r="I38" s="5"/>
    </row>
    <row r="39" outlineLevel="2">
      <c r="A39" s="12" t="s">
        <v>57</v>
      </c>
      <c r="B39" s="0" t="s">
        <v>56</v>
      </c>
      <c r="C39" s="13">
        <v>13.8</v>
      </c>
      <c r="D39" s="13"/>
      <c r="E39" s="13"/>
      <c r="F39" s="13"/>
      <c r="G39" s="13"/>
      <c r="I39" s="5"/>
    </row>
    <row r="40" outlineLevel="2">
      <c r="A40" s="12" t="s">
        <v>58</v>
      </c>
      <c r="B40" s="0" t="s">
        <v>56</v>
      </c>
      <c r="C40" s="13">
        <v>43</v>
      </c>
      <c r="D40" s="13"/>
      <c r="E40" s="13"/>
      <c r="F40" s="13"/>
      <c r="G40" s="13"/>
      <c r="I40" s="5"/>
    </row>
    <row r="41" outlineLevel="2">
      <c r="A41" s="12" t="s">
        <v>59</v>
      </c>
      <c r="B41" s="0" t="s">
        <v>56</v>
      </c>
      <c r="C41" s="13">
        <v>1.47</v>
      </c>
      <c r="D41" s="13"/>
      <c r="E41" s="13"/>
      <c r="F41" s="13"/>
      <c r="G41" s="13"/>
      <c r="I41" s="5"/>
    </row>
    <row r="42" outlineLevel="2">
      <c r="A42" s="12" t="s">
        <v>60</v>
      </c>
      <c r="B42" s="0" t="s">
        <v>56</v>
      </c>
      <c r="C42" s="13">
        <v>1.66</v>
      </c>
      <c r="D42" s="13"/>
      <c r="E42" s="13"/>
      <c r="F42" s="13"/>
      <c r="G42" s="13"/>
      <c r="I42" s="5"/>
    </row>
    <row r="43" outlineLevel="2">
      <c r="A43" s="12" t="s">
        <v>61</v>
      </c>
      <c r="B43" s="0" t="s">
        <v>56</v>
      </c>
      <c r="C43" s="13">
        <v>9.57</v>
      </c>
      <c r="D43" s="13"/>
      <c r="E43" s="13"/>
      <c r="F43" s="13"/>
      <c r="G43" s="13"/>
      <c r="I43" s="5"/>
    </row>
    <row r="44" outlineLevel="2">
      <c r="A44" s="12" t="s">
        <v>62</v>
      </c>
      <c r="B44" s="0" t="s">
        <v>56</v>
      </c>
      <c r="C44" s="13">
        <v>5.29</v>
      </c>
      <c r="D44" s="13"/>
      <c r="E44" s="13"/>
      <c r="F44" s="13"/>
      <c r="G44" s="13"/>
      <c r="I44" s="5"/>
    </row>
    <row r="45" outlineLevel="2">
      <c r="A45" s="12" t="s">
        <v>63</v>
      </c>
      <c r="B45" s="0" t="s">
        <v>56</v>
      </c>
      <c r="C45" s="13">
        <v>2.34</v>
      </c>
      <c r="D45" s="13"/>
      <c r="E45" s="13"/>
      <c r="F45" s="13"/>
      <c r="G45" s="13"/>
      <c r="I45" s="5"/>
    </row>
    <row r="46" outlineLevel="2">
      <c r="A46" s="12" t="s">
        <v>64</v>
      </c>
      <c r="B46" s="0" t="s">
        <v>56</v>
      </c>
      <c r="C46" s="13">
        <v>18.1</v>
      </c>
      <c r="D46" s="13"/>
      <c r="E46" s="13"/>
      <c r="F46" s="13"/>
      <c r="G46" s="13"/>
      <c r="I46" s="5"/>
    </row>
    <row r="47" outlineLevel="2">
      <c r="A47" s="12" t="s">
        <v>65</v>
      </c>
      <c r="B47" s="0" t="s">
        <v>56</v>
      </c>
      <c r="C47" s="13">
        <v>4.99</v>
      </c>
      <c r="D47" s="13"/>
      <c r="E47" s="13"/>
      <c r="F47" s="13"/>
      <c r="G47" s="13"/>
      <c r="I47" s="5"/>
    </row>
    <row r="48">
      <c r="I48" s="5"/>
    </row>
    <row r="49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</mergeCells>
  <dataValidations count="1">
    <dataValidation type="decimal" sqref="C18" errorStyle="stop" promptTitle="Enter moisture content" errorTitle="Invalid moisture content" prompt="Value should be between 0 and 100.&#10;Original value: 65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https://phyllis.nl/Biomass/View/2771</dc:description>
  <dcterms:created xsi:type="dcterms:W3CDTF">2026-03-04T04:37:19Z</dcterms:created>
  <dc:title>Phyllis2 #2771 reed canary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