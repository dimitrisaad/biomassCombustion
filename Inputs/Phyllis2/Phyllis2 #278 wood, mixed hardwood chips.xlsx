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8 wood, mixed hardw" sheetId="1" r:id="rId1"/>
  </sheets>
  <definedNames>
    <definedName name="w" localSheetId="0">IF(ISBLANK('Phyllis2 #278 wood, mixed hardw'!$C$18),#N/A,'Phyllis2 #278 wood, mixed hardw'!$C$18/100)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<sst xmlns="http://schemas.openxmlformats.org/spreadsheetml/2006/main" count="52" uniqueCount="52">
  <si>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</si>
  <si>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https://phyllis.nl/Biomass/View/278</t>
  </si>
  <si>
    <t>wood, mixed hardwood chips (#278)</t>
  </si>
  <si>
    <t>ID-number</t>
  </si>
  <si>
    <t>#278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</si>
  <si>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</si>
  <si>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</si>
  <si>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</si>
  <si>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</si>
  <si>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</si>
  <si>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</si>
  <si>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</si>
  <si>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Remarks</t>
  </si>
  <si>
    <t>mixed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</si>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</sst>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28.3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IFERROR(0.43*(1-w),"")</f>
        <v>0.30831</v>
      </c>
      <c r="D19" s="11">
        <v>0.43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IFERROR(83.53*(1-w),"")</f>
        <v>59.89101</v>
      </c>
      <c r="D20" s="11">
        <v>83.53</v>
      </c>
      <c r="E20" s="11">
        <v>83.890730139600279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IFERROR(16.04*(1-w),"")</f>
        <v>11.500679999999994</v>
      </c>
      <c r="D21" s="11">
        <v>16.039999999999992</v>
      </c>
      <c r="E21" s="11">
        <v>16.10926986039971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IFERROR(49.99*(1-w),"")</f>
        <v>35.84283</v>
      </c>
      <c r="D23" s="11">
        <v>49.99</v>
      </c>
      <c r="E23" s="11">
        <v>50.205885306819326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IFERROR(5.77*(1-w),"")</f>
        <v>4.13709</v>
      </c>
      <c r="D24" s="11">
        <v>5.77</v>
      </c>
      <c r="E24" s="11">
        <v>5.7949181480365564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IFERROR(43.52*(1-w),"")</f>
        <v>31.20384</v>
      </c>
      <c r="D25" s="11">
        <v>43.52</v>
      </c>
      <c r="E25" s="11">
        <v>43.707944159887518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IFERROR(0.22*(1-w),"")</f>
        <v>0.15774</v>
      </c>
      <c r="D26" s="11">
        <v>0.22</v>
      </c>
      <c r="E26" s="11">
        <v>0.22095008536707844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IFERROR(0.04*(1-w),"")</f>
        <v>0.02868</v>
      </c>
      <c r="D27" s="11">
        <v>0.04</v>
      </c>
      <c r="E27" s="11">
        <v>0.040172742794014261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100.00000000000001</v>
      </c>
      <c r="E28" s="11">
        <v>100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IFERROR(300*(1-w),"")</f>
        <v>215.1</v>
      </c>
      <c r="D30" s="12">
        <v>300</v>
      </c>
      <c r="E30" s="12">
        <v>301.29557095510694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IFERROR(18.14574*(1-w)-w*2.443,"")</f>
        <v>12.319126579999999</v>
      </c>
      <c r="D32" s="11">
        <v>18.14574</v>
      </c>
      <c r="E32" s="11">
        <v>18.224103645676408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IFERROR(19.40485*(1-w),"")</f>
        <v>13.913277449999999</v>
      </c>
      <c r="D33" s="11">
        <v>19.40485</v>
      </c>
      <c r="E33" s="11">
        <v>19.488651200160689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IFERROR(19.4219232897*(1-w),"")</f>
        <v>13.9255189987149</v>
      </c>
      <c r="D34" s="11">
        <v>19.4219232897</v>
      </c>
      <c r="E34" s="11">
        <v>19.505798222054835</v>
      </c>
      <c r="F34" s="11"/>
      <c r="G34" s="11"/>
      <c r="I34" s="13"/>
      <c r="J34" s="0" t="s">
        <v>35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28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https://phyllis.nl/Biomass/View/278</dc:description>
  <dcterms:created xsi:type="dcterms:W3CDTF">2026-03-19T07:15:50Z</dcterms:created>
  <dc:title>Phyllis2 #278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