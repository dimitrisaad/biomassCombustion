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784 pine chips" sheetId="1" r:id="rId1"/>
  </sheets>
  <definedNames>
    <definedName name="w" localSheetId="0">IF(ISBLANK('Phyllis2 #2784 pine chips'!$C$20),#N/A,'Phyllis2 #2784 pine chips'!$C$20/100)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7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7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7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<sst xmlns="http://schemas.openxmlformats.org/spreadsheetml/2006/main" count="74" uniqueCount="74">
  <si>
    <t>Phyllis2</t>
  </si>
  <si>
    <t>https://phyllis.nl/Biomass/View/2784</t>
  </si>
  <si>
    <t>pine chips (#2784)</t>
  </si>
  <si>
    <t>ID-number</t>
  </si>
  <si>
    <t>#2784</t>
  </si>
  <si>
    <t>Material</t>
  </si>
  <si>
    <t>pine chips</t>
  </si>
  <si>
    <t>Classification</t>
  </si>
  <si>
    <t>ECN Phyllis classification &gt; untreated wood &gt; fir/pine/spruce</t>
  </si>
  <si>
    <t>NTA 8003 classification &gt; [100] hout &gt; [110] vers hout &gt; [130] naaldhout &gt; [131] naaldhout</t>
  </si>
  <si>
    <t>Ash type</t>
  </si>
  <si>
    <t>CEN/TS 14775</t>
  </si>
  <si>
    <t>Submitter organisation</t>
  </si>
  <si>
    <t>ECN (Netherlands)</t>
  </si>
  <si>
    <t>Submission date</t>
  </si>
  <si>
    <t>Remarks</t>
  </si>
  <si>
    <t>Rettenmaier (JRS), Rosenburg, Germany</t>
  </si>
  <si>
    <t>Literature</t>
  </si>
  <si>
    <t>Force Technology, Brøndby, Denmark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</si>
  <si>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</si>
  <si>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</si>
  <si>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</si>
  <si>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</si>
  <si>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</si>
  <si>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</si>
  <si>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</si>
  <si>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</si>
  <si>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</si>
  <si>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</si>
  <si>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</si>
  <si>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</si>
  <si>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</si>
  <si>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</si>
  <si>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</si>
  <si>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</si>
  <si>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</si>
  <si>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</si>
  <si>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</si>
  <si>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</si>
  <si>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</si>
  <si>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</si>
  <si>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</si>
  <si>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</si>
  <si>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</si>
  <si>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</si>
  <si>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wt% (dry)</t>
  </si>
  <si>
    <t>Sulphur</t>
  </si>
  <si>
    <t>Total (with halides)</t>
  </si>
  <si>
    <t>Halides</t>
  </si>
  <si>
    <t>Chlorine (Cl)</t>
  </si>
  <si>
    <t>mg/kg</t>
  </si>
  <si>
    <t>Fluorine (F)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</si>
  <si>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</si>
  <si>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</si>
  <si>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</si>
  <si>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</si>
  <si>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</si>
  <si>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</si>
  <si>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Arsenic (As)</t>
  </si>
  <si>
    <t>mg/kg (dry)</t>
  </si>
  <si>
    <t>Cadmium (Cd)</t>
  </si>
  <si>
    <t>Cobalt (Co)</t>
  </si>
  <si>
    <t>Chromium (Cr)</t>
  </si>
  <si>
    <t>Copper (Cu)</t>
  </si>
  <si>
    <t>Mercury (Hg)</t>
  </si>
  <si>
    <t>Potassium (K)</t>
  </si>
  <si>
    <t>Manganese (Mn)</t>
  </si>
  <si>
    <t>Sodium (Na)</t>
  </si>
  <si>
    <t>Nickel (Ni)</t>
  </si>
  <si>
    <t>Lead (Pb)</t>
  </si>
  <si>
    <t>Antimony (Sb)</t>
  </si>
  <si>
    <t>Selenium (Se)</t>
  </si>
  <si>
    <t>Vanadium (V)</t>
  </si>
  <si>
    <t>Zinc (Zn)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</si>
</sst>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784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4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6">
        <v>38686</v>
      </c>
    </row>
    <row r="12" outlineLevel="1">
      <c r="A12" s="7" t="s">
        <v>15</v>
      </c>
      <c r="B12" s="0" t="s">
        <v>16</v>
      </c>
    </row>
    <row r="13" outlineLevel="1">
      <c r="A13" s="7" t="s">
        <v>17</v>
      </c>
      <c r="B13" s="0" t="s">
        <v>18</v>
      </c>
    </row>
    <row r="14">
      <c r="A14" s="7"/>
    </row>
    <row r="15" s="1" customFormat="1">
      <c r="A15" s="9" t="s">
        <v>19</v>
      </c>
    </row>
    <row r="16" s="1" customFormat="1">
      <c r="A16" s="10" t="s">
        <v>20</v>
      </c>
      <c r="B16" s="10" t="s">
        <v>21</v>
      </c>
      <c r="C16" s="10" t="s">
        <v>22</v>
      </c>
      <c r="D16" s="10"/>
      <c r="E16" s="10"/>
      <c r="F16" s="10" t="s">
        <v>23</v>
      </c>
      <c r="G16" s="10" t="s">
        <v>24</v>
      </c>
      <c r="H16" s="10" t="s">
        <v>25</v>
      </c>
      <c r="I16" s="10" t="s">
        <v>26</v>
      </c>
      <c r="J16" s="10" t="s">
        <v>27</v>
      </c>
      <c r="K16" s="10" t="s">
        <v>15</v>
      </c>
      <c r="L16" s="10"/>
    </row>
    <row r="17" s="1" customFormat="1">
      <c r="A17" s="10"/>
      <c r="B17" s="10"/>
      <c r="C17" s="10" t="s">
        <v>28</v>
      </c>
      <c r="D17" s="10" t="s">
        <v>29</v>
      </c>
      <c r="E17" s="10" t="s">
        <v>30</v>
      </c>
      <c r="F17" s="10"/>
      <c r="G17" s="10"/>
      <c r="H17" s="10"/>
      <c r="I17" s="10"/>
      <c r="J17" s="10"/>
      <c r="K17" s="10"/>
      <c r="L17" s="10"/>
    </row>
    <row r="18">
      <c r="A18" s="7" t="s">
        <v>31</v>
      </c>
      <c r="I18" s="5"/>
    </row>
    <row r="19" outlineLevel="1">
      <c r="A19" s="11" t="s">
        <v>32</v>
      </c>
      <c r="I19" s="5"/>
    </row>
    <row r="20" outlineLevel="2">
      <c r="A20" s="12" t="s">
        <v>33</v>
      </c>
      <c r="B20" s="0" t="s">
        <v>34</v>
      </c>
      <c r="C20" s="13">
        <v>9.3</v>
      </c>
      <c r="D20" s="13"/>
      <c r="E20" s="13"/>
      <c r="F20" s="13"/>
      <c r="G20" s="13"/>
      <c r="I20" s="5"/>
    </row>
    <row r="21" outlineLevel="2">
      <c r="A21" s="12" t="s">
        <v>35</v>
      </c>
      <c r="B21" s="0" t="s">
        <v>34</v>
      </c>
      <c r="C21" s="13">
        <f>IFERROR(0.3*(1-w),"")</f>
        <v>0.2721</v>
      </c>
      <c r="D21" s="13">
        <v>0.3</v>
      </c>
      <c r="E21" s="13">
        <v/>
      </c>
      <c r="F21" s="13"/>
      <c r="G21" s="13"/>
      <c r="I21" s="5"/>
    </row>
    <row r="22" outlineLevel="2">
      <c r="A22" s="12" t="s">
        <v>36</v>
      </c>
      <c r="B22" s="0" t="s">
        <v>34</v>
      </c>
      <c r="C22" s="13">
        <f>IFERROR(84.5*(1-w),"")</f>
        <v>76.641500000000008</v>
      </c>
      <c r="D22" s="13">
        <v>84.5</v>
      </c>
      <c r="E22" s="13">
        <v>84.7542627883651</v>
      </c>
      <c r="F22" s="13"/>
      <c r="G22" s="13"/>
      <c r="I22" s="5"/>
    </row>
    <row r="23" outlineLevel="2">
      <c r="A23" s="12" t="s">
        <v>37</v>
      </c>
      <c r="B23" s="0" t="s">
        <v>34</v>
      </c>
      <c r="C23" s="13">
        <f>IFERROR(15.2*(1-w),"")</f>
        <v>13.786400000000002</v>
      </c>
      <c r="D23" s="13">
        <v>15.200000000000003</v>
      </c>
      <c r="E23" s="13">
        <v>15.245737211634907</v>
      </c>
      <c r="F23" s="13"/>
      <c r="G23" s="13"/>
      <c r="I23" s="5"/>
      <c r="J23" s="0" t="s">
        <v>38</v>
      </c>
    </row>
    <row r="24" outlineLevel="1">
      <c r="A24" s="11" t="s">
        <v>39</v>
      </c>
      <c r="I24" s="5"/>
    </row>
    <row r="25" outlineLevel="2">
      <c r="A25" s="12" t="s">
        <v>40</v>
      </c>
      <c r="B25" s="0" t="s">
        <v>34</v>
      </c>
      <c r="C25" s="13">
        <f>IFERROR(49.7*(1-w),"")</f>
        <v>45.077900000000007</v>
      </c>
      <c r="D25" s="13">
        <v>49.7</v>
      </c>
      <c r="E25" s="13">
        <v>49.849548645937816</v>
      </c>
      <c r="F25" s="13"/>
      <c r="G25" s="13"/>
      <c r="I25" s="5"/>
      <c r="J25" s="0" t="s">
        <v>41</v>
      </c>
    </row>
    <row r="26" outlineLevel="2">
      <c r="A26" s="12" t="s">
        <v>42</v>
      </c>
      <c r="B26" s="0" t="s">
        <v>34</v>
      </c>
      <c r="C26" s="13">
        <f>IFERROR(6.2*(1-w),"")</f>
        <v>5.6234</v>
      </c>
      <c r="D26" s="13">
        <v>6.2</v>
      </c>
      <c r="E26" s="13">
        <v>6.218655967903711</v>
      </c>
      <c r="F26" s="13"/>
      <c r="G26" s="13"/>
      <c r="I26" s="5"/>
      <c r="J26" s="0" t="s">
        <v>41</v>
      </c>
    </row>
    <row r="27" outlineLevel="2">
      <c r="A27" s="12" t="s">
        <v>43</v>
      </c>
      <c r="B27" s="0" t="s">
        <v>34</v>
      </c>
      <c r="C27" s="13">
        <f>IFERROR(43.7*(1-w),"")</f>
        <v>39.635900000000007</v>
      </c>
      <c r="D27" s="13">
        <v>43.7</v>
      </c>
      <c r="E27" s="13">
        <v>43.831494483450356</v>
      </c>
      <c r="F27" s="13"/>
      <c r="G27" s="13"/>
      <c r="I27" s="5"/>
      <c r="J27" s="0" t="s">
        <v>38</v>
      </c>
    </row>
    <row r="28" outlineLevel="2">
      <c r="A28" s="12" t="s">
        <v>44</v>
      </c>
      <c r="B28" s="0" t="s">
        <v>45</v>
      </c>
      <c r="C28" s="13"/>
      <c r="D28" s="13"/>
      <c r="E28" s="13"/>
      <c r="F28" s="13"/>
      <c r="G28" s="13">
        <v>0.1</v>
      </c>
      <c r="I28" s="5"/>
    </row>
    <row r="29" outlineLevel="2">
      <c r="A29" s="12" t="s">
        <v>46</v>
      </c>
      <c r="B29" s="0" t="s">
        <v>34</v>
      </c>
      <c r="C29" s="13">
        <f>IFERROR(0.024*(1-w),"")</f>
        <v>0.021768000000000003</v>
      </c>
      <c r="D29" s="13">
        <v>0.024</v>
      </c>
      <c r="E29" s="13">
        <v>0.024072216649949851</v>
      </c>
      <c r="F29" s="13"/>
      <c r="G29" s="13"/>
      <c r="I29" s="5"/>
      <c r="J29" s="0" t="s">
        <v>41</v>
      </c>
    </row>
    <row r="30" outlineLevel="2">
      <c r="A30" s="12" t="s">
        <v>47</v>
      </c>
      <c r="B30" s="0" t="s">
        <v>34</v>
      </c>
      <c r="C30" s="13">
        <f>IFERROR(99.935*(1-w)+w*100,"")</f>
        <v>99.941045</v>
      </c>
      <c r="D30" s="13">
        <v>99.935</v>
      </c>
      <c r="E30" s="13">
        <v>99.934804413239718</v>
      </c>
      <c r="F30" s="13"/>
      <c r="G30" s="13"/>
      <c r="I30" s="5"/>
      <c r="J30" s="0" t="s">
        <v>38</v>
      </c>
    </row>
    <row r="31" outlineLevel="1">
      <c r="A31" s="11" t="s">
        <v>48</v>
      </c>
      <c r="I31" s="5"/>
    </row>
    <row r="32" outlineLevel="2">
      <c r="A32" s="12" t="s">
        <v>49</v>
      </c>
      <c r="B32" s="0" t="s">
        <v>50</v>
      </c>
      <c r="C32" s="14">
        <f>IFERROR(100*(1-w),"")</f>
        <v>90.7</v>
      </c>
      <c r="D32" s="14">
        <v>100</v>
      </c>
      <c r="E32" s="14">
        <v>100.30090270812437</v>
      </c>
      <c r="F32" s="14"/>
      <c r="G32" s="14"/>
      <c r="I32" s="5"/>
      <c r="J32" s="0" t="s">
        <v>41</v>
      </c>
    </row>
    <row r="33" outlineLevel="2">
      <c r="A33" s="12" t="s">
        <v>51</v>
      </c>
      <c r="B33" s="0" t="s">
        <v>50</v>
      </c>
      <c r="C33" s="14">
        <f>IFERROR(10*(1-w),"")</f>
        <v>9.07</v>
      </c>
      <c r="D33" s="14">
        <v>10</v>
      </c>
      <c r="E33" s="14">
        <v>10.030090270812437</v>
      </c>
      <c r="F33" s="14"/>
      <c r="G33" s="14"/>
      <c r="I33" s="5"/>
      <c r="J33" s="0" t="s">
        <v>41</v>
      </c>
    </row>
    <row r="34" outlineLevel="1">
      <c r="A34" s="11" t="s">
        <v>52</v>
      </c>
      <c r="I34" s="5"/>
    </row>
    <row r="35" outlineLevel="2">
      <c r="A35" s="12" t="s">
        <v>53</v>
      </c>
      <c r="B35" s="0" t="s">
        <v>54</v>
      </c>
      <c r="C35" s="13">
        <f>IFERROR(18.97782*(1-w)-w*2.443,"")</f>
        <v>16.985683740000002</v>
      </c>
      <c r="D35" s="13">
        <v>18.97782</v>
      </c>
      <c r="E35" s="13">
        <v>19.03492477432297</v>
      </c>
      <c r="F35" s="13"/>
      <c r="G35" s="13"/>
      <c r="I35" s="5"/>
    </row>
    <row r="36" outlineLevel="2">
      <c r="A36" s="12" t="s">
        <v>55</v>
      </c>
      <c r="B36" s="0" t="s">
        <v>54</v>
      </c>
      <c r="C36" s="13">
        <f>IFERROR(20.33076*(1-w),"")</f>
        <v>18.439999320000002</v>
      </c>
      <c r="D36" s="13">
        <v>20.33076</v>
      </c>
      <c r="E36" s="13">
        <v>20.391935807422268</v>
      </c>
      <c r="F36" s="13"/>
      <c r="G36" s="13"/>
      <c r="I36" s="5"/>
    </row>
    <row r="37" outlineLevel="2">
      <c r="A37" s="12" t="s">
        <v>56</v>
      </c>
      <c r="B37" s="0" t="s">
        <v>54</v>
      </c>
      <c r="C37" s="13">
        <f>IFERROR(19.89717017*(1-w),"")</f>
        <v>18.046733344190002</v>
      </c>
      <c r="D37" s="13">
        <v>19.897170170000003</v>
      </c>
      <c r="E37" s="13">
        <v>19.957041293881648</v>
      </c>
      <c r="F37" s="13"/>
      <c r="G37" s="13"/>
      <c r="I37" s="5"/>
      <c r="J37" s="0" t="s">
        <v>38</v>
      </c>
    </row>
    <row r="38" outlineLevel="1">
      <c r="A38" s="11" t="s">
        <v>57</v>
      </c>
      <c r="I38" s="5"/>
    </row>
    <row r="39" outlineLevel="2">
      <c r="A39" s="12" t="s">
        <v>58</v>
      </c>
      <c r="B39" s="0" t="s">
        <v>59</v>
      </c>
      <c r="C39" s="14"/>
      <c r="D39" s="14"/>
      <c r="E39" s="14"/>
      <c r="F39" s="14"/>
      <c r="G39" s="14">
        <v>0.2</v>
      </c>
      <c r="I39" s="5"/>
    </row>
    <row r="40" outlineLevel="2">
      <c r="A40" s="12" t="s">
        <v>60</v>
      </c>
      <c r="B40" s="0" t="s">
        <v>59</v>
      </c>
      <c r="C40" s="14"/>
      <c r="D40" s="14"/>
      <c r="E40" s="14"/>
      <c r="F40" s="14"/>
      <c r="G40" s="14">
        <v>0.16</v>
      </c>
      <c r="I40" s="5"/>
    </row>
    <row r="41" outlineLevel="2">
      <c r="A41" s="12" t="s">
        <v>61</v>
      </c>
      <c r="B41" s="0" t="s">
        <v>59</v>
      </c>
      <c r="C41" s="14"/>
      <c r="D41" s="14"/>
      <c r="E41" s="14"/>
      <c r="F41" s="14"/>
      <c r="G41" s="14">
        <v>0.2</v>
      </c>
      <c r="I41" s="5"/>
    </row>
    <row r="42" outlineLevel="2">
      <c r="A42" s="12" t="s">
        <v>62</v>
      </c>
      <c r="B42" s="0" t="s">
        <v>59</v>
      </c>
      <c r="C42" s="14"/>
      <c r="D42" s="14"/>
      <c r="E42" s="14"/>
      <c r="F42" s="14"/>
      <c r="G42" s="14">
        <v>0.7</v>
      </c>
      <c r="I42" s="5"/>
    </row>
    <row r="43" outlineLevel="2">
      <c r="A43" s="12" t="s">
        <v>63</v>
      </c>
      <c r="B43" s="0" t="s">
        <v>59</v>
      </c>
      <c r="C43" s="14"/>
      <c r="D43" s="14"/>
      <c r="E43" s="14"/>
      <c r="F43" s="14"/>
      <c r="G43" s="14">
        <v>1</v>
      </c>
      <c r="I43" s="5"/>
    </row>
    <row r="44" outlineLevel="2">
      <c r="A44" s="12" t="s">
        <v>64</v>
      </c>
      <c r="B44" s="0" t="s">
        <v>59</v>
      </c>
      <c r="C44" s="14">
        <v>0.0032</v>
      </c>
      <c r="D44" s="14"/>
      <c r="E44" s="14"/>
      <c r="F44" s="14"/>
      <c r="G44" s="14"/>
      <c r="I44" s="5"/>
      <c r="J44" s="0" t="s">
        <v>41</v>
      </c>
    </row>
    <row r="45" outlineLevel="2">
      <c r="A45" s="12" t="s">
        <v>65</v>
      </c>
      <c r="B45" s="0" t="s">
        <v>59</v>
      </c>
      <c r="C45" s="14">
        <v>380</v>
      </c>
      <c r="D45" s="14"/>
      <c r="E45" s="14"/>
      <c r="F45" s="14"/>
      <c r="G45" s="14"/>
      <c r="I45" s="5"/>
      <c r="J45" s="0" t="s">
        <v>41</v>
      </c>
    </row>
    <row r="46" outlineLevel="2">
      <c r="A46" s="12" t="s">
        <v>66</v>
      </c>
      <c r="B46" s="0" t="s">
        <v>59</v>
      </c>
      <c r="C46" s="14">
        <v>170</v>
      </c>
      <c r="D46" s="14"/>
      <c r="E46" s="14"/>
      <c r="F46" s="14"/>
      <c r="G46" s="14"/>
      <c r="I46" s="5"/>
      <c r="J46" s="0" t="s">
        <v>41</v>
      </c>
    </row>
    <row r="47" outlineLevel="2">
      <c r="A47" s="12" t="s">
        <v>67</v>
      </c>
      <c r="B47" s="0" t="s">
        <v>59</v>
      </c>
      <c r="C47" s="14">
        <v>44</v>
      </c>
      <c r="D47" s="14"/>
      <c r="E47" s="14"/>
      <c r="F47" s="14"/>
      <c r="G47" s="14"/>
      <c r="I47" s="5"/>
      <c r="J47" s="0" t="s">
        <v>41</v>
      </c>
    </row>
    <row r="48" outlineLevel="2">
      <c r="A48" s="12" t="s">
        <v>68</v>
      </c>
      <c r="B48" s="0" t="s">
        <v>59</v>
      </c>
      <c r="C48" s="14"/>
      <c r="D48" s="14"/>
      <c r="E48" s="14"/>
      <c r="F48" s="14"/>
      <c r="G48" s="14">
        <v>0.4</v>
      </c>
      <c r="I48" s="5"/>
    </row>
    <row r="49" outlineLevel="2">
      <c r="A49" s="12" t="s">
        <v>69</v>
      </c>
      <c r="B49" s="0" t="s">
        <v>59</v>
      </c>
      <c r="C49" s="14"/>
      <c r="D49" s="14"/>
      <c r="E49" s="14"/>
      <c r="F49" s="14"/>
      <c r="G49" s="14">
        <v>0.4</v>
      </c>
      <c r="I49" s="5"/>
    </row>
    <row r="50" outlineLevel="2">
      <c r="A50" s="12" t="s">
        <v>70</v>
      </c>
      <c r="B50" s="0" t="s">
        <v>59</v>
      </c>
      <c r="C50" s="14"/>
      <c r="D50" s="14"/>
      <c r="E50" s="14"/>
      <c r="F50" s="14"/>
      <c r="G50" s="14">
        <v>0.4</v>
      </c>
      <c r="I50" s="5"/>
    </row>
    <row r="51" outlineLevel="2">
      <c r="A51" s="12" t="s">
        <v>71</v>
      </c>
      <c r="B51" s="0" t="s">
        <v>59</v>
      </c>
      <c r="C51" s="14"/>
      <c r="D51" s="14"/>
      <c r="E51" s="14"/>
      <c r="F51" s="14"/>
      <c r="G51" s="14">
        <v>0.2</v>
      </c>
      <c r="I51" s="5"/>
    </row>
    <row r="52" outlineLevel="2">
      <c r="A52" s="12" t="s">
        <v>72</v>
      </c>
      <c r="B52" s="0" t="s">
        <v>59</v>
      </c>
      <c r="C52" s="14"/>
      <c r="D52" s="14"/>
      <c r="E52" s="14"/>
      <c r="F52" s="14"/>
      <c r="G52" s="14">
        <v>0.1</v>
      </c>
      <c r="I52" s="5"/>
    </row>
    <row r="53" outlineLevel="2">
      <c r="A53" s="12" t="s">
        <v>73</v>
      </c>
      <c r="B53" s="0" t="s">
        <v>59</v>
      </c>
      <c r="C53" s="14">
        <v>8.2</v>
      </c>
      <c r="D53" s="14"/>
      <c r="E53" s="14"/>
      <c r="F53" s="14"/>
      <c r="G53" s="14"/>
      <c r="I53" s="5"/>
      <c r="J53" s="0" t="s">
        <v>41</v>
      </c>
    </row>
    <row r="54">
      <c r="I54" s="5"/>
    </row>
    <row r="55" s="1" customFormat="1"/>
  </sheetData>
  <mergeCells>
    <mergeCell ref="A7:A8"/>
    <mergeCell ref="C16:E16"/>
    <mergeCell ref="A16:A17"/>
    <mergeCell ref="B16:B17"/>
    <mergeCell ref="F16:F17"/>
    <mergeCell ref="G16:G17"/>
    <mergeCell ref="H16:H17"/>
    <mergeCell ref="I16:I17"/>
    <mergeCell ref="J16:J17"/>
    <mergeCell ref="K16:K17"/>
    <mergeCell ref="C28:E2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</mergeCells>
  <dataValidations count="1">
    <dataValidation type="decimal" sqref="C20" errorStyle="stop" promptTitle="Enter moisture content" errorTitle="Invalid moisture content" prompt="Value should be between 0 and 100.&#10;Original value: 9.3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https://phyllis.nl/Biomass/View/2784</dc:description>
  <dcterms:created xsi:type="dcterms:W3CDTF">2026-03-19T07:05:16Z</dcterms:created>
  <dc:title>Phyllis2 #2784 pine chips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