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86 rice straw" sheetId="1" r:id="rId1"/>
  </sheets>
  <definedNames>
    <definedName name="w" localSheetId="0">IF(ISBLANK('Phyllis2 #2786 rice straw'!$C$18),#N/A,'Phyllis2 #2786 rice straw'!$C$18/100)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<sst xmlns="http://schemas.openxmlformats.org/spreadsheetml/2006/main" count="49" uniqueCount="49">
  <si>
    <t>Phyllis2</t>
  </si>
  <si>
    <t>https://phyllis.nl/Biomass/View/2786</t>
  </si>
  <si>
    <t>rice straw (#2786)</t>
  </si>
  <si>
    <t>ID-number</t>
  </si>
  <si>
    <t>#2786</t>
  </si>
  <si>
    <t>Material</t>
  </si>
  <si>
    <t>rice straw</t>
  </si>
  <si>
    <t>Classification</t>
  </si>
  <si>
    <t>ECN Phyllis classification &gt; straw (stalk/cob/ear) &gt; rice &gt; rice straw</t>
  </si>
  <si>
    <t>NTA 8003 classification &gt; [200] biomassa uit land- en tuinbouw &gt; [220] stro &gt; [224] rijsthalm</t>
  </si>
  <si>
    <t>Submitter organisation</t>
  </si>
  <si>
    <t>ECN (Netherlands)</t>
  </si>
  <si>
    <t>Submission date</t>
  </si>
  <si>
    <t>Literature</t>
  </si>
  <si>
    <t>Y.J. Lu, L.J. Guo, C.M. Ji, X.M. Zhang, X.H. Hao, Q.H. Yan:Hydrogen production by biomass gasification in supercritical water: a parametric study. Int J Hydrogen Energy 31 (2006) 822-831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</si>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</sst>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8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38908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7.01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IFERROR(16.82*(1-w),"")</f>
        <v>15.640918</v>
      </c>
      <c r="D19" s="13">
        <v>16.82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IFERROR(66.62*(1-w),"")</f>
        <v>61.949938</v>
      </c>
      <c r="D20" s="13">
        <v>66.62</v>
      </c>
      <c r="E20" s="13">
        <v>80.0913681173359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IFERROR(16.56*(1-w),"")</f>
        <v>15.399144000000001</v>
      </c>
      <c r="D21" s="13">
        <v>16.560000000000002</v>
      </c>
      <c r="E21" s="13">
        <v>19.908631882664103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IFERROR(39.74621*(1-w),"")</f>
        <v>36.960000679</v>
      </c>
      <c r="D23" s="13">
        <v>39.74621</v>
      </c>
      <c r="E23" s="13">
        <v>47.783373407069007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IFERROR(4.925261*(1-w),"")</f>
        <v>4.5800002039</v>
      </c>
      <c r="D24" s="13">
        <v>4.925261</v>
      </c>
      <c r="E24" s="13">
        <v>5.92120822313056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IFERROR(37.38036*(1-w),"")</f>
        <v>34.759996764</v>
      </c>
      <c r="D25" s="13">
        <v>37.38036</v>
      </c>
      <c r="E25" s="13">
        <v>44.939119980764609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IFERROR(0.9355845*(1-w),"")</f>
        <v>0.87000002655</v>
      </c>
      <c r="D26" s="13">
        <v>0.9355845</v>
      </c>
      <c r="E26" s="13">
        <v>1.1247709786006252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IFERROR(0.1935692*(1-w),"")</f>
        <v>0.17999999908</v>
      </c>
      <c r="D27" s="13">
        <v>0.1935692</v>
      </c>
      <c r="E27" s="13">
        <v>0.23271122866073576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IFERROR(100.0009847*(1-w)+w*100,"")</f>
        <v>100.00091567253</v>
      </c>
      <c r="D28" s="13">
        <v>100.0009847</v>
      </c>
      <c r="E28" s="13">
        <v>100.00118381822556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3">
        <f>IFERROR(13.62573*(1-w)-w*2.443,"")</f>
        <v>12.499312027</v>
      </c>
      <c r="D30" s="13">
        <v>13.62573</v>
      </c>
      <c r="E30" s="13">
        <v>16.3810170714114</v>
      </c>
      <c r="F30" s="13"/>
      <c r="G30" s="13"/>
      <c r="I30" s="5"/>
    </row>
    <row r="31" outlineLevel="2">
      <c r="A31" s="12" t="s">
        <v>47</v>
      </c>
      <c r="B31" s="0" t="s">
        <v>46</v>
      </c>
      <c r="C31" s="13">
        <f>IFERROR(14.70051*(1-w),"")</f>
        <v>13.670004248999998</v>
      </c>
      <c r="D31" s="13">
        <v>14.70051</v>
      </c>
      <c r="E31" s="13">
        <v>17.673130560230824</v>
      </c>
      <c r="F31" s="13"/>
      <c r="G31" s="13"/>
      <c r="I31" s="5"/>
    </row>
    <row r="32" outlineLevel="2">
      <c r="A32" s="12" t="s">
        <v>48</v>
      </c>
      <c r="B32" s="0" t="s">
        <v>46</v>
      </c>
      <c r="C32" s="13">
        <f>IFERROR(15.26595775632*(1-w),"")</f>
        <v>14.195814117601971</v>
      </c>
      <c r="D32" s="13">
        <v>15.265957756320004</v>
      </c>
      <c r="E32" s="13">
        <v>18.352918677951436</v>
      </c>
      <c r="F32" s="13"/>
      <c r="G32" s="13"/>
      <c r="I32" s="5"/>
      <c r="J32" s="0" t="s">
        <v>35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7.0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https://phyllis.nl/Biomass/View/2786</dc:description>
  <dcterms:created xsi:type="dcterms:W3CDTF">2026-03-17T06:09:53Z</dcterms:created>
  <dc:title>Phyllis2 #2786 rice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