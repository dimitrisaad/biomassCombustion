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89 peanut shells" sheetId="1" r:id="rId1"/>
  </sheets>
  <definedNames>
    <definedName name="w" localSheetId="0">IF(ISBLANK('Phyllis2 #2789 peanut shells'!$C$18),#N/A,'Phyllis2 #2789 peanut shells'!$C$18/100)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<sst xmlns="http://schemas.openxmlformats.org/spreadsheetml/2006/main" count="49" uniqueCount="49">
  <si>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</si>
  <si>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https://phyllis.nl/Biomass/View/2789</t>
  </si>
  <si>
    <t>peanut shells (#2789)</t>
  </si>
  <si>
    <t>ID-number</t>
  </si>
  <si>
    <t>#2789</t>
  </si>
  <si>
    <t>Material</t>
  </si>
  <si>
    <t>peanut shells</t>
  </si>
  <si>
    <t>Classification</t>
  </si>
  <si>
    <t>ECN Phyllis classification &gt; husk/shell/pit &gt; peanut &gt; peanut shells</t>
  </si>
  <si>
    <t>NTA 8003 classification &gt; [200] biomassa uit land- en tuinbouw &gt; [230] restproducten (doppen) &gt; [233] pindadoppen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</si>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</sst>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7.99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IFERROR(8.15*(1-w),"")</f>
        <v>7.4988150000000005</v>
      </c>
      <c r="D19" s="13">
        <v>8.15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IFERROR(71.57*(1-w),"")</f>
        <v>65.851557</v>
      </c>
      <c r="D20" s="13">
        <v>71.57</v>
      </c>
      <c r="E20" s="13">
        <v>77.920522591181268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IFERROR(20.28*(1-w),"")</f>
        <v>18.659628</v>
      </c>
      <c r="D21" s="13">
        <v>20.28</v>
      </c>
      <c r="E21" s="13">
        <v>22.079477408818729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IFERROR(47.60352*(1-w),"")</f>
        <v>43.799998752000008</v>
      </c>
      <c r="D23" s="13">
        <v>47.60352</v>
      </c>
      <c r="E23" s="13">
        <v>51.827457811649431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IFERROR(5.347245*(1-w),"")</f>
        <v>4.9200001245000005</v>
      </c>
      <c r="D24" s="13">
        <v>5.347245</v>
      </c>
      <c r="E24" s="13">
        <v>5.8217147523135546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IFERROR(37.06119*(1-w),"")</f>
        <v>34.100000919</v>
      </c>
      <c r="D25" s="13">
        <v>37.06119</v>
      </c>
      <c r="E25" s="13">
        <v>40.349689711486121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IFERROR(1.651994*(1-w),"")</f>
        <v>1.5199996794</v>
      </c>
      <c r="D26" s="13">
        <v>1.651994</v>
      </c>
      <c r="E26" s="13">
        <v>1.7985781164942842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IFERROR(0.1847625*(1-w),"")</f>
        <v>0.16999997625</v>
      </c>
      <c r="D27" s="13">
        <v>0.1847625</v>
      </c>
      <c r="E27" s="13">
        <v>0.20115677735438214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IFERROR(99.9987115*(1-w)+w*100,"")</f>
        <v>99.998814451150011</v>
      </c>
      <c r="D28" s="13">
        <v>99.998711500000013</v>
      </c>
      <c r="E28" s="13">
        <v>99.998597169297781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IFERROR(16.68446*(1-w)-w*2.443,"")</f>
        <v>15.156175946000003</v>
      </c>
      <c r="D30" s="13">
        <v>16.68446</v>
      </c>
      <c r="E30" s="13">
        <v>18.164899292324442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IFERROR(17.85132*(1-w),"")</f>
        <v>16.424999532</v>
      </c>
      <c r="D31" s="13">
        <v>17.85132</v>
      </c>
      <c r="E31" s="13">
        <v>19.435296679368538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IFERROR(18.55441848*(1-w),"")</f>
        <v>17.071920443448004</v>
      </c>
      <c r="D32" s="13">
        <v>18.554418480000002</v>
      </c>
      <c r="E32" s="13">
        <v>20.20078223189984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7.9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https://phyllis.nl/Biomass/View/2789</dc:description>
  <dcterms:created xsi:type="dcterms:W3CDTF">2026-03-17T05:46:44Z</dcterms:created>
  <dc:title>Phyllis2 #2789 peanut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