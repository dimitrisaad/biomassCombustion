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9 wood, mixed hardw" sheetId="1" r:id="rId1"/>
  </sheets>
  <definedNames>
    <definedName name="w" localSheetId="0">IF(ISBLANK('Phyllis2 #279 wood, mixed hardw'!$C$18),#N/A,'Phyllis2 #279 wood, mixed hardw'!$C$18/100)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<sst xmlns="http://schemas.openxmlformats.org/spreadsheetml/2006/main" count="52" uniqueCount="52">
  <si>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</si>
  <si>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https://phyllis.nl/Biomass/View/279</t>
  </si>
  <si>
    <t>wood, mixed hardwood chips (#279)</t>
  </si>
  <si>
    <t>ID-number</t>
  </si>
  <si>
    <t>#279</t>
  </si>
  <si>
    <t>Material</t>
  </si>
  <si>
    <t>wood, mixed hardwood chips</t>
  </si>
  <si>
    <t>Classification</t>
  </si>
  <si>
    <t>ECN Phyllis classification &gt; untreated wood &gt; other hard wood &gt; wood, mixed hardwood chips</t>
  </si>
  <si>
    <t>NTA 8003 classification &gt; [100] hout &gt; [110] vers hout &gt; [120] loofhout &gt; [121] mengsel loofhout</t>
  </si>
  <si>
    <t>Submitter organisation</t>
  </si>
  <si>
    <t>ECN (Netherlands)</t>
  </si>
  <si>
    <t>Remarks</t>
  </si>
  <si>
    <t>mixed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</si>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</sst>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3"/>
    </row>
    <row r="17" outlineLevel="1">
      <c r="A17" s="9" t="s">
        <v>29</v>
      </c>
      <c r="I17" s="13"/>
    </row>
    <row r="18" outlineLevel="2">
      <c r="A18" s="10" t="s">
        <v>30</v>
      </c>
      <c r="B18" s="0" t="s">
        <v>31</v>
      </c>
      <c r="C18" s="11">
        <v>28.9</v>
      </c>
      <c r="D18" s="11"/>
      <c r="E18" s="11"/>
      <c r="F18" s="11"/>
      <c r="G18" s="11"/>
      <c r="I18" s="13"/>
    </row>
    <row r="19" outlineLevel="2">
      <c r="A19" s="10" t="s">
        <v>32</v>
      </c>
      <c r="B19" s="0" t="s">
        <v>31</v>
      </c>
      <c r="C19" s="11">
        <f>IFERROR(0.84*(1-w),"")</f>
        <v>0.59724</v>
      </c>
      <c r="D19" s="11">
        <v>0.84</v>
      </c>
      <c r="E19" s="11">
        <v/>
      </c>
      <c r="F19" s="11"/>
      <c r="G19" s="11"/>
      <c r="I19" s="13"/>
    </row>
    <row r="20" outlineLevel="2">
      <c r="A20" s="10" t="s">
        <v>33</v>
      </c>
      <c r="B20" s="0" t="s">
        <v>31</v>
      </c>
      <c r="C20" s="11">
        <f>IFERROR(82.59*(1-w),"")</f>
        <v>58.72149000000001</v>
      </c>
      <c r="D20" s="11">
        <v>82.59</v>
      </c>
      <c r="E20" s="11">
        <v>83.28963291649859</v>
      </c>
      <c r="F20" s="11"/>
      <c r="G20" s="11"/>
      <c r="I20" s="13"/>
    </row>
    <row r="21" outlineLevel="2">
      <c r="A21" s="10" t="s">
        <v>34</v>
      </c>
      <c r="B21" s="0" t="s">
        <v>31</v>
      </c>
      <c r="C21" s="11">
        <f>IFERROR(16.57*(1-w),"")</f>
        <v>11.781269999999996</v>
      </c>
      <c r="D21" s="11">
        <v>16.569999999999993</v>
      </c>
      <c r="E21" s="11">
        <v>16.710367083501403</v>
      </c>
      <c r="F21" s="11"/>
      <c r="G21" s="11"/>
      <c r="I21" s="13"/>
      <c r="J21" s="0" t="s">
        <v>35</v>
      </c>
    </row>
    <row r="22" outlineLevel="1">
      <c r="A22" s="9" t="s">
        <v>36</v>
      </c>
      <c r="I22" s="13"/>
    </row>
    <row r="23" outlineLevel="2">
      <c r="A23" s="10" t="s">
        <v>37</v>
      </c>
      <c r="B23" s="0" t="s">
        <v>31</v>
      </c>
      <c r="C23" s="11">
        <f>IFERROR(49.72*(1-w),"")</f>
        <v>35.35092</v>
      </c>
      <c r="D23" s="11">
        <v>49.72</v>
      </c>
      <c r="E23" s="11">
        <v>50.141185962081479</v>
      </c>
      <c r="F23" s="11"/>
      <c r="G23" s="11"/>
      <c r="I23" s="13"/>
      <c r="J23" s="0" t="s">
        <v>38</v>
      </c>
    </row>
    <row r="24" outlineLevel="2">
      <c r="A24" s="10" t="s">
        <v>39</v>
      </c>
      <c r="B24" s="0" t="s">
        <v>31</v>
      </c>
      <c r="C24" s="11">
        <f>IFERROR(5.99*(1-w),"")</f>
        <v>4.258890000000001</v>
      </c>
      <c r="D24" s="11">
        <v>5.99</v>
      </c>
      <c r="E24" s="11">
        <v>6.0407422347720852</v>
      </c>
      <c r="F24" s="11"/>
      <c r="G24" s="11"/>
      <c r="I24" s="13"/>
      <c r="J24" s="0" t="s">
        <v>38</v>
      </c>
    </row>
    <row r="25" outlineLevel="2">
      <c r="A25" s="10" t="s">
        <v>40</v>
      </c>
      <c r="B25" s="0" t="s">
        <v>31</v>
      </c>
      <c r="C25" s="11">
        <f>IFERROR(43.21*(1-w),"")</f>
        <v>30.722310000000004</v>
      </c>
      <c r="D25" s="11">
        <v>43.21</v>
      </c>
      <c r="E25" s="11">
        <v>43.576038725292456</v>
      </c>
      <c r="F25" s="11"/>
      <c r="G25" s="11"/>
      <c r="I25" s="13"/>
      <c r="J25" s="0" t="s">
        <v>35</v>
      </c>
    </row>
    <row r="26" outlineLevel="2">
      <c r="A26" s="10" t="s">
        <v>41</v>
      </c>
      <c r="B26" s="0" t="s">
        <v>31</v>
      </c>
      <c r="C26" s="11">
        <f>IFERROR(0.17*(1-w),"")</f>
        <v>0.12087000000000002</v>
      </c>
      <c r="D26" s="11">
        <v>0.17</v>
      </c>
      <c r="E26" s="11">
        <v>0.17144009681323114</v>
      </c>
      <c r="F26" s="11"/>
      <c r="G26" s="11"/>
      <c r="I26" s="13"/>
      <c r="J26" s="0" t="s">
        <v>38</v>
      </c>
    </row>
    <row r="27" outlineLevel="2">
      <c r="A27" s="10" t="s">
        <v>42</v>
      </c>
      <c r="B27" s="0" t="s">
        <v>31</v>
      </c>
      <c r="C27" s="11">
        <f>IFERROR(0.05*(1-w),"")</f>
        <v>0.035550000000000005</v>
      </c>
      <c r="D27" s="11">
        <v>0.05</v>
      </c>
      <c r="E27" s="11">
        <v>0.050423557886244454</v>
      </c>
      <c r="F27" s="11"/>
      <c r="G27" s="11"/>
      <c r="I27" s="13"/>
      <c r="J27" s="0" t="s">
        <v>38</v>
      </c>
    </row>
    <row r="28" outlineLevel="2">
      <c r="A28" s="10" t="s">
        <v>43</v>
      </c>
      <c r="B28" s="0" t="s">
        <v>31</v>
      </c>
      <c r="C28" s="11">
        <f>IFERROR(100*(1-w)+w*100,"")</f>
        <v>100</v>
      </c>
      <c r="D28" s="11">
        <v>100</v>
      </c>
      <c r="E28" s="11">
        <v>99.999999999999986</v>
      </c>
      <c r="F28" s="11"/>
      <c r="G28" s="11"/>
      <c r="I28" s="13"/>
      <c r="J28" s="0" t="s">
        <v>35</v>
      </c>
    </row>
    <row r="29" outlineLevel="1">
      <c r="A29" s="9" t="s">
        <v>44</v>
      </c>
      <c r="I29" s="13"/>
    </row>
    <row r="30" outlineLevel="2">
      <c r="A30" s="10" t="s">
        <v>45</v>
      </c>
      <c r="B30" s="0" t="s">
        <v>46</v>
      </c>
      <c r="C30" s="12">
        <f>IFERROR(200*(1-w),"")</f>
        <v>142.20000000000002</v>
      </c>
      <c r="D30" s="12">
        <v>200</v>
      </c>
      <c r="E30" s="12">
        <v>201.69423154497781</v>
      </c>
      <c r="F30" s="12"/>
      <c r="G30" s="12"/>
      <c r="I30" s="13"/>
      <c r="J30" s="0" t="s">
        <v>38</v>
      </c>
    </row>
    <row r="31" outlineLevel="1">
      <c r="A31" s="9" t="s">
        <v>47</v>
      </c>
      <c r="I31" s="13"/>
    </row>
    <row r="32" outlineLevel="2">
      <c r="A32" s="10" t="s">
        <v>48</v>
      </c>
      <c r="B32" s="0" t="s">
        <v>49</v>
      </c>
      <c r="C32" s="11">
        <f>IFERROR(17.58114*(1-w)-w*2.443,"")</f>
        <v>11.794163540000001</v>
      </c>
      <c r="D32" s="11">
        <v>17.58114</v>
      </c>
      <c r="E32" s="11">
        <v>17.730072609923358</v>
      </c>
      <c r="F32" s="11"/>
      <c r="G32" s="11"/>
      <c r="I32" s="13"/>
    </row>
    <row r="33" outlineLevel="2">
      <c r="A33" s="10" t="s">
        <v>50</v>
      </c>
      <c r="B33" s="0" t="s">
        <v>49</v>
      </c>
      <c r="C33" s="11">
        <f>IFERROR(18.88826*(1-w),"")</f>
        <v>13.429552860000001</v>
      </c>
      <c r="D33" s="11">
        <v>18.88826</v>
      </c>
      <c r="E33" s="11">
        <v>19.048265429608712</v>
      </c>
      <c r="F33" s="11"/>
      <c r="G33" s="11"/>
      <c r="I33" s="13"/>
    </row>
    <row r="34" outlineLevel="2">
      <c r="A34" s="10" t="s">
        <v>51</v>
      </c>
      <c r="B34" s="0" t="s">
        <v>49</v>
      </c>
      <c r="C34" s="11">
        <f>IFERROR(19.6583859568*(1-w),"")</f>
        <v>13.977112415284804</v>
      </c>
      <c r="D34" s="11">
        <v>19.658385956800004</v>
      </c>
      <c r="E34" s="11">
        <v>19.8249152448568</v>
      </c>
      <c r="F34" s="11"/>
      <c r="G34" s="11"/>
      <c r="I34" s="13"/>
      <c r="J34" s="0" t="s">
        <v>35</v>
      </c>
    </row>
    <row r="35">
      <c r="I35" s="13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28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https://phyllis.nl/Biomass/View/279</dc:description>
  <dcterms:created xsi:type="dcterms:W3CDTF">2026-03-19T07:15:52Z</dcterms:created>
  <dc:title>Phyllis2 #279 wood, mixed hardwood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