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92 sorghum stalks" sheetId="1" r:id="rId1"/>
  </sheets>
  <definedNames>
    <definedName name="w" localSheetId="0">IF(ISBLANK('Phyllis2 #2792 sorghum stalks'!$C$18),#N/A,'Phyllis2 #2792 sorghum stalks'!$C$18/100)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<sst xmlns="http://schemas.openxmlformats.org/spreadsheetml/2006/main" count="49" uniqueCount="49">
  <si>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</si>
  <si>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https://phyllis.nl/Biomass/View/2792</t>
  </si>
  <si>
    <t>sorghum stalks (#2792)</t>
  </si>
  <si>
    <t>ID-number</t>
  </si>
  <si>
    <t>#2792</t>
  </si>
  <si>
    <t>Material</t>
  </si>
  <si>
    <t>sorghum stalks</t>
  </si>
  <si>
    <t>Classification</t>
  </si>
  <si>
    <t>ECN Phyllis classification &gt; straw (stalk/cob/ear) &gt; sorghum &gt; sorghum stalks</t>
  </si>
  <si>
    <t>NTA 8003 classification &gt; [200] biomassa uit land- en tuinbouw &gt; [220] stro &gt; [229] overig stro</t>
  </si>
  <si>
    <t>Submitter organisation</t>
  </si>
  <si>
    <t>ECN (Netherlands)</t>
  </si>
  <si>
    <t>Submission date</t>
  </si>
  <si>
    <t>Literature</t>
  </si>
  <si>
    <t>Y.J. Lu, L.J. Guo, C.M. Ji, X.M. Zhang, X.H. Hao, Q.H. Yan:Hydrogen production by biomass gasification in supercritical water: a parametric study. Int J Hydrogen Energy 31 (2006) 822-831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</si>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</sst>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9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38908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5.97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IFERROR(6.88*(1-w),"")</f>
        <v>6.469264</v>
      </c>
      <c r="D19" s="13">
        <v>6.88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IFERROR(73.5*(1-w),"")</f>
        <v>69.11205</v>
      </c>
      <c r="D20" s="13">
        <v>73.5</v>
      </c>
      <c r="E20" s="13">
        <v>78.930412371134025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IFERROR(19.62*(1-w),"")</f>
        <v>18.448686000000006</v>
      </c>
      <c r="D21" s="13">
        <v>19.620000000000005</v>
      </c>
      <c r="E21" s="13">
        <v>21.069587628865985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IFERROR(46.0704*(1-w),"")</f>
        <v>43.319997120000004</v>
      </c>
      <c r="D23" s="13">
        <v>46.0704</v>
      </c>
      <c r="E23" s="13">
        <v>49.47422680412371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IFERROR(5.764118*(1-w),"")</f>
        <v>5.4200001554</v>
      </c>
      <c r="D24" s="13">
        <v>5.764118</v>
      </c>
      <c r="E24" s="13">
        <v>6.1899892611683844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IFERROR(40.62533*(1-w),"")</f>
        <v>38.199997799</v>
      </c>
      <c r="D25" s="13">
        <v>40.62533</v>
      </c>
      <c r="E25" s="13">
        <v>43.626857817869414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IFERROR(0.3934914*(1-w),"")</f>
        <v>0.36999996342</v>
      </c>
      <c r="D26" s="13">
        <v>0.3934914</v>
      </c>
      <c r="E26" s="13">
        <v>0.42256378865979377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IFERROR(0.2658726*(1-w),"")</f>
        <v>0.25000000578000003</v>
      </c>
      <c r="D27" s="13">
        <v>0.2658726</v>
      </c>
      <c r="E27" s="13">
        <v>0.28551610824742268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IFERROR(99.999212*(1-w)+w*100,"")</f>
        <v>99.999259043599992</v>
      </c>
      <c r="D28" s="13">
        <v>99.999211999999986</v>
      </c>
      <c r="E28" s="13">
        <v>99.99915378006871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IFERROR(16.60562*(1-w)-w*2.443,"")</f>
        <v>15.468417385999999</v>
      </c>
      <c r="D30" s="13">
        <v>16.60562</v>
      </c>
      <c r="E30" s="13">
        <v>17.832495704467352</v>
      </c>
      <c r="F30" s="13"/>
      <c r="G30" s="13"/>
      <c r="I30" s="5"/>
    </row>
    <row r="31" outlineLevel="2">
      <c r="A31" s="12" t="s">
        <v>47</v>
      </c>
      <c r="B31" s="0" t="s">
        <v>46</v>
      </c>
      <c r="C31" s="13">
        <f>IFERROR(17.86345*(1-w),"")</f>
        <v>16.797002035000002</v>
      </c>
      <c r="D31" s="13">
        <v>17.86345</v>
      </c>
      <c r="E31" s="13">
        <v>19.183258161512025</v>
      </c>
      <c r="F31" s="13"/>
      <c r="G31" s="13"/>
      <c r="I31" s="5"/>
    </row>
    <row r="32" outlineLevel="2">
      <c r="A32" s="12" t="s">
        <v>48</v>
      </c>
      <c r="B32" s="0" t="s">
        <v>46</v>
      </c>
      <c r="C32" s="13">
        <f>IFERROR(18.32812885156*(1-w),"")</f>
        <v>17.233939559121872</v>
      </c>
      <c r="D32" s="13">
        <v>18.328128851560002</v>
      </c>
      <c r="E32" s="13">
        <v>19.682268955713059</v>
      </c>
      <c r="F32" s="13"/>
      <c r="G32" s="13"/>
      <c r="I32" s="5"/>
      <c r="J32" s="0" t="s">
        <v>35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5.9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https://phyllis.nl/Biomass/View/2792</dc:description>
  <dcterms:created xsi:type="dcterms:W3CDTF">2026-03-17T06:11:37Z</dcterms:created>
  <dc:title>Phyllis2 #2792 sorghum stalks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