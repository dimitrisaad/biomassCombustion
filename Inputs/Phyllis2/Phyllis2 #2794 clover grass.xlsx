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94 clover grass" sheetId="1" r:id="rId1"/>
  </sheets>
  <definedNames>
    <definedName name="w" localSheetId="0">IF(ISBLANK('Phyllis2 #2794 clover grass'!$C$19),#N/A,'Phyllis2 #2794 clover 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<sst xmlns="http://schemas.openxmlformats.org/spreadsheetml/2006/main" count="57" uniqueCount="57">
  <si>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</si>
  <si>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https://phyllis.nl/Biomass/View/2794</t>
  </si>
  <si>
    <t>clover grass (#2794)</t>
  </si>
  <si>
    <t>ID-number</t>
  </si>
  <si>
    <t>#2794</t>
  </si>
  <si>
    <t>Material</t>
  </si>
  <si>
    <t>clover grass</t>
  </si>
  <si>
    <t>Classification</t>
  </si>
  <si>
    <t>ECN Phyllis classification &gt; grass/plant &gt; other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</si>
  <si>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</si>
  <si>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</si>
  <si>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</si>
  <si>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</si>
  <si>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</si>
  <si>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 xml:space="preserve">Ash content calculated from reported contents of  K, Si, Ca, P and Fe plus required O to form oxides. Reported oxygen content reduced accordingly by 1.15%.</t>
  </si>
  <si>
    <t>Literature</t>
  </si>
  <si>
    <t>P. D'Jesus, N. Boukis, B. Kraushaar-Czarnetzki, E. Dinjus: Gasificationof corn and clover grass in supercritical water. Fuel 85 (2006) 1032-1038.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</si>
  <si>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</si>
  <si>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</si>
  <si>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</si>
  <si>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</si>
  <si>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</si>
  <si>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</si>
  <si>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</si>
  <si>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</si>
  <si>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</si>
  <si>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</si>
  <si>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</si>
  <si>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</si>
  <si>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</si>
  <si>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</si>
  <si>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</si>
  <si>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</si>
  <si>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</si>
  <si>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</si>
  <si>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</si>
  <si>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</si>
  <si>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</si>
  <si>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</si>
  <si>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</si>
  <si>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</si>
  <si>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</si>
  <si>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</si>
  <si>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</si>
  <si>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</si>
  <si>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</si>
  <si>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</si>
  <si>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</si>
  <si>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</si>
  <si>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</si>
  <si>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</si>
  <si>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Calcium (Ca)</t>
  </si>
  <si>
    <t>mg/kg (dry)</t>
  </si>
  <si>
    <t>Iron (Fe)</t>
  </si>
  <si>
    <t>Potassium (K)</t>
  </si>
  <si>
    <t>Phosphorus (P)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</si>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</sst>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IFERROR(3.53*(1-w),"")</f>
        <v/>
      </c>
      <c r="D20" s="13">
        <v>3.53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IFERROR(44.9*(1-w),"")</f>
        <v/>
      </c>
      <c r="D22" s="13">
        <v>44.9</v>
      </c>
      <c r="E22" s="13">
        <v>46.542966725406863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IFERROR(6.8*(1-w),"")</f>
        <v/>
      </c>
      <c r="D23" s="13">
        <v>6.8</v>
      </c>
      <c r="E23" s="13">
        <v>7.0488234684357831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IFERROR(42.15*(1-w),"")</f>
        <v/>
      </c>
      <c r="D24" s="13">
        <v>42.15</v>
      </c>
      <c r="E24" s="13">
        <v>43.692339587436507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IFERROR(2.2*(1-w),"")</f>
        <v/>
      </c>
      <c r="D25" s="13">
        <v>2.2</v>
      </c>
      <c r="E25" s="13">
        <v>2.2805017103762828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IFERROR(0.3*(1-w),"")</f>
        <v/>
      </c>
      <c r="D26" s="13">
        <v>0.3</v>
      </c>
      <c r="E26" s="13">
        <v>0.31097750596040219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40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4">
        <f>IFERROR(1200*(1-w),"")</f>
        <v/>
      </c>
      <c r="D29" s="14">
        <v>1200</v>
      </c>
      <c r="E29" s="14">
        <v>1243.9100238416088</v>
      </c>
      <c r="F29" s="14"/>
      <c r="G29" s="14"/>
      <c r="I29" s="5"/>
      <c r="J29" s="0" t="s">
        <v>37</v>
      </c>
    </row>
    <row r="30" outlineLevel="1">
      <c r="A30" s="11" t="s">
        <v>47</v>
      </c>
      <c r="I30" s="5"/>
    </row>
    <row r="31" outlineLevel="2">
      <c r="A31" s="12" t="s">
        <v>48</v>
      </c>
      <c r="B31" s="0" t="s">
        <v>49</v>
      </c>
      <c r="C31" s="13">
        <f>IFERROR(18.9469775177*(1-w),"")</f>
        <v/>
      </c>
      <c r="D31" s="13">
        <v>18.9469775177</v>
      </c>
      <c r="E31" s="13">
        <v>19.640279379807193</v>
      </c>
      <c r="F31" s="13"/>
      <c r="G31" s="13"/>
      <c r="I31" s="5"/>
      <c r="J31" s="0" t="s">
        <v>40</v>
      </c>
    </row>
    <row r="32" outlineLevel="1">
      <c r="A32" s="11" t="s">
        <v>50</v>
      </c>
      <c r="I32" s="5"/>
    </row>
    <row r="33" outlineLevel="2">
      <c r="A33" s="12" t="s">
        <v>51</v>
      </c>
      <c r="B33" s="0" t="s">
        <v>52</v>
      </c>
      <c r="C33" s="14">
        <v>6400</v>
      </c>
      <c r="D33" s="14"/>
      <c r="E33" s="14"/>
      <c r="F33" s="14"/>
      <c r="G33" s="14"/>
      <c r="I33" s="5"/>
      <c r="J33" s="0" t="s">
        <v>37</v>
      </c>
    </row>
    <row r="34" outlineLevel="2">
      <c r="A34" s="12" t="s">
        <v>53</v>
      </c>
      <c r="B34" s="0" t="s">
        <v>52</v>
      </c>
      <c r="C34" s="14">
        <v>1500</v>
      </c>
      <c r="D34" s="14"/>
      <c r="E34" s="14"/>
      <c r="F34" s="14"/>
      <c r="G34" s="14"/>
      <c r="I34" s="5"/>
      <c r="J34" s="0" t="s">
        <v>37</v>
      </c>
    </row>
    <row r="35" outlineLevel="2">
      <c r="A35" s="12" t="s">
        <v>54</v>
      </c>
      <c r="B35" s="0" t="s">
        <v>52</v>
      </c>
      <c r="C35" s="14">
        <v>11000</v>
      </c>
      <c r="D35" s="14"/>
      <c r="E35" s="14"/>
      <c r="F35" s="14"/>
      <c r="G35" s="14"/>
      <c r="I35" s="5"/>
      <c r="J35" s="0" t="s">
        <v>37</v>
      </c>
    </row>
    <row r="36" outlineLevel="2">
      <c r="A36" s="12" t="s">
        <v>55</v>
      </c>
      <c r="B36" s="0" t="s">
        <v>52</v>
      </c>
      <c r="C36" s="14">
        <v>3200</v>
      </c>
      <c r="D36" s="14"/>
      <c r="E36" s="14"/>
      <c r="F36" s="14"/>
      <c r="G36" s="14"/>
      <c r="I36" s="5"/>
      <c r="J36" s="0" t="s">
        <v>37</v>
      </c>
    </row>
    <row r="37" outlineLevel="2">
      <c r="A37" s="12" t="s">
        <v>56</v>
      </c>
      <c r="B37" s="0" t="s">
        <v>52</v>
      </c>
      <c r="C37" s="14">
        <v>1700</v>
      </c>
      <c r="D37" s="14"/>
      <c r="E37" s="14"/>
      <c r="F37" s="14"/>
      <c r="G37" s="14"/>
      <c r="I37" s="5"/>
      <c r="J37" s="0" t="s">
        <v>37</v>
      </c>
    </row>
    <row r="38">
      <c r="I38" s="5"/>
    </row>
    <row r="3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3:E33"/>
    <mergeCell ref="C34:E34"/>
    <mergeCell ref="C35:E35"/>
    <mergeCell ref="C36:E36"/>
    <mergeCell ref="C37:E3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https://phyllis.nl/Biomass/View/2794</dc:description>
  <dcterms:created xsi:type="dcterms:W3CDTF">2026-03-04T04:26:16Z</dcterms:created>
  <dc:title>Phyllis2 #2794 clover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