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80 wood, mixed hardw" sheetId="1" r:id="rId1"/>
  </sheets>
  <definedNames>
    <definedName name="w" localSheetId="0">IF(ISBLANK('Phyllis2 #280 wood, mixed hardw'!$C$18),#N/A,'Phyllis2 #280 wood, mixed hardw'!$C$18/100)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<sst xmlns="http://schemas.openxmlformats.org/spreadsheetml/2006/main" count="52" uniqueCount="52">
  <si>
    <t>Phyllis2</t>
  </si>
  <si>
    <t>https://phyllis.nl/Biomass/View/280</t>
  </si>
  <si>
    <t>wood, mixed hardwood chips (#280)</t>
  </si>
  <si>
    <t>ID-number</t>
  </si>
  <si>
    <t>#280</t>
  </si>
  <si>
    <t>Material</t>
  </si>
  <si>
    <t>wood, mixed hardwood chips</t>
  </si>
  <si>
    <t>Classification</t>
  </si>
  <si>
    <t>ECN Phyllis classification &gt; untreated wood &gt; other hard wood &gt; wood, mixed hardwood chips</t>
  </si>
  <si>
    <t>NTA 8003 classification &gt; [100] hout &gt; [110] vers hout &gt; [120] loofhout &gt; [121] mengsel loofhout</t>
  </si>
  <si>
    <t>Submitter organisation</t>
  </si>
  <si>
    <t>ECN (Netherlands)</t>
  </si>
  <si>
    <t>Remarks</t>
  </si>
  <si>
    <t>mixed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</si>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</sst>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8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12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3"/>
    </row>
    <row r="17" outlineLevel="1">
      <c r="A17" s="9" t="s">
        <v>29</v>
      </c>
      <c r="I17" s="13"/>
    </row>
    <row r="18" outlineLevel="2">
      <c r="A18" s="10" t="s">
        <v>30</v>
      </c>
      <c r="B18" s="0" t="s">
        <v>31</v>
      </c>
      <c r="C18" s="11">
        <v>48.3</v>
      </c>
      <c r="D18" s="11"/>
      <c r="E18" s="11"/>
      <c r="F18" s="11"/>
      <c r="G18" s="11"/>
      <c r="I18" s="13"/>
    </row>
    <row r="19" outlineLevel="2">
      <c r="A19" s="10" t="s">
        <v>32</v>
      </c>
      <c r="B19" s="0" t="s">
        <v>31</v>
      </c>
      <c r="C19" s="11">
        <f>IFERROR(1.44*(1-w),"")</f>
        <v>0.74448</v>
      </c>
      <c r="D19" s="11">
        <v>1.44</v>
      </c>
      <c r="E19" s="11">
        <v/>
      </c>
      <c r="F19" s="11"/>
      <c r="G19" s="11"/>
      <c r="I19" s="13"/>
    </row>
    <row r="20" outlineLevel="2">
      <c r="A20" s="10" t="s">
        <v>33</v>
      </c>
      <c r="B20" s="0" t="s">
        <v>31</v>
      </c>
      <c r="C20" s="11">
        <f>IFERROR(82.84*(1-w),"")</f>
        <v>42.828280000000007</v>
      </c>
      <c r="D20" s="11">
        <v>82.84</v>
      </c>
      <c r="E20" s="11">
        <v>84.050324675324674</v>
      </c>
      <c r="F20" s="11"/>
      <c r="G20" s="11"/>
      <c r="I20" s="13"/>
    </row>
    <row r="21" outlineLevel="2">
      <c r="A21" s="10" t="s">
        <v>34</v>
      </c>
      <c r="B21" s="0" t="s">
        <v>31</v>
      </c>
      <c r="C21" s="11">
        <f>IFERROR(15.72*(1-w),"")</f>
        <v>8.12724</v>
      </c>
      <c r="D21" s="11">
        <v>15.719999999999999</v>
      </c>
      <c r="E21" s="11">
        <v>15.949675324675322</v>
      </c>
      <c r="F21" s="11"/>
      <c r="G21" s="11"/>
      <c r="I21" s="13"/>
      <c r="J21" s="0" t="s">
        <v>35</v>
      </c>
    </row>
    <row r="22" outlineLevel="1">
      <c r="A22" s="9" t="s">
        <v>36</v>
      </c>
      <c r="I22" s="13"/>
    </row>
    <row r="23" outlineLevel="2">
      <c r="A23" s="10" t="s">
        <v>37</v>
      </c>
      <c r="B23" s="0" t="s">
        <v>31</v>
      </c>
      <c r="C23" s="11">
        <f>IFERROR(49.31*(1-w),"")</f>
        <v>25.493270000000003</v>
      </c>
      <c r="D23" s="11">
        <v>49.31</v>
      </c>
      <c r="E23" s="11">
        <v>50.030438311688314</v>
      </c>
      <c r="F23" s="11"/>
      <c r="G23" s="11"/>
      <c r="I23" s="13"/>
      <c r="J23" s="0" t="s">
        <v>38</v>
      </c>
    </row>
    <row r="24" outlineLevel="2">
      <c r="A24" s="10" t="s">
        <v>39</v>
      </c>
      <c r="B24" s="0" t="s">
        <v>31</v>
      </c>
      <c r="C24" s="11">
        <f>IFERROR(6.03*(1-w),"")</f>
        <v>3.1175100000000002</v>
      </c>
      <c r="D24" s="11">
        <v>6.03</v>
      </c>
      <c r="E24" s="11">
        <v>6.11810064935065</v>
      </c>
      <c r="F24" s="11"/>
      <c r="G24" s="11"/>
      <c r="I24" s="13"/>
      <c r="J24" s="0" t="s">
        <v>38</v>
      </c>
    </row>
    <row r="25" outlineLevel="2">
      <c r="A25" s="10" t="s">
        <v>40</v>
      </c>
      <c r="B25" s="0" t="s">
        <v>31</v>
      </c>
      <c r="C25" s="11">
        <f>IFERROR(42.98*(1-w),"")</f>
        <v>22.22066</v>
      </c>
      <c r="D25" s="11">
        <v>42.98</v>
      </c>
      <c r="E25" s="11">
        <v>43.60795454545454</v>
      </c>
      <c r="F25" s="11"/>
      <c r="G25" s="11"/>
      <c r="I25" s="13"/>
      <c r="J25" s="0" t="s">
        <v>35</v>
      </c>
    </row>
    <row r="26" outlineLevel="2">
      <c r="A26" s="10" t="s">
        <v>41</v>
      </c>
      <c r="B26" s="0" t="s">
        <v>31</v>
      </c>
      <c r="C26" s="11">
        <f>IFERROR(0.18*(1-w),"")</f>
        <v>0.09306</v>
      </c>
      <c r="D26" s="11">
        <v>0.18</v>
      </c>
      <c r="E26" s="11">
        <v>0.18262987012987011</v>
      </c>
      <c r="F26" s="11"/>
      <c r="G26" s="11"/>
      <c r="I26" s="13"/>
      <c r="J26" s="0" t="s">
        <v>38</v>
      </c>
    </row>
    <row r="27" outlineLevel="2">
      <c r="A27" s="10" t="s">
        <v>42</v>
      </c>
      <c r="B27" s="0" t="s">
        <v>31</v>
      </c>
      <c r="C27" s="11">
        <f>IFERROR(0.02*(1-w),"")</f>
        <v>0.01034</v>
      </c>
      <c r="D27" s="11">
        <v>0.02</v>
      </c>
      <c r="E27" s="11">
        <v>0.020292207792207792</v>
      </c>
      <c r="F27" s="11"/>
      <c r="G27" s="11"/>
      <c r="I27" s="13"/>
      <c r="J27" s="0" t="s">
        <v>38</v>
      </c>
    </row>
    <row r="28" outlineLevel="2">
      <c r="A28" s="10" t="s">
        <v>43</v>
      </c>
      <c r="B28" s="0" t="s">
        <v>31</v>
      </c>
      <c r="C28" s="11">
        <f>IFERROR(100*(1-w)+w*100,"")</f>
        <v>100</v>
      </c>
      <c r="D28" s="11">
        <v>100</v>
      </c>
      <c r="E28" s="11">
        <v>100</v>
      </c>
      <c r="F28" s="11"/>
      <c r="G28" s="11"/>
      <c r="I28" s="13"/>
      <c r="J28" s="0" t="s">
        <v>35</v>
      </c>
    </row>
    <row r="29" outlineLevel="1">
      <c r="A29" s="9" t="s">
        <v>44</v>
      </c>
      <c r="I29" s="13"/>
    </row>
    <row r="30" outlineLevel="2">
      <c r="A30" s="10" t="s">
        <v>45</v>
      </c>
      <c r="B30" s="0" t="s">
        <v>46</v>
      </c>
      <c r="C30" s="12">
        <f>IFERROR(400*(1-w),"")</f>
        <v>206.8</v>
      </c>
      <c r="D30" s="12">
        <v>400</v>
      </c>
      <c r="E30" s="12">
        <v>405.84415584415581</v>
      </c>
      <c r="F30" s="12"/>
      <c r="G30" s="12"/>
      <c r="I30" s="13"/>
      <c r="J30" s="0" t="s">
        <v>38</v>
      </c>
    </row>
    <row r="31" outlineLevel="1">
      <c r="A31" s="9" t="s">
        <v>47</v>
      </c>
      <c r="I31" s="13"/>
    </row>
    <row r="32" outlineLevel="2">
      <c r="A32" s="10" t="s">
        <v>48</v>
      </c>
      <c r="B32" s="0" t="s">
        <v>49</v>
      </c>
      <c r="C32" s="11">
        <f>IFERROR(18.15183*(1-w)-w*2.443,"")</f>
        <v>8.20452711</v>
      </c>
      <c r="D32" s="11">
        <v>18.15183</v>
      </c>
      <c r="E32" s="11">
        <v>18.417035308441559</v>
      </c>
      <c r="F32" s="11"/>
      <c r="G32" s="11"/>
      <c r="I32" s="13"/>
    </row>
    <row r="33" outlineLevel="2">
      <c r="A33" s="10" t="s">
        <v>50</v>
      </c>
      <c r="B33" s="0" t="s">
        <v>49</v>
      </c>
      <c r="C33" s="11">
        <f>IFERROR(19.46768*(1-w),"")</f>
        <v>10.06479056</v>
      </c>
      <c r="D33" s="11">
        <v>19.46768</v>
      </c>
      <c r="E33" s="11">
        <v>19.75211038961039</v>
      </c>
      <c r="F33" s="11"/>
      <c r="G33" s="11"/>
      <c r="I33" s="13"/>
    </row>
    <row r="34" outlineLevel="2">
      <c r="A34" s="10" t="s">
        <v>51</v>
      </c>
      <c r="B34" s="0" t="s">
        <v>49</v>
      </c>
      <c r="C34" s="11">
        <f>IFERROR(19.5868272608*(1-w),"")</f>
        <v>10.126389693833602</v>
      </c>
      <c r="D34" s="11">
        <v>19.586827260800003</v>
      </c>
      <c r="E34" s="11">
        <v>19.87299843831169</v>
      </c>
      <c r="F34" s="11"/>
      <c r="G34" s="11"/>
      <c r="I34" s="13"/>
      <c r="J34" s="0" t="s">
        <v>35</v>
      </c>
    </row>
    <row r="35">
      <c r="I35" s="13"/>
    </row>
    <row r="3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&#10;Original value: 48.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https://phyllis.nl/Biomass/View/280</dc:description>
  <dcterms:created xsi:type="dcterms:W3CDTF">2026-03-19T07:15:54Z</dcterms:created>
  <dc:title>Phyllis2 #280 wood, mixed hardwood chips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