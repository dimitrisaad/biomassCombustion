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801 white fir and po" sheetId="1" r:id="rId1"/>
  </sheets>
  <definedNames>
    <definedName name="w" localSheetId="0">IF(ISBLANK('Phyllis2 #2801 white fir and po'!$C$20),#N/A,'Phyllis2 #2801 white fir and po'!$C$20/100)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<sst xmlns="http://schemas.openxmlformats.org/spreadsheetml/2006/main" count="71" uniqueCount="71">
  <si>
    <t>Phyllis2</t>
  </si>
  <si>
    <t>https://phyllis.nl/Biomass/View/2801</t>
  </si>
  <si>
    <t>white fir and ponderosa pine (#2801)</t>
  </si>
  <si>
    <t>ID-number</t>
  </si>
  <si>
    <t>#2801</t>
  </si>
  <si>
    <t>Material</t>
  </si>
  <si>
    <t>white fir and ponderosa pine</t>
  </si>
  <si>
    <t>Classification</t>
  </si>
  <si>
    <t>ECN Phyllis classification &gt; untreated wood &gt; fir/pine/spruce</t>
  </si>
  <si>
    <t>NTA 8003 classification &gt; [100] hout &gt; [110] vers hout &gt; [130] naaldhout &gt; [131] naaldhout</t>
  </si>
  <si>
    <t>Ash type</t>
  </si>
  <si>
    <t>Ash content determined at 525°C, ash composition after heating to 950°C (resulting in 27.59% loss)</t>
  </si>
  <si>
    <t>Submitter organisation</t>
  </si>
  <si>
    <t>ECN (Netherlands)</t>
  </si>
  <si>
    <t>Submission date</t>
  </si>
  <si>
    <t>Remarks</t>
  </si>
  <si>
    <t xml:space="preserve">525°C ash contains 6.24% CO2, 0.69% SO2 and less than 0.065% Cl.        950°C ash ash contains 2.64% MnO too.</t>
  </si>
  <si>
    <t>Literature</t>
  </si>
  <si>
    <t>P. Thy, B.M. Jenkins, C.E. Lesher, S.Grundvig: Compositional constraints on slag formation and potassium volatilization from rice straw blended wood fuel. Fuel Processing Technology 87 (2006) 383-408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</si>
  <si>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</si>
  <si>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</si>
  <si>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</si>
  <si>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</si>
  <si>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</si>
  <si>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</si>
  <si>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</si>
  <si>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</si>
  <si>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</si>
  <si>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</si>
  <si>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</si>
  <si>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</si>
  <si>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</si>
  <si>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</si>
  <si>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</si>
  <si>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</si>
  <si>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</si>
  <si>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</si>
  <si>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</si>
  <si>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</si>
  <si>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</si>
  <si>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</si>
  <si>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</si>
  <si>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</si>
  <si>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</si>
  <si>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Calculated</t>
  </si>
  <si>
    <t>Halides</t>
  </si>
  <si>
    <t>Chlorine (Cl)</t>
  </si>
  <si>
    <t>mg/kg</t>
  </si>
  <si>
    <t>Heating value</t>
  </si>
  <si>
    <t>HHVMilne</t>
  </si>
  <si>
    <t>MJ/kg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</si>
  <si>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</si>
  <si>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</si>
  <si>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</si>
  <si>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</si>
  <si>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</si>
  <si>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</si>
  <si>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</si>
  <si>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American standard method, measured in reducing conditions</t>
  </si>
  <si>
    <t>Ash Properties</t>
  </si>
  <si>
    <t>Ash composition</t>
  </si>
  <si>
    <t>P2O5</t>
  </si>
  <si>
    <t>wt% (ash)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</si>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</sst>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80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38909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>
      <c r="A14" s="7"/>
    </row>
    <row r="15" s="1" customFormat="1">
      <c r="A15" s="9" t="s">
        <v>19</v>
      </c>
    </row>
    <row r="16" s="1" customFormat="1">
      <c r="A16" s="10" t="s">
        <v>20</v>
      </c>
      <c r="B16" s="10" t="s">
        <v>21</v>
      </c>
      <c r="C16" s="10" t="s">
        <v>22</v>
      </c>
      <c r="D16" s="10"/>
      <c r="E16" s="10"/>
      <c r="F16" s="10" t="s">
        <v>23</v>
      </c>
      <c r="G16" s="10" t="s">
        <v>24</v>
      </c>
      <c r="H16" s="10" t="s">
        <v>25</v>
      </c>
      <c r="I16" s="10" t="s">
        <v>26</v>
      </c>
      <c r="J16" s="10" t="s">
        <v>27</v>
      </c>
      <c r="K16" s="10" t="s">
        <v>15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>10.4</v>
      </c>
      <c r="D20" s="13"/>
      <c r="E20" s="13"/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IFERROR(1.2*(1-w),"")</f>
        <v>1.0752</v>
      </c>
      <c r="D21" s="13">
        <v>1.2</v>
      </c>
      <c r="E21" s="13">
        <v/>
      </c>
      <c r="F21" s="13"/>
      <c r="G21" s="13"/>
      <c r="I21" s="5"/>
    </row>
    <row r="22" outlineLevel="1">
      <c r="A22" s="11" t="s">
        <v>36</v>
      </c>
      <c r="I22" s="5"/>
    </row>
    <row r="23" outlineLevel="2">
      <c r="A23" s="12" t="s">
        <v>37</v>
      </c>
      <c r="B23" s="0" t="s">
        <v>34</v>
      </c>
      <c r="C23" s="13">
        <f>IFERROR(54.17411*(1-w),"")</f>
        <v>48.54000256</v>
      </c>
      <c r="D23" s="13">
        <v>54.17411</v>
      </c>
      <c r="E23" s="13">
        <v>54.832095141700407</v>
      </c>
      <c r="F23" s="13"/>
      <c r="G23" s="13"/>
      <c r="I23" s="5"/>
      <c r="J23" s="0" t="s">
        <v>38</v>
      </c>
    </row>
    <row r="24" outlineLevel="2">
      <c r="A24" s="12" t="s">
        <v>39</v>
      </c>
      <c r="B24" s="0" t="s">
        <v>34</v>
      </c>
      <c r="C24" s="13">
        <f>IFERROR(5.825892*(1-w),"")</f>
        <v>5.219999232</v>
      </c>
      <c r="D24" s="13">
        <v>5.825892</v>
      </c>
      <c r="E24" s="13">
        <v>5.8966518218623483</v>
      </c>
      <c r="F24" s="13"/>
      <c r="G24" s="13"/>
      <c r="I24" s="5"/>
      <c r="J24" s="0" t="s">
        <v>38</v>
      </c>
    </row>
    <row r="25" outlineLevel="2">
      <c r="A25" s="12" t="s">
        <v>40</v>
      </c>
      <c r="B25" s="0" t="s">
        <v>34</v>
      </c>
      <c r="C25" s="13">
        <f>IFERROR(40.79241*(1-w),"")</f>
        <v>36.54999936</v>
      </c>
      <c r="D25" s="13">
        <v>40.79241</v>
      </c>
      <c r="E25" s="13">
        <v>41.287864372469635</v>
      </c>
      <c r="F25" s="13"/>
      <c r="G25" s="13"/>
      <c r="I25" s="5"/>
      <c r="J25" s="0" t="s">
        <v>38</v>
      </c>
    </row>
    <row r="26" outlineLevel="2">
      <c r="A26" s="12" t="s">
        <v>41</v>
      </c>
      <c r="B26" s="0" t="s">
        <v>34</v>
      </c>
      <c r="C26" s="13">
        <f>IFERROR(0.078125*(1-w),"")</f>
        <v>0.07</v>
      </c>
      <c r="D26" s="13">
        <v>0.078125</v>
      </c>
      <c r="E26" s="13">
        <v>0.079073886639676114</v>
      </c>
      <c r="F26" s="13"/>
      <c r="G26" s="13"/>
      <c r="I26" s="5"/>
      <c r="J26" s="0" t="s">
        <v>38</v>
      </c>
    </row>
    <row r="27" outlineLevel="2">
      <c r="A27" s="12" t="s">
        <v>42</v>
      </c>
      <c r="B27" s="0" t="s">
        <v>34</v>
      </c>
      <c r="C27" s="13">
        <f>IFERROR(0.02232143*(1-w),"")</f>
        <v>0.02000000128</v>
      </c>
      <c r="D27" s="13">
        <v>0.02232143</v>
      </c>
      <c r="E27" s="13">
        <v>0.022592540485829961</v>
      </c>
      <c r="F27" s="13"/>
      <c r="G27" s="13"/>
      <c r="I27" s="5"/>
      <c r="J27" s="0" t="s">
        <v>38</v>
      </c>
    </row>
    <row r="28" outlineLevel="2">
      <c r="A28" s="12" t="s">
        <v>43</v>
      </c>
      <c r="B28" s="0" t="s">
        <v>34</v>
      </c>
      <c r="C28" s="13">
        <f>IFERROR(102.12634057*(1-w)+w*100,"")</f>
        <v>101.90520115072</v>
      </c>
      <c r="D28" s="13">
        <v>102.12634057</v>
      </c>
      <c r="E28" s="13">
        <v>102.1521665688259</v>
      </c>
      <c r="F28" s="13"/>
      <c r="G28" s="13"/>
      <c r="I28" s="5"/>
      <c r="J28" s="0" t="s">
        <v>44</v>
      </c>
    </row>
    <row r="29" outlineLevel="1">
      <c r="A29" s="11" t="s">
        <v>45</v>
      </c>
      <c r="I29" s="5"/>
    </row>
    <row r="30" outlineLevel="2">
      <c r="A30" s="12" t="s">
        <v>46</v>
      </c>
      <c r="B30" s="0" t="s">
        <v>47</v>
      </c>
      <c r="C30" s="14">
        <f>IFERROR(334.8214*(1-w),"")</f>
        <v>299.9999744</v>
      </c>
      <c r="D30" s="14">
        <v>334.8214</v>
      </c>
      <c r="E30" s="14">
        <v>338.88805668016192</v>
      </c>
      <c r="F30" s="14"/>
      <c r="G30" s="14"/>
      <c r="I30" s="5"/>
      <c r="J30" s="0" t="s">
        <v>38</v>
      </c>
    </row>
    <row r="31" outlineLevel="1">
      <c r="A31" s="11" t="s">
        <v>48</v>
      </c>
      <c r="I31" s="5"/>
    </row>
    <row r="32" outlineLevel="2">
      <c r="A32" s="12" t="s">
        <v>49</v>
      </c>
      <c r="B32" s="0" t="s">
        <v>50</v>
      </c>
      <c r="C32" s="13">
        <f>IFERROR(21.254128104098*(1-w),"")</f>
        <v>19.043698781271811</v>
      </c>
      <c r="D32" s="13">
        <v>21.254128104098</v>
      </c>
      <c r="E32" s="13">
        <v>21.512275409006076</v>
      </c>
      <c r="F32" s="13"/>
      <c r="G32" s="13"/>
      <c r="I32" s="5"/>
      <c r="J32" s="0" t="s">
        <v>44</v>
      </c>
    </row>
    <row r="33" outlineLevel="1">
      <c r="A33" s="11" t="s">
        <v>51</v>
      </c>
      <c r="I33" s="5"/>
    </row>
    <row r="34" outlineLevel="2">
      <c r="A34" s="15" t="s">
        <v>52</v>
      </c>
      <c r="I34" s="5"/>
    </row>
    <row r="35" outlineLevel="3">
      <c r="A35" s="16" t="s">
        <v>53</v>
      </c>
      <c r="B35" s="0" t="s">
        <v>54</v>
      </c>
      <c r="C35" s="17">
        <v>1236</v>
      </c>
      <c r="D35" s="17"/>
      <c r="E35" s="17"/>
      <c r="F35" s="17"/>
      <c r="G35" s="17"/>
      <c r="I35" s="5"/>
    </row>
    <row r="36" outlineLevel="3">
      <c r="A36" s="16" t="s">
        <v>55</v>
      </c>
      <c r="B36" s="0" t="s">
        <v>54</v>
      </c>
      <c r="C36" s="17">
        <v>1244</v>
      </c>
      <c r="D36" s="17"/>
      <c r="E36" s="17"/>
      <c r="F36" s="17"/>
      <c r="G36" s="17"/>
      <c r="I36" s="5"/>
    </row>
    <row r="37" outlineLevel="3">
      <c r="A37" s="16" t="s">
        <v>56</v>
      </c>
      <c r="B37" s="0" t="s">
        <v>54</v>
      </c>
      <c r="C37" s="17">
        <v>1246</v>
      </c>
      <c r="D37" s="17"/>
      <c r="E37" s="17"/>
      <c r="F37" s="17"/>
      <c r="G37" s="17"/>
      <c r="I37" s="5"/>
    </row>
    <row r="38" outlineLevel="3">
      <c r="A38" s="16" t="s">
        <v>57</v>
      </c>
      <c r="B38" s="0" t="s">
        <v>54</v>
      </c>
      <c r="C38" s="17">
        <v>1249</v>
      </c>
      <c r="D38" s="17"/>
      <c r="E38" s="17"/>
      <c r="F38" s="17"/>
      <c r="G38" s="17"/>
      <c r="I38" s="5"/>
    </row>
    <row r="39" outlineLevel="2">
      <c r="A39" s="15" t="s">
        <v>58</v>
      </c>
      <c r="I39" s="5"/>
    </row>
    <row r="40" outlineLevel="3">
      <c r="A40" s="16" t="s">
        <v>53</v>
      </c>
      <c r="B40" s="0" t="s">
        <v>54</v>
      </c>
      <c r="C40" s="17">
        <v>1254</v>
      </c>
      <c r="D40" s="17"/>
      <c r="E40" s="17"/>
      <c r="F40" s="17"/>
      <c r="G40" s="17"/>
      <c r="I40" s="5"/>
    </row>
    <row r="41" outlineLevel="3">
      <c r="A41" s="16" t="s">
        <v>55</v>
      </c>
      <c r="B41" s="0" t="s">
        <v>54</v>
      </c>
      <c r="C41" s="17">
        <v>1261</v>
      </c>
      <c r="D41" s="17"/>
      <c r="E41" s="17"/>
      <c r="F41" s="17"/>
      <c r="G41" s="17"/>
      <c r="I41" s="5"/>
    </row>
    <row r="42" outlineLevel="3">
      <c r="A42" s="16" t="s">
        <v>56</v>
      </c>
      <c r="B42" s="0" t="s">
        <v>54</v>
      </c>
      <c r="C42" s="17">
        <v>1262</v>
      </c>
      <c r="D42" s="17"/>
      <c r="E42" s="17"/>
      <c r="F42" s="17"/>
      <c r="G42" s="17"/>
      <c r="I42" s="5"/>
    </row>
    <row r="43" outlineLevel="3">
      <c r="A43" s="16" t="s">
        <v>57</v>
      </c>
      <c r="B43" s="0" t="s">
        <v>54</v>
      </c>
      <c r="C43" s="17">
        <v>1263</v>
      </c>
      <c r="D43" s="17"/>
      <c r="E43" s="17"/>
      <c r="F43" s="17"/>
      <c r="G43" s="17"/>
      <c r="I43" s="5"/>
    </row>
    <row r="44">
      <c r="A44" s="7" t="s">
        <v>59</v>
      </c>
      <c r="I44" s="5"/>
    </row>
    <row r="45" outlineLevel="1">
      <c r="A45" s="11" t="s">
        <v>60</v>
      </c>
      <c r="I45" s="5"/>
    </row>
    <row r="46" outlineLevel="2">
      <c r="A46" s="12" t="s">
        <v>61</v>
      </c>
      <c r="B46" s="0" t="s">
        <v>62</v>
      </c>
      <c r="C46" s="13">
        <v>4.69</v>
      </c>
      <c r="D46" s="13"/>
      <c r="E46" s="13"/>
      <c r="F46" s="13"/>
      <c r="G46" s="13"/>
      <c r="I46" s="5"/>
    </row>
    <row r="47" outlineLevel="2">
      <c r="A47" s="12" t="s">
        <v>63</v>
      </c>
      <c r="B47" s="0" t="s">
        <v>62</v>
      </c>
      <c r="C47" s="13">
        <v>14.01</v>
      </c>
      <c r="D47" s="13"/>
      <c r="E47" s="13"/>
      <c r="F47" s="13"/>
      <c r="G47" s="13"/>
      <c r="I47" s="5"/>
    </row>
    <row r="48" outlineLevel="2">
      <c r="A48" s="12" t="s">
        <v>64</v>
      </c>
      <c r="B48" s="0" t="s">
        <v>62</v>
      </c>
      <c r="C48" s="13">
        <v>1.71</v>
      </c>
      <c r="D48" s="13"/>
      <c r="E48" s="13"/>
      <c r="F48" s="13"/>
      <c r="G48" s="13"/>
      <c r="I48" s="5"/>
    </row>
    <row r="49" outlineLevel="2">
      <c r="A49" s="12" t="s">
        <v>65</v>
      </c>
      <c r="B49" s="0" t="s">
        <v>62</v>
      </c>
      <c r="C49" s="13">
        <v>4.68</v>
      </c>
      <c r="D49" s="13"/>
      <c r="E49" s="13"/>
      <c r="F49" s="13"/>
      <c r="G49" s="13"/>
      <c r="I49" s="5"/>
    </row>
    <row r="50" outlineLevel="2">
      <c r="A50" s="12" t="s">
        <v>66</v>
      </c>
      <c r="B50" s="0" t="s">
        <v>62</v>
      </c>
      <c r="C50" s="13">
        <v>48.05</v>
      </c>
      <c r="D50" s="13"/>
      <c r="E50" s="13"/>
      <c r="F50" s="13"/>
      <c r="G50" s="13"/>
      <c r="I50" s="5"/>
    </row>
    <row r="51" outlineLevel="2">
      <c r="A51" s="12" t="s">
        <v>67</v>
      </c>
      <c r="B51" s="0" t="s">
        <v>62</v>
      </c>
      <c r="C51" s="13">
        <v>7.39</v>
      </c>
      <c r="D51" s="13"/>
      <c r="E51" s="13"/>
      <c r="F51" s="13"/>
      <c r="G51" s="13"/>
      <c r="I51" s="5"/>
    </row>
    <row r="52" outlineLevel="2">
      <c r="A52" s="12" t="s">
        <v>68</v>
      </c>
      <c r="B52" s="0" t="s">
        <v>62</v>
      </c>
      <c r="C52" s="13">
        <v>0.58</v>
      </c>
      <c r="D52" s="13"/>
      <c r="E52" s="13"/>
      <c r="F52" s="13"/>
      <c r="G52" s="13"/>
      <c r="I52" s="5"/>
    </row>
    <row r="53" outlineLevel="2">
      <c r="A53" s="12" t="s">
        <v>69</v>
      </c>
      <c r="B53" s="0" t="s">
        <v>62</v>
      </c>
      <c r="C53" s="13">
        <v>16.06</v>
      </c>
      <c r="D53" s="13"/>
      <c r="E53" s="13"/>
      <c r="F53" s="13"/>
      <c r="G53" s="13"/>
      <c r="I53" s="5"/>
    </row>
    <row r="54" outlineLevel="2">
      <c r="A54" s="12" t="s">
        <v>70</v>
      </c>
      <c r="B54" s="0" t="s">
        <v>62</v>
      </c>
      <c r="C54" s="13">
        <v>0.19</v>
      </c>
      <c r="D54" s="13"/>
      <c r="E54" s="13"/>
      <c r="F54" s="13"/>
      <c r="G54" s="13"/>
      <c r="I54" s="5"/>
    </row>
    <row r="55">
      <c r="I55" s="5"/>
    </row>
    <row r="56" s="1" customFormat="1"/>
  </sheetData>
  <mergeCells>
    <mergeCell ref="A7:A8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  <mergeCell ref="C35:E35"/>
    <mergeCell ref="C36:E36"/>
    <mergeCell ref="C37:E37"/>
    <mergeCell ref="C38:E38"/>
    <mergeCell ref="C40:E40"/>
    <mergeCell ref="C41:E41"/>
    <mergeCell ref="C42:E42"/>
    <mergeCell ref="C43:E43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</mergeCells>
  <dataValidations count="1">
    <dataValidation type="decimal" sqref="C20" errorStyle="stop" promptTitle="Enter moisture content" errorTitle="Invalid moisture content" prompt="Value should be between 0 and 100.&#10;Original value: 10.4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https://phyllis.nl/Biomass/View/2801</dc:description>
  <dcterms:created xsi:type="dcterms:W3CDTF">2026-03-19T07:06:51Z</dcterms:created>
  <dc:title>Phyllis2 #2801 white fir and ponderosa pine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