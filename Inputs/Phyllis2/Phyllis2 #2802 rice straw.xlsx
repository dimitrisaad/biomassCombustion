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02 rice straw" sheetId="1" r:id="rId1"/>
  </sheets>
  <definedNames>
    <definedName name="w" localSheetId="0">IF(ISBLANK('Phyllis2 #2802 rice straw'!$C$20),#N/A,'Phyllis2 #2802 rice straw'!$C$20/100)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<sst xmlns="http://schemas.openxmlformats.org/spreadsheetml/2006/main" count="71" uniqueCount="71">
  <si>
    <t>Phyllis2</t>
  </si>
  <si>
    <t>https://phyllis.nl/Biomass/View/2802</t>
  </si>
  <si>
    <t>rice straw (#2802)</t>
  </si>
  <si>
    <t>ID-number</t>
  </si>
  <si>
    <t>#2802</t>
  </si>
  <si>
    <t>Material</t>
  </si>
  <si>
    <t>rice straw</t>
  </si>
  <si>
    <t>Classification</t>
  </si>
  <si>
    <t>ECN Phyllis classification &gt; straw (stalk/cob/ear) &gt; rice &gt; rice straw</t>
  </si>
  <si>
    <t>NTA 8003 classification &gt; [200] biomassa uit land- en tuinbouw &gt; [220] stro &gt; [224] rijsthalm</t>
  </si>
  <si>
    <t>Ash type</t>
  </si>
  <si>
    <t>Ash content determined at 525°C, ash composition after heating to 950°C (resulting in 7.97% loss)</t>
  </si>
  <si>
    <t>Submitter organisation</t>
  </si>
  <si>
    <t>ECN (Netherlands)</t>
  </si>
  <si>
    <t>Submission date</t>
  </si>
  <si>
    <t>Remarks</t>
  </si>
  <si>
    <t xml:space="preserve">525°C ash contains 0.22% CO2, 0.67% SO2 and 3.18% Cl.       950°C ash contains 0.29% MnO too</t>
  </si>
  <si>
    <t>Literature</t>
  </si>
  <si>
    <t>P. Thy, B.M. Jenkins, C.E. Lesher, S.Grundvig: Compositional constraints on slag formation and potassium volatilization from rice straw blended wood fuel. Fuel Processing Technology 87 (2006) 383-408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</si>
  <si>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</si>
  <si>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</si>
  <si>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</si>
  <si>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</si>
  <si>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</si>
  <si>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</si>
  <si>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</si>
  <si>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</si>
  <si>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</si>
  <si>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</si>
  <si>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</si>
  <si>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</si>
  <si>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</si>
  <si>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</si>
  <si>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</si>
  <si>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</si>
  <si>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</si>
  <si>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</si>
  <si>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</si>
  <si>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</si>
  <si>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</si>
  <si>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</si>
  <si>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</si>
  <si>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</si>
  <si>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</si>
  <si>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</si>
  <si>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</si>
  <si>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</si>
  <si>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</si>
  <si>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</si>
  <si>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HHVMilne</t>
  </si>
  <si>
    <t>MJ/kg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</si>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</sst>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38909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IFERROR(22.1*(1-w),"")</f>
        <v>20.442500000000003</v>
      </c>
      <c r="D21" s="13">
        <v>22.1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IFERROR(41.62162*(1-w),"")</f>
        <v>38.499998500000004</v>
      </c>
      <c r="D23" s="13">
        <v>41.62162</v>
      </c>
      <c r="E23" s="13">
        <v>53.429550706033375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IFERROR(3.848649*(1-w),"")</f>
        <v>3.5600003250000003</v>
      </c>
      <c r="D24" s="13">
        <v>3.848649</v>
      </c>
      <c r="E24" s="13">
        <v>4.9404993581514765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IFERROR(39.24324*(1-w),"")</f>
        <v>36.299997000000005</v>
      </c>
      <c r="D25" s="13">
        <v>39.24324</v>
      </c>
      <c r="E25" s="13">
        <v>50.376431322207956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34</v>
      </c>
      <c r="C26" s="13">
        <f>IFERROR(0.5945946*(1-w),"")</f>
        <v>0.550000005</v>
      </c>
      <c r="D26" s="13">
        <v>0.5945946</v>
      </c>
      <c r="E26" s="13">
        <v>0.76327933247753521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34</v>
      </c>
      <c r="C27" s="13">
        <f>IFERROR(0.06486487*(1-w),"")</f>
        <v>0.060000004750000009</v>
      </c>
      <c r="D27" s="13">
        <v>0.06486487</v>
      </c>
      <c r="E27" s="13">
        <v>0.083266842105263167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34</v>
      </c>
      <c r="C28" s="13">
        <f>IFERROR(108.09999547*(1-w)+w*100,"")</f>
        <v>107.49249580974998</v>
      </c>
      <c r="D28" s="13">
        <v>108.09999546999998</v>
      </c>
      <c r="E28" s="13">
        <v>110.39794026957637</v>
      </c>
      <c r="F28" s="13"/>
      <c r="G28" s="13"/>
      <c r="I28" s="5"/>
      <c r="J28" s="0" t="s">
        <v>44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IFERROR(6270.27*(1-w),"")</f>
        <v>5799.9997500000009</v>
      </c>
      <c r="D30" s="14">
        <v>6270.27</v>
      </c>
      <c r="E30" s="14">
        <v>8049.1270860077029</v>
      </c>
      <c r="F30" s="14"/>
      <c r="G30" s="14"/>
      <c r="I30" s="5"/>
      <c r="J30" s="0" t="s">
        <v>38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IFERROR(14.241392706082*(1-w),"")</f>
        <v>13.17328825312585</v>
      </c>
      <c r="D32" s="13">
        <v>14.241392706082</v>
      </c>
      <c r="E32" s="13">
        <v>18.281633769039793</v>
      </c>
      <c r="F32" s="13"/>
      <c r="G32" s="13"/>
      <c r="I32" s="5"/>
      <c r="J32" s="0" t="s">
        <v>44</v>
      </c>
    </row>
    <row r="33" outlineLevel="1">
      <c r="A33" s="11" t="s">
        <v>51</v>
      </c>
      <c r="I33" s="5"/>
    </row>
    <row r="34" outlineLevel="2">
      <c r="A34" s="15" t="s">
        <v>52</v>
      </c>
      <c r="I34" s="5"/>
    </row>
    <row r="35" outlineLevel="3">
      <c r="A35" s="16" t="s">
        <v>53</v>
      </c>
      <c r="B35" s="0" t="s">
        <v>54</v>
      </c>
      <c r="C35" s="17">
        <v>1240</v>
      </c>
      <c r="D35" s="17"/>
      <c r="E35" s="17"/>
      <c r="F35" s="17"/>
      <c r="G35" s="17"/>
      <c r="I35" s="5"/>
    </row>
    <row r="36" outlineLevel="3">
      <c r="A36" s="16" t="s">
        <v>55</v>
      </c>
      <c r="B36" s="0" t="s">
        <v>54</v>
      </c>
      <c r="C36" s="17">
        <v>1378</v>
      </c>
      <c r="D36" s="17"/>
      <c r="E36" s="17"/>
      <c r="F36" s="17"/>
      <c r="G36" s="17"/>
      <c r="I36" s="5"/>
    </row>
    <row r="37" outlineLevel="3">
      <c r="A37" s="16" t="s">
        <v>56</v>
      </c>
      <c r="B37" s="0" t="s">
        <v>54</v>
      </c>
      <c r="C37" s="17">
        <v>1429</v>
      </c>
      <c r="D37" s="17"/>
      <c r="E37" s="17"/>
      <c r="F37" s="17"/>
      <c r="G37" s="17"/>
      <c r="I37" s="5"/>
    </row>
    <row r="38" outlineLevel="3">
      <c r="A38" s="16" t="s">
        <v>57</v>
      </c>
      <c r="B38" s="0" t="s">
        <v>54</v>
      </c>
      <c r="C38" s="17">
        <v>1470</v>
      </c>
      <c r="D38" s="17"/>
      <c r="E38" s="17"/>
      <c r="F38" s="17"/>
      <c r="G38" s="17"/>
      <c r="I38" s="5"/>
    </row>
    <row r="39" outlineLevel="2">
      <c r="A39" s="15" t="s">
        <v>58</v>
      </c>
      <c r="I39" s="5"/>
    </row>
    <row r="40" outlineLevel="3">
      <c r="A40" s="16" t="s">
        <v>53</v>
      </c>
      <c r="B40" s="0" t="s">
        <v>54</v>
      </c>
      <c r="C40" s="17">
        <v>1175</v>
      </c>
      <c r="D40" s="17"/>
      <c r="E40" s="17"/>
      <c r="F40" s="17"/>
      <c r="G40" s="17"/>
      <c r="I40" s="5"/>
    </row>
    <row r="41" outlineLevel="3">
      <c r="A41" s="16" t="s">
        <v>55</v>
      </c>
      <c r="B41" s="0" t="s">
        <v>54</v>
      </c>
      <c r="C41" s="17">
        <v>1367</v>
      </c>
      <c r="D41" s="17"/>
      <c r="E41" s="17"/>
      <c r="F41" s="17"/>
      <c r="G41" s="17"/>
      <c r="I41" s="5"/>
    </row>
    <row r="42" outlineLevel="3">
      <c r="A42" s="16" t="s">
        <v>56</v>
      </c>
      <c r="B42" s="0" t="s">
        <v>54</v>
      </c>
      <c r="C42" s="17">
        <v>1406</v>
      </c>
      <c r="D42" s="17"/>
      <c r="E42" s="17"/>
      <c r="F42" s="17"/>
      <c r="G42" s="17"/>
      <c r="I42" s="5"/>
    </row>
    <row r="43" outlineLevel="3">
      <c r="A43" s="16" t="s">
        <v>57</v>
      </c>
      <c r="B43" s="0" t="s">
        <v>54</v>
      </c>
      <c r="C43" s="17">
        <v>1420</v>
      </c>
      <c r="D43" s="17"/>
      <c r="E43" s="17"/>
      <c r="F43" s="17"/>
      <c r="G43" s="17"/>
      <c r="I43" s="5"/>
    </row>
    <row r="44">
      <c r="A44" s="7" t="s">
        <v>59</v>
      </c>
      <c r="I44" s="5"/>
    </row>
    <row r="45" outlineLevel="1">
      <c r="A45" s="11" t="s">
        <v>60</v>
      </c>
      <c r="I45" s="5"/>
    </row>
    <row r="46" outlineLevel="2">
      <c r="A46" s="12" t="s">
        <v>61</v>
      </c>
      <c r="B46" s="0" t="s">
        <v>62</v>
      </c>
      <c r="C46" s="13">
        <v>0.66</v>
      </c>
      <c r="D46" s="13"/>
      <c r="E46" s="13"/>
      <c r="F46" s="13"/>
      <c r="G46" s="13"/>
      <c r="I46" s="5"/>
    </row>
    <row r="47" outlineLevel="2">
      <c r="A47" s="12" t="s">
        <v>63</v>
      </c>
      <c r="B47" s="0" t="s">
        <v>62</v>
      </c>
      <c r="C47" s="13">
        <v>82.13</v>
      </c>
      <c r="D47" s="13"/>
      <c r="E47" s="13"/>
      <c r="F47" s="13"/>
      <c r="G47" s="13"/>
      <c r="I47" s="5"/>
    </row>
    <row r="48" outlineLevel="2">
      <c r="A48" s="12" t="s">
        <v>64</v>
      </c>
      <c r="B48" s="0" t="s">
        <v>62</v>
      </c>
      <c r="C48" s="13">
        <v>0.11</v>
      </c>
      <c r="D48" s="13"/>
      <c r="E48" s="13"/>
      <c r="F48" s="13"/>
      <c r="G48" s="13"/>
      <c r="I48" s="5"/>
    </row>
    <row r="49" outlineLevel="2">
      <c r="A49" s="12" t="s">
        <v>65</v>
      </c>
      <c r="B49" s="0" t="s">
        <v>62</v>
      </c>
      <c r="C49" s="13">
        <v>0.1</v>
      </c>
      <c r="D49" s="13"/>
      <c r="E49" s="13"/>
      <c r="F49" s="13"/>
      <c r="G49" s="13"/>
      <c r="I49" s="5"/>
    </row>
    <row r="50" outlineLevel="2">
      <c r="A50" s="12" t="s">
        <v>66</v>
      </c>
      <c r="B50" s="0" t="s">
        <v>62</v>
      </c>
      <c r="C50" s="13">
        <v>1.74</v>
      </c>
      <c r="D50" s="13"/>
      <c r="E50" s="13"/>
      <c r="F50" s="13"/>
      <c r="G50" s="13"/>
      <c r="I50" s="5"/>
    </row>
    <row r="51" outlineLevel="2">
      <c r="A51" s="12" t="s">
        <v>67</v>
      </c>
      <c r="B51" s="0" t="s">
        <v>62</v>
      </c>
      <c r="C51" s="13">
        <v>1.79</v>
      </c>
      <c r="D51" s="13"/>
      <c r="E51" s="13"/>
      <c r="F51" s="13"/>
      <c r="G51" s="13"/>
      <c r="I51" s="5"/>
    </row>
    <row r="52" outlineLevel="2">
      <c r="A52" s="12" t="s">
        <v>68</v>
      </c>
      <c r="B52" s="0" t="s">
        <v>62</v>
      </c>
      <c r="C52" s="13">
        <v>0.15</v>
      </c>
      <c r="D52" s="13"/>
      <c r="E52" s="13"/>
      <c r="F52" s="13"/>
      <c r="G52" s="13"/>
      <c r="I52" s="5"/>
    </row>
    <row r="53" outlineLevel="2">
      <c r="A53" s="12" t="s">
        <v>69</v>
      </c>
      <c r="B53" s="0" t="s">
        <v>62</v>
      </c>
      <c r="C53" s="13">
        <v>13.02</v>
      </c>
      <c r="D53" s="13"/>
      <c r="E53" s="13"/>
      <c r="F53" s="13"/>
      <c r="G53" s="13"/>
      <c r="I53" s="5"/>
    </row>
    <row r="54" outlineLevel="2">
      <c r="A54" s="12" t="s">
        <v>70</v>
      </c>
      <c r="B54" s="0" t="s">
        <v>62</v>
      </c>
      <c r="C54" s="13">
        <v>0.01</v>
      </c>
      <c r="D54" s="13"/>
      <c r="E54" s="13"/>
      <c r="F54" s="13"/>
      <c r="G54" s="13"/>
      <c r="I54" s="5"/>
    </row>
    <row r="55">
      <c r="I55" s="5"/>
    </row>
    <row r="5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5:E35"/>
    <mergeCell ref="C36:E36"/>
    <mergeCell ref="C37:E37"/>
    <mergeCell ref="C38:E38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20" errorStyle="stop" promptTitle="Enter moisture content" errorTitle="Invalid moisture content" prompt="Value should be between 0 and 100.&#10;Original value: 7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https://phyllis.nl/Biomass/View/2802</dc:description>
  <dcterms:created xsi:type="dcterms:W3CDTF">2026-03-17T06:09:57Z</dcterms:created>
  <dc:title>Phyllis2 #2802 rice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