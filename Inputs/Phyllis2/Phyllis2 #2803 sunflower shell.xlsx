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03 sunflower shell" sheetId="1" r:id="rId1"/>
  </sheets>
  <definedNames>
    <definedName name="w" localSheetId="0">IF(ISBLANK('Phyllis2 #2803 sunflower shell'!$C$19),#N/A,'Phyllis2 #2803 sunflower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<sst xmlns="http://schemas.openxmlformats.org/spreadsheetml/2006/main" count="64" uniqueCount="64">
  <si>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</si>
  <si>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https://phyllis.nl/Biomass/View/2803</t>
  </si>
  <si>
    <t>sunflower shell (#2803)</t>
  </si>
  <si>
    <t>ID-number</t>
  </si>
  <si>
    <t>#2803</t>
  </si>
  <si>
    <t>Material</t>
  </si>
  <si>
    <t>sunflower shell</t>
  </si>
  <si>
    <t>Classification</t>
  </si>
  <si>
    <t>ECN Phyllis classification &gt; husk/shell/pit &gt; sunflower &gt; sunflower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</si>
  <si>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</si>
  <si>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</si>
  <si>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</si>
  <si>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</si>
  <si>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</si>
  <si>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Original article reports Lower Heating Value as received. May well have been HHV as received, in view of similar inaccuracy in specification of ultimate analysis.</t>
  </si>
  <si>
    <t>Literature</t>
  </si>
  <si>
    <t>G. Jang, G.A. Husseini, L.L. Baxter, M.R. Linford: Analysis of sunflower shells by X-ray photoelectron spectroscopy. Surface Science Spectra 11 (2004) 119-126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</si>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</sst>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9.84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IFERROR(2.8*(1-w),"")</f>
        <v>2.5244799999999996</v>
      </c>
      <c r="D20" s="13">
        <v>2.8</v>
      </c>
      <c r="E20" s="13">
        <v/>
      </c>
      <c r="F20" s="13"/>
      <c r="G20" s="13"/>
      <c r="I20" s="5"/>
    </row>
    <row r="21" outlineLevel="1">
      <c r="A21" s="11" t="s">
        <v>34</v>
      </c>
      <c r="I21" s="5"/>
    </row>
    <row r="22" outlineLevel="2">
      <c r="A22" s="12" t="s">
        <v>35</v>
      </c>
      <c r="B22" s="0" t="s">
        <v>32</v>
      </c>
      <c r="C22" s="13">
        <f>IFERROR(51.46407*(1-w),"")</f>
        <v>46.400005512</v>
      </c>
      <c r="D22" s="13">
        <v>51.46407</v>
      </c>
      <c r="E22" s="13">
        <v>52.946574074074078</v>
      </c>
      <c r="F22" s="13"/>
      <c r="G22" s="13"/>
      <c r="I22" s="5"/>
      <c r="J22" s="0" t="s">
        <v>36</v>
      </c>
    </row>
    <row r="23" outlineLevel="2">
      <c r="A23" s="12" t="s">
        <v>37</v>
      </c>
      <c r="B23" s="0" t="s">
        <v>32</v>
      </c>
      <c r="C23" s="13">
        <f>IFERROR(6.488465*(1-w),"")</f>
        <v>5.850000044</v>
      </c>
      <c r="D23" s="13">
        <v>6.488465</v>
      </c>
      <c r="E23" s="13">
        <v>6.6753755144032922</v>
      </c>
      <c r="F23" s="13"/>
      <c r="G23" s="13"/>
      <c r="I23" s="5"/>
      <c r="J23" s="0" t="s">
        <v>36</v>
      </c>
    </row>
    <row r="24" outlineLevel="2">
      <c r="A24" s="12" t="s">
        <v>38</v>
      </c>
      <c r="B24" s="0" t="s">
        <v>32</v>
      </c>
      <c r="C24" s="13">
        <f>IFERROR(38.07676*(1-w),"")</f>
        <v>34.330006816</v>
      </c>
      <c r="D24" s="13">
        <v>38.07676</v>
      </c>
      <c r="E24" s="13">
        <v>39.173621399176959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IFERROR(0.9760426*(1-w),"")</f>
        <v>0.8800000081599999</v>
      </c>
      <c r="D25" s="13">
        <v>0.9760426</v>
      </c>
      <c r="E25" s="13">
        <v>1.0041590534979423</v>
      </c>
      <c r="F25" s="13"/>
      <c r="G25" s="13"/>
      <c r="I25" s="5"/>
      <c r="J25" s="0" t="s">
        <v>36</v>
      </c>
    </row>
    <row r="26" outlineLevel="2">
      <c r="A26" s="12" t="s">
        <v>41</v>
      </c>
      <c r="B26" s="0" t="s">
        <v>32</v>
      </c>
      <c r="C26" s="13">
        <f>IFERROR(0.1996451*(1-w),"")</f>
        <v>0.18000002216</v>
      </c>
      <c r="D26" s="13">
        <v>0.1996451</v>
      </c>
      <c r="E26" s="13">
        <v>0.20539619341563786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IFERROR(100.0049827*(1-w)+w*100,"")</f>
        <v>100.00449240231998</v>
      </c>
      <c r="D27" s="13">
        <v>100.00498269999999</v>
      </c>
      <c r="E27" s="13">
        <v>100.0051262345679</v>
      </c>
      <c r="F27" s="13"/>
      <c r="G27" s="13"/>
      <c r="I27" s="5"/>
      <c r="J27" s="0" t="s">
        <v>39</v>
      </c>
    </row>
    <row r="28" outlineLevel="1">
      <c r="A28" s="11" t="s">
        <v>43</v>
      </c>
      <c r="I28" s="5"/>
    </row>
    <row r="29" outlineLevel="2">
      <c r="A29" s="12" t="s">
        <v>44</v>
      </c>
      <c r="B29" s="0" t="s">
        <v>45</v>
      </c>
      <c r="C29" s="14">
        <f>IFERROR(0*(1-w),"")</f>
        <v>0</v>
      </c>
      <c r="D29" s="14">
        <v>0</v>
      </c>
      <c r="E29" s="14">
        <v>0</v>
      </c>
      <c r="F29" s="14"/>
      <c r="G29" s="14"/>
      <c r="I29" s="5"/>
      <c r="J29" s="0" t="s">
        <v>36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IFERROR(21.13608*(1-w)-w*2.443,"")</f>
        <v>18.815898527999998</v>
      </c>
      <c r="D31" s="13">
        <v>21.13608</v>
      </c>
      <c r="E31" s="13">
        <v>21.744938271604937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IFERROR(22.55198*(1-w),"")</f>
        <v>20.332865167999998</v>
      </c>
      <c r="D32" s="13">
        <v>22.55198</v>
      </c>
      <c r="E32" s="13">
        <v>23.201625514403293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IFERROR(21.41271746186*(1-w),"")</f>
        <v>19.305706063612977</v>
      </c>
      <c r="D33" s="13">
        <v>21.41271746186</v>
      </c>
      <c r="E33" s="13">
        <v>22.029544713847738</v>
      </c>
      <c r="F33" s="13"/>
      <c r="G33" s="13"/>
      <c r="I33" s="5"/>
      <c r="J33" s="0" t="s">
        <v>39</v>
      </c>
    </row>
    <row r="34">
      <c r="A34" s="7" t="s">
        <v>51</v>
      </c>
      <c r="I34" s="5"/>
    </row>
    <row r="35" outlineLevel="1">
      <c r="A35" s="11" t="s">
        <v>52</v>
      </c>
      <c r="I35" s="5"/>
    </row>
    <row r="36" outlineLevel="2">
      <c r="A36" s="12" t="s">
        <v>53</v>
      </c>
      <c r="B36" s="0" t="s">
        <v>54</v>
      </c>
      <c r="C36" s="13">
        <v>11.7</v>
      </c>
      <c r="D36" s="13"/>
      <c r="E36" s="13"/>
      <c r="F36" s="13"/>
      <c r="G36" s="13"/>
      <c r="I36" s="5"/>
    </row>
    <row r="37" outlineLevel="2">
      <c r="A37" s="12" t="s">
        <v>55</v>
      </c>
      <c r="B37" s="0" t="s">
        <v>54</v>
      </c>
      <c r="C37" s="13">
        <v>1.2</v>
      </c>
      <c r="D37" s="13"/>
      <c r="E37" s="13"/>
      <c r="F37" s="13"/>
      <c r="G37" s="13"/>
      <c r="I37" s="5"/>
    </row>
    <row r="38" outlineLevel="2">
      <c r="A38" s="12" t="s">
        <v>56</v>
      </c>
      <c r="B38" s="0" t="s">
        <v>54</v>
      </c>
      <c r="C38" s="13">
        <v>10.1</v>
      </c>
      <c r="D38" s="13"/>
      <c r="E38" s="13"/>
      <c r="F38" s="13"/>
      <c r="G38" s="13"/>
      <c r="I38" s="5"/>
    </row>
    <row r="39" outlineLevel="2">
      <c r="A39" s="12" t="s">
        <v>57</v>
      </c>
      <c r="B39" s="0" t="s">
        <v>54</v>
      </c>
      <c r="C39" s="13">
        <v>1.1</v>
      </c>
      <c r="D39" s="13"/>
      <c r="E39" s="13"/>
      <c r="F39" s="13"/>
      <c r="G39" s="13"/>
      <c r="I39" s="5"/>
    </row>
    <row r="40" outlineLevel="2">
      <c r="A40" s="12" t="s">
        <v>58</v>
      </c>
      <c r="B40" s="0" t="s">
        <v>54</v>
      </c>
      <c r="C40" s="13">
        <v>0.9</v>
      </c>
      <c r="D40" s="13"/>
      <c r="E40" s="13"/>
      <c r="F40" s="13"/>
      <c r="G40" s="13"/>
      <c r="I40" s="5"/>
    </row>
    <row r="41" outlineLevel="2">
      <c r="A41" s="12" t="s">
        <v>59</v>
      </c>
      <c r="B41" s="0" t="s">
        <v>54</v>
      </c>
      <c r="C41" s="13">
        <v>0.5</v>
      </c>
      <c r="D41" s="13"/>
      <c r="E41" s="13"/>
      <c r="F41" s="13"/>
      <c r="G41" s="13"/>
      <c r="I41" s="5"/>
    </row>
    <row r="42" outlineLevel="2">
      <c r="A42" s="12" t="s">
        <v>60</v>
      </c>
      <c r="B42" s="0" t="s">
        <v>54</v>
      </c>
      <c r="C42" s="13">
        <v>16</v>
      </c>
      <c r="D42" s="13"/>
      <c r="E42" s="13"/>
      <c r="F42" s="13"/>
      <c r="G42" s="13"/>
      <c r="I42" s="5"/>
    </row>
    <row r="43" outlineLevel="2">
      <c r="A43" s="12" t="s">
        <v>61</v>
      </c>
      <c r="B43" s="0" t="s">
        <v>54</v>
      </c>
      <c r="C43" s="13">
        <v>13.1</v>
      </c>
      <c r="D43" s="13"/>
      <c r="E43" s="13"/>
      <c r="F43" s="13"/>
      <c r="G43" s="13"/>
      <c r="I43" s="5"/>
    </row>
    <row r="44" outlineLevel="2">
      <c r="A44" s="12" t="s">
        <v>62</v>
      </c>
      <c r="B44" s="0" t="s">
        <v>54</v>
      </c>
      <c r="C44" s="13">
        <v>0.2</v>
      </c>
      <c r="D44" s="13"/>
      <c r="E44" s="13"/>
      <c r="F44" s="13"/>
      <c r="G44" s="13"/>
      <c r="I44" s="5"/>
    </row>
    <row r="45" outlineLevel="2">
      <c r="A45" s="12" t="s">
        <v>63</v>
      </c>
      <c r="B45" s="0" t="s">
        <v>54</v>
      </c>
      <c r="C45" s="13">
        <v>45.1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9.8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https://phyllis.nl/Biomass/View/2803</dc:description>
  <dcterms:created xsi:type="dcterms:W3CDTF">2026-03-17T05:48:17Z</dcterms:created>
  <dc:title>Phyllis2 #2803 sunflower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