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04 straw" sheetId="1" r:id="rId1"/>
  </sheets>
  <definedNames>
    <definedName name="w" localSheetId="0">IF(ISBLANK('Phyllis2 #2804 straw'!$C$19),#N/A,'Phyllis2 #2804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<sst xmlns="http://schemas.openxmlformats.org/spreadsheetml/2006/main" count="61" uniqueCount="61">
  <si>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</si>
  <si>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https://phyllis.nl/Biomass/View/2804</t>
  </si>
  <si>
    <t>straw (#2804)</t>
  </si>
  <si>
    <t>ID-number</t>
  </si>
  <si>
    <t>#2804</t>
  </si>
  <si>
    <t>Material</t>
  </si>
  <si>
    <t>straw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</si>
  <si>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</si>
  <si>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</si>
  <si>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</si>
  <si>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</si>
  <si>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</si>
  <si>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</si>
  <si>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</si>
  <si>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Original article reports Lower Heating Value as received. May well have been HHV as received, in view of similar inaccuracy in specification of ultimate analysis.</t>
  </si>
  <si>
    <t>Literature</t>
  </si>
  <si>
    <t>G. Jang, G.A. Husseini, L.L. Baxter, M.R. Linford: Analysis of straw by X-ray photoelectron spectroscopy. Surface Science Spectra 11 (2004) 91-96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</si>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</sst>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10.23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IFERROR(7.79*(1-w),"")</f>
        <v>6.9930829999999995</v>
      </c>
      <c r="D20" s="13">
        <v>7.79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IFERROR(45.4829*(1-w),"")</f>
        <v>40.82999933</v>
      </c>
      <c r="D22" s="13">
        <v>45.4829</v>
      </c>
      <c r="E22" s="13">
        <v>49.325344322741564</v>
      </c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32</v>
      </c>
      <c r="C23" s="13">
        <f>IFERROR(6.115629*(1-w),"")</f>
        <v>5.4900001533</v>
      </c>
      <c r="D23" s="13">
        <v>6.115629</v>
      </c>
      <c r="E23" s="13">
        <v>6.6322839171456458</v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32</v>
      </c>
      <c r="C24" s="13">
        <f>IFERROR(39.95767*(1-w),"")</f>
        <v>35.870000358999995</v>
      </c>
      <c r="D24" s="13">
        <v>39.95767</v>
      </c>
      <c r="E24" s="13">
        <v>43.333336948270251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IFERROR(0.5235602*(1-w),"")</f>
        <v>0.46999999154</v>
      </c>
      <c r="D25" s="13">
        <v>0.5235602</v>
      </c>
      <c r="E25" s="13">
        <v>0.56779112894479988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32</v>
      </c>
      <c r="C26" s="13">
        <f>IFERROR(0.1336749*(1-w),"")</f>
        <v>0.11999995773000001</v>
      </c>
      <c r="D26" s="13">
        <v>0.1336749</v>
      </c>
      <c r="E26" s="13">
        <v>0.14496789936015617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IFERROR(100.0034341*(1-w)+w*100,"")</f>
        <v>100.00308279157001</v>
      </c>
      <c r="D27" s="13">
        <v>100.0034341</v>
      </c>
      <c r="E27" s="13">
        <v>100.00372421646242</v>
      </c>
      <c r="F27" s="13"/>
      <c r="G27" s="13"/>
      <c r="I27" s="5"/>
      <c r="J27" s="0" t="s">
        <v>39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3">
        <f>IFERROR(18.02809*(1-w)-w*2.443,"")</f>
        <v>15.933897492999996</v>
      </c>
      <c r="D29" s="13">
        <v>18.02809</v>
      </c>
      <c r="E29" s="13">
        <v>19.551122437913456</v>
      </c>
      <c r="F29" s="13"/>
      <c r="G29" s="13"/>
      <c r="I29" s="5"/>
    </row>
    <row r="30" outlineLevel="2">
      <c r="A30" s="12" t="s">
        <v>46</v>
      </c>
      <c r="B30" s="0" t="s">
        <v>45</v>
      </c>
      <c r="C30" s="13">
        <f>IFERROR(19.36263*(1-w),"")</f>
        <v>17.381832951</v>
      </c>
      <c r="D30" s="13">
        <v>19.36263</v>
      </c>
      <c r="E30" s="13">
        <v>20.998405812818564</v>
      </c>
      <c r="F30" s="13"/>
      <c r="G30" s="13"/>
      <c r="I30" s="5"/>
    </row>
    <row r="31" outlineLevel="2">
      <c r="A31" s="12" t="s">
        <v>47</v>
      </c>
      <c r="B31" s="0" t="s">
        <v>45</v>
      </c>
      <c r="C31" s="13">
        <f>IFERROR(18.63605057944*(1-w),"")</f>
        <v>16.729582605163291</v>
      </c>
      <c r="D31" s="13">
        <v>18.636050579440003</v>
      </c>
      <c r="E31" s="13">
        <v>20.210444181151722</v>
      </c>
      <c r="F31" s="13"/>
      <c r="G31" s="13"/>
      <c r="I31" s="5"/>
      <c r="J31" s="0" t="s">
        <v>39</v>
      </c>
    </row>
    <row r="32">
      <c r="A32" s="7" t="s">
        <v>48</v>
      </c>
      <c r="I32" s="5"/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3">
        <v>4</v>
      </c>
      <c r="D34" s="13"/>
      <c r="E34" s="13"/>
      <c r="F34" s="13"/>
      <c r="G34" s="13"/>
      <c r="I34" s="5"/>
    </row>
    <row r="35" outlineLevel="2">
      <c r="A35" s="12" t="s">
        <v>52</v>
      </c>
      <c r="B35" s="0" t="s">
        <v>51</v>
      </c>
      <c r="C35" s="13">
        <v>5.6</v>
      </c>
      <c r="D35" s="13"/>
      <c r="E35" s="13"/>
      <c r="F35" s="13"/>
      <c r="G35" s="13"/>
      <c r="I35" s="5"/>
    </row>
    <row r="36" outlineLevel="2">
      <c r="A36" s="12" t="s">
        <v>53</v>
      </c>
      <c r="B36" s="0" t="s">
        <v>51</v>
      </c>
      <c r="C36" s="13">
        <v>3.2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51</v>
      </c>
      <c r="C37" s="13">
        <v>52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51</v>
      </c>
      <c r="C38" s="13">
        <v>1.1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51</v>
      </c>
      <c r="C39" s="13">
        <v>0.6</v>
      </c>
      <c r="D39" s="13"/>
      <c r="E39" s="13"/>
      <c r="F39" s="13"/>
      <c r="G39" s="13"/>
      <c r="I39" s="5"/>
    </row>
    <row r="40" outlineLevel="2">
      <c r="A40" s="12" t="s">
        <v>57</v>
      </c>
      <c r="B40" s="0" t="s">
        <v>51</v>
      </c>
      <c r="C40" s="13">
        <v>9.2</v>
      </c>
      <c r="D40" s="13"/>
      <c r="E40" s="13"/>
      <c r="F40" s="13"/>
      <c r="G40" s="13"/>
      <c r="I40" s="5"/>
    </row>
    <row r="41" outlineLevel="2">
      <c r="A41" s="12" t="s">
        <v>58</v>
      </c>
      <c r="B41" s="0" t="s">
        <v>51</v>
      </c>
      <c r="C41" s="13">
        <v>1.8</v>
      </c>
      <c r="D41" s="13"/>
      <c r="E41" s="13"/>
      <c r="F41" s="13"/>
      <c r="G41" s="13"/>
      <c r="I41" s="5"/>
    </row>
    <row r="42" outlineLevel="2">
      <c r="A42" s="12" t="s">
        <v>59</v>
      </c>
      <c r="B42" s="0" t="s">
        <v>51</v>
      </c>
      <c r="C42" s="13">
        <v>0.3</v>
      </c>
      <c r="D42" s="13"/>
      <c r="E42" s="13"/>
      <c r="F42" s="13"/>
      <c r="G42" s="13"/>
      <c r="I42" s="5"/>
    </row>
    <row r="43" outlineLevel="2">
      <c r="A43" s="12" t="s">
        <v>60</v>
      </c>
      <c r="B43" s="0" t="s">
        <v>51</v>
      </c>
      <c r="C43" s="13">
        <v>21.9</v>
      </c>
      <c r="D43" s="13"/>
      <c r="E43" s="13"/>
      <c r="F43" s="13"/>
      <c r="G43" s="13"/>
      <c r="I43" s="5"/>
    </row>
    <row r="44">
      <c r="I44" s="5"/>
    </row>
    <row r="4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9" errorStyle="stop" promptTitle="Enter moisture content" errorTitle="Invalid moisture content" prompt="Value should be between 0 and 100.&#10;Original value: 10.2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https://phyllis.nl/Biomass/View/2804</dc:description>
  <dcterms:created xsi:type="dcterms:W3CDTF">2026-03-17T06:17:59Z</dcterms:created>
  <dc:title>Phyllis2 #2804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