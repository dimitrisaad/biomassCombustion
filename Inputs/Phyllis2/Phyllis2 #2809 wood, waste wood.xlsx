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809 wood, waste wood" sheetId="1" r:id="rId1"/>
  </sheets>
  <definedNames>
    <definedName name="w" localSheetId="0">IF(ISBLANK('Phyllis2 #2809 wood, waste wood'!$C$18),#N/A,'Phyllis2 #2809 wood, waste wood'!$C$18/100)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<sst xmlns="http://schemas.openxmlformats.org/spreadsheetml/2006/main" count="63" uniqueCount="63">
  <si>
    <t>Phyllis2</t>
  </si>
  <si>
    <t>https://phyllis.nl/Biomass/View/2809</t>
  </si>
  <si>
    <t>wood, waste wood (#2809)</t>
  </si>
  <si>
    <t>ID-number</t>
  </si>
  <si>
    <t>#2809</t>
  </si>
  <si>
    <t>Material</t>
  </si>
  <si>
    <t>wood, waste wood</t>
  </si>
  <si>
    <t>Classification</t>
  </si>
  <si>
    <t>ECN Phyllis classification &gt; treated wood &gt; others &gt; wood, waste wood</t>
  </si>
  <si>
    <t>NTA 8003 classification &gt; [100] hout &gt; [150] verwerkt hout</t>
  </si>
  <si>
    <t>Submitter organisation</t>
  </si>
  <si>
    <t>ECN (Netherlands)</t>
  </si>
  <si>
    <t>Submission date</t>
  </si>
  <si>
    <t>Literature</t>
  </si>
  <si>
    <t>L.-E. Åmand, B. Leckner, D. Eskilsson, C. Tullin: Deposits on heat transfer tubes during co-combustion of biofuels and sewage sludge. Fuel 85 (2006) 1313-1322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</si>
  <si>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</si>
  <si>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</si>
  <si>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</si>
  <si>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</si>
  <si>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</si>
  <si>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</si>
  <si>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</si>
  <si>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</si>
  <si>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</si>
  <si>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</si>
  <si>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</si>
  <si>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</si>
  <si>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</si>
  <si>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</si>
  <si>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</si>
  <si>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</si>
  <si>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</si>
  <si>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</si>
  <si>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</si>
  <si>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</si>
  <si>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</si>
  <si>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</si>
  <si>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</si>
  <si>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</si>
  <si>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</si>
  <si>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</si>
  <si>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</si>
  <si>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</si>
  <si>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</si>
  <si>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</si>
  <si>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</si>
  <si>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</si>
  <si>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</si>
  <si>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</si>
  <si>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</si>
  <si>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</si>
  <si>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</si>
  <si>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</si>
  <si>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</si>
  <si>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P2O5</t>
  </si>
  <si>
    <t>wt% (ash)</t>
  </si>
  <si>
    <t>SiO2</t>
  </si>
  <si>
    <t>Fe2O3</t>
  </si>
  <si>
    <t>Al2O3</t>
  </si>
  <si>
    <t>CaO</t>
  </si>
  <si>
    <t>MgO</t>
  </si>
  <si>
    <t>Na2O</t>
  </si>
  <si>
    <t>K2O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</si>
</sst>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80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38909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>33.1</v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31</v>
      </c>
      <c r="C19" s="13">
        <f>IFERROR(0.8*(1-w),"")</f>
        <v>0.5352</v>
      </c>
      <c r="D19" s="13">
        <v>0.8</v>
      </c>
      <c r="E19" s="13">
        <v/>
      </c>
      <c r="F19" s="13"/>
      <c r="G19" s="13"/>
      <c r="I19" s="5"/>
    </row>
    <row r="20" outlineLevel="2">
      <c r="A20" s="12" t="s">
        <v>33</v>
      </c>
      <c r="B20" s="0" t="s">
        <v>31</v>
      </c>
      <c r="C20" s="13">
        <f>IFERROR(81.64*(1-w),"")</f>
        <v>54.617160000000005</v>
      </c>
      <c r="D20" s="13">
        <v>81.64</v>
      </c>
      <c r="E20" s="13">
        <v>82.298387096774192</v>
      </c>
      <c r="F20" s="13"/>
      <c r="G20" s="13"/>
      <c r="I20" s="5"/>
    </row>
    <row r="21" outlineLevel="2">
      <c r="A21" s="12" t="s">
        <v>34</v>
      </c>
      <c r="B21" s="0" t="s">
        <v>31</v>
      </c>
      <c r="C21" s="13">
        <f>IFERROR(17.56*(1-w),"")</f>
        <v>11.747640000000002</v>
      </c>
      <c r="D21" s="13">
        <v>17.560000000000002</v>
      </c>
      <c r="E21" s="13">
        <v>17.701612903225808</v>
      </c>
      <c r="F21" s="13"/>
      <c r="G21" s="13"/>
      <c r="I21" s="5"/>
      <c r="J21" s="0" t="s">
        <v>35</v>
      </c>
    </row>
    <row r="22" outlineLevel="1">
      <c r="A22" s="11" t="s">
        <v>36</v>
      </c>
      <c r="I22" s="5"/>
    </row>
    <row r="23" outlineLevel="2">
      <c r="A23" s="12" t="s">
        <v>37</v>
      </c>
      <c r="B23" s="0" t="s">
        <v>31</v>
      </c>
      <c r="C23" s="13">
        <f>IFERROR(49.4016*(1-w),"")</f>
        <v>33.049670400000004</v>
      </c>
      <c r="D23" s="13">
        <v>49.4016</v>
      </c>
      <c r="E23" s="13">
        <v>49.800000000000004</v>
      </c>
      <c r="F23" s="13"/>
      <c r="G23" s="13"/>
      <c r="I23" s="5"/>
      <c r="J23" s="0" t="s">
        <v>38</v>
      </c>
    </row>
    <row r="24" outlineLevel="2">
      <c r="A24" s="12" t="s">
        <v>39</v>
      </c>
      <c r="B24" s="0" t="s">
        <v>31</v>
      </c>
      <c r="C24" s="13">
        <f>IFERROR(6.0512*(1-w),"")</f>
        <v>4.0482528</v>
      </c>
      <c r="D24" s="13">
        <v>6.0512</v>
      </c>
      <c r="E24" s="13">
        <v>6.1</v>
      </c>
      <c r="F24" s="13"/>
      <c r="G24" s="13"/>
      <c r="I24" s="5"/>
      <c r="J24" s="0" t="s">
        <v>38</v>
      </c>
    </row>
    <row r="25" outlineLevel="2">
      <c r="A25" s="12" t="s">
        <v>40</v>
      </c>
      <c r="B25" s="0" t="s">
        <v>31</v>
      </c>
      <c r="C25" s="13">
        <f>IFERROR(43.4496*(1-w),"")</f>
        <v>29.0677824</v>
      </c>
      <c r="D25" s="13">
        <v>43.4496</v>
      </c>
      <c r="E25" s="13">
        <v>43.8</v>
      </c>
      <c r="F25" s="13"/>
      <c r="G25" s="13"/>
      <c r="I25" s="5"/>
      <c r="J25" s="0" t="s">
        <v>35</v>
      </c>
    </row>
    <row r="26" outlineLevel="2">
      <c r="A26" s="12" t="s">
        <v>41</v>
      </c>
      <c r="B26" s="0" t="s">
        <v>31</v>
      </c>
      <c r="C26" s="13">
        <f>IFERROR(0.22816*(1-w),"")</f>
        <v>0.15263904</v>
      </c>
      <c r="D26" s="13">
        <v>0.22816</v>
      </c>
      <c r="E26" s="13">
        <v>0.23</v>
      </c>
      <c r="F26" s="13"/>
      <c r="G26" s="13"/>
      <c r="I26" s="5"/>
      <c r="J26" s="0" t="s">
        <v>38</v>
      </c>
    </row>
    <row r="27" outlineLevel="2">
      <c r="A27" s="12" t="s">
        <v>42</v>
      </c>
      <c r="B27" s="0" t="s">
        <v>31</v>
      </c>
      <c r="C27" s="13">
        <f>IFERROR(0.00992*(1-w),"")</f>
        <v>0.00663648</v>
      </c>
      <c r="D27" s="13">
        <v>0.00992</v>
      </c>
      <c r="E27" s="13">
        <v>0.01</v>
      </c>
      <c r="F27" s="13"/>
      <c r="G27" s="13"/>
      <c r="I27" s="5"/>
      <c r="J27" s="0" t="s">
        <v>38</v>
      </c>
    </row>
    <row r="28" outlineLevel="2">
      <c r="A28" s="12" t="s">
        <v>43</v>
      </c>
      <c r="B28" s="0" t="s">
        <v>31</v>
      </c>
      <c r="C28" s="13">
        <f>IFERROR(99.97024*(1-w)+w*100,"")</f>
        <v>99.980090560000008</v>
      </c>
      <c r="D28" s="13">
        <v>99.97023999999999</v>
      </c>
      <c r="E28" s="13">
        <v>99.97</v>
      </c>
      <c r="F28" s="13"/>
      <c r="G28" s="13"/>
      <c r="I28" s="5"/>
      <c r="J28" s="0" t="s">
        <v>35</v>
      </c>
    </row>
    <row r="29" outlineLevel="1">
      <c r="A29" s="11" t="s">
        <v>44</v>
      </c>
      <c r="I29" s="5"/>
    </row>
    <row r="30" outlineLevel="2">
      <c r="A30" s="12" t="s">
        <v>45</v>
      </c>
      <c r="B30" s="0" t="s">
        <v>46</v>
      </c>
      <c r="C30" s="14">
        <f>IFERROR(297.6*(1-w),"")</f>
        <v>199.09440000000004</v>
      </c>
      <c r="D30" s="14">
        <v>297.6</v>
      </c>
      <c r="E30" s="14">
        <v>300</v>
      </c>
      <c r="F30" s="14"/>
      <c r="G30" s="14"/>
      <c r="I30" s="5"/>
      <c r="J30" s="0" t="s">
        <v>38</v>
      </c>
    </row>
    <row r="31" outlineLevel="1">
      <c r="A31" s="11" t="s">
        <v>47</v>
      </c>
      <c r="I31" s="5"/>
    </row>
    <row r="32" outlineLevel="2">
      <c r="A32" s="12" t="s">
        <v>48</v>
      </c>
      <c r="B32" s="0" t="s">
        <v>49</v>
      </c>
      <c r="C32" s="13">
        <f>IFERROR(17.856*(1-w)-w*2.443,"")</f>
        <v>11.137031000000002</v>
      </c>
      <c r="D32" s="13">
        <v>17.856</v>
      </c>
      <c r="E32" s="13">
        <v>18.000000000000004</v>
      </c>
      <c r="F32" s="13"/>
      <c r="G32" s="13"/>
      <c r="I32" s="5"/>
    </row>
    <row r="33" outlineLevel="2">
      <c r="A33" s="12" t="s">
        <v>50</v>
      </c>
      <c r="B33" s="0" t="s">
        <v>49</v>
      </c>
      <c r="C33" s="13">
        <f>IFERROR(19.17647*(1-w),"")</f>
        <v>12.82905843</v>
      </c>
      <c r="D33" s="13">
        <v>19.17647</v>
      </c>
      <c r="E33" s="13">
        <v>19.3311189516129</v>
      </c>
      <c r="F33" s="13"/>
      <c r="G33" s="13"/>
      <c r="I33" s="5"/>
    </row>
    <row r="34" outlineLevel="2">
      <c r="A34" s="12" t="s">
        <v>51</v>
      </c>
      <c r="B34" s="0" t="s">
        <v>49</v>
      </c>
      <c r="C34" s="13">
        <f>IFERROR(19.592839232*(1-w),"")</f>
        <v>13.107609446208006</v>
      </c>
      <c r="D34" s="13">
        <v>19.592839232000006</v>
      </c>
      <c r="E34" s="13">
        <v>19.750846000000006</v>
      </c>
      <c r="F34" s="13"/>
      <c r="G34" s="13"/>
      <c r="I34" s="5"/>
      <c r="J34" s="0" t="s">
        <v>35</v>
      </c>
    </row>
    <row r="35">
      <c r="A35" s="7" t="s">
        <v>52</v>
      </c>
      <c r="I35" s="5"/>
    </row>
    <row r="36" outlineLevel="1">
      <c r="A36" s="11" t="s">
        <v>53</v>
      </c>
      <c r="I36" s="5"/>
    </row>
    <row r="37" outlineLevel="2">
      <c r="A37" s="12" t="s">
        <v>54</v>
      </c>
      <c r="B37" s="0" t="s">
        <v>55</v>
      </c>
      <c r="C37" s="13">
        <v>1.37</v>
      </c>
      <c r="D37" s="13"/>
      <c r="E37" s="13"/>
      <c r="F37" s="13"/>
      <c r="G37" s="13"/>
      <c r="I37" s="5"/>
    </row>
    <row r="38" outlineLevel="2">
      <c r="A38" s="12" t="s">
        <v>56</v>
      </c>
      <c r="B38" s="0" t="s">
        <v>55</v>
      </c>
      <c r="C38" s="13">
        <v>20.75</v>
      </c>
      <c r="D38" s="13"/>
      <c r="E38" s="13"/>
      <c r="F38" s="13"/>
      <c r="G38" s="13"/>
      <c r="I38" s="5"/>
    </row>
    <row r="39" outlineLevel="2">
      <c r="A39" s="12" t="s">
        <v>57</v>
      </c>
      <c r="B39" s="0" t="s">
        <v>55</v>
      </c>
      <c r="C39" s="13">
        <v>15.73</v>
      </c>
      <c r="D39" s="13"/>
      <c r="E39" s="13"/>
      <c r="F39" s="13"/>
      <c r="G39" s="13"/>
      <c r="I39" s="5"/>
    </row>
    <row r="40" outlineLevel="2">
      <c r="A40" s="12" t="s">
        <v>58</v>
      </c>
      <c r="B40" s="0" t="s">
        <v>55</v>
      </c>
      <c r="C40" s="13">
        <v>2.83</v>
      </c>
      <c r="D40" s="13"/>
      <c r="E40" s="13"/>
      <c r="F40" s="13"/>
      <c r="G40" s="13"/>
      <c r="I40" s="5"/>
    </row>
    <row r="41" outlineLevel="2">
      <c r="A41" s="12" t="s">
        <v>59</v>
      </c>
      <c r="B41" s="0" t="s">
        <v>55</v>
      </c>
      <c r="C41" s="13">
        <v>18.19</v>
      </c>
      <c r="D41" s="13"/>
      <c r="E41" s="13"/>
      <c r="F41" s="13"/>
      <c r="G41" s="13"/>
      <c r="I41" s="5"/>
    </row>
    <row r="42" outlineLevel="2">
      <c r="A42" s="12" t="s">
        <v>60</v>
      </c>
      <c r="B42" s="0" t="s">
        <v>55</v>
      </c>
      <c r="C42" s="13">
        <v>3.65</v>
      </c>
      <c r="D42" s="13"/>
      <c r="E42" s="13"/>
      <c r="F42" s="13"/>
      <c r="G42" s="13"/>
      <c r="I42" s="5"/>
    </row>
    <row r="43" outlineLevel="2">
      <c r="A43" s="12" t="s">
        <v>61</v>
      </c>
      <c r="B43" s="0" t="s">
        <v>55</v>
      </c>
      <c r="C43" s="13">
        <v>3.37</v>
      </c>
      <c r="D43" s="13"/>
      <c r="E43" s="13"/>
      <c r="F43" s="13"/>
      <c r="G43" s="13"/>
      <c r="I43" s="5"/>
    </row>
    <row r="44" outlineLevel="2">
      <c r="A44" s="12" t="s">
        <v>62</v>
      </c>
      <c r="B44" s="0" t="s">
        <v>55</v>
      </c>
      <c r="C44" s="13">
        <v>8.19</v>
      </c>
      <c r="D44" s="13"/>
      <c r="E44" s="13"/>
      <c r="F44" s="13"/>
      <c r="G44" s="13"/>
      <c r="I44" s="5"/>
    </row>
    <row r="45">
      <c r="I45" s="5"/>
    </row>
    <row r="46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7:E37"/>
    <mergeCell ref="C38:E38"/>
    <mergeCell ref="C39:E39"/>
    <mergeCell ref="C40:E40"/>
    <mergeCell ref="C41:E41"/>
    <mergeCell ref="C42:E42"/>
    <mergeCell ref="C43:E43"/>
    <mergeCell ref="C44:E44"/>
  </mergeCells>
  <dataValidations count="1">
    <dataValidation type="decimal" sqref="C18" errorStyle="stop" promptTitle="Enter moisture content" errorTitle="Invalid moisture content" prompt="Value should be between 0 and 100.&#10;Original value: 33.1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https://phyllis.nl/Biomass/View/2809</dc:description>
  <dcterms:created xsi:type="dcterms:W3CDTF">2026-03-19T04:06:57Z</dcterms:created>
  <dc:title>Phyllis2 #2809 wood, waste wood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