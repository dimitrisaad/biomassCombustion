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11 brassica" sheetId="1" r:id="rId1"/>
  </sheets>
  <definedNames>
    <definedName name="w" localSheetId="0">IF(ISBLANK('Phyllis2 #2811 brassica'!$C$22),#N/A,'Phyllis2 #2811 brassica'!$C$22/100)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<sst xmlns="http://schemas.openxmlformats.org/spreadsheetml/2006/main" count="81" uniqueCount="81">
  <si>
    <t>Phyllis2</t>
  </si>
  <si>
    <t>https://phyllis.nl/Biomass/View/2811</t>
  </si>
  <si>
    <t>brassica (#2811)</t>
  </si>
  <si>
    <t>ID-number</t>
  </si>
  <si>
    <t>#2811</t>
  </si>
  <si>
    <t>Material</t>
  </si>
  <si>
    <t>brassica</t>
  </si>
  <si>
    <t>Description</t>
  </si>
  <si>
    <t>fibrous</t>
  </si>
  <si>
    <t>Classification</t>
  </si>
  <si>
    <t>ECN Phyllis classification &gt; grass/plant &gt; vegetable</t>
  </si>
  <si>
    <t>NTA 8003 classification &gt; [200] biomassa uit land- en tuinbouw &gt; [240] gewassen &gt; [249] overige gewassen</t>
  </si>
  <si>
    <t>Sample lot size</t>
  </si>
  <si>
    <t>&lt;70 mm</t>
  </si>
  <si>
    <t>Ash type</t>
  </si>
  <si>
    <t>550°C</t>
  </si>
  <si>
    <t>Submitter organisation</t>
  </si>
  <si>
    <t>ECN (Netherlands)</t>
  </si>
  <si>
    <t>Submission date</t>
  </si>
  <si>
    <t>Remarks</t>
  </si>
  <si>
    <t>fluid ash fusion temperature above 1400°C</t>
  </si>
  <si>
    <t>Literature</t>
  </si>
  <si>
    <t>M.J. Fernandez Llorente, R. Escalada Cuadrado, J.M. Murillo Laplaza, J.E. Carrasco Garcia: Combustion in bubbling fluidised bed with bed material of limestone to reduce the biomass ash agglomeration an sintering. Fuel 85 (2006) 2081-2092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</si>
  <si>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</si>
  <si>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</si>
  <si>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</si>
  <si>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</si>
  <si>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</si>
  <si>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</si>
  <si>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</si>
  <si>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</si>
  <si>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</si>
  <si>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</si>
  <si>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</si>
  <si>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</si>
  <si>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</si>
  <si>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</si>
  <si>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</si>
  <si>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</si>
  <si>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</si>
  <si>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</si>
  <si>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</si>
  <si>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</si>
  <si>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</si>
  <si>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</si>
  <si>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</si>
  <si>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</si>
  <si>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</si>
  <si>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</si>
  <si>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</si>
  <si>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</si>
  <si>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</si>
  <si>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</si>
  <si>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</si>
  <si>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</si>
  <si>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</si>
  <si>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</si>
  <si>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</si>
  <si>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</si>
  <si>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</si>
  <si>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</si>
  <si>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</si>
  <si>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</si>
  <si>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Physical Properties</t>
  </si>
  <si>
    <t>Commonly used properties</t>
  </si>
  <si>
    <t>Bulk density (ar)</t>
  </si>
  <si>
    <t>kg/m³ (ar)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</si>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</sst>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38915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0" t="s">
        <v>22</v>
      </c>
    </row>
    <row r="16">
      <c r="A16" s="7"/>
    </row>
    <row r="17" s="1" customFormat="1">
      <c r="A17" s="9" t="s">
        <v>23</v>
      </c>
    </row>
    <row r="18" s="1" customFormat="1">
      <c r="A18" s="10" t="s">
        <v>24</v>
      </c>
      <c r="B18" s="10" t="s">
        <v>25</v>
      </c>
      <c r="C18" s="10" t="s">
        <v>26</v>
      </c>
      <c r="D18" s="10"/>
      <c r="E18" s="10"/>
      <c r="F18" s="10" t="s">
        <v>27</v>
      </c>
      <c r="G18" s="10" t="s">
        <v>28</v>
      </c>
      <c r="H18" s="10" t="s">
        <v>29</v>
      </c>
      <c r="I18" s="10" t="s">
        <v>30</v>
      </c>
      <c r="J18" s="10" t="s">
        <v>31</v>
      </c>
      <c r="K18" s="10" t="s">
        <v>19</v>
      </c>
      <c r="L18" s="10"/>
    </row>
    <row r="19" s="1" customFormat="1">
      <c r="A19" s="10"/>
      <c r="B19" s="10"/>
      <c r="C19" s="10" t="s">
        <v>32</v>
      </c>
      <c r="D19" s="10" t="s">
        <v>33</v>
      </c>
      <c r="E19" s="10" t="s">
        <v>34</v>
      </c>
      <c r="F19" s="10"/>
      <c r="G19" s="10"/>
      <c r="H19" s="10"/>
      <c r="I19" s="10"/>
      <c r="J19" s="10"/>
      <c r="K19" s="10"/>
      <c r="L19" s="10"/>
    </row>
    <row r="20">
      <c r="A20" s="7" t="s">
        <v>35</v>
      </c>
      <c r="I20" s="5"/>
    </row>
    <row r="21" outlineLevel="1">
      <c r="A21" s="11" t="s">
        <v>36</v>
      </c>
      <c r="I21" s="5"/>
    </row>
    <row r="22" outlineLevel="2">
      <c r="A22" s="12" t="s">
        <v>37</v>
      </c>
      <c r="B22" s="0" t="s">
        <v>38</v>
      </c>
      <c r="C22" s="13">
        <v>7.4</v>
      </c>
      <c r="D22" s="13"/>
      <c r="E22" s="13"/>
      <c r="F22" s="13"/>
      <c r="G22" s="13"/>
      <c r="I22" s="5"/>
    </row>
    <row r="23" outlineLevel="2">
      <c r="A23" s="12" t="s">
        <v>39</v>
      </c>
      <c r="B23" s="0" t="s">
        <v>38</v>
      </c>
      <c r="C23" s="13">
        <f>IFERROR(7.7*(1-w),"")</f>
        <v>7.1301999999999994</v>
      </c>
      <c r="D23" s="13">
        <v>7.7</v>
      </c>
      <c r="E23" s="13">
        <v/>
      </c>
      <c r="F23" s="13"/>
      <c r="G23" s="13"/>
      <c r="I23" s="5"/>
    </row>
    <row r="24" outlineLevel="2">
      <c r="A24" s="12" t="s">
        <v>40</v>
      </c>
      <c r="B24" s="0" t="s">
        <v>38</v>
      </c>
      <c r="C24" s="13">
        <f>IFERROR(76.2*(1-w),"")</f>
        <v>70.5612</v>
      </c>
      <c r="D24" s="13">
        <v>76.2</v>
      </c>
      <c r="E24" s="13">
        <v>82.556879739978328</v>
      </c>
      <c r="F24" s="13"/>
      <c r="G24" s="13"/>
      <c r="I24" s="5"/>
    </row>
    <row r="25" outlineLevel="2">
      <c r="A25" s="12" t="s">
        <v>41</v>
      </c>
      <c r="B25" s="0" t="s">
        <v>38</v>
      </c>
      <c r="C25" s="13">
        <f>IFERROR(16.1*(1-w),"")</f>
        <v>14.908599999999995</v>
      </c>
      <c r="D25" s="13">
        <v>16.099999999999994</v>
      </c>
      <c r="E25" s="13">
        <v>17.443120260021661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38</v>
      </c>
      <c r="C27" s="13">
        <f>IFERROR(46.3*(1-w),"")</f>
        <v>42.873799999999996</v>
      </c>
      <c r="D27" s="13">
        <v>46.3</v>
      </c>
      <c r="E27" s="13">
        <v>50.162513542795224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38</v>
      </c>
      <c r="C28" s="13">
        <f>IFERROR(6.1*(1-w),"")</f>
        <v>5.6485999999999992</v>
      </c>
      <c r="D28" s="13">
        <v>6.1</v>
      </c>
      <c r="E28" s="13">
        <v>6.6088840736728054</v>
      </c>
      <c r="F28" s="13"/>
      <c r="G28" s="13"/>
      <c r="I28" s="5"/>
      <c r="J28" s="0" t="s">
        <v>45</v>
      </c>
    </row>
    <row r="29" outlineLevel="2">
      <c r="A29" s="12" t="s">
        <v>47</v>
      </c>
      <c r="B29" s="0" t="s">
        <v>38</v>
      </c>
      <c r="C29" s="13">
        <f>IFERROR(38.3*(1-w),"")</f>
        <v>35.465799999999994</v>
      </c>
      <c r="D29" s="13">
        <v>38.3</v>
      </c>
      <c r="E29" s="13">
        <v>41.495124593716135</v>
      </c>
      <c r="F29" s="13"/>
      <c r="G29" s="13"/>
      <c r="I29" s="5"/>
      <c r="J29" s="0" t="s">
        <v>42</v>
      </c>
    </row>
    <row r="30" outlineLevel="2">
      <c r="A30" s="12" t="s">
        <v>48</v>
      </c>
      <c r="B30" s="0" t="s">
        <v>38</v>
      </c>
      <c r="C30" s="13">
        <f>IFERROR(0.7*(1-w),"")</f>
        <v>0.64819999999999989</v>
      </c>
      <c r="D30" s="13">
        <v>0.7</v>
      </c>
      <c r="E30" s="13">
        <v>0.75839653304442034</v>
      </c>
      <c r="F30" s="13"/>
      <c r="G30" s="13"/>
      <c r="I30" s="5"/>
      <c r="J30" s="0" t="s">
        <v>45</v>
      </c>
    </row>
    <row r="31" outlineLevel="2">
      <c r="A31" s="12" t="s">
        <v>49</v>
      </c>
      <c r="B31" s="0" t="s">
        <v>38</v>
      </c>
      <c r="C31" s="13">
        <f>IFERROR(0.49*(1-w),"")</f>
        <v>0.45374</v>
      </c>
      <c r="D31" s="13">
        <v>0.49</v>
      </c>
      <c r="E31" s="13">
        <v>0.53087757313109418</v>
      </c>
      <c r="F31" s="13"/>
      <c r="G31" s="13"/>
      <c r="I31" s="5"/>
      <c r="J31" s="0" t="s">
        <v>45</v>
      </c>
    </row>
    <row r="32" outlineLevel="2">
      <c r="A32" s="12" t="s">
        <v>50</v>
      </c>
      <c r="B32" s="0" t="s">
        <v>38</v>
      </c>
      <c r="C32" s="13">
        <f>IFERROR(100*(1-w)+w*100,"")</f>
        <v>99.999999999999986</v>
      </c>
      <c r="D32" s="13">
        <v>99.999999999999986</v>
      </c>
      <c r="E32" s="13">
        <v>99.999999999999972</v>
      </c>
      <c r="F32" s="13"/>
      <c r="G32" s="13"/>
      <c r="I32" s="5"/>
      <c r="J32" s="0" t="s">
        <v>42</v>
      </c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4">
        <f>IFERROR(4100*(1-w),"")</f>
        <v>3796.6</v>
      </c>
      <c r="D34" s="14">
        <v>4100</v>
      </c>
      <c r="E34" s="14">
        <v>4442.0368364030337</v>
      </c>
      <c r="F34" s="14"/>
      <c r="G34" s="14"/>
      <c r="I34" s="5"/>
      <c r="J34" s="0" t="s">
        <v>45</v>
      </c>
    </row>
    <row r="35" outlineLevel="1">
      <c r="A35" s="11" t="s">
        <v>54</v>
      </c>
      <c r="I35" s="5"/>
    </row>
    <row r="36" outlineLevel="2">
      <c r="A36" s="12" t="s">
        <v>55</v>
      </c>
      <c r="B36" s="0" t="s">
        <v>56</v>
      </c>
      <c r="C36" s="13">
        <f>IFERROR(17.16888*(1-w)-w*2.443,"")</f>
        <v>15.717600879999999</v>
      </c>
      <c r="D36" s="13">
        <v>17.16888</v>
      </c>
      <c r="E36" s="13">
        <v>18.601170097508128</v>
      </c>
      <c r="F36" s="13"/>
      <c r="G36" s="13"/>
      <c r="I36" s="5"/>
    </row>
    <row r="37" outlineLevel="2">
      <c r="A37" s="12" t="s">
        <v>57</v>
      </c>
      <c r="B37" s="0" t="s">
        <v>56</v>
      </c>
      <c r="C37" s="13">
        <f>IFERROR(18.5*(1-w),"")</f>
        <v>17.131</v>
      </c>
      <c r="D37" s="13">
        <v>18.5</v>
      </c>
      <c r="E37" s="13">
        <v>20.043336944745395</v>
      </c>
      <c r="F37" s="13"/>
      <c r="G37" s="13"/>
      <c r="I37" s="5"/>
    </row>
    <row r="38" outlineLevel="2">
      <c r="A38" s="12" t="s">
        <v>58</v>
      </c>
      <c r="B38" s="0" t="s">
        <v>56</v>
      </c>
      <c r="C38" s="13">
        <f>IFERROR(19.09737537*(1-w),"")</f>
        <v>17.68416959262</v>
      </c>
      <c r="D38" s="13">
        <v>19.09737537</v>
      </c>
      <c r="E38" s="13">
        <v>20.690547529794149</v>
      </c>
      <c r="F38" s="13"/>
      <c r="G38" s="13"/>
      <c r="I38" s="5"/>
      <c r="J38" s="0" t="s">
        <v>42</v>
      </c>
    </row>
    <row r="39" outlineLevel="1">
      <c r="A39" s="11" t="s">
        <v>59</v>
      </c>
      <c r="I39" s="5"/>
    </row>
    <row r="40" outlineLevel="2">
      <c r="A40" s="15" t="s">
        <v>60</v>
      </c>
      <c r="I40" s="5"/>
    </row>
    <row r="41" outlineLevel="3">
      <c r="A41" s="16" t="s">
        <v>61</v>
      </c>
      <c r="B41" s="0" t="s">
        <v>62</v>
      </c>
      <c r="C41" s="17">
        <v>1280</v>
      </c>
      <c r="D41" s="17"/>
      <c r="E41" s="17"/>
      <c r="F41" s="17"/>
      <c r="G41" s="17"/>
      <c r="I41" s="5"/>
    </row>
    <row r="42">
      <c r="A42" s="7" t="s">
        <v>63</v>
      </c>
      <c r="I42" s="5"/>
    </row>
    <row r="43" outlineLevel="1">
      <c r="A43" s="11" t="s">
        <v>64</v>
      </c>
      <c r="I43" s="5"/>
    </row>
    <row r="44" outlineLevel="2">
      <c r="A44" s="12" t="s">
        <v>65</v>
      </c>
      <c r="B44" s="0" t="s">
        <v>66</v>
      </c>
      <c r="C44" s="17">
        <v>92</v>
      </c>
      <c r="D44" s="17"/>
      <c r="E44" s="17"/>
      <c r="F44" s="17"/>
      <c r="G44" s="17"/>
      <c r="I44" s="5"/>
    </row>
    <row r="45">
      <c r="A45" s="7" t="s">
        <v>67</v>
      </c>
      <c r="I45" s="5"/>
    </row>
    <row r="46" outlineLevel="1">
      <c r="A46" s="11" t="s">
        <v>68</v>
      </c>
      <c r="I46" s="5"/>
    </row>
    <row r="47" outlineLevel="2">
      <c r="A47" s="12" t="s">
        <v>69</v>
      </c>
      <c r="B47" s="0" t="s">
        <v>70</v>
      </c>
      <c r="C47" s="13">
        <v>18</v>
      </c>
      <c r="D47" s="13"/>
      <c r="E47" s="13"/>
      <c r="F47" s="13"/>
      <c r="G47" s="13"/>
      <c r="I47" s="5"/>
    </row>
    <row r="48" outlineLevel="2">
      <c r="A48" s="12" t="s">
        <v>71</v>
      </c>
      <c r="B48" s="0" t="s">
        <v>70</v>
      </c>
      <c r="C48" s="13">
        <v>16</v>
      </c>
      <c r="D48" s="13"/>
      <c r="E48" s="13"/>
      <c r="F48" s="13"/>
      <c r="G48" s="13"/>
      <c r="I48" s="5"/>
    </row>
    <row r="49" outlineLevel="2">
      <c r="A49" s="12" t="s">
        <v>72</v>
      </c>
      <c r="B49" s="0" t="s">
        <v>70</v>
      </c>
      <c r="C49" s="13">
        <v>6</v>
      </c>
      <c r="D49" s="13"/>
      <c r="E49" s="13"/>
      <c r="F49" s="13"/>
      <c r="G49" s="13"/>
      <c r="I49" s="5"/>
    </row>
    <row r="50" outlineLevel="2">
      <c r="A50" s="12" t="s">
        <v>73</v>
      </c>
      <c r="B50" s="0" t="s">
        <v>70</v>
      </c>
      <c r="C50" s="13">
        <v>3.8</v>
      </c>
      <c r="D50" s="13"/>
      <c r="E50" s="13"/>
      <c r="F50" s="13"/>
      <c r="G50" s="13"/>
      <c r="I50" s="5"/>
    </row>
    <row r="51" outlineLevel="2">
      <c r="A51" s="12" t="s">
        <v>74</v>
      </c>
      <c r="B51" s="0" t="s">
        <v>70</v>
      </c>
      <c r="C51" s="13">
        <v>8.1</v>
      </c>
      <c r="D51" s="13"/>
      <c r="E51" s="13"/>
      <c r="F51" s="13"/>
      <c r="G51" s="13"/>
      <c r="I51" s="5"/>
    </row>
    <row r="52" outlineLevel="2">
      <c r="A52" s="12" t="s">
        <v>75</v>
      </c>
      <c r="B52" s="0" t="s">
        <v>70</v>
      </c>
      <c r="C52" s="13">
        <v>0.53</v>
      </c>
      <c r="D52" s="13"/>
      <c r="E52" s="13"/>
      <c r="F52" s="13"/>
      <c r="G52" s="13"/>
      <c r="I52" s="5"/>
    </row>
    <row r="53" outlineLevel="2">
      <c r="A53" s="12" t="s">
        <v>76</v>
      </c>
      <c r="B53" s="0" t="s">
        <v>70</v>
      </c>
      <c r="C53" s="13">
        <v>1.3</v>
      </c>
      <c r="D53" s="13"/>
      <c r="E53" s="13"/>
      <c r="F53" s="13"/>
      <c r="G53" s="13"/>
      <c r="I53" s="5"/>
    </row>
    <row r="54" outlineLevel="2">
      <c r="A54" s="12" t="s">
        <v>77</v>
      </c>
      <c r="B54" s="0" t="s">
        <v>70</v>
      </c>
      <c r="C54" s="13">
        <v>25</v>
      </c>
      <c r="D54" s="13"/>
      <c r="E54" s="13"/>
      <c r="F54" s="13"/>
      <c r="G54" s="13"/>
      <c r="I54" s="5"/>
    </row>
    <row r="55" outlineLevel="2">
      <c r="A55" s="12" t="s">
        <v>78</v>
      </c>
      <c r="B55" s="0" t="s">
        <v>70</v>
      </c>
      <c r="C55" s="13">
        <v>2.2</v>
      </c>
      <c r="D55" s="13"/>
      <c r="E55" s="13"/>
      <c r="F55" s="13"/>
      <c r="G55" s="13"/>
      <c r="I55" s="5"/>
    </row>
    <row r="56" outlineLevel="2">
      <c r="A56" s="12" t="s">
        <v>79</v>
      </c>
      <c r="B56" s="0" t="s">
        <v>70</v>
      </c>
      <c r="C56" s="13">
        <v>0.72</v>
      </c>
      <c r="D56" s="13"/>
      <c r="E56" s="13"/>
      <c r="F56" s="13"/>
      <c r="G56" s="13"/>
      <c r="I56" s="5"/>
    </row>
    <row r="57" outlineLevel="2">
      <c r="A57" s="12" t="s">
        <v>80</v>
      </c>
      <c r="B57" s="0" t="s">
        <v>70</v>
      </c>
      <c r="C57" s="13">
        <v>16</v>
      </c>
      <c r="D57" s="13"/>
      <c r="E57" s="13"/>
      <c r="F57" s="13"/>
      <c r="G57" s="13"/>
      <c r="I57" s="5"/>
    </row>
    <row r="58">
      <c r="I58" s="5"/>
    </row>
    <row r="59" s="1" customFormat="1"/>
  </sheetData>
  <mergeCells>
    <mergeCell ref="A8:A9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41:E41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22" errorStyle="stop" promptTitle="Enter moisture content" errorTitle="Invalid moisture content" prompt="Value should be between 0 and 100.&#10;Original value: 7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https://phyllis.nl/Biomass/View/2811</dc:description>
  <dcterms:created xsi:type="dcterms:W3CDTF">2026-03-04T04:44:35Z</dcterms:created>
  <dc:title>Phyllis2 #2811 brassica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