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2 thistle" sheetId="1" r:id="rId1"/>
  </sheets>
  <definedNames>
    <definedName name="w" localSheetId="0">IF(ISBLANK('Phyllis2 #2812 thistle'!$C$22),#N/A,'Phyllis2 #2812 thistle'!$C$22/100)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<sst xmlns="http://schemas.openxmlformats.org/spreadsheetml/2006/main" count="77" uniqueCount="77">
  <si>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</si>
  <si>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https://phyllis.nl/Biomass/View/2812</t>
  </si>
  <si>
    <t>thistle (#2812)</t>
  </si>
  <si>
    <t>ID-number</t>
  </si>
  <si>
    <t>#2812</t>
  </si>
  <si>
    <t>Material</t>
  </si>
  <si>
    <t>thistle</t>
  </si>
  <si>
    <t>Description</t>
  </si>
  <si>
    <t>fibrous</t>
  </si>
  <si>
    <t>Classification</t>
  </si>
  <si>
    <t>ECN Phyllis classification &gt; grass/plant &gt; other plants &gt; thistle</t>
  </si>
  <si>
    <t>NTA 8003 classification &gt; [200] biomassa uit land- en tuinbouw &gt; [240] gewassen &gt; [249] overige gewassen</t>
  </si>
  <si>
    <t>Sample lot size</t>
  </si>
  <si>
    <t>&lt;70 mm</t>
  </si>
  <si>
    <t>Ash type</t>
  </si>
  <si>
    <t>550°C</t>
  </si>
  <si>
    <t>Submitter organisation</t>
  </si>
  <si>
    <t>ECN (Netherlands)</t>
  </si>
  <si>
    <t>Submission date</t>
  </si>
  <si>
    <t>Remarks</t>
  </si>
  <si>
    <t>ash fusion temperatures above 1400°C</t>
  </si>
  <si>
    <t>Literature</t>
  </si>
  <si>
    <t>M.J. Fernandez Llorente, R. Escalada Cuadrado, J.M. Murillo Laplaza, J.E. Carrasco Garcia: Combustion in bubbling fluidised bed with bed material of limestone to reduce the biomass ash agglomeration an sintering. Fuel 85 (2006) 2081-2092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</si>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</sst>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38915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10.1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IFERROR(8.9*(1-w),"")</f>
        <v>8.001100000000001</v>
      </c>
      <c r="D23" s="13">
        <v>8.9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IFERROR(76.2*(1-w),"")</f>
        <v>68.5038</v>
      </c>
      <c r="D24" s="13">
        <v>76.2</v>
      </c>
      <c r="E24" s="13">
        <v>83.644346871569709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IFERROR(14.9*(1-w),"")</f>
        <v>13.395099999999992</v>
      </c>
      <c r="D25" s="13">
        <v>14.899999999999991</v>
      </c>
      <c r="E25" s="13">
        <v>16.355653128430287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IFERROR(44.6*(1-w),"")</f>
        <v>40.095400000000005</v>
      </c>
      <c r="D27" s="13">
        <v>44.6</v>
      </c>
      <c r="E27" s="13">
        <v>48.957189901207464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IFERROR(6.2*(1-w),"")</f>
        <v>5.5738</v>
      </c>
      <c r="D28" s="13">
        <v>6.2</v>
      </c>
      <c r="E28" s="13">
        <v>6.805708013172338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IFERROR(38.59*(1-w),"")</f>
        <v>34.69241</v>
      </c>
      <c r="D29" s="13">
        <v>38.59</v>
      </c>
      <c r="E29" s="13">
        <v>42.360043907793639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IFERROR(0.76*(1-w),"")</f>
        <v>0.68324000000000007</v>
      </c>
      <c r="D30" s="13">
        <v>0.76</v>
      </c>
      <c r="E30" s="13">
        <v>0.83424807903402853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38</v>
      </c>
      <c r="C31" s="13">
        <f>IFERROR(0.17*(1-w),"")</f>
        <v>0.15283000000000002</v>
      </c>
      <c r="D31" s="13">
        <v>0.17</v>
      </c>
      <c r="E31" s="13">
        <v>0.18660812294182219</v>
      </c>
      <c r="F31" s="13"/>
      <c r="G31" s="13"/>
      <c r="I31" s="5"/>
      <c r="J31" s="0" t="s">
        <v>45</v>
      </c>
    </row>
    <row r="32" outlineLevel="2">
      <c r="A32" s="12" t="s">
        <v>50</v>
      </c>
      <c r="B32" s="0" t="s">
        <v>38</v>
      </c>
      <c r="C32" s="13">
        <f>IFERROR(100*(1-w)+w*100,"")</f>
        <v>100.00000000000003</v>
      </c>
      <c r="D32" s="13">
        <v>100.00000000000003</v>
      </c>
      <c r="E32" s="13">
        <v>100.00000000000003</v>
      </c>
      <c r="F32" s="13"/>
      <c r="G32" s="13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4">
        <f>IFERROR(7800*(1-w),"")</f>
        <v>7012.2</v>
      </c>
      <c r="D34" s="14">
        <v>7800</v>
      </c>
      <c r="E34" s="14">
        <v>8562.0197585071346</v>
      </c>
      <c r="F34" s="14"/>
      <c r="G34" s="14"/>
      <c r="I34" s="5"/>
      <c r="J34" s="0" t="s">
        <v>45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3">
        <f>IFERROR(16.04705*(1-w)-w*2.443,"")</f>
        <v>14.179554949999998</v>
      </c>
      <c r="D36" s="13">
        <v>16.04705</v>
      </c>
      <c r="E36" s="13">
        <v>17.61476399560922</v>
      </c>
      <c r="F36" s="13"/>
      <c r="G36" s="13"/>
      <c r="I36" s="5"/>
    </row>
    <row r="37" outlineLevel="2">
      <c r="A37" s="12" t="s">
        <v>57</v>
      </c>
      <c r="B37" s="0" t="s">
        <v>56</v>
      </c>
      <c r="C37" s="13">
        <f>IFERROR(17.4*(1-w),"")</f>
        <v>15.6426</v>
      </c>
      <c r="D37" s="13">
        <v>17.4</v>
      </c>
      <c r="E37" s="13">
        <v>19.099890230515914</v>
      </c>
      <c r="F37" s="13"/>
      <c r="G37" s="13"/>
      <c r="I37" s="5"/>
    </row>
    <row r="38" outlineLevel="2">
      <c r="A38" s="12" t="s">
        <v>58</v>
      </c>
      <c r="B38" s="0" t="s">
        <v>56</v>
      </c>
      <c r="C38" s="13">
        <f>IFERROR(18.57061113*(1-w),"")</f>
        <v>16.69497940587</v>
      </c>
      <c r="D38" s="13">
        <v>18.57061113</v>
      </c>
      <c r="E38" s="13">
        <v>20.384864028540065</v>
      </c>
      <c r="F38" s="13"/>
      <c r="G38" s="13"/>
      <c r="I38" s="5"/>
      <c r="J38" s="0" t="s">
        <v>42</v>
      </c>
    </row>
    <row r="39">
      <c r="A39" s="7" t="s">
        <v>59</v>
      </c>
      <c r="I39" s="5"/>
    </row>
    <row r="40" outlineLevel="1">
      <c r="A40" s="11" t="s">
        <v>60</v>
      </c>
      <c r="I40" s="5"/>
    </row>
    <row r="41" outlineLevel="2">
      <c r="A41" s="12" t="s">
        <v>61</v>
      </c>
      <c r="B41" s="0" t="s">
        <v>62</v>
      </c>
      <c r="C41" s="15">
        <v>220</v>
      </c>
      <c r="D41" s="15"/>
      <c r="E41" s="15"/>
      <c r="F41" s="15"/>
      <c r="G41" s="15"/>
      <c r="I41" s="5"/>
    </row>
    <row r="42">
      <c r="A42" s="7" t="s">
        <v>63</v>
      </c>
      <c r="I42" s="5"/>
    </row>
    <row r="43" outlineLevel="1">
      <c r="A43" s="11" t="s">
        <v>64</v>
      </c>
      <c r="I43" s="5"/>
    </row>
    <row r="44" outlineLevel="2">
      <c r="A44" s="12" t="s">
        <v>65</v>
      </c>
      <c r="B44" s="0" t="s">
        <v>66</v>
      </c>
      <c r="C44" s="13">
        <v>18</v>
      </c>
      <c r="D44" s="13"/>
      <c r="E44" s="13"/>
      <c r="F44" s="13"/>
      <c r="G44" s="13"/>
      <c r="I44" s="5"/>
    </row>
    <row r="45" outlineLevel="2">
      <c r="A45" s="12" t="s">
        <v>67</v>
      </c>
      <c r="B45" s="0" t="s">
        <v>66</v>
      </c>
      <c r="C45" s="13">
        <v>5</v>
      </c>
      <c r="D45" s="13"/>
      <c r="E45" s="13"/>
      <c r="F45" s="13"/>
      <c r="G45" s="13"/>
      <c r="I45" s="5"/>
    </row>
    <row r="46" outlineLevel="2">
      <c r="A46" s="12" t="s">
        <v>68</v>
      </c>
      <c r="B46" s="0" t="s">
        <v>66</v>
      </c>
      <c r="C46" s="13">
        <v>10</v>
      </c>
      <c r="D46" s="13"/>
      <c r="E46" s="13"/>
      <c r="F46" s="13"/>
      <c r="G46" s="13"/>
      <c r="I46" s="5"/>
    </row>
    <row r="47" outlineLevel="2">
      <c r="A47" s="12" t="s">
        <v>69</v>
      </c>
      <c r="B47" s="0" t="s">
        <v>66</v>
      </c>
      <c r="C47" s="13">
        <v>1.4</v>
      </c>
      <c r="D47" s="13"/>
      <c r="E47" s="13"/>
      <c r="F47" s="13"/>
      <c r="G47" s="13"/>
      <c r="I47" s="5"/>
    </row>
    <row r="48" outlineLevel="2">
      <c r="A48" s="12" t="s">
        <v>70</v>
      </c>
      <c r="B48" s="0" t="s">
        <v>66</v>
      </c>
      <c r="C48" s="13">
        <v>12</v>
      </c>
      <c r="D48" s="13"/>
      <c r="E48" s="13"/>
      <c r="F48" s="13"/>
      <c r="G48" s="13"/>
      <c r="I48" s="5"/>
    </row>
    <row r="49" outlineLevel="2">
      <c r="A49" s="12" t="s">
        <v>71</v>
      </c>
      <c r="B49" s="0" t="s">
        <v>66</v>
      </c>
      <c r="C49" s="13">
        <v>0.87</v>
      </c>
      <c r="D49" s="13"/>
      <c r="E49" s="13"/>
      <c r="F49" s="13"/>
      <c r="G49" s="13"/>
      <c r="I49" s="5"/>
    </row>
    <row r="50" outlineLevel="2">
      <c r="A50" s="12" t="s">
        <v>72</v>
      </c>
      <c r="B50" s="0" t="s">
        <v>66</v>
      </c>
      <c r="C50" s="13">
        <v>2.3</v>
      </c>
      <c r="D50" s="13"/>
      <c r="E50" s="13"/>
      <c r="F50" s="13"/>
      <c r="G50" s="13"/>
      <c r="I50" s="5"/>
    </row>
    <row r="51" outlineLevel="2">
      <c r="A51" s="12" t="s">
        <v>73</v>
      </c>
      <c r="B51" s="0" t="s">
        <v>66</v>
      </c>
      <c r="C51" s="13">
        <v>29</v>
      </c>
      <c r="D51" s="13"/>
      <c r="E51" s="13"/>
      <c r="F51" s="13"/>
      <c r="G51" s="13"/>
      <c r="I51" s="5"/>
    </row>
    <row r="52" outlineLevel="2">
      <c r="A52" s="12" t="s">
        <v>74</v>
      </c>
      <c r="B52" s="0" t="s">
        <v>66</v>
      </c>
      <c r="C52" s="13">
        <v>3.3</v>
      </c>
      <c r="D52" s="13"/>
      <c r="E52" s="13"/>
      <c r="F52" s="13"/>
      <c r="G52" s="13"/>
      <c r="I52" s="5"/>
    </row>
    <row r="53" outlineLevel="2">
      <c r="A53" s="12" t="s">
        <v>75</v>
      </c>
      <c r="B53" s="0" t="s">
        <v>66</v>
      </c>
      <c r="C53" s="13">
        <v>7.7</v>
      </c>
      <c r="D53" s="13"/>
      <c r="E53" s="13"/>
      <c r="F53" s="13"/>
      <c r="G53" s="13"/>
      <c r="I53" s="5"/>
    </row>
    <row r="54" outlineLevel="2">
      <c r="A54" s="12" t="s">
        <v>76</v>
      </c>
      <c r="B54" s="0" t="s">
        <v>66</v>
      </c>
      <c r="C54" s="13">
        <v>9.1</v>
      </c>
      <c r="D54" s="13"/>
      <c r="E54" s="13"/>
      <c r="F54" s="13"/>
      <c r="G54" s="13"/>
      <c r="I54" s="5"/>
    </row>
    <row r="55">
      <c r="I55" s="5"/>
    </row>
    <row r="56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22" errorStyle="stop" promptTitle="Enter moisture content" errorTitle="Invalid moisture content" prompt="Value should be between 0 and 100.&#10;Original value: 10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https://phyllis.nl/Biomass/View/2812</dc:description>
  <dcterms:created xsi:type="dcterms:W3CDTF">2026-03-04T04:30:04Z</dcterms:created>
  <dc:title>Phyllis2 #2812 thistle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