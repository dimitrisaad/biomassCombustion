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16 oat straw" sheetId="1" r:id="rId1"/>
  </sheets>
  <definedNames>
    <definedName name="w" localSheetId="0">IF(ISBLANK('Phyllis2 #2816 oat straw'!$C$20),#N/A,'Phyllis2 #2816 oat straw'!$C$20/100)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<sst xmlns="http://schemas.openxmlformats.org/spreadsheetml/2006/main" count="69" uniqueCount="69">
  <si>
    <t>Phyllis2</t>
  </si>
  <si>
    <t>https://phyllis.nl/Biomass/View/2816</t>
  </si>
  <si>
    <t>oat straw (#2816)</t>
  </si>
  <si>
    <t>ID-number</t>
  </si>
  <si>
    <t>#2816</t>
  </si>
  <si>
    <t>Material</t>
  </si>
  <si>
    <t>oat straw</t>
  </si>
  <si>
    <t>Classification</t>
  </si>
  <si>
    <t>ECN Phyllis classification &gt; straw (stalk/cob/ear) &gt; others &gt; oat straw</t>
  </si>
  <si>
    <t>NTA 8003 classification &gt; [200] biomassa uit land- en tuinbouw &gt; [220] stro &gt; [229] overig stro</t>
  </si>
  <si>
    <t>Ash type</t>
  </si>
  <si>
    <t>575°C</t>
  </si>
  <si>
    <t>Submitter organisation</t>
  </si>
  <si>
    <t>ECN (Netherlands)</t>
  </si>
  <si>
    <t>Submission date</t>
  </si>
  <si>
    <t>Remarks</t>
  </si>
  <si>
    <t xml:space="preserve">See also,  by the same authors, pp581-592 in Proceedings 18th FBC conference (Toronto, 2005). Ash contains 0.14% MnO</t>
  </si>
  <si>
    <t>Literature</t>
  </si>
  <si>
    <t>M. Theis, B.-J. Skrifvars, M. Zevenhoven, M. Hupa, H. Tran: Fouling tendency of ash resulting from burning mixtures of biofuels. Part 2: Deposit chemistry. Fuel 85 (2006) 1992-2001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</si>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</sst>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1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38915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8.2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IFERROR(5.9*(1-w),"")</f>
        <v>5.4162000000000008</v>
      </c>
      <c r="D21" s="13">
        <v>5.9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IFERROR(80.5*(1-w),"")</f>
        <v>73.899</v>
      </c>
      <c r="D22" s="13">
        <v>80.5</v>
      </c>
      <c r="E22" s="13">
        <v>85.547290116896917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IFERROR(13.6*(1-w),"")</f>
        <v>12.484799999999995</v>
      </c>
      <c r="D23" s="13">
        <v>13.599999999999994</v>
      </c>
      <c r="E23" s="13">
        <v>14.452709883103077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IFERROR(47.6*(1-w),"")</f>
        <v>43.6968</v>
      </c>
      <c r="D25" s="13">
        <v>47.6</v>
      </c>
      <c r="E25" s="13">
        <v>50.584484590860789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IFERROR(5.8*(1-w),"")</f>
        <v>5.3244</v>
      </c>
      <c r="D26" s="13">
        <v>5.8</v>
      </c>
      <c r="E26" s="13">
        <v>6.1636556854410207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IFERROR(43.5*(1-w),"")</f>
        <v>39.933</v>
      </c>
      <c r="D27" s="13">
        <v>43.5</v>
      </c>
      <c r="E27" s="13">
        <v>46.227417640807651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IFERROR(0.5*(1-w),"")</f>
        <v>0.459</v>
      </c>
      <c r="D28" s="13">
        <v>0.5</v>
      </c>
      <c r="E28" s="13">
        <v>0.53134962805526043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IFERROR(0.08*(1-w),"")</f>
        <v>0.07344</v>
      </c>
      <c r="D29" s="13">
        <v>0.08</v>
      </c>
      <c r="E29" s="13">
        <v>0.08501594048884166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IFERROR(103.47*(1-w)+w*100,"")</f>
        <v>103.18546000000002</v>
      </c>
      <c r="D30" s="13">
        <v>103.47000000000001</v>
      </c>
      <c r="E30" s="13">
        <v>103.68756641870353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IFERROR(900*(1-w),"")</f>
        <v>826.2</v>
      </c>
      <c r="D32" s="14">
        <v>900</v>
      </c>
      <c r="E32" s="14">
        <v>956.42933049946873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IFERROR(17.67434*(1-w)-w*2.443,"")</f>
        <v>16.02471812</v>
      </c>
      <c r="D34" s="13">
        <v>17.67434</v>
      </c>
      <c r="E34" s="13">
        <v>18.782507970244424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IFERROR(18.94*(1-w),"")</f>
        <v>17.386920000000003</v>
      </c>
      <c r="D35" s="13">
        <v>18.94</v>
      </c>
      <c r="E35" s="13">
        <v>20.127523910733267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IFERROR(18.53974393*(1-w),"")</f>
        <v>17.019484927740002</v>
      </c>
      <c r="D36" s="13">
        <v>18.53974393</v>
      </c>
      <c r="E36" s="13">
        <v>19.702172082890545</v>
      </c>
      <c r="F36" s="13"/>
      <c r="G36" s="13"/>
      <c r="I36" s="5"/>
      <c r="J36" s="0" t="s">
        <v>38</v>
      </c>
    </row>
    <row r="37">
      <c r="A37" s="7" t="s">
        <v>55</v>
      </c>
      <c r="I37" s="5"/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3">
        <v>4.13</v>
      </c>
      <c r="D39" s="13"/>
      <c r="E39" s="13"/>
      <c r="F39" s="13"/>
      <c r="G39" s="13"/>
      <c r="I39" s="5"/>
    </row>
    <row r="40" outlineLevel="2">
      <c r="A40" s="12" t="s">
        <v>59</v>
      </c>
      <c r="B40" s="0" t="s">
        <v>58</v>
      </c>
      <c r="C40" s="13">
        <v>1.84</v>
      </c>
      <c r="D40" s="13"/>
      <c r="E40" s="13"/>
      <c r="F40" s="13"/>
      <c r="G40" s="13"/>
      <c r="I40" s="5"/>
    </row>
    <row r="41" outlineLevel="2">
      <c r="A41" s="12" t="s">
        <v>60</v>
      </c>
      <c r="B41" s="0" t="s">
        <v>58</v>
      </c>
      <c r="C41" s="13">
        <v>5.14</v>
      </c>
      <c r="D41" s="13"/>
      <c r="E41" s="13"/>
      <c r="F41" s="13"/>
      <c r="G41" s="13"/>
      <c r="I41" s="5"/>
    </row>
    <row r="42" outlineLevel="2">
      <c r="A42" s="12" t="s">
        <v>61</v>
      </c>
      <c r="B42" s="0" t="s">
        <v>58</v>
      </c>
      <c r="C42" s="13">
        <v>31.43</v>
      </c>
      <c r="D42" s="13"/>
      <c r="E42" s="13"/>
      <c r="F42" s="13"/>
      <c r="G42" s="13"/>
      <c r="I42" s="5"/>
    </row>
    <row r="43" outlineLevel="2">
      <c r="A43" s="12" t="s">
        <v>62</v>
      </c>
      <c r="B43" s="0" t="s">
        <v>58</v>
      </c>
      <c r="C43" s="13">
        <v>1.81</v>
      </c>
      <c r="D43" s="13"/>
      <c r="E43" s="13"/>
      <c r="F43" s="13"/>
      <c r="G43" s="13"/>
      <c r="I43" s="5"/>
    </row>
    <row r="44" outlineLevel="2">
      <c r="A44" s="12" t="s">
        <v>63</v>
      </c>
      <c r="B44" s="0" t="s">
        <v>58</v>
      </c>
      <c r="C44" s="13">
        <v>3.86</v>
      </c>
      <c r="D44" s="13"/>
      <c r="E44" s="13"/>
      <c r="F44" s="13"/>
      <c r="G44" s="13"/>
      <c r="I44" s="5"/>
    </row>
    <row r="45" outlineLevel="2">
      <c r="A45" s="12" t="s">
        <v>64</v>
      </c>
      <c r="B45" s="0" t="s">
        <v>58</v>
      </c>
      <c r="C45" s="13">
        <v>9.99</v>
      </c>
      <c r="D45" s="13"/>
      <c r="E45" s="13"/>
      <c r="F45" s="13"/>
      <c r="G45" s="13"/>
      <c r="I45" s="5"/>
    </row>
    <row r="46" outlineLevel="2">
      <c r="A46" s="12" t="s">
        <v>65</v>
      </c>
      <c r="B46" s="0" t="s">
        <v>58</v>
      </c>
      <c r="C46" s="13">
        <v>3.72</v>
      </c>
      <c r="D46" s="13"/>
      <c r="E46" s="13"/>
      <c r="F46" s="13"/>
      <c r="G46" s="13"/>
      <c r="I46" s="5"/>
    </row>
    <row r="47" outlineLevel="2">
      <c r="A47" s="12" t="s">
        <v>66</v>
      </c>
      <c r="B47" s="0" t="s">
        <v>58</v>
      </c>
      <c r="C47" s="13">
        <v>0.55</v>
      </c>
      <c r="D47" s="13"/>
      <c r="E47" s="13"/>
      <c r="F47" s="13"/>
      <c r="G47" s="13"/>
      <c r="I47" s="5"/>
    </row>
    <row r="48" outlineLevel="2">
      <c r="A48" s="12" t="s">
        <v>67</v>
      </c>
      <c r="B48" s="0" t="s">
        <v>58</v>
      </c>
      <c r="C48" s="13">
        <v>22.37</v>
      </c>
      <c r="D48" s="13"/>
      <c r="E48" s="13"/>
      <c r="F48" s="13"/>
      <c r="G48" s="13"/>
      <c r="I48" s="5"/>
    </row>
    <row r="49" outlineLevel="2">
      <c r="A49" s="12" t="s">
        <v>68</v>
      </c>
      <c r="B49" s="0" t="s">
        <v>58</v>
      </c>
      <c r="C49" s="13">
        <v>0.22</v>
      </c>
      <c r="D49" s="13"/>
      <c r="E49" s="13"/>
      <c r="F49" s="13"/>
      <c r="G49" s="13"/>
      <c r="I49" s="5"/>
    </row>
    <row r="50">
      <c r="I50" s="5"/>
    </row>
    <row r="51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</mergeCells>
  <dataValidations count="1">
    <dataValidation type="decimal" sqref="C20" errorStyle="stop" promptTitle="Enter moisture content" errorTitle="Invalid moisture content" prompt="Value should be between 0 and 100.&#10;Original value: 8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https://phyllis.nl/Biomass/View/2816</dc:description>
  <dcterms:created xsi:type="dcterms:W3CDTF">2026-03-17T06:07:07Z</dcterms:created>
  <dc:title>Phyllis2 #2816 oat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