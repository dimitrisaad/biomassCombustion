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17 rapeseed residue" sheetId="1" r:id="rId1"/>
  </sheets>
  <definedNames>
    <definedName name="w" localSheetId="0">IF(ISBLANK('Phyllis2 #2817 rapeseed residue'!$C$19),#N/A,'Phyllis2 #2817 rapeseed residue'!$C$19/100)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<sst xmlns="http://schemas.openxmlformats.org/spreadsheetml/2006/main" count="47" uniqueCount="47">
  <si>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</si>
  <si>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https://phyllis.nl/Biomass/View/2817</t>
  </si>
  <si>
    <t>rapeseed residues (#2817)</t>
  </si>
  <si>
    <t>ID-number</t>
  </si>
  <si>
    <t>#2817</t>
  </si>
  <si>
    <t>Material</t>
  </si>
  <si>
    <t>rapeseed residues</t>
  </si>
  <si>
    <t>Classification</t>
  </si>
  <si>
    <t>ECN Phyllis classification &gt; straw (stalk/cob/ear) &gt; rape</t>
  </si>
  <si>
    <t>NTA 8003 classification &gt; [200] biomassa uit land- en tuinbouw &gt; [220] stro &gt; [229] overig stro</t>
  </si>
  <si>
    <t>Submitter organisation</t>
  </si>
  <si>
    <t>ECN (Netherlands)</t>
  </si>
  <si>
    <t>Submission date</t>
  </si>
  <si>
    <t>Remarks</t>
  </si>
  <si>
    <t>Residues collected from fields. Washed, ground and sieved to &lt;1 mm</t>
  </si>
  <si>
    <t>Literature</t>
  </si>
  <si>
    <t>A. Zabaniotou, O. Iannidou, V. Skolou: Rapeseed residues utilization for energy and 2nd generation biofuels. Fuel 87 (2008) 1492-1502.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</si>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</sst>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1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39528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5.86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IFERROR(3.95*(1-w),"")</f>
        <v>3.7185300000000003</v>
      </c>
      <c r="D20" s="13">
        <v>3.95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IFERROR(73.01*(1-w),"")</f>
        <v>68.731614000000008</v>
      </c>
      <c r="D21" s="13">
        <v>73.01</v>
      </c>
      <c r="E21" s="13">
        <v>76.012493492972411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IFERROR(23.04*(1-w),"")</f>
        <v>21.689855999999992</v>
      </c>
      <c r="D22" s="13">
        <v>23.039999999999992</v>
      </c>
      <c r="E22" s="13">
        <v>23.987506507027582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IFERROR(42.76146*(1-w),"")</f>
        <v>40.255638444</v>
      </c>
      <c r="D24" s="13">
        <v>42.76146</v>
      </c>
      <c r="E24" s="13">
        <v>44.519999999999996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IFERROR(5.311565*(1-w),"")</f>
        <v>5.000307291</v>
      </c>
      <c r="D25" s="13">
        <v>5.311565</v>
      </c>
      <c r="E25" s="13">
        <v>5.5299999999999994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IFERROR(47.41988*(1-w),"")</f>
        <v>44.641075032</v>
      </c>
      <c r="D26" s="13">
        <v>47.41988</v>
      </c>
      <c r="E26" s="13">
        <v>49.369994794377924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IFERROR(0.55709*(1-w),"")</f>
        <v>0.524444526</v>
      </c>
      <c r="D27" s="13">
        <v>0.55709</v>
      </c>
      <c r="E27" s="13">
        <v>0.58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IFERROR(99.999995*(1-w)+w*100,"")</f>
        <v>99.999995293000012</v>
      </c>
      <c r="D28" s="13">
        <v>99.999995000000013</v>
      </c>
      <c r="E28" s="13">
        <v>99.99999479437794</v>
      </c>
      <c r="F28" s="13"/>
      <c r="G28" s="13"/>
      <c r="I28" s="5"/>
      <c r="J28" s="0" t="s">
        <v>36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IFERROR(15.7882625725*(1-w),"")</f>
        <v>14.863070385751499</v>
      </c>
      <c r="D30" s="13">
        <v>15.788262572499999</v>
      </c>
      <c r="E30" s="13">
        <v>16.437545624674648</v>
      </c>
      <c r="F30" s="13"/>
      <c r="G30" s="13"/>
      <c r="I30" s="5"/>
      <c r="J30" s="0" t="s">
        <v>36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5.8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https://phyllis.nl/Biomass/View/2817</dc:description>
  <dcterms:created xsi:type="dcterms:W3CDTF">2026-03-17T06:09:17Z</dcterms:created>
  <dc:title>Phyllis2 #2817 rapeseed residues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