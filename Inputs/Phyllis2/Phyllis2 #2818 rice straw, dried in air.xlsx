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8 rice straw, drie" sheetId="1" r:id="rId1"/>
  </sheets>
  <definedNames>
    <definedName name="w" localSheetId="0">IF(ISBLANK('Phyllis2 #2818 rice straw, drie'!$C$19),#N/A,'Phyllis2 #2818 rice straw, drie'!$C$19/100)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<sst xmlns="http://schemas.openxmlformats.org/spreadsheetml/2006/main" count="62" uniqueCount="62">
  <si>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</si>
  <si>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https://phyllis.nl/Biomass/View/2818</t>
  </si>
  <si>
    <t>rice straw, dried in air (#2818)</t>
  </si>
  <si>
    <t>ID-number</t>
  </si>
  <si>
    <t>#2818</t>
  </si>
  <si>
    <t>Material</t>
  </si>
  <si>
    <t>rice straw, dried in air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</si>
  <si>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</si>
  <si>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</si>
  <si>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</si>
  <si>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Submitter organisation</t>
  </si>
  <si>
    <t>ECN (Netherlands)</t>
  </si>
  <si>
    <t>Submission date</t>
  </si>
  <si>
    <t>Remarks</t>
  </si>
  <si>
    <t>Cellulose, hemicellulose and lignin content based on TGA and volatile portion of materials. Char and bio-oil data in following records.</t>
  </si>
  <si>
    <t>Literature</t>
  </si>
  <si>
    <t>S.-H. Jung, B.-S. Kang, J.-S. Kim: Production of bio-ol from rice straw and bamboo sawdust…….J. Anal. Appl. Pyrolysis 82 (2008) 240-247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</si>
  <si>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</si>
  <si>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</si>
  <si>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</si>
  <si>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</si>
  <si>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</si>
  <si>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</si>
  <si>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</si>
  <si>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</si>
  <si>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</si>
  <si>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</si>
  <si>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</si>
  <si>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</si>
  <si>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</si>
  <si>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</si>
  <si>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</si>
  <si>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</si>
  <si>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</si>
  <si>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</si>
  <si>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</si>
  <si>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</si>
  <si>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</si>
  <si>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</si>
  <si>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</si>
  <si>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</si>
  <si>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</si>
  <si>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</si>
  <si>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</si>
  <si>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</si>
  <si>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</si>
  <si>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</si>
  <si>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</si>
  <si>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</si>
  <si>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</si>
  <si>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</si>
  <si>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</si>
  <si>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Magnesium (Mg)</t>
  </si>
  <si>
    <t>Sodium (Na)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</si>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</sst>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39653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6.8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IFERROR(9.55*(1-w),"")</f>
        <v>8.9006</v>
      </c>
      <c r="D20" s="13">
        <v>9.55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IFERROR(88.8*(1-w),"")</f>
        <v>82.761599999999987</v>
      </c>
      <c r="D21" s="13">
        <v>88.8</v>
      </c>
      <c r="E21" s="13">
        <v>98.175787728026535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IFERROR(1.65000000000001*(1-w),"")</f>
        <v>1.5378000000000052</v>
      </c>
      <c r="D22" s="13">
        <v>1.6500000000000057</v>
      </c>
      <c r="E22" s="13">
        <v>1.8242122719734724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IFERROR(39.11963*(1-w),"")</f>
        <v>36.459495159999996</v>
      </c>
      <c r="D24" s="13">
        <v>39.11963</v>
      </c>
      <c r="E24" s="13">
        <v>43.250005527915981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IFERROR(5.08329*(1-w),"")</f>
        <v>4.73762628</v>
      </c>
      <c r="D25" s="13">
        <v>5.08329</v>
      </c>
      <c r="E25" s="13">
        <v>5.62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IFERROR(44.1396*(1-w),"")</f>
        <v>41.1381072</v>
      </c>
      <c r="D26" s="13">
        <v>44.1396</v>
      </c>
      <c r="E26" s="13">
        <v>48.800000000000004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IFERROR(1.908495*(1-w),"")</f>
        <v>1.77871734</v>
      </c>
      <c r="D27" s="13">
        <v>1.908495</v>
      </c>
      <c r="E27" s="13">
        <v>2.1100000000000003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IFERROR(0.19899*(1-w),"")</f>
        <v>0.18545868</v>
      </c>
      <c r="D28" s="13">
        <v>0.19899</v>
      </c>
      <c r="E28" s="13">
        <v>0.22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IFERROR(100.000005*(1-w)+w*100,"")</f>
        <v>100.00000465999999</v>
      </c>
      <c r="D29" s="13">
        <v>100.000005</v>
      </c>
      <c r="E29" s="13">
        <v>100.00000552791599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IFERROR(14.4156215065*(1-w),"")</f>
        <v>13.435359244057999</v>
      </c>
      <c r="D31" s="13">
        <v>14.415621506499999</v>
      </c>
      <c r="E31" s="13">
        <v>15.937668885019347</v>
      </c>
      <c r="F31" s="13"/>
      <c r="G31" s="13"/>
      <c r="I31" s="5"/>
      <c r="J31" s="0" t="s">
        <v>36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v>1599</v>
      </c>
      <c r="D33" s="14"/>
      <c r="E33" s="14"/>
      <c r="F33" s="14"/>
      <c r="G33" s="14"/>
      <c r="I33" s="5"/>
      <c r="J33" s="0" t="s">
        <v>39</v>
      </c>
    </row>
    <row r="34" outlineLevel="2">
      <c r="A34" s="12" t="s">
        <v>51</v>
      </c>
      <c r="B34" s="0" t="s">
        <v>50</v>
      </c>
      <c r="C34" s="14">
        <v>9237</v>
      </c>
      <c r="D34" s="14"/>
      <c r="E34" s="14"/>
      <c r="F34" s="14"/>
      <c r="G34" s="14"/>
      <c r="I34" s="5"/>
      <c r="J34" s="0" t="s">
        <v>39</v>
      </c>
    </row>
    <row r="35" outlineLevel="2">
      <c r="A35" s="12" t="s">
        <v>52</v>
      </c>
      <c r="B35" s="0" t="s">
        <v>50</v>
      </c>
      <c r="C35" s="14">
        <v>1430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50</v>
      </c>
      <c r="C36" s="14">
        <v>10702</v>
      </c>
      <c r="D36" s="14"/>
      <c r="E36" s="14"/>
      <c r="F36" s="14"/>
      <c r="G36" s="14"/>
      <c r="I36" s="5"/>
      <c r="J36" s="0" t="s">
        <v>39</v>
      </c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37.8</v>
      </c>
      <c r="D39" s="13"/>
      <c r="E39" s="13"/>
      <c r="F39" s="13"/>
      <c r="G39" s="13"/>
      <c r="I39" s="5"/>
      <c r="J39" s="0" t="s">
        <v>36</v>
      </c>
    </row>
    <row r="40" outlineLevel="3">
      <c r="A40" s="16" t="s">
        <v>58</v>
      </c>
      <c r="B40" s="0" t="s">
        <v>57</v>
      </c>
      <c r="C40" s="13">
        <v>25.3</v>
      </c>
      <c r="D40" s="13"/>
      <c r="E40" s="13"/>
      <c r="F40" s="13"/>
      <c r="G40" s="13"/>
      <c r="I40" s="5"/>
      <c r="J40" s="0" t="s">
        <v>36</v>
      </c>
    </row>
    <row r="41" outlineLevel="3">
      <c r="A41" s="16" t="s">
        <v>59</v>
      </c>
      <c r="B41" s="0" t="s">
        <v>57</v>
      </c>
      <c r="C41" s="13">
        <v>23.3</v>
      </c>
      <c r="D41" s="13"/>
      <c r="E41" s="13"/>
      <c r="F41" s="13"/>
      <c r="G41" s="13"/>
      <c r="I41" s="5"/>
      <c r="J41" s="0" t="s">
        <v>36</v>
      </c>
    </row>
    <row r="42" outlineLevel="2">
      <c r="A42" s="15" t="s">
        <v>60</v>
      </c>
      <c r="I42" s="5"/>
    </row>
    <row r="43" outlineLevel="3">
      <c r="A43" s="16" t="s">
        <v>61</v>
      </c>
      <c r="B43" s="0" t="s">
        <v>57</v>
      </c>
      <c r="C43" s="13">
        <v>95.949999999999989</v>
      </c>
      <c r="D43" s="13"/>
      <c r="E43" s="13"/>
      <c r="F43" s="13"/>
      <c r="G43" s="13"/>
      <c r="I43" s="5"/>
      <c r="J43" s="0" t="s">
        <v>36</v>
      </c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9:E39"/>
    <mergeCell ref="C40:E40"/>
    <mergeCell ref="C41:E41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https://phyllis.nl/Biomass/View/2818</dc:description>
  <dcterms:created xsi:type="dcterms:W3CDTF">2026-03-17T06:10:27Z</dcterms:created>
  <dc:title>Phyllis2 #2818 rice straw, dried in air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