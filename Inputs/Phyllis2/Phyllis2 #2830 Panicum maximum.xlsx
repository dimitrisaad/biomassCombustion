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30 Panicum maximum" sheetId="1" r:id="rId1"/>
  </sheets>
  <definedNames>
    <definedName name="w" localSheetId="0">IF(ISBLANK('Phyllis2 #2830 Panicum maximum'!$C$19),#N/A,'Phyllis2 #2830 Panicum maximum'!$C$19/100)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<sst xmlns="http://schemas.openxmlformats.org/spreadsheetml/2006/main" count="87" uniqueCount="87">
  <si>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</si>
  <si>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https://phyllis.nl/Biomass/View/2830</t>
  </si>
  <si>
    <t>Panicum maximum (#2830)</t>
  </si>
  <si>
    <t>ID-number</t>
  </si>
  <si>
    <t>#2830</t>
  </si>
  <si>
    <t>Material</t>
  </si>
  <si>
    <t>Panicum maximum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</si>
  <si>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</si>
  <si>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</si>
  <si>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</si>
  <si>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</si>
  <si>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</si>
  <si>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</si>
  <si>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</si>
  <si>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 xml:space="preserve">Slagging index 0.04.  Fouling factor 0.83.    Data made available by Kingdom of Tonga.</t>
  </si>
  <si>
    <t>Literature</t>
  </si>
  <si>
    <t>A.H. Knight, Certificate of analysis, on behalf of Kingdom of Tonga, July 2008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</si>
  <si>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</si>
  <si>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</si>
  <si>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</si>
  <si>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</si>
  <si>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</si>
  <si>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</si>
  <si>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</si>
  <si>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</si>
  <si>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</si>
  <si>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</si>
  <si>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</si>
  <si>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</si>
  <si>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</si>
  <si>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</si>
  <si>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</si>
  <si>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</si>
  <si>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</si>
  <si>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</si>
  <si>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</si>
  <si>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</si>
  <si>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</si>
  <si>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</si>
  <si>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</si>
  <si>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</si>
  <si>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</si>
  <si>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</si>
  <si>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</si>
  <si>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</si>
  <si>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</si>
  <si>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</si>
  <si>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</si>
  <si>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</si>
  <si>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</si>
  <si>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</si>
  <si>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</si>
  <si>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</si>
  <si>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</si>
  <si>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</si>
  <si>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</si>
  <si>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</si>
  <si>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</si>
  <si>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</si>
  <si>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</si>
  <si>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</si>
  <si>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</si>
  <si>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</si>
  <si>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</si>
  <si>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</si>
  <si>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Vanadium (V)</t>
  </si>
  <si>
    <t>Zinc (Zn)</t>
  </si>
  <si>
    <t>Ash melting behaviour</t>
  </si>
  <si>
    <t>American standard method, measured in reducing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</si>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</sst>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39664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13.5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IFERROR(10.6*(1-w),"")</f>
        <v>9.169</v>
      </c>
      <c r="D20" s="13">
        <v>10.6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IFERROR(70.3*(1-w),"")</f>
        <v>60.8095</v>
      </c>
      <c r="D21" s="13">
        <v>70.3</v>
      </c>
      <c r="E21" s="13">
        <v>78.635346756152117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IFERROR(19.1*(1-w),"")</f>
        <v>16.521500000000007</v>
      </c>
      <c r="D22" s="13">
        <v>19.100000000000009</v>
      </c>
      <c r="E22" s="13">
        <v>21.364653243847883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IFERROR(42.2*(1-w),"")</f>
        <v>36.503</v>
      </c>
      <c r="D24" s="13">
        <v>42.2</v>
      </c>
      <c r="E24" s="13">
        <v>47.203579418344525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IFERROR(5.39*(1-w),"")</f>
        <v>4.66235</v>
      </c>
      <c r="D25" s="13">
        <v>5.39</v>
      </c>
      <c r="E25" s="13">
        <v>6.0290827740492166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IFERROR(41.2*(1-w),"")</f>
        <v>35.638000000000005</v>
      </c>
      <c r="D26" s="13">
        <v>41.2</v>
      </c>
      <c r="E26" s="13">
        <v>46.085011185682326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IFERROR(0.46*(1-w),"")</f>
        <v>0.39790000000000003</v>
      </c>
      <c r="D27" s="13">
        <v>0.46</v>
      </c>
      <c r="E27" s="13">
        <v>0.5145413870246085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IFERROR(0.1*(1-w),"")</f>
        <v>0.086500000000000007</v>
      </c>
      <c r="D28" s="13">
        <v>0.1</v>
      </c>
      <c r="E28" s="13">
        <v>0.11185682326621925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IFERROR(100.05*(1-w)+w*100,"")</f>
        <v>100.04324999999999</v>
      </c>
      <c r="D29" s="13">
        <v>100.04999999999998</v>
      </c>
      <c r="E29" s="13">
        <v>100.05592841163309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IFERROR(1000*(1-w),"")</f>
        <v>865</v>
      </c>
      <c r="D31" s="14">
        <v>1000</v>
      </c>
      <c r="E31" s="14">
        <v>1118.5682326621925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IFERROR(16.76081*(1-w)-w*2.443,"")</f>
        <v>14.16829565</v>
      </c>
      <c r="D33" s="13">
        <v>16.76081</v>
      </c>
      <c r="E33" s="13">
        <v>18.7481096196868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IFERROR(17.937*(1-w),"")</f>
        <v>15.515505000000001</v>
      </c>
      <c r="D34" s="13">
        <v>17.937</v>
      </c>
      <c r="E34" s="13">
        <v>20.063758389261746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IFERROR(16.37845108*(1-w),"")</f>
        <v>14.167360184200005</v>
      </c>
      <c r="D35" s="13">
        <v>16.378451080000005</v>
      </c>
      <c r="E35" s="13">
        <v>18.320415078299781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/>
      <c r="D37" s="14"/>
      <c r="E37" s="14"/>
      <c r="F37" s="14"/>
      <c r="G37" s="14">
        <v>0.1</v>
      </c>
      <c r="I37" s="5"/>
    </row>
    <row r="38" outlineLevel="2">
      <c r="A38" s="12" t="s">
        <v>56</v>
      </c>
      <c r="B38" s="0" t="s">
        <v>55</v>
      </c>
      <c r="C38" s="14"/>
      <c r="D38" s="14"/>
      <c r="E38" s="14"/>
      <c r="F38" s="14"/>
      <c r="G38" s="14">
        <v>0.05</v>
      </c>
      <c r="I38" s="5"/>
    </row>
    <row r="39" outlineLevel="2">
      <c r="A39" s="12" t="s">
        <v>57</v>
      </c>
      <c r="B39" s="0" t="s">
        <v>55</v>
      </c>
      <c r="C39" s="14">
        <v>0.08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55</v>
      </c>
      <c r="C40" s="14">
        <v>2.48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55</v>
      </c>
      <c r="C41" s="14">
        <v>1.66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55</v>
      </c>
      <c r="C42" s="14">
        <v>0.02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55</v>
      </c>
      <c r="C43" s="14">
        <v>17.88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62</v>
      </c>
      <c r="B44" s="0" t="s">
        <v>55</v>
      </c>
      <c r="C44" s="14">
        <v>1.78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63</v>
      </c>
      <c r="B45" s="0" t="s">
        <v>55</v>
      </c>
      <c r="C45" s="14">
        <v>0.8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64</v>
      </c>
      <c r="B46" s="0" t="s">
        <v>55</v>
      </c>
      <c r="C46" s="14">
        <v>0.08</v>
      </c>
      <c r="D46" s="14"/>
      <c r="E46" s="14"/>
      <c r="F46" s="14"/>
      <c r="G46" s="14"/>
      <c r="I46" s="5"/>
      <c r="J46" s="0" t="s">
        <v>39</v>
      </c>
    </row>
    <row r="47" outlineLevel="2">
      <c r="A47" s="12" t="s">
        <v>65</v>
      </c>
      <c r="B47" s="0" t="s">
        <v>55</v>
      </c>
      <c r="C47" s="14">
        <v>0.23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66</v>
      </c>
      <c r="B48" s="0" t="s">
        <v>55</v>
      </c>
      <c r="C48" s="14">
        <v>9.95</v>
      </c>
      <c r="D48" s="14"/>
      <c r="E48" s="14"/>
      <c r="F48" s="14"/>
      <c r="G48" s="14"/>
      <c r="I48" s="5"/>
      <c r="J48" s="0" t="s">
        <v>39</v>
      </c>
    </row>
    <row r="49" outlineLevel="1">
      <c r="A49" s="11" t="s">
        <v>67</v>
      </c>
      <c r="I49" s="5"/>
    </row>
    <row r="50" outlineLevel="2">
      <c r="A50" s="15" t="s">
        <v>68</v>
      </c>
      <c r="I50" s="5"/>
    </row>
    <row r="51" outlineLevel="3">
      <c r="A51" s="16" t="s">
        <v>69</v>
      </c>
      <c r="B51" s="0" t="s">
        <v>70</v>
      </c>
      <c r="C51" s="17">
        <v>1140</v>
      </c>
      <c r="D51" s="17"/>
      <c r="E51" s="17"/>
      <c r="F51" s="17"/>
      <c r="G51" s="17"/>
      <c r="I51" s="5"/>
    </row>
    <row r="52" outlineLevel="3">
      <c r="A52" s="16" t="s">
        <v>71</v>
      </c>
      <c r="B52" s="0" t="s">
        <v>70</v>
      </c>
      <c r="C52" s="17">
        <v>1250</v>
      </c>
      <c r="D52" s="17"/>
      <c r="E52" s="17"/>
      <c r="F52" s="17"/>
      <c r="G52" s="17"/>
      <c r="I52" s="5"/>
    </row>
    <row r="53" outlineLevel="3">
      <c r="A53" s="16" t="s">
        <v>72</v>
      </c>
      <c r="B53" s="0" t="s">
        <v>70</v>
      </c>
      <c r="C53" s="17">
        <v>1280</v>
      </c>
      <c r="D53" s="17"/>
      <c r="E53" s="17"/>
      <c r="F53" s="17"/>
      <c r="G53" s="17"/>
      <c r="I53" s="5"/>
    </row>
    <row r="54" outlineLevel="3">
      <c r="A54" s="16" t="s">
        <v>73</v>
      </c>
      <c r="B54" s="0" t="s">
        <v>70</v>
      </c>
      <c r="C54" s="17">
        <v>1320</v>
      </c>
      <c r="D54" s="17"/>
      <c r="E54" s="17"/>
      <c r="F54" s="17"/>
      <c r="G54" s="17"/>
      <c r="I54" s="5"/>
    </row>
    <row r="55">
      <c r="A55" s="7" t="s">
        <v>74</v>
      </c>
      <c r="I55" s="5"/>
    </row>
    <row r="56" outlineLevel="1">
      <c r="A56" s="11" t="s">
        <v>75</v>
      </c>
      <c r="I56" s="5"/>
    </row>
    <row r="57" outlineLevel="2">
      <c r="A57" s="12" t="s">
        <v>76</v>
      </c>
      <c r="B57" s="0" t="s">
        <v>77</v>
      </c>
      <c r="C57" s="13">
        <v>1.25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77</v>
      </c>
      <c r="C58" s="13">
        <v>7.31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77</v>
      </c>
      <c r="C59" s="13">
        <v>62.15</v>
      </c>
      <c r="D59" s="13"/>
      <c r="E59" s="13"/>
      <c r="F59" s="13"/>
      <c r="G59" s="13"/>
      <c r="I59" s="5"/>
    </row>
    <row r="60" outlineLevel="2">
      <c r="A60" s="12" t="s">
        <v>80</v>
      </c>
      <c r="B60" s="0" t="s">
        <v>77</v>
      </c>
      <c r="C60" s="13">
        <v>0.46</v>
      </c>
      <c r="D60" s="13"/>
      <c r="E60" s="13"/>
      <c r="F60" s="13"/>
      <c r="G60" s="13"/>
      <c r="I60" s="5"/>
    </row>
    <row r="61" outlineLevel="2">
      <c r="A61" s="12" t="s">
        <v>81</v>
      </c>
      <c r="B61" s="0" t="s">
        <v>77</v>
      </c>
      <c r="C61" s="13">
        <v>1.05</v>
      </c>
      <c r="D61" s="13"/>
      <c r="E61" s="13"/>
      <c r="F61" s="13"/>
      <c r="G61" s="13"/>
      <c r="I61" s="5"/>
    </row>
    <row r="62" outlineLevel="2">
      <c r="A62" s="12" t="s">
        <v>82</v>
      </c>
      <c r="B62" s="0" t="s">
        <v>77</v>
      </c>
      <c r="C62" s="13">
        <v>6.96</v>
      </c>
      <c r="D62" s="13"/>
      <c r="E62" s="13"/>
      <c r="F62" s="13"/>
      <c r="G62" s="13"/>
      <c r="I62" s="5"/>
    </row>
    <row r="63" outlineLevel="2">
      <c r="A63" s="12" t="s">
        <v>83</v>
      </c>
      <c r="B63" s="0" t="s">
        <v>77</v>
      </c>
      <c r="C63" s="13">
        <v>4.08</v>
      </c>
      <c r="D63" s="13"/>
      <c r="E63" s="13"/>
      <c r="F63" s="13"/>
      <c r="G63" s="13"/>
      <c r="I63" s="5"/>
    </row>
    <row r="64" outlineLevel="2">
      <c r="A64" s="12" t="s">
        <v>84</v>
      </c>
      <c r="B64" s="0" t="s">
        <v>77</v>
      </c>
      <c r="C64" s="13">
        <v>1.87</v>
      </c>
      <c r="D64" s="13"/>
      <c r="E64" s="13"/>
      <c r="F64" s="13"/>
      <c r="G64" s="13"/>
      <c r="I64" s="5"/>
    </row>
    <row r="65" outlineLevel="2">
      <c r="A65" s="12" t="s">
        <v>85</v>
      </c>
      <c r="B65" s="0" t="s">
        <v>77</v>
      </c>
      <c r="C65" s="13">
        <v>14.75</v>
      </c>
      <c r="D65" s="13"/>
      <c r="E65" s="13"/>
      <c r="F65" s="13"/>
      <c r="G65" s="13"/>
      <c r="I65" s="5"/>
    </row>
    <row r="66" outlineLevel="2">
      <c r="A66" s="12" t="s">
        <v>86</v>
      </c>
      <c r="B66" s="0" t="s">
        <v>77</v>
      </c>
      <c r="C66" s="13">
        <v>0.06</v>
      </c>
      <c r="D66" s="13"/>
      <c r="E66" s="13"/>
      <c r="F66" s="13"/>
      <c r="G66" s="13"/>
      <c r="I66" s="5"/>
    </row>
    <row r="67">
      <c r="I67" s="5"/>
    </row>
    <row r="6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1:E51"/>
    <mergeCell ref="C52:E52"/>
    <mergeCell ref="C53:E53"/>
    <mergeCell ref="C54:E54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19" errorStyle="stop" promptTitle="Enter moisture content" errorTitle="Invalid moisture content" prompt="Value should be between 0 and 100.&#10;Original value: 13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https://phyllis.nl/Biomass/View/2830</dc:description>
  <dcterms:created xsi:type="dcterms:W3CDTF">2026-03-04T04:27:05Z</dcterms:created>
  <dc:title>Phyllis2 #2830 Panicum maximum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