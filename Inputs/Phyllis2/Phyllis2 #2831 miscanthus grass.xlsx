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31 miscanthus grass" sheetId="1" r:id="rId1"/>
  </sheets>
  <definedNames>
    <definedName name="w" localSheetId="0">IF(ISBLANK('Phyllis2 #2831 miscanthus grass'!$C$19),#N/A,'Phyllis2 #2831 miscanthus grass'!$C$19/100)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<sst xmlns="http://schemas.openxmlformats.org/spreadsheetml/2006/main" count="86" uniqueCount="86">
  <si>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</si>
  <si>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https://phyllis.nl/Biomass/View/2831</t>
  </si>
  <si>
    <t>miscanthus grass (#2831)</t>
  </si>
  <si>
    <t>ID-number</t>
  </si>
  <si>
    <t>#2831</t>
  </si>
  <si>
    <t>Material</t>
  </si>
  <si>
    <t>miscanthus grass</t>
  </si>
  <si>
    <t>Classification</t>
  </si>
  <si>
    <t>ECN Phyllis classification &gt; grass/plant &gt; miscanthus</t>
  </si>
  <si>
    <t>NTA 8003 classification &gt; [200] biomassa uit land- en tuinbouw &gt; [210] gras &gt; [212] olifantsgras/miscanthus</t>
  </si>
  <si>
    <t>Submitter organisation</t>
  </si>
  <si>
    <t>ECN (Netherlands)</t>
  </si>
  <si>
    <t>Submission date</t>
  </si>
  <si>
    <t>Remarks</t>
  </si>
  <si>
    <t xml:space="preserve">Slagging index 0.02. Fouling factor 0.23.    Data made available by Kingdom of Tonga.</t>
  </si>
  <si>
    <t>Literature</t>
  </si>
  <si>
    <t>A.H. Knight, Certificate of analysis, on behalf of Kingdom of Tonga, February 2008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</si>
  <si>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</si>
  <si>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</si>
  <si>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</si>
  <si>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</si>
  <si>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</si>
  <si>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</si>
  <si>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</si>
  <si>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</si>
  <si>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</si>
  <si>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</si>
  <si>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</si>
  <si>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</si>
  <si>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</si>
  <si>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</si>
  <si>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</si>
  <si>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</si>
  <si>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</si>
  <si>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</si>
  <si>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</si>
  <si>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</si>
  <si>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</si>
  <si>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</si>
  <si>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</si>
  <si>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</si>
  <si>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</si>
  <si>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</si>
  <si>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</si>
  <si>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</si>
  <si>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</si>
  <si>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</si>
  <si>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</si>
  <si>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</si>
  <si>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</si>
  <si>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</si>
  <si>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</si>
  <si>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</si>
  <si>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</si>
  <si>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</si>
  <si>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mg/kg (dry)</t>
  </si>
  <si>
    <t>Cadmium (Cd)</t>
  </si>
  <si>
    <t>Cobalt (Co)</t>
  </si>
  <si>
    <t>Chromium (Cr)</t>
  </si>
  <si>
    <t>Copper (Cu)</t>
  </si>
  <si>
    <t>Mercury (Hg)</t>
  </si>
  <si>
    <t>Manganese (Mn)</t>
  </si>
  <si>
    <t>Nickel (Ni)</t>
  </si>
  <si>
    <t>Lead (Pb)</t>
  </si>
  <si>
    <t>Antimony (Sb)</t>
  </si>
  <si>
    <t>Vanadium (V)</t>
  </si>
  <si>
    <t>Zinc (Zn)</t>
  </si>
  <si>
    <t>Ash melting behaviour</t>
  </si>
  <si>
    <t>American standard method, measured in reducing conditions</t>
  </si>
  <si>
    <t>IDT (initial deformation temperature)</t>
  </si>
  <si>
    <t>°C</t>
  </si>
  <si>
    <t>SOT (softening or spherical temperature)</t>
  </si>
  <si>
    <t>HT (hemispherical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</si>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</sst>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39664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11.1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IFERROR(9.3*(1-w),"")</f>
        <v>8.2677000000000014</v>
      </c>
      <c r="D20" s="13">
        <v>9.3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IFERROR(72.6*(1-w),"")</f>
        <v>64.5414</v>
      </c>
      <c r="D21" s="13">
        <v>72.6</v>
      </c>
      <c r="E21" s="13">
        <v>80.044101433296575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IFERROR(18.1*(1-w),"")</f>
        <v>16.090900000000008</v>
      </c>
      <c r="D22" s="13">
        <v>18.100000000000009</v>
      </c>
      <c r="E22" s="13">
        <v>19.955898566703425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IFERROR(39.8*(1-w),"")</f>
        <v>35.3822</v>
      </c>
      <c r="D24" s="13">
        <v>39.8</v>
      </c>
      <c r="E24" s="13">
        <v>43.880926130099226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IFERROR(5.07*(1-w),"")</f>
        <v>4.5072300000000007</v>
      </c>
      <c r="D25" s="13">
        <v>5.07</v>
      </c>
      <c r="E25" s="13">
        <v>5.5898566703417867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IFERROR(44.2*(1-w),"")</f>
        <v>39.293800000000005</v>
      </c>
      <c r="D26" s="13">
        <v>44.2</v>
      </c>
      <c r="E26" s="13">
        <v>48.732083792723266</v>
      </c>
      <c r="F26" s="13"/>
      <c r="G26" s="13"/>
      <c r="I26" s="5"/>
      <c r="J26" s="0" t="s">
        <v>36</v>
      </c>
    </row>
    <row r="27" outlineLevel="2">
      <c r="A27" s="12" t="s">
        <v>42</v>
      </c>
      <c r="B27" s="0" t="s">
        <v>32</v>
      </c>
      <c r="C27" s="13">
        <f>IFERROR(1.07*(1-w),"")</f>
        <v>0.95123</v>
      </c>
      <c r="D27" s="13">
        <v>1.07</v>
      </c>
      <c r="E27" s="13">
        <v>1.1797133406835723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IFERROR(0.05*(1-w),"")</f>
        <v>0.04445</v>
      </c>
      <c r="D28" s="13">
        <v>0.05</v>
      </c>
      <c r="E28" s="13">
        <v>0.055126791620727672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IFERROR(100.05*(1-w)+w*100,"")</f>
        <v>100.04444999999998</v>
      </c>
      <c r="D29" s="13">
        <v>100.04999999999998</v>
      </c>
      <c r="E29" s="13">
        <v>100.05512679162071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IFERROR(5600*(1-w),"")</f>
        <v>4978.4</v>
      </c>
      <c r="D31" s="14">
        <v>5600</v>
      </c>
      <c r="E31" s="14">
        <v>6174.2006615215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IFERROR(16.83064*(1-w)-w*2.443,"")</f>
        <v>14.69126596</v>
      </c>
      <c r="D33" s="13">
        <v>16.83064</v>
      </c>
      <c r="E33" s="13">
        <v>18.556383682469679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IFERROR(17.937*(1-w),"")</f>
        <v>15.945993000000001</v>
      </c>
      <c r="D34" s="13">
        <v>17.937</v>
      </c>
      <c r="E34" s="13">
        <v>19.776185226019848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IFERROR(14.71631297*(1-w),"")</f>
        <v>13.082802230330003</v>
      </c>
      <c r="D35" s="13">
        <v>14.716312970000004</v>
      </c>
      <c r="E35" s="13">
        <v>16.225262370452043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>
        <v>0.13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56</v>
      </c>
      <c r="B38" s="0" t="s">
        <v>55</v>
      </c>
      <c r="C38" s="14"/>
      <c r="D38" s="14"/>
      <c r="E38" s="14"/>
      <c r="F38" s="14"/>
      <c r="G38" s="14">
        <v>0.05</v>
      </c>
      <c r="I38" s="5"/>
    </row>
    <row r="39" outlineLevel="2">
      <c r="A39" s="12" t="s">
        <v>57</v>
      </c>
      <c r="B39" s="0" t="s">
        <v>55</v>
      </c>
      <c r="C39" s="14">
        <v>1.17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0.58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1.05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0.32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16.46</v>
      </c>
      <c r="D43" s="14"/>
      <c r="E43" s="14"/>
      <c r="F43" s="14"/>
      <c r="G43" s="14"/>
      <c r="I43" s="5"/>
      <c r="J43" s="0" t="s">
        <v>39</v>
      </c>
    </row>
    <row r="44" outlineLevel="2">
      <c r="A44" s="12" t="s">
        <v>62</v>
      </c>
      <c r="B44" s="0" t="s">
        <v>55</v>
      </c>
      <c r="C44" s="14">
        <v>1.08</v>
      </c>
      <c r="D44" s="14"/>
      <c r="E44" s="14"/>
      <c r="F44" s="14"/>
      <c r="G44" s="14"/>
      <c r="I44" s="5"/>
      <c r="J44" s="0" t="s">
        <v>39</v>
      </c>
    </row>
    <row r="45" outlineLevel="2">
      <c r="A45" s="12" t="s">
        <v>63</v>
      </c>
      <c r="B45" s="0" t="s">
        <v>55</v>
      </c>
      <c r="C45" s="14">
        <v>0.05</v>
      </c>
      <c r="D45" s="14"/>
      <c r="E45" s="14"/>
      <c r="F45" s="14"/>
      <c r="G45" s="14"/>
      <c r="I45" s="5"/>
      <c r="J45" s="0" t="s">
        <v>39</v>
      </c>
    </row>
    <row r="46" outlineLevel="2">
      <c r="A46" s="12" t="s">
        <v>64</v>
      </c>
      <c r="B46" s="0" t="s">
        <v>55</v>
      </c>
      <c r="C46" s="14"/>
      <c r="D46" s="14"/>
      <c r="E46" s="14"/>
      <c r="F46" s="14"/>
      <c r="G46" s="14">
        <v>0.05</v>
      </c>
      <c r="I46" s="5"/>
    </row>
    <row r="47" outlineLevel="2">
      <c r="A47" s="12" t="s">
        <v>65</v>
      </c>
      <c r="B47" s="0" t="s">
        <v>55</v>
      </c>
      <c r="C47" s="14">
        <v>0.32</v>
      </c>
      <c r="D47" s="14"/>
      <c r="E47" s="14"/>
      <c r="F47" s="14"/>
      <c r="G47" s="14"/>
      <c r="I47" s="5"/>
      <c r="J47" s="0" t="s">
        <v>39</v>
      </c>
    </row>
    <row r="48" outlineLevel="2">
      <c r="A48" s="12" t="s">
        <v>66</v>
      </c>
      <c r="B48" s="0" t="s">
        <v>55</v>
      </c>
      <c r="C48" s="14">
        <v>9.05</v>
      </c>
      <c r="D48" s="14"/>
      <c r="E48" s="14"/>
      <c r="F48" s="14"/>
      <c r="G48" s="14"/>
      <c r="I48" s="5"/>
      <c r="J48" s="0" t="s">
        <v>39</v>
      </c>
    </row>
    <row r="49" outlineLevel="1">
      <c r="A49" s="11" t="s">
        <v>67</v>
      </c>
      <c r="I49" s="5"/>
    </row>
    <row r="50" outlineLevel="2">
      <c r="A50" s="15" t="s">
        <v>68</v>
      </c>
      <c r="I50" s="5"/>
    </row>
    <row r="51" outlineLevel="3">
      <c r="A51" s="16" t="s">
        <v>69</v>
      </c>
      <c r="B51" s="0" t="s">
        <v>70</v>
      </c>
      <c r="C51" s="17">
        <v>1160</v>
      </c>
      <c r="D51" s="17"/>
      <c r="E51" s="17"/>
      <c r="F51" s="17"/>
      <c r="G51" s="17"/>
      <c r="I51" s="5"/>
    </row>
    <row r="52" outlineLevel="3">
      <c r="A52" s="16" t="s">
        <v>71</v>
      </c>
      <c r="B52" s="0" t="s">
        <v>70</v>
      </c>
      <c r="C52" s="17">
        <v>1340</v>
      </c>
      <c r="D52" s="17"/>
      <c r="E52" s="17"/>
      <c r="F52" s="17"/>
      <c r="G52" s="17"/>
      <c r="I52" s="5"/>
    </row>
    <row r="53" outlineLevel="3">
      <c r="A53" s="16" t="s">
        <v>72</v>
      </c>
      <c r="B53" s="0" t="s">
        <v>70</v>
      </c>
      <c r="C53" s="17">
        <v>1360</v>
      </c>
      <c r="D53" s="17"/>
      <c r="E53" s="17"/>
      <c r="F53" s="17"/>
      <c r="G53" s="17"/>
      <c r="I53" s="5"/>
    </row>
    <row r="54">
      <c r="A54" s="7" t="s">
        <v>73</v>
      </c>
      <c r="I54" s="5"/>
    </row>
    <row r="55" outlineLevel="1">
      <c r="A55" s="11" t="s">
        <v>74</v>
      </c>
      <c r="I55" s="5"/>
    </row>
    <row r="56" outlineLevel="2">
      <c r="A56" s="12" t="s">
        <v>75</v>
      </c>
      <c r="B56" s="0" t="s">
        <v>76</v>
      </c>
      <c r="C56" s="13">
        <v>0.63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76</v>
      </c>
      <c r="C57" s="13">
        <v>4.2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76</v>
      </c>
      <c r="C58" s="13">
        <v>68.64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76</v>
      </c>
      <c r="C59" s="13">
        <v>0.25</v>
      </c>
      <c r="D59" s="13"/>
      <c r="E59" s="13"/>
      <c r="F59" s="13"/>
      <c r="G59" s="13"/>
      <c r="I59" s="5"/>
    </row>
    <row r="60" outlineLevel="2">
      <c r="A60" s="12" t="s">
        <v>80</v>
      </c>
      <c r="B60" s="0" t="s">
        <v>76</v>
      </c>
      <c r="C60" s="13">
        <v>0.48</v>
      </c>
      <c r="D60" s="13"/>
      <c r="E60" s="13"/>
      <c r="F60" s="13"/>
      <c r="G60" s="13"/>
      <c r="I60" s="5"/>
    </row>
    <row r="61" outlineLevel="2">
      <c r="A61" s="12" t="s">
        <v>81</v>
      </c>
      <c r="B61" s="0" t="s">
        <v>76</v>
      </c>
      <c r="C61" s="13">
        <v>6.37</v>
      </c>
      <c r="D61" s="13"/>
      <c r="E61" s="13"/>
      <c r="F61" s="13"/>
      <c r="G61" s="13"/>
      <c r="I61" s="5"/>
    </row>
    <row r="62" outlineLevel="2">
      <c r="A62" s="12" t="s">
        <v>82</v>
      </c>
      <c r="B62" s="0" t="s">
        <v>76</v>
      </c>
      <c r="C62" s="13">
        <v>6.63</v>
      </c>
      <c r="D62" s="13"/>
      <c r="E62" s="13"/>
      <c r="F62" s="13"/>
      <c r="G62" s="13"/>
      <c r="I62" s="5"/>
    </row>
    <row r="63" outlineLevel="2">
      <c r="A63" s="12" t="s">
        <v>83</v>
      </c>
      <c r="B63" s="0" t="s">
        <v>76</v>
      </c>
      <c r="C63" s="13">
        <v>0.62</v>
      </c>
      <c r="D63" s="13"/>
      <c r="E63" s="13"/>
      <c r="F63" s="13"/>
      <c r="G63" s="13"/>
      <c r="I63" s="5"/>
    </row>
    <row r="64" outlineLevel="2">
      <c r="A64" s="12" t="s">
        <v>84</v>
      </c>
      <c r="B64" s="0" t="s">
        <v>76</v>
      </c>
      <c r="C64" s="13">
        <v>12.1</v>
      </c>
      <c r="D64" s="13"/>
      <c r="E64" s="13"/>
      <c r="F64" s="13"/>
      <c r="G64" s="13"/>
      <c r="I64" s="5"/>
    </row>
    <row r="65" outlineLevel="2">
      <c r="A65" s="12" t="s">
        <v>85</v>
      </c>
      <c r="B65" s="0" t="s">
        <v>76</v>
      </c>
      <c r="C65" s="13">
        <v>0.02</v>
      </c>
      <c r="D65" s="13"/>
      <c r="E65" s="13"/>
      <c r="F65" s="13"/>
      <c r="G65" s="13"/>
      <c r="I65" s="5"/>
    </row>
    <row r="66">
      <c r="I66" s="5"/>
    </row>
    <row r="6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1:E51"/>
    <mergeCell ref="C52:E52"/>
    <mergeCell ref="C53:E53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</mergeCells>
  <dataValidations count="1">
    <dataValidation type="decimal" sqref="C19" errorStyle="stop" promptTitle="Enter moisture content" errorTitle="Invalid moisture content" prompt="Value should be between 0 and 100.&#10;Original value: 11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https://phyllis.nl/Biomass/View/2831</dc:description>
  <dcterms:created xsi:type="dcterms:W3CDTF">2026-03-04T04:15:23Z</dcterms:created>
  <dc:title>Phyllis2 #2831 miscanthus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