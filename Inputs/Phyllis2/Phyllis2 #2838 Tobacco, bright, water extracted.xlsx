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38 Tobacco, bright," sheetId="1" r:id="rId1"/>
  </sheets>
  <definedNames>
    <definedName name="w" localSheetId="0">IF(ISBLANK('Phyllis2 #2838 Tobacco, bright,'!$C$18),#N/A,'Phyllis2 #2838 Tobacco, bright,'!$C$18/100)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<sst xmlns="http://schemas.openxmlformats.org/spreadsheetml/2006/main" count="49" uniqueCount="49">
  <si>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</si>
  <si>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https://phyllis.nl/Biomass/View/2838</t>
  </si>
  <si>
    <t>Tobacco, bright, water extracted (#2838)</t>
  </si>
  <si>
    <t>ID-number</t>
  </si>
  <si>
    <t>#2838</t>
  </si>
  <si>
    <t>Material</t>
  </si>
  <si>
    <t>Tobacco, bright, water extracted</t>
  </si>
  <si>
    <t>Classification</t>
  </si>
  <si>
    <t>ECN Phyllis classification &gt; grass/plant &gt; other plants</t>
  </si>
  <si>
    <t>NTA 8003 classification &gt; [200] biomassa uit land- en tuinbouw &gt; [240] gewassen &gt; [249] overige gewassen</t>
  </si>
  <si>
    <t>Submitter organisation</t>
  </si>
  <si>
    <t>ECN (Netherlands)</t>
  </si>
  <si>
    <t>Submission date</t>
  </si>
  <si>
    <t>Literature</t>
  </si>
  <si>
    <t>T.E. McGrath, A.P. Brown, N.K. Meruva, W.G. Chan: Phenolic compound formation from the low temperature pyrolysis of tobacco. J. Anal. Appl. Pyrolysis 84 (2009) 170-178.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</si>
  <si>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</si>
  <si>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</si>
  <si>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</si>
  <si>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</si>
  <si>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</si>
  <si>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</si>
  <si>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</si>
  <si>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</si>
  <si>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</si>
  <si>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</si>
  <si>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</si>
  <si>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</si>
  <si>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</si>
  <si>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</si>
  <si>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</si>
  <si>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</si>
  <si>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</si>
  <si>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</si>
  <si>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</si>
  <si>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</si>
  <si>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</si>
  <si>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</si>
  <si>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</si>
  <si>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</si>
  <si>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</si>
  <si>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</si>
  <si>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</si>
  <si>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</si>
  <si>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HHVMilne</t>
  </si>
  <si>
    <t>MJ/kg</t>
  </si>
  <si>
    <t>Trace elements composition</t>
  </si>
  <si>
    <t>Calcium (Ca)</t>
  </si>
  <si>
    <t>mg/kg (dry)</t>
  </si>
  <si>
    <t>Potassium (K)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</si>
</sst>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3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39910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IFERROR(7.4*(1-w),"")</f>
        <v/>
      </c>
      <c r="D19" s="13">
        <v>7.4</v>
      </c>
      <c r="E19" s="13">
        <v/>
      </c>
      <c r="F19" s="13"/>
      <c r="G19" s="13"/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33</v>
      </c>
      <c r="C21" s="13">
        <f>IFERROR(45.6*(1-w),"")</f>
        <v/>
      </c>
      <c r="D21" s="13">
        <v>45.6</v>
      </c>
      <c r="E21" s="13">
        <v>49.244060475161994</v>
      </c>
      <c r="F21" s="13"/>
      <c r="G21" s="13"/>
      <c r="I21" s="5"/>
      <c r="J21" s="0" t="s">
        <v>36</v>
      </c>
    </row>
    <row r="22" outlineLevel="2">
      <c r="A22" s="12" t="s">
        <v>37</v>
      </c>
      <c r="B22" s="0" t="s">
        <v>33</v>
      </c>
      <c r="C22" s="13">
        <f>IFERROR(6.9*(1-w),"")</f>
        <v/>
      </c>
      <c r="D22" s="13">
        <v>6.9</v>
      </c>
      <c r="E22" s="13">
        <v>7.4514038876889854</v>
      </c>
      <c r="F22" s="13"/>
      <c r="G22" s="13"/>
      <c r="I22" s="5"/>
      <c r="J22" s="0" t="s">
        <v>36</v>
      </c>
    </row>
    <row r="23" outlineLevel="2">
      <c r="A23" s="12" t="s">
        <v>38</v>
      </c>
      <c r="B23" s="0" t="s">
        <v>33</v>
      </c>
      <c r="C23" s="13">
        <f>IFERROR(37.7*(1-w),"")</f>
        <v/>
      </c>
      <c r="D23" s="13">
        <v>37.7</v>
      </c>
      <c r="E23" s="13">
        <v>40.712742980561558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IFERROR(2.4*(1-w),"")</f>
        <v/>
      </c>
      <c r="D24" s="13">
        <v>2.4</v>
      </c>
      <c r="E24" s="13">
        <v>2.5917926565874732</v>
      </c>
      <c r="F24" s="13"/>
      <c r="G24" s="13"/>
      <c r="I24" s="5"/>
      <c r="J24" s="0" t="s">
        <v>36</v>
      </c>
    </row>
    <row r="25" outlineLevel="2">
      <c r="A25" s="12" t="s">
        <v>41</v>
      </c>
      <c r="B25" s="0" t="s">
        <v>33</v>
      </c>
      <c r="C25" s="13">
        <f>IFERROR(100*(1-w)+w*100,"")</f>
        <v/>
      </c>
      <c r="D25" s="13">
        <v>100.00000000000001</v>
      </c>
      <c r="E25" s="13">
        <v>100.00000000000001</v>
      </c>
      <c r="F25" s="13"/>
      <c r="G25" s="13"/>
      <c r="I25" s="5"/>
      <c r="J25" s="0" t="s">
        <v>39</v>
      </c>
    </row>
    <row r="26" outlineLevel="1">
      <c r="A26" s="11" t="s">
        <v>42</v>
      </c>
      <c r="I26" s="5"/>
    </row>
    <row r="27" outlineLevel="2">
      <c r="A27" s="12" t="s">
        <v>43</v>
      </c>
      <c r="B27" s="0" t="s">
        <v>44</v>
      </c>
      <c r="C27" s="13">
        <f>IFERROR(19.75455828*(1-w),"")</f>
        <v/>
      </c>
      <c r="D27" s="13">
        <v>19.754558280000005</v>
      </c>
      <c r="E27" s="13">
        <v>21.333216285097198</v>
      </c>
      <c r="F27" s="13"/>
      <c r="G27" s="13"/>
      <c r="I27" s="5"/>
      <c r="J27" s="0" t="s">
        <v>39</v>
      </c>
    </row>
    <row r="28" outlineLevel="1">
      <c r="A28" s="11" t="s">
        <v>45</v>
      </c>
      <c r="I28" s="5"/>
    </row>
    <row r="29" outlineLevel="2">
      <c r="A29" s="12" t="s">
        <v>46</v>
      </c>
      <c r="B29" s="0" t="s">
        <v>47</v>
      </c>
      <c r="C29" s="14">
        <v>23000</v>
      </c>
      <c r="D29" s="14"/>
      <c r="E29" s="14"/>
      <c r="F29" s="14"/>
      <c r="G29" s="14"/>
      <c r="I29" s="5"/>
      <c r="J29" s="0" t="s">
        <v>36</v>
      </c>
    </row>
    <row r="30" outlineLevel="2">
      <c r="A30" s="12" t="s">
        <v>48</v>
      </c>
      <c r="B30" s="0" t="s">
        <v>47</v>
      </c>
      <c r="C30" s="14">
        <v>300</v>
      </c>
      <c r="D30" s="14"/>
      <c r="E30" s="14"/>
      <c r="F30" s="14"/>
      <c r="G30" s="14"/>
      <c r="I30" s="5"/>
      <c r="J30" s="0" t="s">
        <v>36</v>
      </c>
    </row>
    <row r="31">
      <c r="I31" s="5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29:E29"/>
    <mergeCell ref="C30:E3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https://phyllis.nl/Biomass/View/2838</dc:description>
  <dcterms:created xsi:type="dcterms:W3CDTF">2026-03-04T04:33:38Z</dcterms:created>
  <dc:title>Phyllis2 #2838 Tobacco, bright, water extracted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