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9 Tobacco, Burley" sheetId="1" r:id="rId1"/>
  </sheets>
  <definedNames>
    <definedName name="w" localSheetId="0">IF(ISBLANK('Phyllis2 #2839 Tobacco, Burley'!$C$18),#N/A,'Phyllis2 #2839 Tobacco, Burley'!$C$18/100)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<sst xmlns="http://schemas.openxmlformats.org/spreadsheetml/2006/main" count="49" uniqueCount="49">
  <si>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</si>
  <si>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https://phyllis.nl/Biomass/View/2839</t>
  </si>
  <si>
    <t>Tobacco, Burley (#2839)</t>
  </si>
  <si>
    <t>ID-number</t>
  </si>
  <si>
    <t>#2839</t>
  </si>
  <si>
    <t>Material</t>
  </si>
  <si>
    <t>Tobacco, Burley</t>
  </si>
  <si>
    <t>Classification</t>
  </si>
  <si>
    <t>ECN Phyllis classification &gt; grass/plant &gt; other plants &gt; Tobacco, Burley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</si>
  <si>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</si>
  <si>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</si>
  <si>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</si>
  <si>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</si>
  <si>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</si>
  <si>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T.E. McGrath, A.P. Brown, N.K. Meruva, W.G. Chan: Phenolic compound formation from the low temperature pyrolysis of tobacco. J. Anal. Appl. Pyrolysis 84 (2009) 170-178.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</si>
  <si>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</si>
  <si>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</si>
  <si>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</si>
  <si>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</si>
  <si>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</si>
  <si>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</si>
  <si>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</si>
  <si>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</si>
  <si>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</si>
  <si>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</si>
  <si>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</si>
  <si>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</si>
  <si>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</si>
  <si>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</si>
  <si>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</si>
  <si>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</si>
  <si>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</si>
  <si>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</si>
  <si>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</si>
  <si>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</si>
  <si>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</si>
  <si>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</si>
  <si>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</si>
  <si>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</si>
  <si>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</si>
  <si>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</si>
  <si>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</si>
  <si>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</si>
  <si>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</si>
  <si>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</si>
  <si>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Trace elements composition</t>
  </si>
  <si>
    <t>Calcium (Ca)</t>
  </si>
  <si>
    <t>mg/kg (dry)</t>
  </si>
  <si>
    <t>Potassium (K)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</si>
</sst>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39910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IFERROR(14.5*(1-w),"")</f>
        <v/>
      </c>
      <c r="D19" s="13">
        <v>14.5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IFERROR(38.1*(1-w),"")</f>
        <v/>
      </c>
      <c r="D21" s="13">
        <v>38.1</v>
      </c>
      <c r="E21" s="13">
        <v>44.561403508771932</v>
      </c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33</v>
      </c>
      <c r="C22" s="13">
        <f>IFERROR(6*(1-w),"")</f>
        <v/>
      </c>
      <c r="D22" s="13">
        <v>6</v>
      </c>
      <c r="E22" s="13">
        <v>7.0175438596491233</v>
      </c>
      <c r="F22" s="13"/>
      <c r="G22" s="13"/>
      <c r="I22" s="5"/>
      <c r="J22" s="0" t="s">
        <v>36</v>
      </c>
    </row>
    <row r="23" outlineLevel="2">
      <c r="A23" s="12" t="s">
        <v>38</v>
      </c>
      <c r="B23" s="0" t="s">
        <v>33</v>
      </c>
      <c r="C23" s="13">
        <f>IFERROR(37*(1-w),"")</f>
        <v/>
      </c>
      <c r="D23" s="13">
        <v>37</v>
      </c>
      <c r="E23" s="13">
        <v>43.274853801169591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IFERROR(4.4*(1-w),"")</f>
        <v/>
      </c>
      <c r="D24" s="13">
        <v>4.4</v>
      </c>
      <c r="E24" s="13">
        <v>5.1461988304093573</v>
      </c>
      <c r="F24" s="13"/>
      <c r="G24" s="13"/>
      <c r="I24" s="5"/>
      <c r="J24" s="0" t="s">
        <v>36</v>
      </c>
    </row>
    <row r="25" outlineLevel="2">
      <c r="A25" s="12" t="s">
        <v>41</v>
      </c>
      <c r="B25" s="0" t="s">
        <v>33</v>
      </c>
      <c r="C25" s="13">
        <f>IFERROR(100*(1-w)+w*100,"")</f>
        <v/>
      </c>
      <c r="D25" s="13">
        <v>100</v>
      </c>
      <c r="E25" s="13">
        <v>100</v>
      </c>
      <c r="F25" s="13"/>
      <c r="G25" s="13"/>
      <c r="I25" s="5"/>
      <c r="J25" s="0" t="s">
        <v>39</v>
      </c>
    </row>
    <row r="26" outlineLevel="1">
      <c r="A26" s="11" t="s">
        <v>42</v>
      </c>
      <c r="I26" s="5"/>
    </row>
    <row r="27" outlineLevel="2">
      <c r="A27" s="12" t="s">
        <v>43</v>
      </c>
      <c r="B27" s="0" t="s">
        <v>44</v>
      </c>
      <c r="C27" s="13">
        <f>IFERROR(15.76641825*(1-w),"")</f>
        <v/>
      </c>
      <c r="D27" s="13">
        <v>15.766418250000005</v>
      </c>
      <c r="E27" s="13">
        <v>18.4402552631579</v>
      </c>
      <c r="F27" s="13"/>
      <c r="G27" s="13"/>
      <c r="I27" s="5"/>
      <c r="J27" s="0" t="s">
        <v>39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4">
        <v>33000</v>
      </c>
      <c r="D29" s="14"/>
      <c r="E29" s="14"/>
      <c r="F29" s="14"/>
      <c r="G29" s="14"/>
      <c r="I29" s="5"/>
      <c r="J29" s="0" t="s">
        <v>36</v>
      </c>
    </row>
    <row r="30" outlineLevel="2">
      <c r="A30" s="12" t="s">
        <v>48</v>
      </c>
      <c r="B30" s="0" t="s">
        <v>47</v>
      </c>
      <c r="C30" s="14">
        <v>34000</v>
      </c>
      <c r="D30" s="14"/>
      <c r="E30" s="14"/>
      <c r="F30" s="14"/>
      <c r="G30" s="14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9:E29"/>
    <mergeCell ref="C30:E3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https://phyllis.nl/Biomass/View/2839</dc:description>
  <dcterms:created xsi:type="dcterms:W3CDTF">2026-03-04T04:31:20Z</dcterms:created>
  <dc:title>Phyllis2 #2839 Tobacco, Burley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