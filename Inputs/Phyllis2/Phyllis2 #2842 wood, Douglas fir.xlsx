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42 wood, Douglas fi" sheetId="1" r:id="rId1"/>
  </sheets>
  <definedNames>
    <definedName name="w" localSheetId="0">IF(ISBLANK('Phyllis2 #2842 wood, Douglas fi'!$C$21),#N/A,'Phyllis2 #2842 wood, Douglas fi'!$C$21/100)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<sst xmlns="http://schemas.openxmlformats.org/spreadsheetml/2006/main" count="59" uniqueCount="59">
  <si>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</si>
  <si>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https://phyllis.nl/Biomass/View/2842</t>
  </si>
  <si>
    <t>wood, Douglas fir (#2842)</t>
  </si>
  <si>
    <t>ID-number</t>
  </si>
  <si>
    <t>#2842</t>
  </si>
  <si>
    <t>Material</t>
  </si>
  <si>
    <t>wood, Douglas fir</t>
  </si>
  <si>
    <t>Description</t>
  </si>
  <si>
    <t>pulverized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</si>
  <si>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</si>
  <si>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</si>
  <si>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</si>
  <si>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Sample lot size</t>
  </si>
  <si>
    <t>0.03 mm</t>
  </si>
  <si>
    <t>Submitter organisation</t>
  </si>
  <si>
    <t>ECN (Netherlands)</t>
  </si>
  <si>
    <t>Submission date</t>
  </si>
  <si>
    <t>Remarks</t>
  </si>
  <si>
    <t>pulverized wood, 2.62 m2/g, used for hot water treatment, see samples 2843-2846</t>
  </si>
  <si>
    <t>Literature</t>
  </si>
  <si>
    <t>N. Kobayashi, N. Okada, A. Hirakawa, T. Sato, J. Kobayashi, S. Hatano, Y. Itaya, S. Mori: Characteristics of solid residues obtained from hot-compresses-water treatment of woody biomass. Ind. Eng. Chem. Res. 48 (2009) 373-379.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</si>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</sst>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6">
        <v>39917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>
      <c r="A15" s="7"/>
    </row>
    <row r="16" s="1" customFormat="1">
      <c r="A16" s="9" t="s">
        <v>21</v>
      </c>
    </row>
    <row r="17" s="1" customFormat="1">
      <c r="A17" s="10" t="s">
        <v>22</v>
      </c>
      <c r="B17" s="10" t="s">
        <v>23</v>
      </c>
      <c r="C17" s="10" t="s">
        <v>24</v>
      </c>
      <c r="D17" s="10"/>
      <c r="E17" s="10"/>
      <c r="F17" s="10" t="s">
        <v>25</v>
      </c>
      <c r="G17" s="10" t="s">
        <v>26</v>
      </c>
      <c r="H17" s="10" t="s">
        <v>27</v>
      </c>
      <c r="I17" s="10" t="s">
        <v>28</v>
      </c>
      <c r="J17" s="10" t="s">
        <v>29</v>
      </c>
      <c r="K17" s="10" t="s">
        <v>17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9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IFERROR(0.77*(1-w),"")</f>
        <v>0.7007</v>
      </c>
      <c r="D22" s="13">
        <v>0.77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IFERROR(81.22*(1-w),"")</f>
        <v>73.9102</v>
      </c>
      <c r="D23" s="13">
        <v>81.22</v>
      </c>
      <c r="E23" s="13">
        <v>81.850246901138775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IFERROR(18.01*(1-w),"")</f>
        <v>16.389100000000006</v>
      </c>
      <c r="D24" s="13">
        <v>18.010000000000005</v>
      </c>
      <c r="E24" s="13">
        <v>18.149753098861236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IFERROR(49.9*(1-w),"")</f>
        <v>45.409</v>
      </c>
      <c r="D26" s="13">
        <v>49.9</v>
      </c>
      <c r="E26" s="13">
        <v>50.287211528771543</v>
      </c>
      <c r="F26" s="13"/>
      <c r="G26" s="13"/>
      <c r="I26" s="5"/>
      <c r="J26" s="0" t="s">
        <v>43</v>
      </c>
    </row>
    <row r="27" outlineLevel="2">
      <c r="A27" s="12" t="s">
        <v>44</v>
      </c>
      <c r="B27" s="0" t="s">
        <v>36</v>
      </c>
      <c r="C27" s="13">
        <f>IFERROR(6.3*(1-w),"")</f>
        <v>5.733</v>
      </c>
      <c r="D27" s="13">
        <v>6.3</v>
      </c>
      <c r="E27" s="13">
        <v>6.3488864254761666</v>
      </c>
      <c r="F27" s="13"/>
      <c r="G27" s="13"/>
      <c r="I27" s="5"/>
      <c r="J27" s="0" t="s">
        <v>43</v>
      </c>
    </row>
    <row r="28" outlineLevel="2">
      <c r="A28" s="12" t="s">
        <v>45</v>
      </c>
      <c r="B28" s="0" t="s">
        <v>36</v>
      </c>
      <c r="C28" s="13">
        <f>IFERROR(42.76*(1-w),"")</f>
        <v>38.9116</v>
      </c>
      <c r="D28" s="13">
        <v>42.76</v>
      </c>
      <c r="E28" s="13">
        <v>43.091806913231885</v>
      </c>
      <c r="F28" s="13"/>
      <c r="G28" s="13"/>
      <c r="I28" s="5"/>
      <c r="J28" s="0" t="s">
        <v>40</v>
      </c>
    </row>
    <row r="29" outlineLevel="2">
      <c r="A29" s="12" t="s">
        <v>46</v>
      </c>
      <c r="B29" s="0" t="s">
        <v>36</v>
      </c>
      <c r="C29" s="13">
        <f>IFERROR(0.19*(1-w),"")</f>
        <v>0.1729</v>
      </c>
      <c r="D29" s="13">
        <v>0.19</v>
      </c>
      <c r="E29" s="13">
        <v>0.1914743525143606</v>
      </c>
      <c r="F29" s="13"/>
      <c r="G29" s="13"/>
      <c r="I29" s="5"/>
      <c r="J29" s="0" t="s">
        <v>43</v>
      </c>
    </row>
    <row r="30" outlineLevel="2">
      <c r="A30" s="12" t="s">
        <v>47</v>
      </c>
      <c r="B30" s="0" t="s">
        <v>36</v>
      </c>
      <c r="C30" s="13">
        <f>IFERROR(99.92*(1-w)+w*100,"")</f>
        <v>99.927199999999985</v>
      </c>
      <c r="D30" s="13">
        <v>99.919999999999987</v>
      </c>
      <c r="E30" s="13">
        <v>99.919379219993942</v>
      </c>
      <c r="F30" s="13"/>
      <c r="G30" s="13"/>
      <c r="I30" s="5"/>
      <c r="J30" s="0" t="s">
        <v>40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IFERROR(20.1788097137*(1-w),"")</f>
        <v>18.362716839467</v>
      </c>
      <c r="D32" s="13">
        <v>20.1788097137</v>
      </c>
      <c r="E32" s="13">
        <v>20.33539223390104</v>
      </c>
      <c r="F32" s="13"/>
      <c r="G32" s="13"/>
      <c r="I32" s="5"/>
      <c r="J32" s="0" t="s">
        <v>40</v>
      </c>
    </row>
    <row r="33" outlineLevel="1">
      <c r="A33" s="11" t="s">
        <v>51</v>
      </c>
      <c r="I33" s="5"/>
    </row>
    <row r="34" outlineLevel="2">
      <c r="A34" s="14" t="s">
        <v>52</v>
      </c>
      <c r="I34" s="5"/>
    </row>
    <row r="35" outlineLevel="3">
      <c r="A35" s="15" t="s">
        <v>53</v>
      </c>
      <c r="B35" s="0" t="s">
        <v>54</v>
      </c>
      <c r="C35" s="13">
        <v>57.2</v>
      </c>
      <c r="D35" s="13"/>
      <c r="E35" s="13"/>
      <c r="F35" s="13"/>
      <c r="G35" s="13"/>
      <c r="I35" s="5"/>
      <c r="J35" s="0" t="s">
        <v>43</v>
      </c>
    </row>
    <row r="36" outlineLevel="3">
      <c r="A36" s="15" t="s">
        <v>55</v>
      </c>
      <c r="B36" s="0" t="s">
        <v>54</v>
      </c>
      <c r="C36" s="13">
        <v>14.1</v>
      </c>
      <c r="D36" s="13"/>
      <c r="E36" s="13"/>
      <c r="F36" s="13"/>
      <c r="G36" s="13"/>
      <c r="I36" s="5"/>
      <c r="J36" s="0" t="s">
        <v>43</v>
      </c>
    </row>
    <row r="37" outlineLevel="3">
      <c r="A37" s="15" t="s">
        <v>56</v>
      </c>
      <c r="B37" s="0" t="s">
        <v>54</v>
      </c>
      <c r="C37" s="13">
        <v>28.4</v>
      </c>
      <c r="D37" s="13"/>
      <c r="E37" s="13"/>
      <c r="F37" s="13"/>
      <c r="G37" s="13"/>
      <c r="I37" s="5"/>
      <c r="J37" s="0" t="s">
        <v>43</v>
      </c>
    </row>
    <row r="38" outlineLevel="2">
      <c r="A38" s="14" t="s">
        <v>57</v>
      </c>
      <c r="I38" s="5"/>
    </row>
    <row r="39" outlineLevel="3">
      <c r="A39" s="15" t="s">
        <v>58</v>
      </c>
      <c r="B39" s="0" t="s">
        <v>54</v>
      </c>
      <c r="C39" s="13">
        <v>100.46999999999998</v>
      </c>
      <c r="D39" s="13"/>
      <c r="E39" s="13"/>
      <c r="F39" s="13"/>
      <c r="G39" s="13"/>
      <c r="I39" s="5"/>
      <c r="J39" s="0" t="s">
        <v>40</v>
      </c>
    </row>
    <row r="40">
      <c r="I40" s="5"/>
    </row>
    <row r="41" s="1" customFormat="1"/>
  </sheetData>
  <mergeCells>
    <mergeCell ref="A8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5:E35"/>
    <mergeCell ref="C36:E36"/>
    <mergeCell ref="C37:E37"/>
    <mergeCell ref="C39:E39"/>
  </mergeCells>
  <dataValidations count="1">
    <dataValidation type="decimal" sqref="C21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https://phyllis.nl/Biomass/View/2842</dc:description>
  <dcterms:created xsi:type="dcterms:W3CDTF">2026-03-19T07:07:03Z</dcterms:created>
  <dc:title>Phyllis2 #2842 wood, Douglas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