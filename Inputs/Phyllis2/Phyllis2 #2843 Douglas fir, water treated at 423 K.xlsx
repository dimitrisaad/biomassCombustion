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43 Douglas fir, wat" sheetId="1" r:id="rId1"/>
  </sheets>
  <definedNames>
    <definedName name="w" localSheetId="0">IF(ISBLANK('Phyllis2 #2843 Douglas fir, wat'!$C$19),#N/A,'Phyllis2 #2843 Douglas fir, wat'!$C$19/100)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<sst xmlns="http://schemas.openxmlformats.org/spreadsheetml/2006/main" count="49" uniqueCount="49">
  <si>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</si>
  <si>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https://phyllis.nl/Biomass/View/2843</t>
  </si>
  <si>
    <t>Douglas fir, water treated at 423 K (#2843)</t>
  </si>
  <si>
    <t>ID-number</t>
  </si>
  <si>
    <t>#2843</t>
  </si>
  <si>
    <t>Material</t>
  </si>
  <si>
    <t>Douglas fir, water treated at 423 K</t>
  </si>
  <si>
    <t>Classification</t>
  </si>
  <si>
    <t>ECN Phyllis classification &gt; treated wood &gt; others</t>
  </si>
  <si>
    <t>NTA 8003 classification &gt; [100] hout &gt; [150] verwerkt hout &gt; [190] hout uit verwerking &gt; [199] overig hout uit verwerking</t>
  </si>
  <si>
    <t>Submitter organisation</t>
  </si>
  <si>
    <t>ECN (Netherlands)</t>
  </si>
  <si>
    <t>Submission date</t>
  </si>
  <si>
    <t>Remarks</t>
  </si>
  <si>
    <t>pulverized wood, 1 min hot water at 423 K (4.75 bar); see sample 2842 for wood composition, samples 2844-2846 for effect higher temperatures</t>
  </si>
  <si>
    <t>Literature</t>
  </si>
  <si>
    <t>N. Kobayashi, N. Okada, A. Hirakawa, T. Sato, J. Kobayashi, S. Hatano, Y. Itaya, S. Mori: Characteristics of solid residues obtained from hot-compresses-water treatment of woody biomass. Ind. Eng. Chem. Res. 48 (2009) 373-379.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</si>
  <si>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</si>
  <si>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</si>
  <si>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</si>
  <si>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</si>
  <si>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</si>
  <si>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</si>
  <si>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</si>
  <si>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</si>
  <si>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</si>
  <si>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</si>
  <si>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</si>
  <si>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</si>
  <si>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</si>
  <si>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</si>
  <si>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</si>
  <si>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</si>
  <si>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</si>
  <si>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</si>
  <si>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</si>
  <si>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</si>
  <si>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</si>
  <si>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</si>
  <si>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</si>
  <si>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</si>
  <si>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</si>
  <si>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</si>
  <si>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</si>
  <si>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wt% (dry)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</si>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</sst>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39917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IFERROR(0.3*(1-w),"")</f>
        <v/>
      </c>
      <c r="D20" s="13">
        <v>0.3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IFERROR(86.85*(1-w),"")</f>
        <v/>
      </c>
      <c r="D21" s="13">
        <v>86.85</v>
      </c>
      <c r="E21" s="13">
        <v>87.111334002006018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IFERROR(12.85*(1-w),"")</f>
        <v/>
      </c>
      <c r="D22" s="13">
        <v>12.850000000000009</v>
      </c>
      <c r="E22" s="13">
        <v>12.888665997993991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IFERROR(47.2*(1-w),"")</f>
        <v/>
      </c>
      <c r="D24" s="13">
        <v>47.2</v>
      </c>
      <c r="E24" s="13">
        <v>47.34202607823471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IFERROR(6.2*(1-w),"")</f>
        <v/>
      </c>
      <c r="D25" s="13">
        <v>6.2</v>
      </c>
      <c r="E25" s="13">
        <v>6.218655967903711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IFERROR(46.3*(1-w),"")</f>
        <v/>
      </c>
      <c r="D26" s="13">
        <v>46.3</v>
      </c>
      <c r="E26" s="13">
        <v>46.439317953861583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44</v>
      </c>
      <c r="C27" s="13"/>
      <c r="D27" s="13"/>
      <c r="E27" s="13"/>
      <c r="F27" s="13"/>
      <c r="G27" s="13">
        <v>0.01</v>
      </c>
      <c r="I27" s="5"/>
    </row>
    <row r="28" outlineLevel="2">
      <c r="A28" s="12" t="s">
        <v>45</v>
      </c>
      <c r="B28" s="0" t="s">
        <v>34</v>
      </c>
      <c r="C28" s="13">
        <f>IFERROR(100*(1-w)+w*100,"")</f>
        <v/>
      </c>
      <c r="D28" s="13">
        <v>100</v>
      </c>
      <c r="E28" s="13">
        <v>100</v>
      </c>
      <c r="F28" s="13"/>
      <c r="G28" s="13"/>
      <c r="I28" s="5"/>
      <c r="J28" s="0" t="s">
        <v>37</v>
      </c>
    </row>
    <row r="29" outlineLevel="1">
      <c r="A29" s="11" t="s">
        <v>46</v>
      </c>
      <c r="I29" s="5"/>
    </row>
    <row r="30" outlineLevel="2">
      <c r="A30" s="12" t="s">
        <v>47</v>
      </c>
      <c r="B30" s="0" t="s">
        <v>48</v>
      </c>
      <c r="C30" s="13">
        <f>IFERROR(18.73102377*(1-w),"")</f>
        <v/>
      </c>
      <c r="D30" s="13">
        <v>18.731023770000004</v>
      </c>
      <c r="E30" s="13">
        <v>18.787385927783355</v>
      </c>
      <c r="F30" s="13"/>
      <c r="G30" s="13"/>
      <c r="I30" s="5"/>
      <c r="J30" s="0" t="s">
        <v>37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7:E2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https://phyllis.nl/Biomass/View/2843</dc:description>
  <dcterms:created xsi:type="dcterms:W3CDTF">2026-03-19T04:07:04Z</dcterms:created>
  <dc:title>Phyllis2 #2843 Douglas fir, water treated at 423 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