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52 wood, Pyrenean o" sheetId="1" r:id="rId1"/>
  </sheets>
  <definedNames>
    <definedName name="w" localSheetId="0">IF(ISBLANK('Phyllis2 #2852 wood, Pyrenean o'!$C$22),#N/A,'Phyllis2 #2852 wood, Pyrenean 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<sst xmlns="http://schemas.openxmlformats.org/spreadsheetml/2006/main" count="69" uniqueCount="69">
  <si>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</si>
  <si>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https://phyllis.nl/Biomass/View/2852</t>
  </si>
  <si>
    <t>wood, Pyrenean oak, branches &lt;20 mm diameter (#2852)</t>
  </si>
  <si>
    <t>ID-number</t>
  </si>
  <si>
    <t>#2852</t>
  </si>
  <si>
    <t>Material</t>
  </si>
  <si>
    <t>wood, Pyrenean oak, branches &lt;20 mm diameter</t>
  </si>
  <si>
    <t>Description</t>
  </si>
  <si>
    <t>chips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</si>
  <si>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</si>
  <si>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</si>
  <si>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</si>
  <si>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Sample lot size</t>
  </si>
  <si>
    <t>&lt;63 mm</t>
  </si>
  <si>
    <t>Ash type</t>
  </si>
  <si>
    <t>CEN/TS 14775 (550°C)</t>
  </si>
  <si>
    <t>Submitter organisation</t>
  </si>
  <si>
    <t>ECN (Netherlands)</t>
  </si>
  <si>
    <t>Submission date</t>
  </si>
  <si>
    <t>Remarks</t>
  </si>
  <si>
    <t>C,H,N according to CEN/TS 15104; S acc CEN/TS 15289, O by diff.; moisture by CEN/TS 14774-2; heating value acc UNE 164001 EX; collection, sampling and preparation acc to CEN standards; for medium and larger branches see next records</t>
  </si>
  <si>
    <t>Literature</t>
  </si>
  <si>
    <t>M.T. Miranda, J.I. Arranz, S. Rojas, I. Montero: Energetic characterization of densified residues from Pyrenean oak forest. Fuel 88 (2009) 2106-2112.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</si>
  <si>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</si>
  <si>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</si>
  <si>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</si>
  <si>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</si>
  <si>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</si>
  <si>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</si>
  <si>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</si>
  <si>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</si>
  <si>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</si>
  <si>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</si>
  <si>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</si>
  <si>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</si>
  <si>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</si>
  <si>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</si>
  <si>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</si>
  <si>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</si>
  <si>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</si>
  <si>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</si>
  <si>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</si>
  <si>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</si>
  <si>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</si>
  <si>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</si>
  <si>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</si>
  <si>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</si>
  <si>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</si>
  <si>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</si>
  <si>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</si>
  <si>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</si>
  <si>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</si>
  <si>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</si>
  <si>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</si>
  <si>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</si>
  <si>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</si>
  <si>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</si>
  <si>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</si>
  <si>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</si>
  <si>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</si>
  <si>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van Soest</t>
  </si>
  <si>
    <t>Hemicellulose</t>
  </si>
  <si>
    <t>Lignin</t>
  </si>
  <si>
    <t>Other</t>
  </si>
  <si>
    <t>Total ash + biochemical</t>
  </si>
  <si>
    <t>Physical Properties</t>
  </si>
  <si>
    <t>Commonly used properties</t>
  </si>
  <si>
    <t>Bulk density (daf)</t>
  </si>
  <si>
    <t>kg/m³ (daf)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</si>
</sst>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40014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>
      <c r="A16" s="7"/>
    </row>
    <row r="17" s="1" customFormat="1">
      <c r="A17" s="9" t="s">
        <v>23</v>
      </c>
    </row>
    <row r="18" s="1" customFormat="1">
      <c r="A18" s="10" t="s">
        <v>24</v>
      </c>
      <c r="B18" s="10" t="s">
        <v>25</v>
      </c>
      <c r="C18" s="10" t="s">
        <v>26</v>
      </c>
      <c r="D18" s="10"/>
      <c r="E18" s="10"/>
      <c r="F18" s="10" t="s">
        <v>27</v>
      </c>
      <c r="G18" s="10" t="s">
        <v>28</v>
      </c>
      <c r="H18" s="10" t="s">
        <v>29</v>
      </c>
      <c r="I18" s="10" t="s">
        <v>30</v>
      </c>
      <c r="J18" s="10" t="s">
        <v>31</v>
      </c>
      <c r="K18" s="10" t="s">
        <v>19</v>
      </c>
      <c r="L18" s="10"/>
    </row>
    <row r="19" s="1" customFormat="1">
      <c r="A19" s="10"/>
      <c r="B19" s="10"/>
      <c r="C19" s="10" t="s">
        <v>32</v>
      </c>
      <c r="D19" s="10" t="s">
        <v>33</v>
      </c>
      <c r="E19" s="10" t="s">
        <v>34</v>
      </c>
      <c r="F19" s="10"/>
      <c r="G19" s="10"/>
      <c r="H19" s="10"/>
      <c r="I19" s="10"/>
      <c r="J19" s="10"/>
      <c r="K19" s="10"/>
      <c r="L19" s="10"/>
    </row>
    <row r="20">
      <c r="A20" s="7" t="s">
        <v>35</v>
      </c>
      <c r="I20" s="5"/>
    </row>
    <row r="21" outlineLevel="1">
      <c r="A21" s="11" t="s">
        <v>36</v>
      </c>
      <c r="I21" s="5"/>
    </row>
    <row r="22" outlineLevel="2">
      <c r="A22" s="12" t="s">
        <v>37</v>
      </c>
      <c r="B22" s="0" t="s">
        <v>38</v>
      </c>
      <c r="C22" s="13">
        <v>42.21</v>
      </c>
      <c r="D22" s="13"/>
      <c r="E22" s="13"/>
      <c r="F22" s="13"/>
      <c r="G22" s="13"/>
      <c r="I22" s="5"/>
    </row>
    <row r="23" outlineLevel="2">
      <c r="A23" s="12" t="s">
        <v>39</v>
      </c>
      <c r="B23" s="0" t="s">
        <v>38</v>
      </c>
      <c r="C23" s="13">
        <f>IFERROR(4.05*(1-w),"")</f>
        <v>2.3404949999999998</v>
      </c>
      <c r="D23" s="13">
        <v>4.05</v>
      </c>
      <c r="E23" s="13">
        <v/>
      </c>
      <c r="F23" s="13"/>
      <c r="G23" s="13"/>
      <c r="I23" s="5"/>
    </row>
    <row r="24" outlineLevel="2">
      <c r="A24" s="12" t="s">
        <v>40</v>
      </c>
      <c r="B24" s="0" t="s">
        <v>38</v>
      </c>
      <c r="C24" s="13">
        <f>IFERROR(77.45*(1-w),"")</f>
        <v>44.758355</v>
      </c>
      <c r="D24" s="13">
        <v>77.45</v>
      </c>
      <c r="E24" s="13">
        <v>80.719124544033349</v>
      </c>
      <c r="F24" s="13"/>
      <c r="G24" s="13"/>
      <c r="I24" s="5"/>
    </row>
    <row r="25" outlineLevel="2">
      <c r="A25" s="12" t="s">
        <v>41</v>
      </c>
      <c r="B25" s="0" t="s">
        <v>38</v>
      </c>
      <c r="C25" s="13">
        <f>IFERROR(18.5*(1-w),"")</f>
        <v>10.691149999999999</v>
      </c>
      <c r="D25" s="13">
        <v>18.5</v>
      </c>
      <c r="E25" s="13">
        <v>19.280875455966648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38</v>
      </c>
      <c r="C27" s="13">
        <f>IFERROR(48.76*(1-w),"")</f>
        <v>28.178403999999997</v>
      </c>
      <c r="D27" s="13">
        <v>48.76</v>
      </c>
      <c r="E27" s="13">
        <v>50.818134445023446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38</v>
      </c>
      <c r="C28" s="13">
        <f>IFERROR(6.35*(1-w),"")</f>
        <v>3.6696649999999997</v>
      </c>
      <c r="D28" s="13">
        <v>6.35</v>
      </c>
      <c r="E28" s="13">
        <v>6.6180302240750386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38</v>
      </c>
      <c r="C29" s="13">
        <f>IFERROR(37.93*(1-w),"")</f>
        <v>21.919746999999997</v>
      </c>
      <c r="D29" s="13">
        <v>37.93</v>
      </c>
      <c r="E29" s="13">
        <v>39.53100573215216</v>
      </c>
      <c r="F29" s="13"/>
      <c r="G29" s="13"/>
      <c r="I29" s="5"/>
      <c r="J29" s="0" t="s">
        <v>42</v>
      </c>
    </row>
    <row r="30" outlineLevel="2">
      <c r="A30" s="12" t="s">
        <v>48</v>
      </c>
      <c r="B30" s="0" t="s">
        <v>38</v>
      </c>
      <c r="C30" s="13">
        <f>IFERROR(2.81*(1-w),"")</f>
        <v>1.623899</v>
      </c>
      <c r="D30" s="13">
        <v>2.81</v>
      </c>
      <c r="E30" s="13">
        <v>2.9286086503387181</v>
      </c>
      <c r="F30" s="13"/>
      <c r="G30" s="13"/>
      <c r="I30" s="5"/>
      <c r="J30" s="0" t="s">
        <v>45</v>
      </c>
    </row>
    <row r="31" outlineLevel="2">
      <c r="A31" s="12" t="s">
        <v>49</v>
      </c>
      <c r="B31" s="0" t="s">
        <v>50</v>
      </c>
      <c r="C31" s="13"/>
      <c r="D31" s="13"/>
      <c r="E31" s="13"/>
      <c r="F31" s="13"/>
      <c r="G31" s="13">
        <v>0.1</v>
      </c>
      <c r="I31" s="5"/>
    </row>
    <row r="32" outlineLevel="2">
      <c r="A32" s="12" t="s">
        <v>51</v>
      </c>
      <c r="B32" s="0" t="s">
        <v>38</v>
      </c>
      <c r="C32" s="13">
        <f>IFERROR(99.9*(1-w)+w*100,"")</f>
        <v>99.942209999999989</v>
      </c>
      <c r="D32" s="13">
        <v>99.899999999999991</v>
      </c>
      <c r="E32" s="13">
        <v>99.895779051589358</v>
      </c>
      <c r="F32" s="13"/>
      <c r="G32" s="13"/>
      <c r="I32" s="5"/>
      <c r="J32" s="0" t="s">
        <v>42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IFERROR(17.81432*(1-w)-w*2.443,"")</f>
        <v>9.2637052279999974</v>
      </c>
      <c r="D34" s="13">
        <v>17.81432</v>
      </c>
      <c r="E34" s="13">
        <v>18.566253256904638</v>
      </c>
      <c r="F34" s="13"/>
      <c r="G34" s="13"/>
      <c r="I34" s="5"/>
    </row>
    <row r="35" outlineLevel="2">
      <c r="A35" s="12" t="s">
        <v>55</v>
      </c>
      <c r="B35" s="0" t="s">
        <v>54</v>
      </c>
      <c r="C35" s="13">
        <f>IFERROR(19.2*(1-w),"")</f>
        <v>11.09568</v>
      </c>
      <c r="D35" s="13">
        <v>19.2</v>
      </c>
      <c r="E35" s="13">
        <v>20.010422094841061</v>
      </c>
      <c r="F35" s="13"/>
      <c r="G35" s="13"/>
      <c r="I35" s="5"/>
    </row>
    <row r="36" outlineLevel="2">
      <c r="A36" s="12" t="s">
        <v>56</v>
      </c>
      <c r="B36" s="0" t="s">
        <v>54</v>
      </c>
      <c r="C36" s="13">
        <f>IFERROR(20.0736045825*(1-w),"")</f>
        <v>11.600536088226749</v>
      </c>
      <c r="D36" s="13">
        <v>20.0736045825</v>
      </c>
      <c r="E36" s="13">
        <v>20.920901076081293</v>
      </c>
      <c r="F36" s="13"/>
      <c r="G36" s="13"/>
      <c r="I36" s="5"/>
      <c r="J36" s="0" t="s">
        <v>42</v>
      </c>
    </row>
    <row r="37" outlineLevel="1">
      <c r="A37" s="11" t="s">
        <v>57</v>
      </c>
      <c r="I37" s="5"/>
    </row>
    <row r="38" outlineLevel="2">
      <c r="A38" s="14" t="s">
        <v>58</v>
      </c>
      <c r="I38" s="5"/>
    </row>
    <row r="39" outlineLevel="3">
      <c r="A39" s="15" t="s">
        <v>59</v>
      </c>
      <c r="B39" s="0" t="s">
        <v>50</v>
      </c>
      <c r="C39" s="13">
        <v>39.69</v>
      </c>
      <c r="D39" s="13"/>
      <c r="E39" s="13"/>
      <c r="F39" s="13"/>
      <c r="G39" s="13"/>
      <c r="I39" s="5"/>
      <c r="J39" s="0" t="s">
        <v>60</v>
      </c>
    </row>
    <row r="40" outlineLevel="3">
      <c r="A40" s="15" t="s">
        <v>61</v>
      </c>
      <c r="B40" s="0" t="s">
        <v>50</v>
      </c>
      <c r="C40" s="13">
        <v>9.81</v>
      </c>
      <c r="D40" s="13"/>
      <c r="E40" s="13"/>
      <c r="F40" s="13"/>
      <c r="G40" s="13"/>
      <c r="I40" s="5"/>
      <c r="J40" s="0" t="s">
        <v>60</v>
      </c>
    </row>
    <row r="41" outlineLevel="3">
      <c r="A41" s="15" t="s">
        <v>62</v>
      </c>
      <c r="B41" s="0" t="s">
        <v>50</v>
      </c>
      <c r="C41" s="13">
        <v>26.98</v>
      </c>
      <c r="D41" s="13"/>
      <c r="E41" s="13"/>
      <c r="F41" s="13"/>
      <c r="G41" s="13"/>
      <c r="I41" s="5"/>
      <c r="J41" s="0" t="s">
        <v>45</v>
      </c>
    </row>
    <row r="42" outlineLevel="2">
      <c r="A42" s="14" t="s">
        <v>63</v>
      </c>
      <c r="I42" s="5"/>
    </row>
    <row r="43" outlineLevel="3">
      <c r="A43" s="15" t="s">
        <v>64</v>
      </c>
      <c r="B43" s="0" t="s">
        <v>50</v>
      </c>
      <c r="C43" s="13">
        <v>80.53</v>
      </c>
      <c r="D43" s="13"/>
      <c r="E43" s="13"/>
      <c r="F43" s="13"/>
      <c r="G43" s="13"/>
      <c r="I43" s="5"/>
      <c r="J43" s="0" t="s">
        <v>42</v>
      </c>
    </row>
    <row r="44">
      <c r="A44" s="7" t="s">
        <v>65</v>
      </c>
      <c r="I44" s="5"/>
    </row>
    <row r="45" outlineLevel="1">
      <c r="A45" s="11" t="s">
        <v>66</v>
      </c>
      <c r="I45" s="5"/>
    </row>
    <row r="46" outlineLevel="2">
      <c r="A46" s="12" t="s">
        <v>67</v>
      </c>
      <c r="B46" s="0" t="s">
        <v>68</v>
      </c>
      <c r="C46" s="16">
        <v>208.93</v>
      </c>
      <c r="D46" s="16"/>
      <c r="E46" s="16"/>
      <c r="F46" s="16"/>
      <c r="G46" s="16"/>
      <c r="I46" s="5"/>
    </row>
    <row r="47">
      <c r="I47" s="5"/>
    </row>
    <row r="48" s="1" customFormat="1"/>
  </sheetData>
  <mergeCells>
    <mergeCell ref="A8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1:E31"/>
    <mergeCell ref="C39:E39"/>
    <mergeCell ref="C40:E40"/>
    <mergeCell ref="C41:E41"/>
    <mergeCell ref="C43:E43"/>
    <mergeCell ref="C46:E46"/>
  </mergeCells>
  <dataValidations count="1">
    <dataValidation type="decimal" sqref="C22" errorStyle="stop" promptTitle="Enter moisture content" errorTitle="Invalid moisture content" prompt="Value should be between 0 and 100.&#10;Original value: 42.2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https://phyllis.nl/Biomass/View/2852</dc:description>
  <dcterms:created xsi:type="dcterms:W3CDTF">2026-03-19T07:11:19Z</dcterms:created>
  <dc:title>Phyllis2 #2852 wood, Pyrenean oak, branches &lt;20 mm diameter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