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57 wood, Pyrenean o" sheetId="1" r:id="rId1"/>
  </sheets>
  <definedNames>
    <definedName name="w" localSheetId="0">IF(ISBLANK('Phyllis2 #2857 wood, Pyrenean o'!$C$22),#N/A,'Phyllis2 #2857 wood, Pyrenean 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<sst xmlns="http://schemas.openxmlformats.org/spreadsheetml/2006/main" count="61" uniqueCount="61">
  <si>
    <t>Phyllis2</t>
  </si>
  <si>
    <t>https://phyllis.nl/Biomass/View/2857</t>
  </si>
  <si>
    <t>wood, Pyrenean oak, pellets from branches &gt; 70 mm (#2857)</t>
  </si>
  <si>
    <t>ID-number</t>
  </si>
  <si>
    <t>#2857</t>
  </si>
  <si>
    <t>Material</t>
  </si>
  <si>
    <t>wood, Pyrenean oak, pellets from branches &gt; 70 mm</t>
  </si>
  <si>
    <t>Description</t>
  </si>
  <si>
    <t>pellets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</si>
  <si>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</si>
  <si>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</si>
  <si>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</si>
  <si>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Sample lot size</t>
  </si>
  <si>
    <t>6 mm</t>
  </si>
  <si>
    <t>Ash type</t>
  </si>
  <si>
    <t>CEN/TS 14775 (550°C)</t>
  </si>
  <si>
    <t>Submitter organisation</t>
  </si>
  <si>
    <t>ECN (Netherlands)</t>
  </si>
  <si>
    <t>Submission date</t>
  </si>
  <si>
    <t>Remarks</t>
  </si>
  <si>
    <t>C,H,N according to CEN/TS 15104; S acc CEN/TS 15289, O by diff.; moisture by CEN/TS 14774-2; heating value acc UNE 164001 EX; collection, sampling and preparation acc to CEN standards; for raw material see record 2854</t>
  </si>
  <si>
    <t>Literature</t>
  </si>
  <si>
    <t>M.T. Miranda, J.I. Arranz, S. Rojas, I. Montero: Energetic characterization of densified residues from Pyrenean oak forest. Fuel 88 (2009) 2106-2112.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</si>
  <si>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</si>
  <si>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</si>
  <si>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</si>
  <si>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</si>
  <si>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</si>
  <si>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</si>
  <si>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</si>
  <si>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</si>
  <si>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</si>
  <si>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</si>
  <si>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</si>
  <si>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</si>
  <si>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</si>
  <si>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</si>
  <si>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</si>
  <si>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</si>
  <si>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</si>
  <si>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</si>
  <si>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</si>
  <si>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</si>
  <si>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</si>
  <si>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</si>
  <si>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</si>
  <si>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</si>
  <si>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</si>
  <si>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</si>
  <si>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</si>
  <si>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</si>
  <si>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</si>
  <si>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</si>
  <si>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</si>
  <si>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</si>
  <si>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</si>
  <si>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</si>
  <si>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Physical Properties</t>
  </si>
  <si>
    <t>Commonly used properties</t>
  </si>
  <si>
    <t>Bulk density (daf)</t>
  </si>
  <si>
    <t>kg/m³ (daf)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</si>
</sst>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 t="s">
        <v>16</v>
      </c>
      <c r="B12" s="0" t="s">
        <v>17</v>
      </c>
    </row>
    <row r="13" outlineLevel="1">
      <c r="A13" s="7" t="s">
        <v>18</v>
      </c>
      <c r="B13" s="6">
        <v>40014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0" t="s">
        <v>22</v>
      </c>
    </row>
    <row r="16">
      <c r="A16" s="7"/>
    </row>
    <row r="17" s="1" customFormat="1">
      <c r="A17" s="9" t="s">
        <v>23</v>
      </c>
    </row>
    <row r="18" s="1" customFormat="1">
      <c r="A18" s="10" t="s">
        <v>24</v>
      </c>
      <c r="B18" s="10" t="s">
        <v>25</v>
      </c>
      <c r="C18" s="10" t="s">
        <v>26</v>
      </c>
      <c r="D18" s="10"/>
      <c r="E18" s="10"/>
      <c r="F18" s="10" t="s">
        <v>27</v>
      </c>
      <c r="G18" s="10" t="s">
        <v>28</v>
      </c>
      <c r="H18" s="10" t="s">
        <v>29</v>
      </c>
      <c r="I18" s="10" t="s">
        <v>30</v>
      </c>
      <c r="J18" s="10" t="s">
        <v>31</v>
      </c>
      <c r="K18" s="10" t="s">
        <v>19</v>
      </c>
      <c r="L18" s="10"/>
    </row>
    <row r="19" s="1" customFormat="1">
      <c r="A19" s="10"/>
      <c r="B19" s="10"/>
      <c r="C19" s="10" t="s">
        <v>32</v>
      </c>
      <c r="D19" s="10" t="s">
        <v>33</v>
      </c>
      <c r="E19" s="10" t="s">
        <v>34</v>
      </c>
      <c r="F19" s="10"/>
      <c r="G19" s="10"/>
      <c r="H19" s="10"/>
      <c r="I19" s="10"/>
      <c r="J19" s="10"/>
      <c r="K19" s="10"/>
      <c r="L19" s="10"/>
    </row>
    <row r="20">
      <c r="A20" s="7" t="s">
        <v>35</v>
      </c>
      <c r="I20" s="5"/>
    </row>
    <row r="21" outlineLevel="1">
      <c r="A21" s="11" t="s">
        <v>36</v>
      </c>
      <c r="I21" s="5"/>
    </row>
    <row r="22" outlineLevel="2">
      <c r="A22" s="12" t="s">
        <v>37</v>
      </c>
      <c r="B22" s="0" t="s">
        <v>38</v>
      </c>
      <c r="C22" s="13">
        <v>6.32</v>
      </c>
      <c r="D22" s="13"/>
      <c r="E22" s="13"/>
      <c r="F22" s="13"/>
      <c r="G22" s="13"/>
      <c r="I22" s="5"/>
    </row>
    <row r="23" outlineLevel="2">
      <c r="A23" s="12" t="s">
        <v>39</v>
      </c>
      <c r="B23" s="0" t="s">
        <v>38</v>
      </c>
      <c r="C23" s="13">
        <f>IFERROR(2.4*(1-w),"")</f>
        <v>2.2483199999999997</v>
      </c>
      <c r="D23" s="13">
        <v>2.4</v>
      </c>
      <c r="E23" s="13">
        <v/>
      </c>
      <c r="F23" s="13"/>
      <c r="G23" s="13"/>
      <c r="I23" s="5"/>
    </row>
    <row r="24" outlineLevel="2">
      <c r="A24" s="12" t="s">
        <v>40</v>
      </c>
      <c r="B24" s="0" t="s">
        <v>38</v>
      </c>
      <c r="C24" s="13">
        <f>IFERROR(81.51*(1-w),"")</f>
        <v>76.358568</v>
      </c>
      <c r="D24" s="13">
        <v>81.51</v>
      </c>
      <c r="E24" s="13">
        <v>83.514344262295083</v>
      </c>
      <c r="F24" s="13"/>
      <c r="G24" s="13"/>
      <c r="I24" s="5"/>
    </row>
    <row r="25" outlineLevel="2">
      <c r="A25" s="12" t="s">
        <v>41</v>
      </c>
      <c r="B25" s="0" t="s">
        <v>38</v>
      </c>
      <c r="C25" s="13">
        <f>IFERROR(16.09*(1-w),"")</f>
        <v>15.073111999999989</v>
      </c>
      <c r="D25" s="13">
        <v>16.089999999999989</v>
      </c>
      <c r="E25" s="13">
        <v>16.485655737704906</v>
      </c>
      <c r="F25" s="13"/>
      <c r="G25" s="13"/>
      <c r="I25" s="5"/>
      <c r="J25" s="0" t="s">
        <v>42</v>
      </c>
    </row>
    <row r="26" outlineLevel="1">
      <c r="A26" s="11" t="s">
        <v>43</v>
      </c>
      <c r="I26" s="5"/>
    </row>
    <row r="27" outlineLevel="2">
      <c r="A27" s="12" t="s">
        <v>44</v>
      </c>
      <c r="B27" s="0" t="s">
        <v>38</v>
      </c>
      <c r="C27" s="13">
        <f>IFERROR(51.2*(1-w),"")</f>
        <v>47.96416</v>
      </c>
      <c r="D27" s="13">
        <v>51.2</v>
      </c>
      <c r="E27" s="13">
        <v>52.459016393442624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38</v>
      </c>
      <c r="C28" s="13">
        <f>IFERROR(6.37*(1-w),"")</f>
        <v>5.967416</v>
      </c>
      <c r="D28" s="13">
        <v>6.37</v>
      </c>
      <c r="E28" s="13">
        <v>6.5266393442622954</v>
      </c>
      <c r="F28" s="13"/>
      <c r="G28" s="13"/>
      <c r="I28" s="5"/>
      <c r="J28" s="0" t="s">
        <v>45</v>
      </c>
    </row>
    <row r="29" outlineLevel="2">
      <c r="A29" s="12" t="s">
        <v>47</v>
      </c>
      <c r="B29" s="0" t="s">
        <v>38</v>
      </c>
      <c r="C29" s="13">
        <f>IFERROR(38.04*(1-w),"")</f>
        <v>35.635872</v>
      </c>
      <c r="D29" s="13">
        <v>38.04</v>
      </c>
      <c r="E29" s="13">
        <v>38.975409836065573</v>
      </c>
      <c r="F29" s="13"/>
      <c r="G29" s="13"/>
      <c r="I29" s="5"/>
      <c r="J29" s="0" t="s">
        <v>42</v>
      </c>
    </row>
    <row r="30" outlineLevel="2">
      <c r="A30" s="12" t="s">
        <v>48</v>
      </c>
      <c r="B30" s="0" t="s">
        <v>38</v>
      </c>
      <c r="C30" s="13">
        <f>IFERROR(1.89*(1-w),"")</f>
        <v>1.770552</v>
      </c>
      <c r="D30" s="13">
        <v>1.89</v>
      </c>
      <c r="E30" s="13">
        <v>1.9364754098360655</v>
      </c>
      <c r="F30" s="13"/>
      <c r="G30" s="13"/>
      <c r="I30" s="5"/>
      <c r="J30" s="0" t="s">
        <v>45</v>
      </c>
    </row>
    <row r="31" outlineLevel="2">
      <c r="A31" s="12" t="s">
        <v>49</v>
      </c>
      <c r="B31" s="0" t="s">
        <v>50</v>
      </c>
      <c r="C31" s="13"/>
      <c r="D31" s="13"/>
      <c r="E31" s="13"/>
      <c r="F31" s="13"/>
      <c r="G31" s="13">
        <v>0.1</v>
      </c>
      <c r="I31" s="5"/>
    </row>
    <row r="32" outlineLevel="2">
      <c r="A32" s="12" t="s">
        <v>51</v>
      </c>
      <c r="B32" s="0" t="s">
        <v>38</v>
      </c>
      <c r="C32" s="13">
        <f>IFERROR(99.9*(1-w)+w*100,"")</f>
        <v>99.90632</v>
      </c>
      <c r="D32" s="13">
        <v>99.9</v>
      </c>
      <c r="E32" s="13">
        <v>99.897540983606561</v>
      </c>
      <c r="F32" s="13"/>
      <c r="G32" s="13"/>
      <c r="I32" s="5"/>
      <c r="J32" s="0" t="s">
        <v>42</v>
      </c>
    </row>
    <row r="33" outlineLevel="1">
      <c r="A33" s="11" t="s">
        <v>52</v>
      </c>
      <c r="I33" s="5"/>
    </row>
    <row r="34" outlineLevel="2">
      <c r="A34" s="12" t="s">
        <v>53</v>
      </c>
      <c r="B34" s="0" t="s">
        <v>54</v>
      </c>
      <c r="C34" s="13">
        <f>IFERROR(17.90996*(1-w)-w*2.443,"")</f>
        <v>16.623652928000002</v>
      </c>
      <c r="D34" s="13">
        <v>17.90996</v>
      </c>
      <c r="E34" s="13">
        <v>18.350368852459017</v>
      </c>
      <c r="F34" s="13"/>
      <c r="G34" s="13"/>
      <c r="I34" s="5"/>
    </row>
    <row r="35" outlineLevel="2">
      <c r="A35" s="12" t="s">
        <v>55</v>
      </c>
      <c r="B35" s="0" t="s">
        <v>54</v>
      </c>
      <c r="C35" s="13">
        <f>IFERROR(19.3*(1-w),"")</f>
        <v>18.08024</v>
      </c>
      <c r="D35" s="13">
        <v>19.3</v>
      </c>
      <c r="E35" s="13">
        <v>19.774590163934427</v>
      </c>
      <c r="F35" s="13"/>
      <c r="G35" s="13"/>
      <c r="I35" s="5"/>
    </row>
    <row r="36" outlineLevel="2">
      <c r="A36" s="12" t="s">
        <v>56</v>
      </c>
      <c r="B36" s="0" t="s">
        <v>54</v>
      </c>
      <c r="C36" s="13">
        <f>IFERROR(21.05290128*(1-w),"")</f>
        <v>19.722357919104</v>
      </c>
      <c r="D36" s="13">
        <v>21.05290128</v>
      </c>
      <c r="E36" s="13">
        <v>21.570595573770493</v>
      </c>
      <c r="F36" s="13"/>
      <c r="G36" s="13"/>
      <c r="I36" s="5"/>
      <c r="J36" s="0" t="s">
        <v>42</v>
      </c>
    </row>
    <row r="37">
      <c r="A37" s="7" t="s">
        <v>57</v>
      </c>
      <c r="I37" s="5"/>
    </row>
    <row r="38" outlineLevel="1">
      <c r="A38" s="11" t="s">
        <v>58</v>
      </c>
      <c r="I38" s="5"/>
    </row>
    <row r="39" outlineLevel="2">
      <c r="A39" s="12" t="s">
        <v>59</v>
      </c>
      <c r="B39" s="0" t="s">
        <v>60</v>
      </c>
      <c r="C39" s="14">
        <v>676.64</v>
      </c>
      <c r="D39" s="14"/>
      <c r="E39" s="14"/>
      <c r="F39" s="14"/>
      <c r="G39" s="14"/>
      <c r="I39" s="5"/>
    </row>
    <row r="40">
      <c r="I40" s="5"/>
    </row>
    <row r="41" s="1" customFormat="1"/>
  </sheetData>
  <mergeCells>
    <mergeCell ref="A8:A9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31:E31"/>
    <mergeCell ref="C39:E39"/>
  </mergeCells>
  <dataValidations count="1">
    <dataValidation type="decimal" sqref="C22" errorStyle="stop" promptTitle="Enter moisture content" errorTitle="Invalid moisture content" prompt="Value should be between 0 and 100.&#10;Original value: 6.3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https://phyllis.nl/Biomass/View/2857</dc:description>
  <dcterms:created xsi:type="dcterms:W3CDTF">2026-03-19T07:11:34Z</dcterms:created>
  <dc:title>Phyllis2 #2857 wood, Pyrenean oak, pellets from branches &gt; 70 mm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