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84 courgette plant" sheetId="1" r:id="rId1"/>
  </sheets>
  <definedNames>
    <definedName name="w" localSheetId="0">IF(ISBLANK('Phyllis2 #2884 courgette plant'!$C$20),#N/A,'Phyllis2 #2884 courgette plant'!$C$20/100)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<sst xmlns="http://schemas.openxmlformats.org/spreadsheetml/2006/main" count="77" uniqueCount="77">
  <si>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</si>
  <si>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https://phyllis.nl/Biomass/View/2884</t>
  </si>
  <si>
    <t>courgette plant (#2884)</t>
  </si>
  <si>
    <t>ID-number</t>
  </si>
  <si>
    <t>#2884</t>
  </si>
  <si>
    <t>Material</t>
  </si>
  <si>
    <t>courgette plant</t>
  </si>
  <si>
    <t>Classification</t>
  </si>
  <si>
    <t>ECN Phyllis classification &gt; grass/plant &gt; vegetable</t>
  </si>
  <si>
    <t>NTA 8003 classification &gt; [200] biomassa uit land- en tuinbouw &gt; [250] overige restprodcuten &gt; [252] tuinbouwafval</t>
  </si>
  <si>
    <t>Ash type</t>
  </si>
  <si>
    <t>UNE-CEN/TS 14775:2007 EX</t>
  </si>
  <si>
    <t>Submitter organisation</t>
  </si>
  <si>
    <t>ECN (Netherlands)</t>
  </si>
  <si>
    <t>Submission date</t>
  </si>
  <si>
    <t>Remarks</t>
  </si>
  <si>
    <t xml:space="preserve">C,H and N determined according to UNE-CEN/TS 15104:2008 EX. S according to ASTM D4239-08, Cl according to ASTM E776-87.  Erroneous data for ash metal content corrected after consultation with authors.</t>
  </si>
  <si>
    <t>Literature</t>
  </si>
  <si>
    <t>A.J. Callejón-Ferre, B. Velázquez-Martí, J.A. López-Martínez, F. Manzano-Agugliaro: Greenhouse crop residues: Energy potential and models for the prediction of their higher heating value. Renewable and Sustainable Energy Reviews 15 (2011) 948-955.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</si>
  <si>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</si>
  <si>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</si>
  <si>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</si>
  <si>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</si>
  <si>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</si>
  <si>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</si>
  <si>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</si>
  <si>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</si>
  <si>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</si>
  <si>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</si>
  <si>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</si>
  <si>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</si>
  <si>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</si>
  <si>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</si>
  <si>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</si>
  <si>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</si>
  <si>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</si>
  <si>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</si>
  <si>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</si>
  <si>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</si>
  <si>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</si>
  <si>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</si>
  <si>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</si>
  <si>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</si>
  <si>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</si>
  <si>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</si>
  <si>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</si>
  <si>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</si>
  <si>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</si>
  <si>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</si>
  <si>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</si>
  <si>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</si>
  <si>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</si>
  <si>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</si>
  <si>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</si>
  <si>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</si>
  <si>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</si>
  <si>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</si>
  <si>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</si>
  <si>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</si>
  <si>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</si>
  <si>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</si>
  <si>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</si>
  <si>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</si>
  <si>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</si>
  <si>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</si>
  <si>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</si>
  <si>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</si>
  <si>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</si>
  <si>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</si>
  <si>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</si>
  <si>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</si>
  <si>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</si>
  <si>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</si>
  <si>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</si>
  <si>
    <t>Cu</t>
  </si>
  <si>
    <t>mg/kg (ash)</t>
  </si>
  <si>
    <t>Mn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</si>
</sst>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8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40549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93.04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IFERROR(29.75*(1-w),"")</f>
        <v>2.0705999999999967</v>
      </c>
      <c r="D21" s="13">
        <v>29.75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IFERROR(62.01*(1-w),"")</f>
        <v>4.3158959999999924</v>
      </c>
      <c r="D22" s="13">
        <v>62.01</v>
      </c>
      <c r="E22" s="13">
        <v>88.270462633451956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IFERROR(8.24*(1-w),"")</f>
        <v>0.57350399999999924</v>
      </c>
      <c r="D23" s="13">
        <v>8.240000000000002</v>
      </c>
      <c r="E23" s="13">
        <v>11.729537366548046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IFERROR(33.88*(1-w),"")</f>
        <v>2.3580479999999961</v>
      </c>
      <c r="D25" s="13">
        <v>33.88</v>
      </c>
      <c r="E25" s="13">
        <v>48.227758007117437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IFERROR(3.7*(1-w),"")</f>
        <v>0.25751999999999958</v>
      </c>
      <c r="D26" s="13">
        <v>3.7</v>
      </c>
      <c r="E26" s="13">
        <v>5.2669039145907472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IFERROR(27.84*(1-w),"")</f>
        <v>1.9376639999999967</v>
      </c>
      <c r="D27" s="13">
        <v>27.84</v>
      </c>
      <c r="E27" s="13">
        <v>39.629893238434164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IFERROR(4.7*(1-w),"")</f>
        <v>0.32711999999999947</v>
      </c>
      <c r="D28" s="13">
        <v>4.7</v>
      </c>
      <c r="E28" s="13">
        <v>6.6903914590747329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IFERROR(0.13*(1-w),"")</f>
        <v>0.0090479999999999849</v>
      </c>
      <c r="D29" s="13">
        <v>0.13</v>
      </c>
      <c r="E29" s="13">
        <v>0.18505338078291816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IFERROR(101.076*(1-w)+w*100,"")</f>
        <v>100.07488959999999</v>
      </c>
      <c r="D30" s="13">
        <v>101.076</v>
      </c>
      <c r="E30" s="13">
        <v>101.53167259786476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IFERROR(10760*(1-w),"")</f>
        <v>748.89599999999871</v>
      </c>
      <c r="D32" s="14">
        <v>10760</v>
      </c>
      <c r="E32" s="14">
        <v>15316.725978647686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IFERROR(12.0416*(1-w)-w*2.443,"")</f>
        <v>-1.4348718400000018</v>
      </c>
      <c r="D34" s="13">
        <v>12.0416</v>
      </c>
      <c r="E34" s="13">
        <v>17.141067615658365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IFERROR(12.849*(1-w),"")</f>
        <v>0.89429039999999849</v>
      </c>
      <c r="D35" s="13">
        <v>12.849</v>
      </c>
      <c r="E35" s="13">
        <v>18.290391459074733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IFERROR(12.2288375625*(1-w),"")</f>
        <v>0.85112709434999834</v>
      </c>
      <c r="D36" s="13">
        <v>12.228837562499997</v>
      </c>
      <c r="E36" s="13">
        <v>17.407597953736651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5" t="s">
        <v>56</v>
      </c>
      <c r="I38" s="5"/>
    </row>
    <row r="39" outlineLevel="3">
      <c r="A39" s="16" t="s">
        <v>57</v>
      </c>
      <c r="B39" s="0" t="s">
        <v>58</v>
      </c>
      <c r="C39" s="17">
        <v>1546</v>
      </c>
      <c r="D39" s="17"/>
      <c r="E39" s="17"/>
      <c r="F39" s="17"/>
      <c r="G39" s="17"/>
      <c r="I39" s="5"/>
    </row>
    <row r="40" outlineLevel="3">
      <c r="A40" s="16" t="s">
        <v>59</v>
      </c>
      <c r="B40" s="0" t="s">
        <v>58</v>
      </c>
      <c r="C40" s="17">
        <v>1553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58</v>
      </c>
      <c r="C41" s="17">
        <v>1650</v>
      </c>
      <c r="D41" s="17"/>
      <c r="E41" s="17"/>
      <c r="F41" s="17"/>
      <c r="G41" s="17"/>
      <c r="I41" s="5"/>
    </row>
    <row r="42" outlineLevel="3">
      <c r="A42" s="16" t="s">
        <v>61</v>
      </c>
      <c r="B42" s="0" t="s">
        <v>58</v>
      </c>
      <c r="C42" s="17">
        <v>1650</v>
      </c>
      <c r="D42" s="17"/>
      <c r="E42" s="17"/>
      <c r="F42" s="17"/>
      <c r="G42" s="17"/>
      <c r="I42" s="5"/>
    </row>
    <row r="43">
      <c r="A43" s="7" t="s">
        <v>62</v>
      </c>
      <c r="I43" s="5"/>
    </row>
    <row r="44" outlineLevel="1">
      <c r="A44" s="11" t="s">
        <v>63</v>
      </c>
      <c r="I44" s="5"/>
    </row>
    <row r="45" outlineLevel="2">
      <c r="A45" s="12" t="s">
        <v>64</v>
      </c>
      <c r="B45" s="0" t="s">
        <v>65</v>
      </c>
      <c r="C45" s="13">
        <v>8.18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65</v>
      </c>
      <c r="C46" s="13">
        <v>4.79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65</v>
      </c>
      <c r="C47" s="13">
        <v>0.28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65</v>
      </c>
      <c r="C48" s="13">
        <v>0.53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65</v>
      </c>
      <c r="C49" s="13">
        <v>20.67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65</v>
      </c>
      <c r="C50" s="13">
        <v>6.63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65</v>
      </c>
      <c r="C51" s="13">
        <v>0.45</v>
      </c>
      <c r="D51" s="13"/>
      <c r="E51" s="13"/>
      <c r="F51" s="13"/>
      <c r="G51" s="13"/>
      <c r="I51" s="5"/>
    </row>
    <row r="52" outlineLevel="2">
      <c r="A52" s="12" t="s">
        <v>72</v>
      </c>
      <c r="B52" s="0" t="s">
        <v>65</v>
      </c>
      <c r="C52" s="13">
        <v>6.37</v>
      </c>
      <c r="D52" s="13"/>
      <c r="E52" s="13"/>
      <c r="F52" s="13"/>
      <c r="G52" s="13"/>
      <c r="I52" s="5"/>
    </row>
    <row r="53" outlineLevel="2">
      <c r="A53" s="12" t="s">
        <v>73</v>
      </c>
      <c r="B53" s="0" t="s">
        <v>65</v>
      </c>
      <c r="C53" s="13">
        <v>0.026</v>
      </c>
      <c r="D53" s="13"/>
      <c r="E53" s="13"/>
      <c r="F53" s="13"/>
      <c r="G53" s="13"/>
      <c r="I53" s="5"/>
    </row>
    <row r="54" outlineLevel="2">
      <c r="A54" s="12" t="s">
        <v>74</v>
      </c>
      <c r="B54" s="0" t="s">
        <v>75</v>
      </c>
      <c r="C54" s="14">
        <v>54</v>
      </c>
      <c r="D54" s="14"/>
      <c r="E54" s="14"/>
      <c r="F54" s="14"/>
      <c r="G54" s="14"/>
      <c r="I54" s="5"/>
    </row>
    <row r="55" outlineLevel="2">
      <c r="A55" s="12" t="s">
        <v>76</v>
      </c>
      <c r="B55" s="0" t="s">
        <v>75</v>
      </c>
      <c r="C55" s="14">
        <v>153</v>
      </c>
      <c r="D55" s="14"/>
      <c r="E55" s="14"/>
      <c r="F55" s="14"/>
      <c r="G55" s="14"/>
      <c r="I55" s="5"/>
    </row>
    <row r="56">
      <c r="I56" s="5"/>
    </row>
    <row r="5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dataValidations count="1">
    <dataValidation type="decimal" sqref="C20" errorStyle="stop" promptTitle="Enter moisture content" errorTitle="Invalid moisture content" prompt="Value should be between 0 and 100.&#10;Original value: 93.0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https://phyllis.nl/Biomass/View/2884</dc:description>
  <dcterms:created xsi:type="dcterms:W3CDTF">2026-03-04T04:44:40Z</dcterms:created>
  <dc:title>Phyllis2 #2884 courgette plant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