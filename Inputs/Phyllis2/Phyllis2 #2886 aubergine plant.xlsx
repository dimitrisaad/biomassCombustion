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86 aubergine plant" sheetId="1" r:id="rId1"/>
  </sheets>
  <definedNames>
    <definedName name="w" localSheetId="0">IF(ISBLANK('Phyllis2 #2886 aubergine plant'!$C$20),#N/A,'Phyllis2 #2886 aubergine plant'!$C$20/100)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<sst xmlns="http://schemas.openxmlformats.org/spreadsheetml/2006/main" count="77" uniqueCount="77">
  <si>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</si>
  <si>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https://phyllis.nl/Biomass/View/2886</t>
  </si>
  <si>
    <t>aubergine plant (#2886)</t>
  </si>
  <si>
    <t>ID-number</t>
  </si>
  <si>
    <t>#2886</t>
  </si>
  <si>
    <t>Material</t>
  </si>
  <si>
    <t>aubergine plant</t>
  </si>
  <si>
    <t>Classification</t>
  </si>
  <si>
    <t>ECN Phyllis classification &gt; grass/plant &gt; vegetable</t>
  </si>
  <si>
    <t>NTA 8003 classification &gt; [200] biomassa uit land- en tuinbouw &gt; [250] overige restprodcuten &gt; [252] tuinbouwafval</t>
  </si>
  <si>
    <t>Ash type</t>
  </si>
  <si>
    <t>UNE-CEN/TS 14775:2007 EX</t>
  </si>
  <si>
    <t>Submitter organisation</t>
  </si>
  <si>
    <t>ECN (Netherlands)</t>
  </si>
  <si>
    <t>Submission date</t>
  </si>
  <si>
    <t>Remarks</t>
  </si>
  <si>
    <t xml:space="preserve">C,H and N determined according to UNE-CEN/TS 15104:2008 EX. S according to ASTM D4239-08, Cl according to ASTM E776-87.  Erroneous data for ash metal content corrected after consultation with authors.</t>
  </si>
  <si>
    <t>Literature</t>
  </si>
  <si>
    <t>A.J. Callejón-Ferre, B. Velázquez-Martí, J.A. López-Martínez, F. Manzano-Agugliaro: Greenhouse crop residues: Energy potential and models for the prediction of their higher heating value. Renewable and Sustainable Energy Reviews 15 (2011) 948-955.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</si>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</sst>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40550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83.64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IFERROR(13.12*(1-w),"")</f>
        <v>2.1464319999999995</v>
      </c>
      <c r="D21" s="13">
        <v>13.12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IFERROR(70.89*(1-w),"")</f>
        <v>11.597603999999997</v>
      </c>
      <c r="D22" s="13">
        <v>70.89</v>
      </c>
      <c r="E22" s="13">
        <v>81.595303867403317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IFERROR(15.99*(1-w),"")</f>
        <v>2.6159639999999986</v>
      </c>
      <c r="D23" s="13">
        <v>15.989999999999995</v>
      </c>
      <c r="E23" s="13">
        <v>18.40469613259668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IFERROR(42.09*(1-w),"")</f>
        <v>6.8859239999999993</v>
      </c>
      <c r="D25" s="13">
        <v>42.09</v>
      </c>
      <c r="E25" s="13">
        <v>48.446132596685089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IFERROR(4.56*(1-w),"")</f>
        <v>0.74601599999999979</v>
      </c>
      <c r="D26" s="13">
        <v>4.56</v>
      </c>
      <c r="E26" s="13">
        <v>5.248618784530386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IFERROR(37.95*(1-w),"")</f>
        <v>6.2086199999999989</v>
      </c>
      <c r="D27" s="13">
        <v>37.95</v>
      </c>
      <c r="E27" s="13">
        <v>43.680939226519342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IFERROR(2.18*(1-w),"")</f>
        <v>0.35664799999999997</v>
      </c>
      <c r="D28" s="13">
        <v>2.18</v>
      </c>
      <c r="E28" s="13">
        <v>2.5092081031307552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IFERROR(0.1*(1-w),"")</f>
        <v>0.016359999999999996</v>
      </c>
      <c r="D29" s="13">
        <v>0.1</v>
      </c>
      <c r="E29" s="13">
        <v>0.1151012891344383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IFERROR(100.997*(1-w)+w*100,"")</f>
        <v>100.16310920000001</v>
      </c>
      <c r="D30" s="13">
        <v>100.99700000000001</v>
      </c>
      <c r="E30" s="13">
        <v>101.14755985267035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IFERROR(9970*(1-w),"")</f>
        <v>1631.0919999999996</v>
      </c>
      <c r="D32" s="14">
        <v>9970</v>
      </c>
      <c r="E32" s="14">
        <v>11475.5985267035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IFERROR(15.53493*(1-w)-w*2.443,"")</f>
        <v>0.49818934799999948</v>
      </c>
      <c r="D34" s="13">
        <v>15.53493</v>
      </c>
      <c r="E34" s="13">
        <v>17.880904696132596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IFERROR(16.53*(1-w),"")</f>
        <v>2.7043079999999997</v>
      </c>
      <c r="D35" s="13">
        <v>16.53</v>
      </c>
      <c r="E35" s="13">
        <v>19.026243093922652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IFERROR(15.3978705632*(1-w),"")</f>
        <v>2.51909162413952</v>
      </c>
      <c r="D36" s="13">
        <v>15.397870563200003</v>
      </c>
      <c r="E36" s="13">
        <v>17.7231475174954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5" t="s">
        <v>56</v>
      </c>
      <c r="I38" s="5"/>
    </row>
    <row r="39" outlineLevel="3">
      <c r="A39" s="16" t="s">
        <v>57</v>
      </c>
      <c r="B39" s="0" t="s">
        <v>58</v>
      </c>
      <c r="C39" s="17">
        <v>1650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58</v>
      </c>
      <c r="C40" s="17">
        <v>1650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58</v>
      </c>
      <c r="C41" s="17">
        <v>1650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58</v>
      </c>
      <c r="C42" s="17">
        <v>1650</v>
      </c>
      <c r="D42" s="17"/>
      <c r="E42" s="17"/>
      <c r="F42" s="17"/>
      <c r="G42" s="17"/>
      <c r="I42" s="5"/>
    </row>
    <row r="43">
      <c r="A43" s="7" t="s">
        <v>62</v>
      </c>
      <c r="I43" s="5"/>
    </row>
    <row r="44" outlineLevel="1">
      <c r="A44" s="11" t="s">
        <v>63</v>
      </c>
      <c r="I44" s="5"/>
    </row>
    <row r="45" outlineLevel="2">
      <c r="A45" s="12" t="s">
        <v>64</v>
      </c>
      <c r="B45" s="0" t="s">
        <v>65</v>
      </c>
      <c r="C45" s="13">
        <v>2.53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65</v>
      </c>
      <c r="C46" s="13">
        <v>7.4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65</v>
      </c>
      <c r="C47" s="13">
        <v>0.47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65</v>
      </c>
      <c r="C48" s="13">
        <v>0.9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65</v>
      </c>
      <c r="C49" s="13">
        <v>27.93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65</v>
      </c>
      <c r="C50" s="13">
        <v>4.16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65</v>
      </c>
      <c r="C51" s="13">
        <v>1.87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65</v>
      </c>
      <c r="C52" s="13">
        <v>19.61</v>
      </c>
      <c r="D52" s="13"/>
      <c r="E52" s="13"/>
      <c r="F52" s="13"/>
      <c r="G52" s="13"/>
      <c r="I52" s="5"/>
    </row>
    <row r="53" outlineLevel="2">
      <c r="A53" s="12" t="s">
        <v>73</v>
      </c>
      <c r="B53" s="0" t="s">
        <v>65</v>
      </c>
      <c r="C53" s="13">
        <v>0.045</v>
      </c>
      <c r="D53" s="13"/>
      <c r="E53" s="13"/>
      <c r="F53" s="13"/>
      <c r="G53" s="13"/>
      <c r="I53" s="5"/>
    </row>
    <row r="54" outlineLevel="2">
      <c r="A54" s="12" t="s">
        <v>74</v>
      </c>
      <c r="B54" s="0" t="s">
        <v>75</v>
      </c>
      <c r="C54" s="14">
        <v>97</v>
      </c>
      <c r="D54" s="14"/>
      <c r="E54" s="14"/>
      <c r="F54" s="14"/>
      <c r="G54" s="14"/>
      <c r="I54" s="5"/>
    </row>
    <row r="55" outlineLevel="2">
      <c r="A55" s="12" t="s">
        <v>76</v>
      </c>
      <c r="B55" s="0" t="s">
        <v>75</v>
      </c>
      <c r="C55" s="14">
        <v>112</v>
      </c>
      <c r="D55" s="14"/>
      <c r="E55" s="14"/>
      <c r="F55" s="14"/>
      <c r="G55" s="14"/>
      <c r="I55" s="5"/>
    </row>
    <row r="56">
      <c r="I56" s="5"/>
    </row>
    <row r="5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20" errorStyle="stop" promptTitle="Enter moisture content" errorTitle="Invalid moisture content" prompt="Value should be between 0 and 100.&#10;Original value: 83.6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https://phyllis.nl/Biomass/View/2886</dc:description>
  <dcterms:created xsi:type="dcterms:W3CDTF">2026-03-04T04:43:50Z</dcterms:created>
  <dc:title>Phyllis2 #2886 aubergine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