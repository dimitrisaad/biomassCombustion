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2888 bean plant" sheetId="1" r:id="rId1"/>
  </sheets>
  <definedNames>
    <definedName name="w" localSheetId="0">IF(ISBLANK('Phyllis2 #2888 bean plant'!$C$20),#N/A,'Phyllis2 #2888 bean plant'!$C$20/100)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7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7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7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<sst xmlns="http://schemas.openxmlformats.org/spreadsheetml/2006/main" count="77" uniqueCount="77">
  <si>
    <t>Phyllis2</t>
  </si>
  <si>
    <t>https://phyllis.nl/Biomass/View/2888</t>
  </si>
  <si>
    <t>bean plant (#2888)</t>
  </si>
  <si>
    <t>ID-number</t>
  </si>
  <si>
    <t>#2888</t>
  </si>
  <si>
    <t>Material</t>
  </si>
  <si>
    <t>bean plant</t>
  </si>
  <si>
    <t>Classification</t>
  </si>
  <si>
    <t>ECN Phyllis classification &gt; grass/plant &gt; vegetable</t>
  </si>
  <si>
    <t>NTA 8003 classification &gt; [200] biomassa uit land- en tuinbouw &gt; [250] overige restprodcuten &gt; [252] tuinbouwafval</t>
  </si>
  <si>
    <t>Ash type</t>
  </si>
  <si>
    <t>UNE-CEN/TS 14775:2007 EX</t>
  </si>
  <si>
    <t>Submitter organisation</t>
  </si>
  <si>
    <t>ECN (Netherlands)</t>
  </si>
  <si>
    <t>Submission date</t>
  </si>
  <si>
    <t>Remarks</t>
  </si>
  <si>
    <t xml:space="preserve">C,H and N determined according to UNE-CEN/TS 15104:2008 EX. S according to ASTM D4239-08, Cl according to ASTM E776-87.  Erroneous data for ash metal content corrected after consultation with authors.</t>
  </si>
  <si>
    <t>Literature</t>
  </si>
  <si>
    <t>A.J. Callejón-Ferre, B. Velázquez-Martí, J.A. López-Martínez, F. Manzano-Agugliaro: Greenhouse crop residues: Energy potential and models for the prediction of their higher heating value. Renewable and Sustainable Energy Reviews 15 (2011) 948-955.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</si>
  <si>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</si>
  <si>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</si>
  <si>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</si>
  <si>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</si>
  <si>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</si>
  <si>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</si>
  <si>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</si>
  <si>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</si>
  <si>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</si>
  <si>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</si>
  <si>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</si>
  <si>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</si>
  <si>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</si>
  <si>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</si>
  <si>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</si>
  <si>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</si>
  <si>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</si>
  <si>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</si>
  <si>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</si>
  <si>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</si>
  <si>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</si>
  <si>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</si>
  <si>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</si>
  <si>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</si>
  <si>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</si>
  <si>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Nitrogen</t>
  </si>
  <si>
    <t>Sulphur</t>
  </si>
  <si>
    <t>Total (with halides)</t>
  </si>
  <si>
    <t>Halides</t>
  </si>
  <si>
    <t>Chlorine (Cl)</t>
  </si>
  <si>
    <t>mg/kg</t>
  </si>
  <si>
    <t>Heating value</t>
  </si>
  <si>
    <t>Net calorific value (LHV)</t>
  </si>
  <si>
    <t>MJ/kg</t>
  </si>
  <si>
    <t>Gross calorific value (HHV)</t>
  </si>
  <si>
    <t>HHVMilne</t>
  </si>
  <si>
    <t>Ash melting behaviour</t>
  </si>
  <si>
    <t>American standard method, measured in oxidizing conditions</t>
  </si>
  <si>
    <t>IDT (initial deformation temperature)</t>
  </si>
  <si>
    <t>°C</t>
  </si>
  <si>
    <t>SOT (softening or spherical temperature)</t>
  </si>
  <si>
    <t>HT (hemispherical temperature)</t>
  </si>
  <si>
    <t>FT (fluid temperature)</t>
  </si>
  <si>
    <t>Ash Properties</t>
  </si>
  <si>
    <t>Ash composition</t>
  </si>
  <si>
    <t>P2O5</t>
  </si>
  <si>
    <t>wt% (ash)</t>
  </si>
  <si>
    <t>SiO2</t>
  </si>
  <si>
    <t>Fe2O3</t>
  </si>
  <si>
    <t>Al2O3</t>
  </si>
  <si>
    <t>CaO</t>
  </si>
  <si>
    <t>MgO</t>
  </si>
  <si>
    <t>Na2O</t>
  </si>
  <si>
    <t>K2O</t>
  </si>
  <si>
    <t>TiO2</t>
  </si>
  <si>
    <t>Cu</t>
  </si>
  <si>
    <t>mg/kg (ash)</t>
  </si>
  <si>
    <t>Mn</t>
  </si>
</sst>
</file>

<file path=xl/styles.xml><?xml version="1.0" encoding="utf-8"?>
<styleSheet xmlns="http://schemas.openxmlformats.org/spreadsheetml/2006/main">
  <numFmts count="4">
    <numFmt numFmtId="164" formatCode="yyyy-mm-dd"/>
    <numFmt numFmtId="165" formatCode="#,0.00"/>
    <numFmt numFmtId="166" formatCode="#,0.0"/>
    <numFmt numFmtId="167" formatCode="#,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8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166" applyNumberFormat="1" fontId="0" applyFont="1" xfId="0"/>
    <xf numFmtId="0" applyNumberFormat="1" fontId="4" applyFont="1" xfId="0">
      <alignment indent="2"/>
    </xf>
    <xf numFmtId="0" applyNumberFormat="1" fontId="0" applyFont="1" xfId="0">
      <alignment indent="3"/>
    </xf>
    <xf numFmtId="167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2888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56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58.5999984741211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8" t="s">
        <v>7</v>
      </c>
      <c r="B7" s="0" t="s">
        <v>8</v>
      </c>
    </row>
    <row r="8" outlineLevel="1">
      <c r="A8" s="8"/>
      <c r="B8" s="0" t="s">
        <v>9</v>
      </c>
    </row>
    <row r="9" outlineLevel="1">
      <c r="A9" s="7" t="s">
        <v>10</v>
      </c>
      <c r="B9" s="0" t="s">
        <v>11</v>
      </c>
    </row>
    <row r="10" outlineLevel="1">
      <c r="A10" s="7" t="s">
        <v>12</v>
      </c>
      <c r="B10" s="0" t="s">
        <v>13</v>
      </c>
    </row>
    <row r="11" outlineLevel="1">
      <c r="A11" s="7" t="s">
        <v>14</v>
      </c>
      <c r="B11" s="6">
        <v>40550</v>
      </c>
    </row>
    <row r="12" outlineLevel="1">
      <c r="A12" s="7" t="s">
        <v>15</v>
      </c>
      <c r="B12" s="0" t="s">
        <v>16</v>
      </c>
    </row>
    <row r="13" outlineLevel="1">
      <c r="A13" s="7" t="s">
        <v>17</v>
      </c>
      <c r="B13" s="0" t="s">
        <v>18</v>
      </c>
    </row>
    <row r="14">
      <c r="A14" s="7"/>
    </row>
    <row r="15" s="1" customFormat="1">
      <c r="A15" s="9" t="s">
        <v>19</v>
      </c>
    </row>
    <row r="16" s="1" customFormat="1">
      <c r="A16" s="10" t="s">
        <v>20</v>
      </c>
      <c r="B16" s="10" t="s">
        <v>21</v>
      </c>
      <c r="C16" s="10" t="s">
        <v>22</v>
      </c>
      <c r="D16" s="10"/>
      <c r="E16" s="10"/>
      <c r="F16" s="10" t="s">
        <v>23</v>
      </c>
      <c r="G16" s="10" t="s">
        <v>24</v>
      </c>
      <c r="H16" s="10" t="s">
        <v>25</v>
      </c>
      <c r="I16" s="10" t="s">
        <v>26</v>
      </c>
      <c r="J16" s="10" t="s">
        <v>27</v>
      </c>
      <c r="K16" s="10" t="s">
        <v>15</v>
      </c>
      <c r="L16" s="10"/>
    </row>
    <row r="17" s="1" customFormat="1">
      <c r="A17" s="10"/>
      <c r="B17" s="10"/>
      <c r="C17" s="10" t="s">
        <v>28</v>
      </c>
      <c r="D17" s="10" t="s">
        <v>29</v>
      </c>
      <c r="E17" s="10" t="s">
        <v>30</v>
      </c>
      <c r="F17" s="10"/>
      <c r="G17" s="10"/>
      <c r="H17" s="10"/>
      <c r="I17" s="10"/>
      <c r="J17" s="10"/>
      <c r="K17" s="10"/>
      <c r="L17" s="10"/>
    </row>
    <row r="18">
      <c r="A18" s="7" t="s">
        <v>31</v>
      </c>
      <c r="I18" s="5"/>
    </row>
    <row r="19" outlineLevel="1">
      <c r="A19" s="11" t="s">
        <v>32</v>
      </c>
      <c r="I19" s="5"/>
    </row>
    <row r="20" outlineLevel="2">
      <c r="A20" s="12" t="s">
        <v>33</v>
      </c>
      <c r="B20" s="0" t="s">
        <v>34</v>
      </c>
      <c r="C20" s="13">
        <v>85.52</v>
      </c>
      <c r="D20" s="13"/>
      <c r="E20" s="13"/>
      <c r="F20" s="13"/>
      <c r="G20" s="13"/>
      <c r="I20" s="5"/>
    </row>
    <row r="21" outlineLevel="2">
      <c r="A21" s="12" t="s">
        <v>35</v>
      </c>
      <c r="B21" s="0" t="s">
        <v>34</v>
      </c>
      <c r="C21" s="13">
        <f>IFERROR(15.41*(1-w),"")</f>
        <v>2.2313680000000007</v>
      </c>
      <c r="D21" s="13">
        <v>15.41</v>
      </c>
      <c r="E21" s="13">
        <v/>
      </c>
      <c r="F21" s="13"/>
      <c r="G21" s="13"/>
      <c r="I21" s="5"/>
    </row>
    <row r="22" outlineLevel="2">
      <c r="A22" s="12" t="s">
        <v>36</v>
      </c>
      <c r="B22" s="0" t="s">
        <v>34</v>
      </c>
      <c r="C22" s="13">
        <f>IFERROR(71.67*(1-w),"")</f>
        <v>10.377816000000003</v>
      </c>
      <c r="D22" s="13">
        <v>71.67</v>
      </c>
      <c r="E22" s="13">
        <v>84.7263269890058</v>
      </c>
      <c r="F22" s="13"/>
      <c r="G22" s="13"/>
      <c r="I22" s="5"/>
    </row>
    <row r="23" outlineLevel="2">
      <c r="A23" s="12" t="s">
        <v>37</v>
      </c>
      <c r="B23" s="0" t="s">
        <v>34</v>
      </c>
      <c r="C23" s="13">
        <f>IFERROR(12.92*(1-w),"")</f>
        <v>1.8708160000000007</v>
      </c>
      <c r="D23" s="13">
        <v>12.920000000000002</v>
      </c>
      <c r="E23" s="13">
        <v>15.27367301099421</v>
      </c>
      <c r="F23" s="13"/>
      <c r="G23" s="13"/>
      <c r="I23" s="5"/>
      <c r="J23" s="0" t="s">
        <v>38</v>
      </c>
    </row>
    <row r="24" outlineLevel="1">
      <c r="A24" s="11" t="s">
        <v>39</v>
      </c>
      <c r="I24" s="5"/>
    </row>
    <row r="25" outlineLevel="2">
      <c r="A25" s="12" t="s">
        <v>40</v>
      </c>
      <c r="B25" s="0" t="s">
        <v>34</v>
      </c>
      <c r="C25" s="13">
        <f>IFERROR(42.86*(1-w),"")</f>
        <v>6.2061280000000014</v>
      </c>
      <c r="D25" s="13">
        <v>42.86</v>
      </c>
      <c r="E25" s="13">
        <v>50.66792765102258</v>
      </c>
      <c r="F25" s="13"/>
      <c r="G25" s="13"/>
      <c r="I25" s="5"/>
      <c r="J25" s="0" t="s">
        <v>41</v>
      </c>
    </row>
    <row r="26" outlineLevel="2">
      <c r="A26" s="12" t="s">
        <v>42</v>
      </c>
      <c r="B26" s="0" t="s">
        <v>34</v>
      </c>
      <c r="C26" s="13">
        <f>IFERROR(4.81*(1-w),"")</f>
        <v>0.69648800000000011</v>
      </c>
      <c r="D26" s="13">
        <v>4.81</v>
      </c>
      <c r="E26" s="13">
        <v>5.6862513299444375</v>
      </c>
      <c r="F26" s="13"/>
      <c r="G26" s="13"/>
      <c r="I26" s="5"/>
      <c r="J26" s="0" t="s">
        <v>41</v>
      </c>
    </row>
    <row r="27" outlineLevel="2">
      <c r="A27" s="12" t="s">
        <v>43</v>
      </c>
      <c r="B27" s="0" t="s">
        <v>34</v>
      </c>
      <c r="C27" s="13">
        <f>IFERROR(33.18*(1-w),"")</f>
        <v>4.8044640000000012</v>
      </c>
      <c r="D27" s="13">
        <v>33.18</v>
      </c>
      <c r="E27" s="13">
        <v>39.224494621113607</v>
      </c>
      <c r="F27" s="13"/>
      <c r="G27" s="13"/>
      <c r="I27" s="5"/>
      <c r="J27" s="0" t="s">
        <v>38</v>
      </c>
    </row>
    <row r="28" outlineLevel="2">
      <c r="A28" s="12" t="s">
        <v>44</v>
      </c>
      <c r="B28" s="0" t="s">
        <v>34</v>
      </c>
      <c r="C28" s="13">
        <f>IFERROR(3.62*(1-w),"")</f>
        <v>0.5241760000000002</v>
      </c>
      <c r="D28" s="13">
        <v>3.62</v>
      </c>
      <c r="E28" s="13">
        <v>4.2794656578791823</v>
      </c>
      <c r="F28" s="13"/>
      <c r="G28" s="13"/>
      <c r="I28" s="5"/>
      <c r="J28" s="0" t="s">
        <v>41</v>
      </c>
    </row>
    <row r="29" outlineLevel="2">
      <c r="A29" s="12" t="s">
        <v>45</v>
      </c>
      <c r="B29" s="0" t="s">
        <v>34</v>
      </c>
      <c r="C29" s="13">
        <f>IFERROR(0.12*(1-w),"")</f>
        <v>0.017376000000000003</v>
      </c>
      <c r="D29" s="13">
        <v>0.12</v>
      </c>
      <c r="E29" s="13">
        <v>0.14186074004019386</v>
      </c>
      <c r="F29" s="13"/>
      <c r="G29" s="13"/>
      <c r="I29" s="5"/>
      <c r="J29" s="0" t="s">
        <v>41</v>
      </c>
    </row>
    <row r="30" outlineLevel="2">
      <c r="A30" s="12" t="s">
        <v>46</v>
      </c>
      <c r="B30" s="0" t="s">
        <v>34</v>
      </c>
      <c r="C30" s="13">
        <f>IFERROR(101.45*(1-w)+w*100,"")</f>
        <v>100.20996</v>
      </c>
      <c r="D30" s="13">
        <v>101.45</v>
      </c>
      <c r="E30" s="13">
        <v>101.71415060881903</v>
      </c>
      <c r="F30" s="13"/>
      <c r="G30" s="13"/>
      <c r="I30" s="5"/>
      <c r="J30" s="0" t="s">
        <v>38</v>
      </c>
    </row>
    <row r="31" outlineLevel="1">
      <c r="A31" s="11" t="s">
        <v>47</v>
      </c>
      <c r="I31" s="5"/>
    </row>
    <row r="32" outlineLevel="2">
      <c r="A32" s="12" t="s">
        <v>48</v>
      </c>
      <c r="B32" s="0" t="s">
        <v>49</v>
      </c>
      <c r="C32" s="14">
        <f>IFERROR(14500*(1-w),"")</f>
        <v>2099.6000000000004</v>
      </c>
      <c r="D32" s="14">
        <v>14500</v>
      </c>
      <c r="E32" s="14">
        <v>17141.506088190094</v>
      </c>
      <c r="F32" s="14"/>
      <c r="G32" s="14"/>
      <c r="I32" s="5"/>
      <c r="J32" s="0" t="s">
        <v>41</v>
      </c>
    </row>
    <row r="33" outlineLevel="1">
      <c r="A33" s="11" t="s">
        <v>50</v>
      </c>
      <c r="I33" s="5"/>
    </row>
    <row r="34" outlineLevel="2">
      <c r="A34" s="12" t="s">
        <v>51</v>
      </c>
      <c r="B34" s="0" t="s">
        <v>52</v>
      </c>
      <c r="C34" s="13">
        <f>IFERROR(15.96438*(1-w)-w*2.443,"")</f>
        <v>0.22238862400000059</v>
      </c>
      <c r="D34" s="13">
        <v>15.96438</v>
      </c>
      <c r="E34" s="13">
        <v>18.872656342357253</v>
      </c>
      <c r="F34" s="13"/>
      <c r="G34" s="13"/>
      <c r="I34" s="5"/>
    </row>
    <row r="35" outlineLevel="2">
      <c r="A35" s="12" t="s">
        <v>53</v>
      </c>
      <c r="B35" s="0" t="s">
        <v>52</v>
      </c>
      <c r="C35" s="13">
        <f>IFERROR(17.014*(1-w),"")</f>
        <v>2.4636272000000008</v>
      </c>
      <c r="D35" s="13">
        <v>17.014</v>
      </c>
      <c r="E35" s="13">
        <v>20.113488592032155</v>
      </c>
      <c r="F35" s="13"/>
      <c r="G35" s="13"/>
      <c r="I35" s="5"/>
    </row>
    <row r="36" outlineLevel="2">
      <c r="A36" s="12" t="s">
        <v>54</v>
      </c>
      <c r="B36" s="0" t="s">
        <v>52</v>
      </c>
      <c r="C36" s="13">
        <f>IFERROR(16.3668716193*(1-w),"")</f>
        <v>2.3699230104746407</v>
      </c>
      <c r="D36" s="13">
        <v>16.3668716193</v>
      </c>
      <c r="E36" s="13">
        <v>19.34847100047287</v>
      </c>
      <c r="F36" s="13"/>
      <c r="G36" s="13"/>
      <c r="I36" s="5"/>
      <c r="J36" s="0" t="s">
        <v>38</v>
      </c>
    </row>
    <row r="37" outlineLevel="1">
      <c r="A37" s="11" t="s">
        <v>55</v>
      </c>
      <c r="I37" s="5"/>
    </row>
    <row r="38" outlineLevel="2">
      <c r="A38" s="15" t="s">
        <v>56</v>
      </c>
      <c r="I38" s="5"/>
    </row>
    <row r="39" outlineLevel="3">
      <c r="A39" s="16" t="s">
        <v>57</v>
      </c>
      <c r="B39" s="0" t="s">
        <v>58</v>
      </c>
      <c r="C39" s="17">
        <v>1353</v>
      </c>
      <c r="D39" s="17"/>
      <c r="E39" s="17"/>
      <c r="F39" s="17"/>
      <c r="G39" s="17"/>
      <c r="I39" s="5"/>
    </row>
    <row r="40" outlineLevel="3">
      <c r="A40" s="16" t="s">
        <v>59</v>
      </c>
      <c r="B40" s="0" t="s">
        <v>58</v>
      </c>
      <c r="C40" s="17">
        <v>1650</v>
      </c>
      <c r="D40" s="17"/>
      <c r="E40" s="17"/>
      <c r="F40" s="17"/>
      <c r="G40" s="17"/>
      <c r="I40" s="5"/>
    </row>
    <row r="41" outlineLevel="3">
      <c r="A41" s="16" t="s">
        <v>60</v>
      </c>
      <c r="B41" s="0" t="s">
        <v>58</v>
      </c>
      <c r="C41" s="17">
        <v>1650</v>
      </c>
      <c r="D41" s="17"/>
      <c r="E41" s="17"/>
      <c r="F41" s="17"/>
      <c r="G41" s="17"/>
      <c r="I41" s="5"/>
    </row>
    <row r="42" outlineLevel="3">
      <c r="A42" s="16" t="s">
        <v>61</v>
      </c>
      <c r="B42" s="0" t="s">
        <v>58</v>
      </c>
      <c r="C42" s="17">
        <v>1650</v>
      </c>
      <c r="D42" s="17"/>
      <c r="E42" s="17"/>
      <c r="F42" s="17"/>
      <c r="G42" s="17"/>
      <c r="I42" s="5"/>
    </row>
    <row r="43">
      <c r="A43" s="7" t="s">
        <v>62</v>
      </c>
      <c r="I43" s="5"/>
    </row>
    <row r="44" outlineLevel="1">
      <c r="A44" s="11" t="s">
        <v>63</v>
      </c>
      <c r="I44" s="5"/>
    </row>
    <row r="45" outlineLevel="2">
      <c r="A45" s="12" t="s">
        <v>64</v>
      </c>
      <c r="B45" s="0" t="s">
        <v>65</v>
      </c>
      <c r="C45" s="13">
        <v>6.68</v>
      </c>
      <c r="D45" s="13"/>
      <c r="E45" s="13"/>
      <c r="F45" s="13"/>
      <c r="G45" s="13"/>
      <c r="I45" s="5"/>
    </row>
    <row r="46" outlineLevel="2">
      <c r="A46" s="12" t="s">
        <v>66</v>
      </c>
      <c r="B46" s="0" t="s">
        <v>65</v>
      </c>
      <c r="C46" s="13">
        <v>8.98</v>
      </c>
      <c r="D46" s="13"/>
      <c r="E46" s="13"/>
      <c r="F46" s="13"/>
      <c r="G46" s="13"/>
      <c r="I46" s="5"/>
    </row>
    <row r="47" outlineLevel="2">
      <c r="A47" s="12" t="s">
        <v>67</v>
      </c>
      <c r="B47" s="0" t="s">
        <v>65</v>
      </c>
      <c r="C47" s="13">
        <v>0.32</v>
      </c>
      <c r="D47" s="13"/>
      <c r="E47" s="13"/>
      <c r="F47" s="13"/>
      <c r="G47" s="13"/>
      <c r="I47" s="5"/>
    </row>
    <row r="48" outlineLevel="2">
      <c r="A48" s="12" t="s">
        <v>68</v>
      </c>
      <c r="B48" s="0" t="s">
        <v>65</v>
      </c>
      <c r="C48" s="13">
        <v>0.5</v>
      </c>
      <c r="D48" s="13"/>
      <c r="E48" s="13"/>
      <c r="F48" s="13"/>
      <c r="G48" s="13"/>
      <c r="I48" s="5"/>
    </row>
    <row r="49" outlineLevel="2">
      <c r="A49" s="12" t="s">
        <v>69</v>
      </c>
      <c r="B49" s="0" t="s">
        <v>65</v>
      </c>
      <c r="C49" s="13">
        <v>21.5</v>
      </c>
      <c r="D49" s="13"/>
      <c r="E49" s="13"/>
      <c r="F49" s="13"/>
      <c r="G49" s="13"/>
      <c r="I49" s="5"/>
    </row>
    <row r="50" outlineLevel="2">
      <c r="A50" s="12" t="s">
        <v>70</v>
      </c>
      <c r="B50" s="0" t="s">
        <v>65</v>
      </c>
      <c r="C50" s="13">
        <v>6.39</v>
      </c>
      <c r="D50" s="13"/>
      <c r="E50" s="13"/>
      <c r="F50" s="13"/>
      <c r="G50" s="13"/>
      <c r="I50" s="5"/>
    </row>
    <row r="51" outlineLevel="2">
      <c r="A51" s="12" t="s">
        <v>71</v>
      </c>
      <c r="B51" s="0" t="s">
        <v>65</v>
      </c>
      <c r="C51" s="13">
        <v>0.685</v>
      </c>
      <c r="D51" s="13"/>
      <c r="E51" s="13"/>
      <c r="F51" s="13"/>
      <c r="G51" s="13"/>
      <c r="I51" s="5"/>
    </row>
    <row r="52" outlineLevel="2">
      <c r="A52" s="12" t="s">
        <v>72</v>
      </c>
      <c r="B52" s="0" t="s">
        <v>65</v>
      </c>
      <c r="C52" s="13">
        <v>6.66</v>
      </c>
      <c r="D52" s="13"/>
      <c r="E52" s="13"/>
      <c r="F52" s="13"/>
      <c r="G52" s="13"/>
      <c r="I52" s="5"/>
    </row>
    <row r="53" outlineLevel="2">
      <c r="A53" s="12" t="s">
        <v>73</v>
      </c>
      <c r="B53" s="0" t="s">
        <v>65</v>
      </c>
      <c r="C53" s="13">
        <v>0.03</v>
      </c>
      <c r="D53" s="13"/>
      <c r="E53" s="13"/>
      <c r="F53" s="13"/>
      <c r="G53" s="13"/>
      <c r="I53" s="5"/>
    </row>
    <row r="54" outlineLevel="2">
      <c r="A54" s="12" t="s">
        <v>74</v>
      </c>
      <c r="B54" s="0" t="s">
        <v>75</v>
      </c>
      <c r="C54" s="14">
        <v>625</v>
      </c>
      <c r="D54" s="14"/>
      <c r="E54" s="14"/>
      <c r="F54" s="14"/>
      <c r="G54" s="14"/>
      <c r="I54" s="5"/>
    </row>
    <row r="55" outlineLevel="2">
      <c r="A55" s="12" t="s">
        <v>76</v>
      </c>
      <c r="B55" s="0" t="s">
        <v>75</v>
      </c>
      <c r="C55" s="14">
        <v>590</v>
      </c>
      <c r="D55" s="14"/>
      <c r="E55" s="14"/>
      <c r="F55" s="14"/>
      <c r="G55" s="14"/>
      <c r="I55" s="5"/>
    </row>
    <row r="56">
      <c r="I56" s="5"/>
    </row>
    <row r="57" s="1" customFormat="1"/>
  </sheetData>
  <mergeCells>
    <mergeCell ref="A7:A8"/>
    <mergeCell ref="C16:E16"/>
    <mergeCell ref="A16:A17"/>
    <mergeCell ref="B16:B17"/>
    <mergeCell ref="F16:F17"/>
    <mergeCell ref="G16:G17"/>
    <mergeCell ref="H16:H17"/>
    <mergeCell ref="I16:I17"/>
    <mergeCell ref="J16:J17"/>
    <mergeCell ref="K16:K17"/>
    <mergeCell ref="C39:E39"/>
    <mergeCell ref="C40:E40"/>
    <mergeCell ref="C41:E41"/>
    <mergeCell ref="C42:E42"/>
    <mergeCell ref="C45:E45"/>
    <mergeCell ref="C46:E46"/>
    <mergeCell ref="C47:E47"/>
    <mergeCell ref="C48:E48"/>
    <mergeCell ref="C49:E49"/>
    <mergeCell ref="C50:E50"/>
    <mergeCell ref="C51:E51"/>
    <mergeCell ref="C52:E52"/>
    <mergeCell ref="C53:E53"/>
    <mergeCell ref="C54:E54"/>
    <mergeCell ref="C55:E55"/>
  </mergeCells>
  <dataValidations count="1">
    <dataValidation type="decimal" sqref="C20" errorStyle="stop" promptTitle="Enter moisture content" errorTitle="Invalid moisture content" prompt="Value should be between 0 and 100.&#10;Original value: 85.52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https://phyllis.nl/Biomass/View/2888</dc:description>
  <dcterms:created xsi:type="dcterms:W3CDTF">2026-03-04T04:44:27Z</dcterms:created>
  <dc:title>Phyllis2 #2888 bean plant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