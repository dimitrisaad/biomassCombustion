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9 pepper plant" sheetId="1" r:id="rId1"/>
  </sheets>
  <definedNames>
    <definedName name="w" localSheetId="0">IF(ISBLANK('Phyllis2 #2889 pepper plant'!$C$20),#N/A,'Phyllis2 #2889 pepper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<sst xmlns="http://schemas.openxmlformats.org/spreadsheetml/2006/main" count="77" uniqueCount="77">
  <si>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</si>
  <si>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https://phyllis.nl/Biomass/View/2889</t>
  </si>
  <si>
    <t>pepper plant (#2889)</t>
  </si>
  <si>
    <t>ID-number</t>
  </si>
  <si>
    <t>#2889</t>
  </si>
  <si>
    <t>Material</t>
  </si>
  <si>
    <t>pepper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</si>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</sst>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80.91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IFERROR(17.86*(1-w),"")</f>
        <v>3.4094740000000012</v>
      </c>
      <c r="D21" s="13">
        <v>17.86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IFERROR(69.5*(1-w),"")</f>
        <v>13.267550000000005</v>
      </c>
      <c r="D22" s="13">
        <v>69.5</v>
      </c>
      <c r="E22" s="13">
        <v>84.611638665692723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IFERROR(12.64*(1-w),"")</f>
        <v>2.4129760000000009</v>
      </c>
      <c r="D23" s="13">
        <v>12.64</v>
      </c>
      <c r="E23" s="13">
        <v>15.38836133430728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IFERROR(39.27*(1-w),"")</f>
        <v>7.4966430000000033</v>
      </c>
      <c r="D25" s="13">
        <v>39.27</v>
      </c>
      <c r="E25" s="13">
        <v>47.808619430241052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IFERROR(4.17*(1-w),"")</f>
        <v>0.79605300000000023</v>
      </c>
      <c r="D26" s="13">
        <v>4.17</v>
      </c>
      <c r="E26" s="13">
        <v>5.0766983199415634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IFERROR(35.01*(1-w),"")</f>
        <v>6.6834090000000019</v>
      </c>
      <c r="D27" s="13">
        <v>35.01</v>
      </c>
      <c r="E27" s="13">
        <v>42.622352081811535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IFERROR(3.28*(1-w),"")</f>
        <v>0.62615200000000015</v>
      </c>
      <c r="D28" s="13">
        <v>3.28</v>
      </c>
      <c r="E28" s="13">
        <v>3.9931823715607497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IFERROR(0.4*(1-w),"")</f>
        <v>0.076360000000000039</v>
      </c>
      <c r="D29" s="13">
        <v>0.4</v>
      </c>
      <c r="E29" s="13">
        <v>0.48697345994643293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IFERROR(100.774*(1-w)+w*100,"")</f>
        <v>100.14775660000001</v>
      </c>
      <c r="D30" s="13">
        <v>100.77400000000002</v>
      </c>
      <c r="E30" s="13">
        <v>100.94229364499637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IFERROR(7840*(1-w),"")</f>
        <v>1496.6560000000006</v>
      </c>
      <c r="D32" s="14">
        <v>7840</v>
      </c>
      <c r="E32" s="14">
        <v>9544.6798149500846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IFERROR(14.35403*(1-w)-w*2.443,"")</f>
        <v>0.763553027000001</v>
      </c>
      <c r="D34" s="13">
        <v>14.35403</v>
      </c>
      <c r="E34" s="13">
        <v>17.47507913318724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IFERROR(15.264*(1-w),"")</f>
        <v>2.9138976000000008</v>
      </c>
      <c r="D35" s="13">
        <v>15.264</v>
      </c>
      <c r="E35" s="13">
        <v>18.582907231555879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IFERROR(14.1119958788*(1-w),"")</f>
        <v>2.6939800132629208</v>
      </c>
      <c r="D36" s="13">
        <v>14.1119958788</v>
      </c>
      <c r="E36" s="13">
        <v>17.180418649622595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993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4.15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6.63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0.17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0.22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26.11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8.06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1.78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19.9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0.017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1940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202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80.9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https://phyllis.nl/Biomass/View/2889</dc:description>
  <dcterms:created xsi:type="dcterms:W3CDTF">2026-03-04T04:45:13Z</dcterms:created>
  <dc:title>Phyllis2 #2889 pepper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