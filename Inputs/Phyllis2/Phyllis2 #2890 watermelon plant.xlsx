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90 watermelon plant" sheetId="1" r:id="rId1"/>
  </sheets>
  <definedNames>
    <definedName name="w" localSheetId="0">IF(ISBLANK('Phyllis2 #2890 watermelon plant'!$C$20),#N/A,'Phyllis2 #2890 watermelon plant'!$C$20/100)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<sst xmlns="http://schemas.openxmlformats.org/spreadsheetml/2006/main" count="70" uniqueCount="70">
  <si>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</si>
  <si>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https://phyllis.nl/Biomass/View/2890</t>
  </si>
  <si>
    <t>watermelon plant (#2890)</t>
  </si>
  <si>
    <t>ID-number</t>
  </si>
  <si>
    <t>#2890</t>
  </si>
  <si>
    <t>Material</t>
  </si>
  <si>
    <t>watermelon plant</t>
  </si>
  <si>
    <t>Classification</t>
  </si>
  <si>
    <t>ECN Phyllis classification &gt; grass/plant &gt; vegetable</t>
  </si>
  <si>
    <t>NTA 8003 classification &gt; [200] biomassa uit land- en tuinbouw &gt; [250] overige restprodcuten &gt; [252] tuinbouwafval</t>
  </si>
  <si>
    <t>Ash type</t>
  </si>
  <si>
    <t>UNE-CEN/TS 14775:2007 EX</t>
  </si>
  <si>
    <t>Submitter organisation</t>
  </si>
  <si>
    <t>ECN (Netherlands)</t>
  </si>
  <si>
    <t>Submission date</t>
  </si>
  <si>
    <t>Remarks</t>
  </si>
  <si>
    <t xml:space="preserve">C,H and N determined according to UNE-CEN/TS 15104:2008 EX. S according to ASTM D4239-08, Cl according to ASTM E776-87.  Erroneous data for ash metal content corrected after consultation with authors.</t>
  </si>
  <si>
    <t>Literature</t>
  </si>
  <si>
    <t>A.J. Callejón-Ferre, B. Velázquez-Martí, J.A. López-Martínez, F. Manzano-Agugliaro: Greenhouse crop residues: Energy potential and models for the prediction of their higher heating value. Renewable and Sustainable Energy Reviews 15 (2011) 948-955.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</si>
  <si>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</si>
  <si>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</si>
  <si>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</si>
  <si>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</si>
  <si>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</si>
  <si>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</si>
  <si>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</si>
  <si>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</si>
  <si>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</si>
  <si>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</si>
  <si>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</si>
  <si>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</si>
  <si>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</si>
  <si>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</si>
  <si>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</si>
  <si>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</si>
  <si>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</si>
  <si>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</si>
  <si>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</si>
  <si>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</si>
  <si>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</si>
  <si>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</si>
  <si>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</si>
  <si>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</si>
  <si>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</si>
  <si>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</si>
  <si>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</si>
  <si>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</si>
  <si>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</si>
  <si>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</si>
  <si>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</si>
  <si>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</si>
  <si>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</si>
  <si>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</si>
  <si>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</si>
  <si>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</si>
  <si>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</si>
  <si>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</si>
  <si>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</si>
  <si>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</si>
  <si>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</si>
  <si>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</si>
  <si>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</si>
  <si>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</si>
  <si>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</si>
  <si>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</si>
  <si>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</si>
  <si>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</si>
  <si>
    <t>Cu</t>
  </si>
  <si>
    <t>mg/kg (ash)</t>
  </si>
  <si>
    <t>Mn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</si>
</sst>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40550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90.84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IFERROR(20.58*(1-w),"")</f>
        <v>1.8851280000000001</v>
      </c>
      <c r="D21" s="13">
        <v>20.58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IFERROR(66.84*(1-w),"")</f>
        <v>6.1225440000000013</v>
      </c>
      <c r="D22" s="13">
        <v>66.84</v>
      </c>
      <c r="E22" s="13">
        <v>84.160161168471419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IFERROR(12.58*(1-w),"")</f>
        <v>1.152328</v>
      </c>
      <c r="D23" s="13">
        <v>12.579999999999998</v>
      </c>
      <c r="E23" s="13">
        <v>15.83983883152858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IFERROR(37.64*(1-w),"")</f>
        <v>3.4478240000000007</v>
      </c>
      <c r="D25" s="13">
        <v>37.64</v>
      </c>
      <c r="E25" s="13">
        <v>47.393603626290606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IFERROR(4.62*(1-w),"")</f>
        <v>0.42319200000000007</v>
      </c>
      <c r="D26" s="13">
        <v>4.62</v>
      </c>
      <c r="E26" s="13">
        <v>5.8171745152354575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IFERROR(33.41*(1-w),"")</f>
        <v>3.060356</v>
      </c>
      <c r="D27" s="13">
        <v>33.41</v>
      </c>
      <c r="E27" s="13">
        <v>42.06748929740619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IFERROR(3.6*(1-w),"")</f>
        <v>0.32976000000000005</v>
      </c>
      <c r="D28" s="13">
        <v>3.6</v>
      </c>
      <c r="E28" s="13">
        <v>4.5328632586250315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IFERROR(0.15*(1-w),"")</f>
        <v>0.013740000000000002</v>
      </c>
      <c r="D29" s="13">
        <v>0.15</v>
      </c>
      <c r="E29" s="13">
        <v>0.18886930244270964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IFERROR(101.038*(1-w)+w*100,"")</f>
        <v>100.0950808</v>
      </c>
      <c r="D30" s="13">
        <v>101.03799999999998</v>
      </c>
      <c r="E30" s="13">
        <v>101.30697557290353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IFERROR(10380*(1-w),"")</f>
        <v>950.80800000000011</v>
      </c>
      <c r="D32" s="14">
        <v>10380</v>
      </c>
      <c r="E32" s="14">
        <v>13069.755729035507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IFERROR(13.25084*(1-w)-w*2.443,"")</f>
        <v>-1.005444256</v>
      </c>
      <c r="D34" s="13">
        <v>13.25084</v>
      </c>
      <c r="E34" s="13">
        <v>16.6845127171997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IFERROR(14.259*(1-w),"")</f>
        <v>1.3061244000000003</v>
      </c>
      <c r="D35" s="13">
        <v>14.259</v>
      </c>
      <c r="E35" s="13">
        <v>17.95391589020398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IFERROR(14.2618970692*(1-w),"")</f>
        <v>1.3063897715387203</v>
      </c>
      <c r="D36" s="13">
        <v>14.261897069200002</v>
      </c>
      <c r="E36" s="13">
        <v>17.957563673130196</v>
      </c>
      <c r="F36" s="13"/>
      <c r="G36" s="13"/>
      <c r="I36" s="5"/>
      <c r="J36" s="0" t="s">
        <v>38</v>
      </c>
    </row>
    <row r="37">
      <c r="A37" s="7" t="s">
        <v>55</v>
      </c>
      <c r="I37" s="5"/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3">
        <v>9.19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58</v>
      </c>
      <c r="C40" s="13">
        <v>4.48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58</v>
      </c>
      <c r="C41" s="13">
        <v>0.11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58</v>
      </c>
      <c r="C42" s="13">
        <v>0.26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58</v>
      </c>
      <c r="C43" s="13">
        <v>41.06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58</v>
      </c>
      <c r="C44" s="13">
        <v>8.85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58</v>
      </c>
      <c r="C45" s="13">
        <v>1.25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58</v>
      </c>
      <c r="C46" s="13">
        <v>13.4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58</v>
      </c>
      <c r="C47" s="13">
        <v>0.043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68</v>
      </c>
      <c r="C48" s="14">
        <v>62</v>
      </c>
      <c r="D48" s="14"/>
      <c r="E48" s="14"/>
      <c r="F48" s="14"/>
      <c r="G48" s="14"/>
      <c r="I48" s="5"/>
    </row>
    <row r="49" outlineLevel="2">
      <c r="A49" s="12" t="s">
        <v>69</v>
      </c>
      <c r="B49" s="0" t="s">
        <v>68</v>
      </c>
      <c r="C49" s="14">
        <v>374</v>
      </c>
      <c r="D49" s="14"/>
      <c r="E49" s="14"/>
      <c r="F49" s="14"/>
      <c r="G49" s="14"/>
      <c r="I49" s="5"/>
    </row>
    <row r="50">
      <c r="I50" s="5"/>
    </row>
    <row r="51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0" errorStyle="stop" promptTitle="Enter moisture content" errorTitle="Invalid moisture content" prompt="Value should be between 0 and 100.&#10;Original value: 90.8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https://phyllis.nl/Biomass/View/2890</dc:description>
  <dcterms:created xsi:type="dcterms:W3CDTF">2026-03-04T04:45:39Z</dcterms:created>
  <dc:title>Phyllis2 #2890 watermelon plant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