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91 melon plant" sheetId="1" r:id="rId1"/>
  </sheets>
  <definedNames>
    <definedName name="w" localSheetId="0">IF(ISBLANK('Phyllis2 #2891 melon plant'!$C$20),#N/A,'Phyllis2 #2891 melon plant'!$C$20/100)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<sst xmlns="http://schemas.openxmlformats.org/spreadsheetml/2006/main" count="70" uniqueCount="70">
  <si>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</si>
  <si>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https://phyllis.nl/Biomass/View/2891</t>
  </si>
  <si>
    <t>melon plant (#2891)</t>
  </si>
  <si>
    <t>ID-number</t>
  </si>
  <si>
    <t>#2891</t>
  </si>
  <si>
    <t>Material</t>
  </si>
  <si>
    <t>melon plant</t>
  </si>
  <si>
    <t>Classification</t>
  </si>
  <si>
    <t>ECN Phyllis classification &gt; grass/plant &gt; vegetable</t>
  </si>
  <si>
    <t>NTA 8003 classification &gt; [200] biomassa uit land- en tuinbouw &gt; [250] overige restprodcuten &gt; [252] tuinbouwafval</t>
  </si>
  <si>
    <t>Ash type</t>
  </si>
  <si>
    <t>UNE-CEN/TS 14775:2007 EX</t>
  </si>
  <si>
    <t>Submitter organisation</t>
  </si>
  <si>
    <t>ECN (Netherlands)</t>
  </si>
  <si>
    <t>Submission date</t>
  </si>
  <si>
    <t>Remarks</t>
  </si>
  <si>
    <t xml:space="preserve">C,H and N determined according to UNE-CEN/TS 15104:2008 EX. S according to ASTM D4239-08, Cl according to ASTM E776-87.  Erroneous data for ash metal content corrected after consultation with authors.</t>
  </si>
  <si>
    <t>Literature</t>
  </si>
  <si>
    <t>A.J. Callejón-Ferre, B. Velázquez-Martí, J.A. López-Martínez, F. Manzano-Agugliaro: Greenhouse crop residues: Energy potential and models for the prediction of their higher heating value. Renewable and Sustainable Energy Reviews 15 (2011) 948-955.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</si>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</sst>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9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91.85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IFERROR(24.38*(1-w),"")</f>
        <v>1.9869700000000003</v>
      </c>
      <c r="D21" s="13">
        <v>24.38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IFERROR(65.25*(1-w),"")</f>
        <v>5.3178750000000008</v>
      </c>
      <c r="D22" s="13">
        <v>65.25</v>
      </c>
      <c r="E22" s="13">
        <v>86.286696641100235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IFERROR(10.37*(1-w),"")</f>
        <v>0.84515500000000054</v>
      </c>
      <c r="D23" s="13">
        <v>10.370000000000005</v>
      </c>
      <c r="E23" s="13">
        <v>13.713303358899768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IFERROR(35.5*(1-w),"")</f>
        <v>2.8932500000000005</v>
      </c>
      <c r="D25" s="13">
        <v>35.5</v>
      </c>
      <c r="E25" s="13">
        <v>46.94525257868289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IFERROR(4.37*(1-w),"")</f>
        <v>0.35615500000000005</v>
      </c>
      <c r="D26" s="13">
        <v>4.37</v>
      </c>
      <c r="E26" s="13">
        <v>5.7788944723618094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IFERROR(30.96*(1-w),"")</f>
        <v>2.5232400000000004</v>
      </c>
      <c r="D27" s="13">
        <v>30.96</v>
      </c>
      <c r="E27" s="13">
        <v>40.941549854535836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IFERROR(4.62*(1-w),"")</f>
        <v>0.37653000000000009</v>
      </c>
      <c r="D28" s="13">
        <v>4.62</v>
      </c>
      <c r="E28" s="13">
        <v>6.1094948426342244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IFERROR(0.17*(1-w),"")</f>
        <v>0.013855000000000004</v>
      </c>
      <c r="D29" s="13">
        <v>0.17</v>
      </c>
      <c r="E29" s="13">
        <v>0.22480825178524202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IFERROR(100.979*(1-w)+w*100,"")</f>
        <v>100.07978849999999</v>
      </c>
      <c r="D30" s="13">
        <v>100.979</v>
      </c>
      <c r="E30" s="13">
        <v>101.29463104998678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IFERROR(9790*(1-w),"")</f>
        <v>797.88500000000022</v>
      </c>
      <c r="D32" s="14">
        <v>9790</v>
      </c>
      <c r="E32" s="14">
        <v>12946.310499867761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IFERROR(12.54739*(1-w)-w*2.443,"")</f>
        <v>-1.2212832149999997</v>
      </c>
      <c r="D34" s="13">
        <v>12.54739</v>
      </c>
      <c r="E34" s="13">
        <v>16.592687119809575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IFERROR(13.501*(1-w),"")</f>
        <v>1.1003315000000002</v>
      </c>
      <c r="D35" s="13">
        <v>13.501</v>
      </c>
      <c r="E35" s="13">
        <v>17.853742396191482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IFERROR(13.3426288132*(1-w),"")</f>
        <v>1.0874242482758003</v>
      </c>
      <c r="D36" s="13">
        <v>13.342628813200001</v>
      </c>
      <c r="E36" s="13">
        <v>17.644312104205238</v>
      </c>
      <c r="F36" s="13"/>
      <c r="G36" s="13"/>
      <c r="I36" s="5"/>
      <c r="J36" s="0" t="s">
        <v>38</v>
      </c>
    </row>
    <row r="37">
      <c r="A37" s="7" t="s">
        <v>55</v>
      </c>
      <c r="I37" s="5"/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3">
        <v>5.55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58</v>
      </c>
      <c r="C40" s="13">
        <v>3.45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58</v>
      </c>
      <c r="C41" s="13">
        <v>0.1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58</v>
      </c>
      <c r="C42" s="13">
        <v>0.35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58</v>
      </c>
      <c r="C43" s="13">
        <v>29.46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58</v>
      </c>
      <c r="C44" s="13">
        <v>7.82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58</v>
      </c>
      <c r="C45" s="13">
        <v>4.97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58</v>
      </c>
      <c r="C46" s="13">
        <v>18.21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58</v>
      </c>
      <c r="C47" s="13">
        <v>0.037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68</v>
      </c>
      <c r="C48" s="14">
        <v>61</v>
      </c>
      <c r="D48" s="14"/>
      <c r="E48" s="14"/>
      <c r="F48" s="14"/>
      <c r="G48" s="14"/>
      <c r="I48" s="5"/>
    </row>
    <row r="49" outlineLevel="2">
      <c r="A49" s="12" t="s">
        <v>69</v>
      </c>
      <c r="B49" s="0" t="s">
        <v>68</v>
      </c>
      <c r="C49" s="14">
        <v>363</v>
      </c>
      <c r="D49" s="14"/>
      <c r="E49" s="14"/>
      <c r="F49" s="14"/>
      <c r="G49" s="14"/>
      <c r="I49" s="5"/>
    </row>
    <row r="50">
      <c r="I50" s="5"/>
    </row>
    <row r="5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0" errorStyle="stop" promptTitle="Enter moisture content" errorTitle="Invalid moisture content" prompt="Value should be between 0 and 100.&#10;Original value: 91.8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https://phyllis.nl/Biomass/View/2891</dc:description>
  <dcterms:created xsi:type="dcterms:W3CDTF">2026-03-04T04:45:08Z</dcterms:created>
  <dc:title>Phyllis2 #2891 melon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