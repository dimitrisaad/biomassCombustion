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4 wood, pyrenean o" sheetId="1" r:id="rId1"/>
  </sheets>
  <definedNames>
    <definedName name="w" localSheetId="0">IF(ISBLANK('Phyllis2 #2894 wood, pyrenean o'!$C$20),#N/A,'Phyllis2 #2894 wood, pyrenean o'!$C$20/100)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<sst xmlns="http://schemas.openxmlformats.org/spreadsheetml/2006/main" count="65" uniqueCount="65">
  <si>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</si>
  <si>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https://phyllis.nl/Biomass/View/2894</t>
  </si>
  <si>
    <t>wood, pyrenean oak residues pellets (#2894)</t>
  </si>
  <si>
    <t>ID-number</t>
  </si>
  <si>
    <t>#2894</t>
  </si>
  <si>
    <t>Material</t>
  </si>
  <si>
    <t>wood, pyrenean oak residues pellets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</si>
  <si>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</si>
  <si>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</si>
  <si>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</si>
  <si>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Ash type</t>
  </si>
  <si>
    <t>CEN/TS 14775</t>
  </si>
  <si>
    <t>Submitter organisation</t>
  </si>
  <si>
    <t>ECN (Netherlands)</t>
  </si>
  <si>
    <t>Submission date</t>
  </si>
  <si>
    <t>Remarks</t>
  </si>
  <si>
    <t>analyses according to CEN/TS 1474-2 (moisture), CEN/TS 15148 (volatiles), CEN/TS 15104 (C, H, N), CEN/TS 15289 (S), UNE-CEN/TS 15105 EX (Cl), UNE164001 EX (HHV)</t>
  </si>
  <si>
    <t>Literature</t>
  </si>
  <si>
    <t>T. Miranda, S. Román, J.I. Arranz, S. Rojas, J.F. González, I. Montero: Emissions from thermal degradation of pellets with different contents of olive waste and forest residues. Fuel Processing Technology 91 (2010) 1459-1463.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</si>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</sst>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4.7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IFERROR(3.71*(1-w),"")</f>
        <v>3.53563</v>
      </c>
      <c r="D21" s="13">
        <v>3.71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IFERROR(83.64*(1-w),"")</f>
        <v>79.708919999999992</v>
      </c>
      <c r="D22" s="13">
        <v>83.64</v>
      </c>
      <c r="E22" s="13">
        <v>86.862602554782427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IFERROR(12.65*(1-w),"")</f>
        <v>12.055450000000006</v>
      </c>
      <c r="D23" s="13">
        <v>12.650000000000006</v>
      </c>
      <c r="E23" s="13">
        <v>13.137397445217578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IFERROR(49.12*(1-w),"")</f>
        <v>46.811359999999993</v>
      </c>
      <c r="D25" s="13">
        <v>49.12</v>
      </c>
      <c r="E25" s="13">
        <v>51.012566206251947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IFERROR(7.82*(1-w),"")</f>
        <v>7.45246</v>
      </c>
      <c r="D26" s="13">
        <v>7.82</v>
      </c>
      <c r="E26" s="13">
        <v>8.1213002388617728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IFERROR(38.77*(1-w),"")</f>
        <v>36.947810000000004</v>
      </c>
      <c r="D27" s="13">
        <v>38.77</v>
      </c>
      <c r="E27" s="13">
        <v>40.263786478346667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IFERROR(0.56*(1-w),"")</f>
        <v>0.53368</v>
      </c>
      <c r="D28" s="13">
        <v>0.56</v>
      </c>
      <c r="E28" s="13">
        <v>0.58157648769342618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IFERROR(0.02*(1-w),"")</f>
        <v>0.01906</v>
      </c>
      <c r="D29" s="13">
        <v>0.02</v>
      </c>
      <c r="E29" s="13">
        <v>0.020770588846193792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IFERROR(100.02*(1-w)+w*100,"")</f>
        <v>100.01906</v>
      </c>
      <c r="D30" s="13">
        <v>100.02</v>
      </c>
      <c r="E30" s="13">
        <v>100.0207705888462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IFERROR(200*(1-w),"")</f>
        <v>190.6</v>
      </c>
      <c r="D32" s="14">
        <v>200</v>
      </c>
      <c r="E32" s="14">
        <v>207.70588846193789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IFERROR(17.41854*(1-w)-w*2.443,"")</f>
        <v>16.48504762</v>
      </c>
      <c r="D34" s="13">
        <v>17.41854</v>
      </c>
      <c r="E34" s="13">
        <v>18.08966663204902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IFERROR(19.125*(1-w),"")</f>
        <v>18.226125</v>
      </c>
      <c r="D35" s="13">
        <v>19.125</v>
      </c>
      <c r="E35" s="13">
        <v>19.861875584172811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IFERROR(22.3150749073*(1-w),"")</f>
        <v>21.266266386656902</v>
      </c>
      <c r="D36" s="13">
        <v>22.3150749073</v>
      </c>
      <c r="E36" s="13">
        <v>23.174862298577217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2.5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1.25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11.14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15.76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11.96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0.65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14.46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20" errorStyle="stop" promptTitle="Enter moisture content" errorTitle="Invalid moisture content" prompt="Value should be between 0 and 100.&#10;Original value: 4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https://phyllis.nl/Biomass/View/2894</dc:description>
  <dcterms:created xsi:type="dcterms:W3CDTF">2026-03-19T07:11:16Z</dcterms:created>
  <dc:title>Phyllis2 #2894 wood, pyrenean oak residues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