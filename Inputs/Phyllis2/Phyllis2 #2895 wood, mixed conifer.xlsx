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5 wood, mixed coni" sheetId="1" r:id="rId1"/>
  </sheets>
  <definedNames>
    <definedName name="w" localSheetId="0">IF(ISBLANK('Phyllis2 #2895 wood, mixed coni'!$C$20),#N/A,'Phyllis2 #2895 wood, mixed coni'!$C$20/100)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<sst xmlns="http://schemas.openxmlformats.org/spreadsheetml/2006/main" count="63" uniqueCount="63">
  <si>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</si>
  <si>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https://phyllis.nl/Biomass/View/2895</t>
  </si>
  <si>
    <t>wood, mixed conifer (#2895)</t>
  </si>
  <si>
    <t>ID-number</t>
  </si>
  <si>
    <t>#2895</t>
  </si>
  <si>
    <t>Material</t>
  </si>
  <si>
    <t>wood, mixed conifer</t>
  </si>
  <si>
    <t>Classification</t>
  </si>
  <si>
    <t>ECN Phyllis classification &gt; untreated wood &gt; fir/pine/spruce</t>
  </si>
  <si>
    <t>NTA 8003 classification &gt; [100] hout &gt; [110] vers hout &gt; [120] loofhout &gt; [124] zacht loofhout met schors</t>
  </si>
  <si>
    <t>Ash type</t>
  </si>
  <si>
    <t>525°C</t>
  </si>
  <si>
    <t>Submitter organisation</t>
  </si>
  <si>
    <t>ECN (Netherlands)</t>
  </si>
  <si>
    <t>Submission date</t>
  </si>
  <si>
    <t>Remarks</t>
  </si>
  <si>
    <t>air dried chips with about 20% bark</t>
  </si>
  <si>
    <t>Literature</t>
  </si>
  <si>
    <t>P. Thy, B.M. Jenkins, R.B. Williams, C.E. Lesher, R.R. Bakker: Bed agglomeartion in fluidized combustor fueled by wood and rice straw blends. Fuel Processing Technology 91 (2010) 1464-1485.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</si>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</sst>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10.4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IFERROR(1.2*(1-w),"")</f>
        <v>1.0752</v>
      </c>
      <c r="D21" s="13">
        <v>1.2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IFERROR(53*(1-w),"")</f>
        <v>47.488</v>
      </c>
      <c r="D23" s="13">
        <v>53</v>
      </c>
      <c r="E23" s="13">
        <v>53.643724696356273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IFERROR(5.7*(1-w),"")</f>
        <v>5.1072000000000006</v>
      </c>
      <c r="D24" s="13">
        <v>5.7</v>
      </c>
      <c r="E24" s="13">
        <v>5.7692307692307692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IFERROR(40*(1-w),"")</f>
        <v>35.84</v>
      </c>
      <c r="D25" s="13">
        <v>40</v>
      </c>
      <c r="E25" s="13">
        <v>40.48582995951417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IFERROR(0.1*(1-w),"")</f>
        <v>0.089600000000000013</v>
      </c>
      <c r="D26" s="13">
        <v>0.1</v>
      </c>
      <c r="E26" s="13">
        <v>0.10121457489878544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IFERROR(0*(1-w),"")</f>
        <v>0</v>
      </c>
      <c r="D27" s="13">
        <v>0</v>
      </c>
      <c r="E27" s="13">
        <v>0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IFERROR(100*(1-w)+w*100,"")</f>
        <v>100.00000000000001</v>
      </c>
      <c r="D28" s="13">
        <v>100</v>
      </c>
      <c r="E28" s="13">
        <v>100</v>
      </c>
      <c r="F28" s="13"/>
      <c r="G28" s="13"/>
      <c r="I28" s="5"/>
      <c r="J28" s="0" t="s">
        <v>41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IFERROR(0*(1-w),"")</f>
        <v>0</v>
      </c>
      <c r="D30" s="14">
        <v>0</v>
      </c>
      <c r="E30" s="14">
        <v>0</v>
      </c>
      <c r="F30" s="14"/>
      <c r="G30" s="14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IFERROR(20.77826032*(1-w),"")</f>
        <v>18.61732124672</v>
      </c>
      <c r="D32" s="13">
        <v>20.778260319999998</v>
      </c>
      <c r="E32" s="13">
        <v>21.030627854251009</v>
      </c>
      <c r="F32" s="13"/>
      <c r="G32" s="13"/>
      <c r="I32" s="5"/>
      <c r="J32" s="0" t="s">
        <v>41</v>
      </c>
    </row>
    <row r="33">
      <c r="A33" s="7" t="s">
        <v>51</v>
      </c>
      <c r="I33" s="5"/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>
        <v>4.69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54</v>
      </c>
      <c r="C36" s="13">
        <v>14.01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54</v>
      </c>
      <c r="C37" s="13">
        <v>1.71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54</v>
      </c>
      <c r="C38" s="13">
        <v>4.68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54</v>
      </c>
      <c r="C39" s="13">
        <v>48.05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54</v>
      </c>
      <c r="C40" s="13">
        <v>7.39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54</v>
      </c>
      <c r="C41" s="13">
        <v>0.58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54</v>
      </c>
      <c r="C42" s="13">
        <v>16.06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54</v>
      </c>
      <c r="C43" s="13">
        <v>0.19</v>
      </c>
      <c r="D43" s="13"/>
      <c r="E43" s="13"/>
      <c r="F43" s="13"/>
      <c r="G43" s="13"/>
      <c r="I43" s="5"/>
    </row>
    <row r="44">
      <c r="I44" s="5"/>
    </row>
    <row r="4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20" errorStyle="stop" promptTitle="Enter moisture content" errorTitle="Invalid moisture content" prompt="Value should be between 0 and 100.&#10;Original value: 10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https://phyllis.nl/Biomass/View/2895</dc:description>
  <dcterms:created xsi:type="dcterms:W3CDTF">2026-03-19T07:07:22Z</dcterms:created>
  <dc:title>Phyllis2 #2895 wood, mixed conifer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