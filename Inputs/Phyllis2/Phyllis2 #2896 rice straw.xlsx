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96 rice straw" sheetId="1" r:id="rId1"/>
  </sheets>
  <definedNames>
    <definedName name="w" localSheetId="0">IF(ISBLANK('Phyllis2 #2896 rice straw'!$C$20),#N/A,'Phyllis2 #2896 rice straw'!$C$20/100)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<sst xmlns="http://schemas.openxmlformats.org/spreadsheetml/2006/main" count="63" uniqueCount="63">
  <si>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</si>
  <si>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https://phyllis.nl/Biomass/View/2896</t>
  </si>
  <si>
    <t>rice straw (#2896)</t>
  </si>
  <si>
    <t>ID-number</t>
  </si>
  <si>
    <t>#2896</t>
  </si>
  <si>
    <t>Material</t>
  </si>
  <si>
    <t>rice straw</t>
  </si>
  <si>
    <t>Classification</t>
  </si>
  <si>
    <t>ECN Phyllis classification &gt; straw (stalk/cob/ear) &gt; rice &gt; rice straw</t>
  </si>
  <si>
    <t>NTA 8003 classification &gt; [200] biomassa uit land- en tuinbouw &gt; [220] stro &gt; [224] rijsthalm</t>
  </si>
  <si>
    <t>Ash type</t>
  </si>
  <si>
    <t>525°C</t>
  </si>
  <si>
    <t>Submitter organisation</t>
  </si>
  <si>
    <t>ECN (Netherlands)</t>
  </si>
  <si>
    <t>Submission date</t>
  </si>
  <si>
    <t>Remarks</t>
  </si>
  <si>
    <t>air dried; crystalline KCl detected in ash</t>
  </si>
  <si>
    <t>Literature</t>
  </si>
  <si>
    <t>P. Thy, B.M. Jenkins, R.B. Williams, C.E. Lesher, R.R. Bakker: Bed agglomeartion in fluidized combustor fueled by wood and rice straw blends. Fuel Processing Technology 91 (2010) 1464-1485.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</si>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</sst>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40550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7.5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IFERROR(22.1*(1-w),"")</f>
        <v>20.442500000000003</v>
      </c>
      <c r="D21" s="13">
        <v>22.1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IFERROR(38.5*(1-w),"")</f>
        <v>35.612500000000004</v>
      </c>
      <c r="D23" s="13">
        <v>38.5</v>
      </c>
      <c r="E23" s="13">
        <v>49.422336328626443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IFERROR(3.6*(1-w),"")</f>
        <v>3.33</v>
      </c>
      <c r="D24" s="13">
        <v>3.6</v>
      </c>
      <c r="E24" s="13">
        <v>4.6213093709884463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IFERROR(34.6*(1-w),"")</f>
        <v>32.005</v>
      </c>
      <c r="D25" s="13">
        <v>34.6</v>
      </c>
      <c r="E25" s="13">
        <v>44.415917843388961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IFERROR(0.6*(1-w),"")</f>
        <v>0.555</v>
      </c>
      <c r="D26" s="13">
        <v>0.6</v>
      </c>
      <c r="E26" s="13">
        <v>0.77021822849807442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34</v>
      </c>
      <c r="C27" s="13">
        <f>IFERROR(0.1*(1-w),"")</f>
        <v>0.092500000000000013</v>
      </c>
      <c r="D27" s="13">
        <v>0.1</v>
      </c>
      <c r="E27" s="13">
        <v>0.12836970474967907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IFERROR(100.1*(1-w)+w*100,"")</f>
        <v>100.0925</v>
      </c>
      <c r="D28" s="13">
        <v>100.1</v>
      </c>
      <c r="E28" s="13">
        <v>100.12836970474967</v>
      </c>
      <c r="F28" s="13"/>
      <c r="G28" s="13"/>
      <c r="I28" s="5"/>
      <c r="J28" s="0" t="s">
        <v>41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IFERROR(6000*(1-w),"")</f>
        <v>5550</v>
      </c>
      <c r="D30" s="14">
        <v>6000</v>
      </c>
      <c r="E30" s="14">
        <v>7702.182284980744</v>
      </c>
      <c r="F30" s="14"/>
      <c r="G30" s="14"/>
      <c r="I30" s="5"/>
      <c r="J30" s="0" t="s">
        <v>38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IFERROR(13.40715673*(1-w),"")</f>
        <v>12.401619975250004</v>
      </c>
      <c r="D32" s="13">
        <v>13.407156730000002</v>
      </c>
      <c r="E32" s="13">
        <v>17.210727509627731</v>
      </c>
      <c r="F32" s="13"/>
      <c r="G32" s="13"/>
      <c r="I32" s="5"/>
      <c r="J32" s="0" t="s">
        <v>41</v>
      </c>
    </row>
    <row r="33">
      <c r="A33" s="7" t="s">
        <v>51</v>
      </c>
      <c r="I33" s="5"/>
    </row>
    <row r="34" outlineLevel="1">
      <c r="A34" s="11" t="s">
        <v>52</v>
      </c>
      <c r="I34" s="5"/>
    </row>
    <row r="35" outlineLevel="2">
      <c r="A35" s="12" t="s">
        <v>53</v>
      </c>
      <c r="B35" s="0" t="s">
        <v>54</v>
      </c>
      <c r="C35" s="13">
        <v>0.66</v>
      </c>
      <c r="D35" s="13"/>
      <c r="E35" s="13"/>
      <c r="F35" s="13"/>
      <c r="G35" s="13"/>
      <c r="I35" s="5"/>
    </row>
    <row r="36" outlineLevel="2">
      <c r="A36" s="12" t="s">
        <v>55</v>
      </c>
      <c r="B36" s="0" t="s">
        <v>54</v>
      </c>
      <c r="C36" s="13">
        <v>82.13</v>
      </c>
      <c r="D36" s="13"/>
      <c r="E36" s="13"/>
      <c r="F36" s="13"/>
      <c r="G36" s="13"/>
      <c r="I36" s="5"/>
    </row>
    <row r="37" outlineLevel="2">
      <c r="A37" s="12" t="s">
        <v>56</v>
      </c>
      <c r="B37" s="0" t="s">
        <v>54</v>
      </c>
      <c r="C37" s="13">
        <v>0.11</v>
      </c>
      <c r="D37" s="13"/>
      <c r="E37" s="13"/>
      <c r="F37" s="13"/>
      <c r="G37" s="13"/>
      <c r="I37" s="5"/>
    </row>
    <row r="38" outlineLevel="2">
      <c r="A38" s="12" t="s">
        <v>57</v>
      </c>
      <c r="B38" s="0" t="s">
        <v>54</v>
      </c>
      <c r="C38" s="13">
        <v>0.1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54</v>
      </c>
      <c r="C39" s="13">
        <v>1.74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54</v>
      </c>
      <c r="C40" s="13">
        <v>1.79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54</v>
      </c>
      <c r="C41" s="13">
        <v>0.15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54</v>
      </c>
      <c r="C42" s="13">
        <v>13.02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54</v>
      </c>
      <c r="C43" s="13">
        <v>0.01</v>
      </c>
      <c r="D43" s="13"/>
      <c r="E43" s="13"/>
      <c r="F43" s="13"/>
      <c r="G43" s="13"/>
      <c r="I43" s="5"/>
    </row>
    <row r="44">
      <c r="I44" s="5"/>
    </row>
    <row r="4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20" errorStyle="stop" promptTitle="Enter moisture content" errorTitle="Invalid moisture content" prompt="Value should be between 0 and 100.&#10;Original value: 7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https://phyllis.nl/Biomass/View/2896</dc:description>
  <dcterms:created xsi:type="dcterms:W3CDTF">2026-03-17T06:09:59Z</dcterms:created>
  <dc:title>Phyllis2 #2896 rice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