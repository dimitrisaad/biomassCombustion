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00 wood, demolition" sheetId="1" r:id="rId1"/>
  </sheets>
  <definedNames>
    <definedName name="w" localSheetId="0">IF(ISBLANK('Phyllis2 #2900 wood, demolition'!$C$20),#N/A,'Phyllis2 #2900 wood, demolition'!$C$20/100)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<sst xmlns="http://schemas.openxmlformats.org/spreadsheetml/2006/main" count="79" uniqueCount="79">
  <si>
    <t>Phyllis2</t>
  </si>
  <si>
    <t>https://phyllis.nl/Biomass/View/2900</t>
  </si>
  <si>
    <t>wood, demolition wood (#2900)</t>
  </si>
  <si>
    <t>ID-number</t>
  </si>
  <si>
    <t>#2900</t>
  </si>
  <si>
    <t>Material</t>
  </si>
  <si>
    <t>wood, demolition wood</t>
  </si>
  <si>
    <t>Classification</t>
  </si>
  <si>
    <t>ECN Phyllis classification &gt; treated wood &gt; demolition wood &gt; wood, demolition wood</t>
  </si>
  <si>
    <t>NTA 8003 classification &gt; [100] hout &gt; [150] verwerkt hout &gt; [170] geverfd/verlijmd hout (B-hout)</t>
  </si>
  <si>
    <t>Ash type</t>
  </si>
  <si>
    <t>550°C and 815°C (identical results)</t>
  </si>
  <si>
    <t>Submitter organisation</t>
  </si>
  <si>
    <t>ECN (Netherlands)</t>
  </si>
  <si>
    <t>Submission date</t>
  </si>
  <si>
    <t>Remarks</t>
  </si>
  <si>
    <t>Waste wood category B according to Dutch classification; W-content 8 mg/kg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</si>
  <si>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</si>
  <si>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</si>
  <si>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</si>
  <si>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</si>
  <si>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</si>
  <si>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</si>
  <si>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</si>
  <si>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</si>
  <si>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</si>
  <si>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</si>
  <si>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</si>
  <si>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</si>
  <si>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</si>
  <si>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</si>
  <si>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</si>
  <si>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</si>
  <si>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</si>
  <si>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</si>
  <si>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</si>
  <si>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</si>
  <si>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</si>
  <si>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</si>
  <si>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</si>
  <si>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</si>
  <si>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</si>
  <si>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</si>
  <si>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</si>
  <si>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</si>
  <si>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</si>
  <si>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</si>
  <si>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</si>
  <si>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</si>
  <si>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</si>
  <si>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</si>
  <si>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</si>
  <si>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</si>
  <si>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</si>
  <si>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</si>
  <si>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</si>
  <si>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</si>
  <si>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</si>
  <si>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</si>
  <si>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Boron (B)</t>
  </si>
  <si>
    <t>Barium (Ba)</t>
  </si>
  <si>
    <t>Calcium (Ca)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</si>
  <si>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</si>
  <si>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</si>
  <si>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</si>
  <si>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</si>
  <si>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</si>
  <si>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</si>
  <si>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</si>
  <si>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</si>
  <si>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</si>
  <si>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</si>
  <si>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</si>
  <si>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</si>
  <si>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Silicon (Si)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</si>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</sst>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0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40602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15.3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IFERROR(7.3*(1-w),"")</f>
        <v>6.1831</v>
      </c>
      <c r="D21" s="13">
        <v>7.3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IFERROR(74.7*(1-w),"")</f>
        <v>63.2709</v>
      </c>
      <c r="D22" s="13">
        <v>74.7</v>
      </c>
      <c r="E22" s="13">
        <v>80.582524271844662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IFERROR(18*(1-w),"")</f>
        <v>15.245999999999999</v>
      </c>
      <c r="D23" s="13">
        <v>18</v>
      </c>
      <c r="E23" s="13">
        <v>19.417475728155338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IFERROR(46.03*(1-w),"")</f>
        <v>38.98741</v>
      </c>
      <c r="D25" s="13">
        <v>46.03</v>
      </c>
      <c r="E25" s="13">
        <v>49.65480043149946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IFERROR(5.7*(1-w),"")</f>
        <v>4.8279</v>
      </c>
      <c r="D26" s="13">
        <v>5.7</v>
      </c>
      <c r="E26" s="13">
        <v>6.1488673139158578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IFERROR(37.34*(1-w),"")</f>
        <v>31.626980000000003</v>
      </c>
      <c r="D27" s="13">
        <v>37.34</v>
      </c>
      <c r="E27" s="13">
        <v>40.280474649406692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IFERROR(1.93*(1-w),"")</f>
        <v>1.6347099999999999</v>
      </c>
      <c r="D28" s="13">
        <v>1.93</v>
      </c>
      <c r="E28" s="13">
        <v>2.0819848975188777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IFERROR(0.1771*(1-w),"")</f>
        <v>0.1500037</v>
      </c>
      <c r="D29" s="13">
        <v>0.1771</v>
      </c>
      <c r="E29" s="13">
        <v>0.19104638619201725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IFERROR(98.596*(1-w)+w*100,"")</f>
        <v>98.810812</v>
      </c>
      <c r="D30" s="13">
        <v>98.596</v>
      </c>
      <c r="E30" s="13">
        <v>98.485436893203882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IFERROR(1146*(1-w),"")</f>
        <v>970.66199999999992</v>
      </c>
      <c r="D32" s="14">
        <v>1146</v>
      </c>
      <c r="E32" s="14">
        <v>1236.2459546925566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IFERROR(43*(1-w),"")</f>
        <v>36.421</v>
      </c>
      <c r="D33" s="14">
        <v>43</v>
      </c>
      <c r="E33" s="14">
        <v>46.38619201725998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IFERROR(17.56116*(1-w)-w*2.443,"")</f>
        <v>14.50052352</v>
      </c>
      <c r="D35" s="13">
        <v>17.56116</v>
      </c>
      <c r="E35" s="13">
        <v>18.944077669902914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IFERROR(18.805*(1-w),"")</f>
        <v>15.927835</v>
      </c>
      <c r="D36" s="13">
        <v>18.805</v>
      </c>
      <c r="E36" s="13">
        <v>20.285868392664508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IFERROR(18.42784243*(1-w),"")</f>
        <v>15.608382538210003</v>
      </c>
      <c r="D37" s="13">
        <v>18.427842430000005</v>
      </c>
      <c r="E37" s="13">
        <v>19.879010172599788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1369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>
        <v>7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60</v>
      </c>
      <c r="B41" s="0" t="s">
        <v>58</v>
      </c>
      <c r="C41" s="14">
        <v>559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6537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3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>
        <v>37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58</v>
      </c>
      <c r="C45" s="14">
        <v>11</v>
      </c>
      <c r="D45" s="14"/>
      <c r="E45" s="14"/>
      <c r="F45" s="14"/>
      <c r="G45" s="14"/>
      <c r="I45" s="5"/>
      <c r="J45" s="0" t="s">
        <v>41</v>
      </c>
    </row>
    <row r="46" outlineLevel="2">
      <c r="A46" s="12" t="s">
        <v>65</v>
      </c>
      <c r="B46" s="0" t="s">
        <v>58</v>
      </c>
      <c r="C46" s="14">
        <v>1082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0.026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1029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789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109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1571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>
        <v>11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58</v>
      </c>
      <c r="C53" s="14">
        <v>125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>
        <v>444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58</v>
      </c>
      <c r="C55" s="14">
        <v>11407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>
        <v>28</v>
      </c>
      <c r="D56" s="14"/>
      <c r="E56" s="14"/>
      <c r="F56" s="14"/>
      <c r="G56" s="14"/>
      <c r="I56" s="5"/>
      <c r="J56" s="0" t="s">
        <v>41</v>
      </c>
    </row>
    <row r="57" outlineLevel="2">
      <c r="A57" s="12" t="s">
        <v>76</v>
      </c>
      <c r="B57" s="0" t="s">
        <v>58</v>
      </c>
      <c r="C57" s="14">
        <v>1408</v>
      </c>
      <c r="D57" s="14"/>
      <c r="E57" s="14"/>
      <c r="F57" s="14"/>
      <c r="G57" s="14"/>
      <c r="I57" s="5"/>
      <c r="J57" s="0" t="s">
        <v>41</v>
      </c>
    </row>
    <row r="58" outlineLevel="2">
      <c r="A58" s="12" t="s">
        <v>77</v>
      </c>
      <c r="B58" s="0" t="s">
        <v>58</v>
      </c>
      <c r="C58" s="14">
        <v>3</v>
      </c>
      <c r="D58" s="14"/>
      <c r="E58" s="14"/>
      <c r="F58" s="14"/>
      <c r="G58" s="14"/>
      <c r="I58" s="5"/>
      <c r="J58" s="0" t="s">
        <v>41</v>
      </c>
    </row>
    <row r="59" outlineLevel="2">
      <c r="A59" s="12" t="s">
        <v>78</v>
      </c>
      <c r="B59" s="0" t="s">
        <v>58</v>
      </c>
      <c r="C59" s="14">
        <v>612</v>
      </c>
      <c r="D59" s="14"/>
      <c r="E59" s="14"/>
      <c r="F59" s="14"/>
      <c r="G59" s="14"/>
      <c r="I59" s="5"/>
      <c r="J59" s="0" t="s">
        <v>41</v>
      </c>
    </row>
    <row r="60">
      <c r="I60" s="5"/>
    </row>
    <row r="61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</mergeCells>
  <dataValidations count="1">
    <dataValidation type="decimal" sqref="C20" errorStyle="stop" promptTitle="Enter moisture content" errorTitle="Invalid moisture content" prompt="Value should be between 0 and 100.&#10;Original value: 15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https://phyllis.nl/Biomass/View/2900</dc:description>
  <dcterms:created xsi:type="dcterms:W3CDTF">2026-03-19T04:02:40Z</dcterms:created>
  <dc:title>Phyllis2 #2900 wood, demolition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