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901 wood, demolition" sheetId="1" r:id="rId1"/>
  </sheets>
  <definedNames>
    <definedName name="w" localSheetId="0">IF(ISBLANK('Phyllis2 #2901 wood, demolition'!$C$20),#N/A,'Phyllis2 #2901 wood, demolition'!$C$20/100)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<sst xmlns="http://schemas.openxmlformats.org/spreadsheetml/2006/main" count="79" uniqueCount="79">
  <si>
    <t>Phyllis2</t>
  </si>
  <si>
    <t>https://phyllis.nl/Biomass/View/2901</t>
  </si>
  <si>
    <t>wood, demolition wood (#2901)</t>
  </si>
  <si>
    <t>ID-number</t>
  </si>
  <si>
    <t>#2901</t>
  </si>
  <si>
    <t>Material</t>
  </si>
  <si>
    <t>wood, demolition wood</t>
  </si>
  <si>
    <t>Classification</t>
  </si>
  <si>
    <t>ECN Phyllis classification &gt; treated wood &gt; demolition wood &gt; wood, demolition wood</t>
  </si>
  <si>
    <t>NTA 8003 classification &gt; [100] hout &gt; [150] verwerkt hout &gt; [170] geverfd/verlijmd hout (B-hout)</t>
  </si>
  <si>
    <t>Ash type</t>
  </si>
  <si>
    <t>550°C and 815°C (identical results)</t>
  </si>
  <si>
    <t>Submitter organisation</t>
  </si>
  <si>
    <t>ECN (Netherlands)</t>
  </si>
  <si>
    <t>Submission date</t>
  </si>
  <si>
    <t>Remarks</t>
  </si>
  <si>
    <t xml:space="preserve">Waste wood category B according to Dutch classification; W-content at  3 ppm detection  limit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</si>
  <si>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</si>
  <si>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</si>
  <si>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</si>
  <si>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</si>
  <si>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</si>
  <si>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</si>
  <si>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</si>
  <si>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</si>
  <si>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</si>
  <si>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</si>
  <si>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</si>
  <si>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</si>
  <si>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</si>
  <si>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</si>
  <si>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</si>
  <si>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</si>
  <si>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</si>
  <si>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</si>
  <si>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</si>
  <si>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</si>
  <si>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</si>
  <si>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</si>
  <si>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</si>
  <si>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</si>
  <si>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</si>
  <si>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</si>
  <si>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</si>
  <si>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</si>
  <si>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</si>
  <si>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</si>
  <si>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</si>
  <si>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</si>
  <si>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</si>
  <si>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</si>
  <si>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</si>
  <si>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</si>
  <si>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</si>
  <si>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</si>
  <si>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</si>
  <si>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</si>
  <si>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</si>
  <si>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</si>
  <si>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Boron (B)</t>
  </si>
  <si>
    <t>Barium (Ba)</t>
  </si>
  <si>
    <t>Calcium (Ca)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</si>
  <si>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</si>
  <si>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</si>
  <si>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</si>
  <si>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</si>
  <si>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</si>
  <si>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</si>
  <si>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</si>
  <si>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</si>
  <si>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</si>
  <si>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</si>
  <si>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</si>
  <si>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</si>
  <si>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Silicon (Si)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</si>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</sst>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90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40602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13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IFERROR(15.6*(1-w),"")</f>
        <v>13.572</v>
      </c>
      <c r="D21" s="13">
        <v>15.6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IFERROR(68.8*(1-w),"")</f>
        <v>59.855999999999995</v>
      </c>
      <c r="D22" s="13">
        <v>68.8</v>
      </c>
      <c r="E22" s="13">
        <v>81.516587677725113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IFERROR(15.6*(1-w),"")</f>
        <v>13.572000000000008</v>
      </c>
      <c r="D23" s="13">
        <v>15.600000000000009</v>
      </c>
      <c r="E23" s="13">
        <v>18.483412322274891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IFERROR(43.31*(1-w),"")</f>
        <v>37.679700000000004</v>
      </c>
      <c r="D25" s="13">
        <v>43.31</v>
      </c>
      <c r="E25" s="13">
        <v>51.315165876777257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IFERROR(5.26*(1-w),"")</f>
        <v>4.5762</v>
      </c>
      <c r="D26" s="13">
        <v>5.26</v>
      </c>
      <c r="E26" s="13">
        <v>6.2322274881516586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IFERROR(37.13*(1-w),"")</f>
        <v>32.3031</v>
      </c>
      <c r="D27" s="13">
        <v>37.13</v>
      </c>
      <c r="E27" s="13">
        <v>43.992890995260666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IFERROR(1.92*(1-w),"")</f>
        <v>1.6703999999999999</v>
      </c>
      <c r="D28" s="13">
        <v>1.92</v>
      </c>
      <c r="E28" s="13">
        <v>2.2748815165876777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IFERROR(0.1457*(1-w),"")</f>
        <v>0.12675899999999998</v>
      </c>
      <c r="D29" s="13">
        <v>0.1457</v>
      </c>
      <c r="E29" s="13">
        <v>0.17263033175355449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IFERROR(103.4655*(1-w)+w*100,"")</f>
        <v>103.01498500000001</v>
      </c>
      <c r="D30" s="13">
        <v>103.4655</v>
      </c>
      <c r="E30" s="13">
        <v>104.10604265402846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IFERROR(910*(1-w),"")</f>
        <v>791.7</v>
      </c>
      <c r="D32" s="14">
        <v>910</v>
      </c>
      <c r="E32" s="14">
        <v>1078.1990521327014</v>
      </c>
      <c r="F32" s="14"/>
      <c r="G32" s="14"/>
      <c r="I32" s="5"/>
      <c r="J32" s="0" t="s">
        <v>41</v>
      </c>
    </row>
    <row r="33" outlineLevel="2">
      <c r="A33" s="12" t="s">
        <v>50</v>
      </c>
      <c r="B33" s="0" t="s">
        <v>49</v>
      </c>
      <c r="C33" s="14">
        <f>IFERROR(88*(1-w),"")</f>
        <v>76.56</v>
      </c>
      <c r="D33" s="14">
        <v>88</v>
      </c>
      <c r="E33" s="14">
        <v>104.2654028436019</v>
      </c>
      <c r="F33" s="14"/>
      <c r="G33" s="14"/>
      <c r="I33" s="5"/>
      <c r="J33" s="0" t="s">
        <v>41</v>
      </c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IFERROR(15.82818*(1-w)-w*2.443,"")</f>
        <v>13.452926600000001</v>
      </c>
      <c r="D35" s="13">
        <v>15.82818</v>
      </c>
      <c r="E35" s="13">
        <v>18.75376777251185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IFERROR(16.976*(1-w),"")</f>
        <v>14.76912</v>
      </c>
      <c r="D36" s="13">
        <v>16.976</v>
      </c>
      <c r="E36" s="13">
        <v>20.113744075829384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IFERROR(16.8449791*(1-w),"")</f>
        <v>14.655131817000003</v>
      </c>
      <c r="D37" s="13">
        <v>16.844979100000003</v>
      </c>
      <c r="E37" s="13">
        <v>19.958506042654033</v>
      </c>
      <c r="F37" s="13"/>
      <c r="G37" s="13"/>
      <c r="I37" s="5"/>
      <c r="J37" s="0" t="s">
        <v>38</v>
      </c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4">
        <v>696</v>
      </c>
      <c r="D39" s="14"/>
      <c r="E39" s="14"/>
      <c r="F39" s="14"/>
      <c r="G39" s="14"/>
      <c r="I39" s="5"/>
      <c r="J39" s="0" t="s">
        <v>41</v>
      </c>
    </row>
    <row r="40" outlineLevel="2">
      <c r="A40" s="12" t="s">
        <v>59</v>
      </c>
      <c r="B40" s="0" t="s">
        <v>58</v>
      </c>
      <c r="C40" s="14">
        <v>6</v>
      </c>
      <c r="D40" s="14"/>
      <c r="E40" s="14"/>
      <c r="F40" s="14"/>
      <c r="G40" s="14"/>
      <c r="I40" s="5"/>
      <c r="J40" s="0" t="s">
        <v>41</v>
      </c>
    </row>
    <row r="41" outlineLevel="2">
      <c r="A41" s="12" t="s">
        <v>60</v>
      </c>
      <c r="B41" s="0" t="s">
        <v>58</v>
      </c>
      <c r="C41" s="14">
        <v>99</v>
      </c>
      <c r="D41" s="14"/>
      <c r="E41" s="14"/>
      <c r="F41" s="14"/>
      <c r="G41" s="14"/>
      <c r="I41" s="5"/>
      <c r="J41" s="0" t="s">
        <v>41</v>
      </c>
    </row>
    <row r="42" outlineLevel="2">
      <c r="A42" s="12" t="s">
        <v>61</v>
      </c>
      <c r="B42" s="0" t="s">
        <v>58</v>
      </c>
      <c r="C42" s="14">
        <v>4037</v>
      </c>
      <c r="D42" s="14"/>
      <c r="E42" s="14"/>
      <c r="F42" s="14"/>
      <c r="G42" s="14"/>
      <c r="I42" s="5"/>
      <c r="J42" s="0" t="s">
        <v>41</v>
      </c>
    </row>
    <row r="43" outlineLevel="2">
      <c r="A43" s="12" t="s">
        <v>62</v>
      </c>
      <c r="B43" s="0" t="s">
        <v>58</v>
      </c>
      <c r="C43" s="14">
        <v>3</v>
      </c>
      <c r="D43" s="14"/>
      <c r="E43" s="14"/>
      <c r="F43" s="14"/>
      <c r="G43" s="14"/>
      <c r="I43" s="5"/>
      <c r="J43" s="0" t="s">
        <v>41</v>
      </c>
    </row>
    <row r="44" outlineLevel="2">
      <c r="A44" s="12" t="s">
        <v>63</v>
      </c>
      <c r="B44" s="0" t="s">
        <v>58</v>
      </c>
      <c r="C44" s="14">
        <v>33</v>
      </c>
      <c r="D44" s="14"/>
      <c r="E44" s="14"/>
      <c r="F44" s="14"/>
      <c r="G44" s="14"/>
      <c r="I44" s="5"/>
      <c r="J44" s="0" t="s">
        <v>41</v>
      </c>
    </row>
    <row r="45" outlineLevel="2">
      <c r="A45" s="12" t="s">
        <v>64</v>
      </c>
      <c r="B45" s="0" t="s">
        <v>58</v>
      </c>
      <c r="C45" s="14">
        <v>5</v>
      </c>
      <c r="D45" s="14"/>
      <c r="E45" s="14"/>
      <c r="F45" s="14"/>
      <c r="G45" s="14"/>
      <c r="I45" s="5"/>
      <c r="J45" s="0" t="s">
        <v>41</v>
      </c>
    </row>
    <row r="46" outlineLevel="2">
      <c r="A46" s="12" t="s">
        <v>65</v>
      </c>
      <c r="B46" s="0" t="s">
        <v>58</v>
      </c>
      <c r="C46" s="14">
        <v>482</v>
      </c>
      <c r="D46" s="14"/>
      <c r="E46" s="14"/>
      <c r="F46" s="14"/>
      <c r="G46" s="14"/>
      <c r="I46" s="5"/>
      <c r="J46" s="0" t="s">
        <v>41</v>
      </c>
    </row>
    <row r="47" outlineLevel="2">
      <c r="A47" s="12" t="s">
        <v>66</v>
      </c>
      <c r="B47" s="0" t="s">
        <v>58</v>
      </c>
      <c r="C47" s="14">
        <v>0.067</v>
      </c>
      <c r="D47" s="14"/>
      <c r="E47" s="14"/>
      <c r="F47" s="14"/>
      <c r="G47" s="14"/>
      <c r="I47" s="5"/>
      <c r="J47" s="0" t="s">
        <v>41</v>
      </c>
    </row>
    <row r="48" outlineLevel="2">
      <c r="A48" s="12" t="s">
        <v>67</v>
      </c>
      <c r="B48" s="0" t="s">
        <v>58</v>
      </c>
      <c r="C48" s="14">
        <v>805</v>
      </c>
      <c r="D48" s="14"/>
      <c r="E48" s="14"/>
      <c r="F48" s="14"/>
      <c r="G48" s="14"/>
      <c r="I48" s="5"/>
      <c r="J48" s="0" t="s">
        <v>41</v>
      </c>
    </row>
    <row r="49" outlineLevel="2">
      <c r="A49" s="12" t="s">
        <v>68</v>
      </c>
      <c r="B49" s="0" t="s">
        <v>58</v>
      </c>
      <c r="C49" s="14">
        <v>488</v>
      </c>
      <c r="D49" s="14"/>
      <c r="E49" s="14"/>
      <c r="F49" s="14"/>
      <c r="G49" s="14"/>
      <c r="I49" s="5"/>
      <c r="J49" s="0" t="s">
        <v>41</v>
      </c>
    </row>
    <row r="50" outlineLevel="2">
      <c r="A50" s="12" t="s">
        <v>69</v>
      </c>
      <c r="B50" s="0" t="s">
        <v>58</v>
      </c>
      <c r="C50" s="14">
        <v>73</v>
      </c>
      <c r="D50" s="14"/>
      <c r="E50" s="14"/>
      <c r="F50" s="14"/>
      <c r="G50" s="14"/>
      <c r="I50" s="5"/>
      <c r="J50" s="0" t="s">
        <v>41</v>
      </c>
    </row>
    <row r="51" outlineLevel="2">
      <c r="A51" s="12" t="s">
        <v>70</v>
      </c>
      <c r="B51" s="0" t="s">
        <v>58</v>
      </c>
      <c r="C51" s="14">
        <v>1613</v>
      </c>
      <c r="D51" s="14"/>
      <c r="E51" s="14"/>
      <c r="F51" s="14"/>
      <c r="G51" s="14"/>
      <c r="I51" s="5"/>
      <c r="J51" s="0" t="s">
        <v>41</v>
      </c>
    </row>
    <row r="52" outlineLevel="2">
      <c r="A52" s="12" t="s">
        <v>71</v>
      </c>
      <c r="B52" s="0" t="s">
        <v>58</v>
      </c>
      <c r="C52" s="14">
        <v>11</v>
      </c>
      <c r="D52" s="14"/>
      <c r="E52" s="14"/>
      <c r="F52" s="14"/>
      <c r="G52" s="14"/>
      <c r="I52" s="5"/>
      <c r="J52" s="0" t="s">
        <v>41</v>
      </c>
    </row>
    <row r="53" outlineLevel="2">
      <c r="A53" s="12" t="s">
        <v>72</v>
      </c>
      <c r="B53" s="0" t="s">
        <v>58</v>
      </c>
      <c r="C53" s="14">
        <v>67</v>
      </c>
      <c r="D53" s="14"/>
      <c r="E53" s="14"/>
      <c r="F53" s="14"/>
      <c r="G53" s="14"/>
      <c r="I53" s="5"/>
      <c r="J53" s="0" t="s">
        <v>41</v>
      </c>
    </row>
    <row r="54" outlineLevel="2">
      <c r="A54" s="12" t="s">
        <v>73</v>
      </c>
      <c r="B54" s="0" t="s">
        <v>58</v>
      </c>
      <c r="C54" s="14">
        <v>73</v>
      </c>
      <c r="D54" s="14"/>
      <c r="E54" s="14"/>
      <c r="F54" s="14"/>
      <c r="G54" s="14"/>
      <c r="I54" s="5"/>
      <c r="J54" s="0" t="s">
        <v>41</v>
      </c>
    </row>
    <row r="55" outlineLevel="2">
      <c r="A55" s="12" t="s">
        <v>74</v>
      </c>
      <c r="B55" s="0" t="s">
        <v>58</v>
      </c>
      <c r="C55" s="14">
        <v>4193</v>
      </c>
      <c r="D55" s="14"/>
      <c r="E55" s="14"/>
      <c r="F55" s="14"/>
      <c r="G55" s="14"/>
      <c r="I55" s="5"/>
      <c r="J55" s="0" t="s">
        <v>41</v>
      </c>
    </row>
    <row r="56" outlineLevel="2">
      <c r="A56" s="12" t="s">
        <v>75</v>
      </c>
      <c r="B56" s="0" t="s">
        <v>58</v>
      </c>
      <c r="C56" s="14">
        <v>15</v>
      </c>
      <c r="D56" s="14"/>
      <c r="E56" s="14"/>
      <c r="F56" s="14"/>
      <c r="G56" s="14"/>
      <c r="I56" s="5"/>
      <c r="J56" s="0" t="s">
        <v>41</v>
      </c>
    </row>
    <row r="57" outlineLevel="2">
      <c r="A57" s="12" t="s">
        <v>76</v>
      </c>
      <c r="B57" s="0" t="s">
        <v>58</v>
      </c>
      <c r="C57" s="14">
        <v>168</v>
      </c>
      <c r="D57" s="14"/>
      <c r="E57" s="14"/>
      <c r="F57" s="14"/>
      <c r="G57" s="14"/>
      <c r="I57" s="5"/>
      <c r="J57" s="0" t="s">
        <v>41</v>
      </c>
    </row>
    <row r="58" outlineLevel="2">
      <c r="A58" s="12" t="s">
        <v>77</v>
      </c>
      <c r="B58" s="0" t="s">
        <v>58</v>
      </c>
      <c r="C58" s="14">
        <v>1.5</v>
      </c>
      <c r="D58" s="14"/>
      <c r="E58" s="14"/>
      <c r="F58" s="14"/>
      <c r="G58" s="14"/>
      <c r="I58" s="5"/>
      <c r="J58" s="0" t="s">
        <v>41</v>
      </c>
    </row>
    <row r="59" outlineLevel="2">
      <c r="A59" s="12" t="s">
        <v>78</v>
      </c>
      <c r="B59" s="0" t="s">
        <v>58</v>
      </c>
      <c r="C59" s="14">
        <v>156</v>
      </c>
      <c r="D59" s="14"/>
      <c r="E59" s="14"/>
      <c r="F59" s="14"/>
      <c r="G59" s="14"/>
      <c r="I59" s="5"/>
      <c r="J59" s="0" t="s">
        <v>41</v>
      </c>
    </row>
    <row r="60">
      <c r="I60" s="5"/>
    </row>
    <row r="61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</mergeCells>
  <dataValidations count="1">
    <dataValidation type="decimal" sqref="C20" errorStyle="stop" promptTitle="Enter moisture content" errorTitle="Invalid moisture content" prompt="Value should be between 0 and 100.&#10;Original value: 1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https://phyllis.nl/Biomass/View/2901</dc:description>
  <dcterms:created xsi:type="dcterms:W3CDTF">2026-03-19T04:02:42Z</dcterms:created>
  <dc:title>Phyllis2 #2901 wood, demolition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