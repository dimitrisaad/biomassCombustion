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05 wood, beech chip" sheetId="1" r:id="rId1"/>
  </sheets>
  <definedNames>
    <definedName name="w" localSheetId="0">IF(ISBLANK('Phyllis2 #2905 wood, beech chip'!$C$21),#N/A,'Phyllis2 #2905 wood, beech chip'!$C$21/100)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<sst xmlns="http://schemas.openxmlformats.org/spreadsheetml/2006/main" count="88" uniqueCount="88">
  <si>
    <t>Phyllis2</t>
  </si>
  <si>
    <t>https://phyllis.nl/Biomass/View/2905</t>
  </si>
  <si>
    <t>wood, beech chips Rettenmayer (#2905)</t>
  </si>
  <si>
    <t>ID-number</t>
  </si>
  <si>
    <t>#2905</t>
  </si>
  <si>
    <t>Material</t>
  </si>
  <si>
    <t>wood, beech chips Rettenmayer</t>
  </si>
  <si>
    <t>Classification</t>
  </si>
  <si>
    <t>CEN/TS 14961 classification &gt; Solid biofuels &gt; Woody biomass</t>
  </si>
  <si>
    <t>ECN Phyllis classification &gt; untreated wood &gt; beech</t>
  </si>
  <si>
    <t>NTA 8003 classification &gt; [100] hout &gt; [110] vers hout &gt; [120] loofhout &gt; [125] hard loofhout</t>
  </si>
  <si>
    <t>Ash type</t>
  </si>
  <si>
    <t>550°C; ash 815: 0.93 wt%</t>
  </si>
  <si>
    <t>Submitter organisation</t>
  </si>
  <si>
    <t>ECN (Netherlands)</t>
  </si>
  <si>
    <t>Submission date</t>
  </si>
  <si>
    <t>Remarks</t>
  </si>
  <si>
    <t>W-content 18 mg/kg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</si>
  <si>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</si>
  <si>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</si>
  <si>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</si>
  <si>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</si>
  <si>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</si>
  <si>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</si>
  <si>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</si>
  <si>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</si>
  <si>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</si>
  <si>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</si>
  <si>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</si>
  <si>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</si>
  <si>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</si>
  <si>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</si>
  <si>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</si>
  <si>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</si>
  <si>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</si>
  <si>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</si>
  <si>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</si>
  <si>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</si>
  <si>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</si>
  <si>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</si>
  <si>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</si>
  <si>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</si>
  <si>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</si>
  <si>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</si>
  <si>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</si>
  <si>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</si>
  <si>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</si>
  <si>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</si>
  <si>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</si>
  <si>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</si>
  <si>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</si>
  <si>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</si>
  <si>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</si>
  <si>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 15289</t>
  </si>
  <si>
    <t>Total (with halides)</t>
  </si>
  <si>
    <t>Halides</t>
  </si>
  <si>
    <t>Chlorine (Cl)</t>
  </si>
  <si>
    <t>mg/kg</t>
  </si>
  <si>
    <t>Fluorine (F)</t>
  </si>
  <si>
    <t>B.N203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</si>
  <si>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</si>
  <si>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</si>
  <si>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</si>
  <si>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</si>
  <si>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</si>
  <si>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</si>
  <si>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</si>
  <si>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</si>
  <si>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</si>
  <si>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</si>
  <si>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Boron (B)</t>
  </si>
  <si>
    <t>B.S221</t>
  </si>
  <si>
    <t>Barium (Ba)</t>
  </si>
  <si>
    <t>CEN/TS 15297</t>
  </si>
  <si>
    <t>Calcium (Ca)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</si>
  <si>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</si>
  <si>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</si>
  <si>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</si>
  <si>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</si>
  <si>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</si>
  <si>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</si>
  <si>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</si>
  <si>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</si>
  <si>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</si>
  <si>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</si>
  <si>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Strontium (Sr)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</si>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</sst>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5.59852123260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40602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16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8.9</v>
      </c>
      <c r="D21" s="13"/>
      <c r="E21" s="13"/>
      <c r="F21" s="13"/>
      <c r="G21" s="13"/>
      <c r="H21" s="0" t="s">
        <v>36</v>
      </c>
      <c r="I21" s="5"/>
      <c r="J21" s="0" t="s">
        <v>37</v>
      </c>
    </row>
    <row r="22" outlineLevel="2">
      <c r="A22" s="12" t="s">
        <v>38</v>
      </c>
      <c r="B22" s="0" t="s">
        <v>35</v>
      </c>
      <c r="C22" s="13">
        <f>IFERROR(1.26*(1-w),"")</f>
        <v>1.14786</v>
      </c>
      <c r="D22" s="13">
        <v>1.26</v>
      </c>
      <c r="E22" s="13">
        <v/>
      </c>
      <c r="F22" s="13"/>
      <c r="G22" s="13"/>
      <c r="H22" s="0" t="s">
        <v>36</v>
      </c>
      <c r="I22" s="5"/>
      <c r="J22" s="0" t="s">
        <v>39</v>
      </c>
    </row>
    <row r="23" outlineLevel="2">
      <c r="A23" s="12" t="s">
        <v>40</v>
      </c>
      <c r="B23" s="0" t="s">
        <v>35</v>
      </c>
      <c r="C23" s="13">
        <f>IFERROR(0.93*(1-w),"")</f>
        <v>0.84723</v>
      </c>
      <c r="D23" s="13">
        <v>0.93</v>
      </c>
      <c r="E23" s="13">
        <v/>
      </c>
      <c r="F23" s="13"/>
      <c r="G23" s="13"/>
      <c r="H23" s="0" t="s">
        <v>36</v>
      </c>
      <c r="I23" s="5"/>
    </row>
    <row r="24" outlineLevel="2">
      <c r="A24" s="12" t="s">
        <v>41</v>
      </c>
      <c r="B24" s="0" t="s">
        <v>35</v>
      </c>
      <c r="C24" s="13">
        <f>IFERROR(80.9*(1-w),"")</f>
        <v>73.699900000000014</v>
      </c>
      <c r="D24" s="13">
        <v>80.9</v>
      </c>
      <c r="E24" s="13">
        <v>81.932347579501723</v>
      </c>
      <c r="F24" s="13"/>
      <c r="G24" s="13"/>
      <c r="H24" s="0" t="s">
        <v>36</v>
      </c>
      <c r="I24" s="5"/>
    </row>
    <row r="25" outlineLevel="2">
      <c r="A25" s="12" t="s">
        <v>42</v>
      </c>
      <c r="B25" s="0" t="s">
        <v>35</v>
      </c>
      <c r="C25" s="13">
        <f>IFERROR(17.84*(1-w),"")</f>
        <v>16.25223999999999</v>
      </c>
      <c r="D25" s="13">
        <v>17.839999999999989</v>
      </c>
      <c r="E25" s="13">
        <v>18.067652420498266</v>
      </c>
      <c r="F25" s="13"/>
      <c r="G25" s="13"/>
      <c r="I25" s="5"/>
      <c r="J25" s="0" t="s">
        <v>43</v>
      </c>
    </row>
    <row r="26" outlineLevel="1">
      <c r="A26" s="11" t="s">
        <v>44</v>
      </c>
      <c r="I26" s="5"/>
    </row>
    <row r="27" outlineLevel="2">
      <c r="A27" s="12" t="s">
        <v>45</v>
      </c>
      <c r="B27" s="0" t="s">
        <v>35</v>
      </c>
      <c r="C27" s="13">
        <f>IFERROR(47.45*(1-w),"")</f>
        <v>43.22695</v>
      </c>
      <c r="D27" s="13">
        <v>47.45</v>
      </c>
      <c r="E27" s="13">
        <v>48.055499291067449</v>
      </c>
      <c r="F27" s="13"/>
      <c r="G27" s="13"/>
      <c r="H27" s="0" t="s">
        <v>36</v>
      </c>
      <c r="I27" s="5"/>
      <c r="J27" s="0" t="s">
        <v>46</v>
      </c>
    </row>
    <row r="28" outlineLevel="2">
      <c r="A28" s="12" t="s">
        <v>47</v>
      </c>
      <c r="B28" s="0" t="s">
        <v>35</v>
      </c>
      <c r="C28" s="13">
        <f>IFERROR(6.38*(1-w),"")</f>
        <v>5.81218</v>
      </c>
      <c r="D28" s="13">
        <v>6.38</v>
      </c>
      <c r="E28" s="13">
        <v>6.4614138140571189</v>
      </c>
      <c r="F28" s="13"/>
      <c r="G28" s="13"/>
      <c r="H28" s="0" t="s">
        <v>36</v>
      </c>
      <c r="I28" s="5"/>
      <c r="J28" s="0" t="s">
        <v>46</v>
      </c>
    </row>
    <row r="29" outlineLevel="2">
      <c r="A29" s="12" t="s">
        <v>48</v>
      </c>
      <c r="B29" s="0" t="s">
        <v>35</v>
      </c>
      <c r="C29" s="13">
        <f>IFERROR(48.75*(1-w),"")</f>
        <v>44.41125</v>
      </c>
      <c r="D29" s="13">
        <v>48.75</v>
      </c>
      <c r="E29" s="13">
        <v>49.37208831274053</v>
      </c>
      <c r="F29" s="13"/>
      <c r="G29" s="13"/>
      <c r="H29" s="0" t="s">
        <v>36</v>
      </c>
      <c r="I29" s="5"/>
      <c r="J29" s="0" t="s">
        <v>49</v>
      </c>
      <c r="K29" s="0" t="s">
        <v>50</v>
      </c>
    </row>
    <row r="30" outlineLevel="2">
      <c r="A30" s="12" t="s">
        <v>51</v>
      </c>
      <c r="B30" s="0" t="s">
        <v>35</v>
      </c>
      <c r="C30" s="13">
        <f>IFERROR(0.17*(1-w),"")</f>
        <v>0.15487</v>
      </c>
      <c r="D30" s="13">
        <v>0.17</v>
      </c>
      <c r="E30" s="13">
        <v>0.17216933360340289</v>
      </c>
      <c r="F30" s="13"/>
      <c r="G30" s="13"/>
      <c r="H30" s="0" t="s">
        <v>36</v>
      </c>
      <c r="I30" s="5"/>
      <c r="J30" s="0" t="s">
        <v>46</v>
      </c>
    </row>
    <row r="31" outlineLevel="2">
      <c r="A31" s="12" t="s">
        <v>52</v>
      </c>
      <c r="B31" s="0" t="s">
        <v>35</v>
      </c>
      <c r="C31" s="13">
        <f>IFERROR(0.0235*(1-w),"")</f>
        <v>0.0214085</v>
      </c>
      <c r="D31" s="13">
        <v>0.0235</v>
      </c>
      <c r="E31" s="13">
        <v>0.023799878468705689</v>
      </c>
      <c r="F31" s="13"/>
      <c r="G31" s="13"/>
      <c r="H31" s="0" t="s">
        <v>36</v>
      </c>
      <c r="I31" s="5"/>
      <c r="J31" s="0" t="s">
        <v>53</v>
      </c>
    </row>
    <row r="32" outlineLevel="2">
      <c r="A32" s="12" t="s">
        <v>54</v>
      </c>
      <c r="B32" s="0" t="s">
        <v>35</v>
      </c>
      <c r="C32" s="13">
        <f>IFERROR(104.0396*(1-w)+w*100,"")</f>
        <v>103.68007560000002</v>
      </c>
      <c r="D32" s="13">
        <v>104.03960000000002</v>
      </c>
      <c r="E32" s="13">
        <v>104.09114847073123</v>
      </c>
      <c r="F32" s="13"/>
      <c r="G32" s="13"/>
      <c r="I32" s="5"/>
      <c r="J32" s="0" t="s">
        <v>43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57</v>
      </c>
      <c r="C34" s="14">
        <f>IFERROR(56*(1-w),"")</f>
        <v>51.016000000000005</v>
      </c>
      <c r="D34" s="14">
        <v>56</v>
      </c>
      <c r="E34" s="14">
        <v>56.71460401053271</v>
      </c>
      <c r="F34" s="14"/>
      <c r="G34" s="14"/>
      <c r="H34" s="0" t="s">
        <v>36</v>
      </c>
      <c r="I34" s="5"/>
      <c r="J34" s="0" t="s">
        <v>53</v>
      </c>
    </row>
    <row r="35" outlineLevel="2">
      <c r="A35" s="12" t="s">
        <v>58</v>
      </c>
      <c r="B35" s="0" t="s">
        <v>57</v>
      </c>
      <c r="C35" s="14">
        <f>IFERROR(5*(1-w),"")</f>
        <v>4.555</v>
      </c>
      <c r="D35" s="14">
        <v>5</v>
      </c>
      <c r="E35" s="14">
        <v>5.0638039295118489</v>
      </c>
      <c r="F35" s="14"/>
      <c r="G35" s="14"/>
      <c r="H35" s="0" t="s">
        <v>36</v>
      </c>
      <c r="I35" s="5"/>
      <c r="J35" s="0" t="s">
        <v>49</v>
      </c>
      <c r="K35" s="0" t="s">
        <v>59</v>
      </c>
    </row>
    <row r="36" outlineLevel="1">
      <c r="A36" s="11" t="s">
        <v>60</v>
      </c>
      <c r="I36" s="5"/>
    </row>
    <row r="37" outlineLevel="2">
      <c r="A37" s="12" t="s">
        <v>61</v>
      </c>
      <c r="B37" s="0" t="s">
        <v>62</v>
      </c>
      <c r="C37" s="13">
        <f>IFERROR(17.83878*(1-w)-w*2.443,"")</f>
        <v>16.03370158</v>
      </c>
      <c r="D37" s="13">
        <v>17.83878</v>
      </c>
      <c r="E37" s="13">
        <v>18.066416852339476</v>
      </c>
      <c r="F37" s="13"/>
      <c r="G37" s="13"/>
      <c r="H37" s="0" t="s">
        <v>36</v>
      </c>
      <c r="I37" s="5"/>
    </row>
    <row r="38" outlineLevel="2">
      <c r="A38" s="12" t="s">
        <v>63</v>
      </c>
      <c r="B38" s="0" t="s">
        <v>62</v>
      </c>
      <c r="C38" s="13">
        <f>IFERROR(19.231*(1-w),"")</f>
        <v>17.519441</v>
      </c>
      <c r="D38" s="13">
        <v>19.231</v>
      </c>
      <c r="E38" s="13">
        <v>19.476402673688476</v>
      </c>
      <c r="F38" s="13"/>
      <c r="G38" s="13"/>
      <c r="H38" s="0" t="s">
        <v>36</v>
      </c>
      <c r="I38" s="5"/>
      <c r="J38" s="0" t="s">
        <v>64</v>
      </c>
    </row>
    <row r="39" outlineLevel="2">
      <c r="A39" s="12" t="s">
        <v>65</v>
      </c>
      <c r="B39" s="0" t="s">
        <v>62</v>
      </c>
      <c r="C39" s="13">
        <f>IFERROR(18.7269870028*(1-w),"")</f>
        <v>17.0602851595508</v>
      </c>
      <c r="D39" s="13">
        <v>18.7269870028</v>
      </c>
      <c r="E39" s="13">
        <v>18.965958074539195</v>
      </c>
      <c r="F39" s="13"/>
      <c r="G39" s="13"/>
      <c r="I39" s="5"/>
      <c r="J39" s="0" t="s">
        <v>43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4">
        <v>26</v>
      </c>
      <c r="D41" s="14"/>
      <c r="E41" s="14"/>
      <c r="F41" s="14"/>
      <c r="G41" s="14"/>
      <c r="H41" s="0" t="s">
        <v>36</v>
      </c>
      <c r="I41" s="5"/>
      <c r="J41" s="0" t="s">
        <v>69</v>
      </c>
    </row>
    <row r="42" outlineLevel="2">
      <c r="A42" s="12" t="s">
        <v>70</v>
      </c>
      <c r="B42" s="0" t="s">
        <v>68</v>
      </c>
      <c r="C42" s="14">
        <v>5</v>
      </c>
      <c r="D42" s="14"/>
      <c r="E42" s="14"/>
      <c r="F42" s="14"/>
      <c r="G42" s="14"/>
      <c r="H42" s="0" t="s">
        <v>36</v>
      </c>
      <c r="I42" s="5"/>
      <c r="J42" s="0" t="s">
        <v>49</v>
      </c>
      <c r="K42" s="0" t="s">
        <v>71</v>
      </c>
    </row>
    <row r="43" outlineLevel="2">
      <c r="A43" s="12" t="s">
        <v>72</v>
      </c>
      <c r="B43" s="0" t="s">
        <v>68</v>
      </c>
      <c r="C43" s="14">
        <v>25</v>
      </c>
      <c r="D43" s="14"/>
      <c r="E43" s="14"/>
      <c r="F43" s="14"/>
      <c r="G43" s="14"/>
      <c r="H43" s="0" t="s">
        <v>36</v>
      </c>
      <c r="I43" s="5"/>
      <c r="J43" s="0" t="s">
        <v>73</v>
      </c>
    </row>
    <row r="44" outlineLevel="2">
      <c r="A44" s="12" t="s">
        <v>74</v>
      </c>
      <c r="B44" s="0" t="s">
        <v>68</v>
      </c>
      <c r="C44" s="14">
        <v>2964</v>
      </c>
      <c r="D44" s="14"/>
      <c r="E44" s="14"/>
      <c r="F44" s="14"/>
      <c r="G44" s="14"/>
      <c r="H44" s="0" t="s">
        <v>36</v>
      </c>
      <c r="I44" s="5"/>
      <c r="J44" s="0" t="s">
        <v>69</v>
      </c>
    </row>
    <row r="45" outlineLevel="2">
      <c r="A45" s="12" t="s">
        <v>75</v>
      </c>
      <c r="B45" s="0" t="s">
        <v>68</v>
      </c>
      <c r="C45" s="14">
        <v>2</v>
      </c>
      <c r="D45" s="14"/>
      <c r="E45" s="14"/>
      <c r="F45" s="14"/>
      <c r="G45" s="14"/>
      <c r="H45" s="0" t="s">
        <v>36</v>
      </c>
      <c r="I45" s="5"/>
      <c r="J45" s="0" t="s">
        <v>73</v>
      </c>
    </row>
    <row r="46" outlineLevel="2">
      <c r="A46" s="12" t="s">
        <v>76</v>
      </c>
      <c r="B46" s="0" t="s">
        <v>68</v>
      </c>
      <c r="C46" s="14">
        <v>3</v>
      </c>
      <c r="D46" s="14"/>
      <c r="E46" s="14"/>
      <c r="F46" s="14"/>
      <c r="G46" s="14"/>
      <c r="H46" s="0" t="s">
        <v>36</v>
      </c>
      <c r="I46" s="5"/>
      <c r="J46" s="0" t="s">
        <v>73</v>
      </c>
    </row>
    <row r="47" outlineLevel="2">
      <c r="A47" s="12" t="s">
        <v>77</v>
      </c>
      <c r="B47" s="0" t="s">
        <v>68</v>
      </c>
      <c r="C47" s="14">
        <v>99</v>
      </c>
      <c r="D47" s="14"/>
      <c r="E47" s="14"/>
      <c r="F47" s="14"/>
      <c r="G47" s="14"/>
      <c r="H47" s="0" t="s">
        <v>36</v>
      </c>
      <c r="I47" s="5"/>
      <c r="J47" s="0" t="s">
        <v>69</v>
      </c>
    </row>
    <row r="48" outlineLevel="2">
      <c r="A48" s="12" t="s">
        <v>78</v>
      </c>
      <c r="B48" s="0" t="s">
        <v>68</v>
      </c>
      <c r="C48" s="14">
        <v>1331</v>
      </c>
      <c r="D48" s="14"/>
      <c r="E48" s="14"/>
      <c r="F48" s="14"/>
      <c r="G48" s="14"/>
      <c r="H48" s="0" t="s">
        <v>36</v>
      </c>
      <c r="I48" s="5"/>
      <c r="J48" s="0" t="s">
        <v>69</v>
      </c>
    </row>
    <row r="49" outlineLevel="2">
      <c r="A49" s="12" t="s">
        <v>79</v>
      </c>
      <c r="B49" s="0" t="s">
        <v>68</v>
      </c>
      <c r="C49" s="14">
        <v>503</v>
      </c>
      <c r="D49" s="14"/>
      <c r="E49" s="14"/>
      <c r="F49" s="14"/>
      <c r="G49" s="14"/>
      <c r="H49" s="0" t="s">
        <v>36</v>
      </c>
      <c r="I49" s="5"/>
      <c r="J49" s="0" t="s">
        <v>69</v>
      </c>
    </row>
    <row r="50" outlineLevel="2">
      <c r="A50" s="12" t="s">
        <v>80</v>
      </c>
      <c r="B50" s="0" t="s">
        <v>68</v>
      </c>
      <c r="C50" s="14">
        <v>94</v>
      </c>
      <c r="D50" s="14"/>
      <c r="E50" s="14"/>
      <c r="F50" s="14"/>
      <c r="G50" s="14"/>
      <c r="H50" s="0" t="s">
        <v>36</v>
      </c>
      <c r="I50" s="5"/>
      <c r="J50" s="0" t="s">
        <v>73</v>
      </c>
    </row>
    <row r="51" outlineLevel="2">
      <c r="A51" s="12" t="s">
        <v>81</v>
      </c>
      <c r="B51" s="0" t="s">
        <v>68</v>
      </c>
      <c r="C51" s="14">
        <v>36</v>
      </c>
      <c r="D51" s="14"/>
      <c r="E51" s="14"/>
      <c r="F51" s="14"/>
      <c r="G51" s="14"/>
      <c r="H51" s="0" t="s">
        <v>36</v>
      </c>
      <c r="I51" s="5"/>
      <c r="J51" s="0" t="s">
        <v>69</v>
      </c>
    </row>
    <row r="52" outlineLevel="2">
      <c r="A52" s="12" t="s">
        <v>82</v>
      </c>
      <c r="B52" s="0" t="s">
        <v>68</v>
      </c>
      <c r="C52" s="14">
        <v>2</v>
      </c>
      <c r="D52" s="14"/>
      <c r="E52" s="14"/>
      <c r="F52" s="14"/>
      <c r="G52" s="14"/>
      <c r="H52" s="0" t="s">
        <v>36</v>
      </c>
      <c r="I52" s="5"/>
      <c r="J52" s="0" t="s">
        <v>73</v>
      </c>
    </row>
    <row r="53" outlineLevel="2">
      <c r="A53" s="12" t="s">
        <v>83</v>
      </c>
      <c r="B53" s="0" t="s">
        <v>68</v>
      </c>
      <c r="C53" s="14">
        <v>104</v>
      </c>
      <c r="D53" s="14"/>
      <c r="E53" s="14"/>
      <c r="F53" s="14"/>
      <c r="G53" s="14"/>
      <c r="H53" s="0" t="s">
        <v>36</v>
      </c>
      <c r="I53" s="5"/>
      <c r="J53" s="0" t="s">
        <v>69</v>
      </c>
    </row>
    <row r="54" outlineLevel="2">
      <c r="A54" s="12" t="s">
        <v>84</v>
      </c>
      <c r="B54" s="0" t="s">
        <v>68</v>
      </c>
      <c r="C54" s="14">
        <v>242</v>
      </c>
      <c r="D54" s="14"/>
      <c r="E54" s="14"/>
      <c r="F54" s="14"/>
      <c r="G54" s="14"/>
      <c r="H54" s="0" t="s">
        <v>36</v>
      </c>
      <c r="I54" s="5"/>
      <c r="J54" s="0" t="s">
        <v>69</v>
      </c>
    </row>
    <row r="55" outlineLevel="2">
      <c r="A55" s="12" t="s">
        <v>85</v>
      </c>
      <c r="B55" s="0" t="s">
        <v>68</v>
      </c>
      <c r="C55" s="14">
        <v>6</v>
      </c>
      <c r="D55" s="14"/>
      <c r="E55" s="14"/>
      <c r="F55" s="14"/>
      <c r="G55" s="14"/>
      <c r="H55" s="0" t="s">
        <v>36</v>
      </c>
      <c r="I55" s="5"/>
      <c r="J55" s="0" t="s">
        <v>49</v>
      </c>
      <c r="K55" s="0" t="s">
        <v>71</v>
      </c>
    </row>
    <row r="56" outlineLevel="2">
      <c r="A56" s="12" t="s">
        <v>86</v>
      </c>
      <c r="B56" s="0" t="s">
        <v>68</v>
      </c>
      <c r="C56" s="14">
        <v>4</v>
      </c>
      <c r="D56" s="14"/>
      <c r="E56" s="14"/>
      <c r="F56" s="14"/>
      <c r="G56" s="14"/>
      <c r="H56" s="0" t="s">
        <v>36</v>
      </c>
      <c r="I56" s="5"/>
      <c r="J56" s="0" t="s">
        <v>69</v>
      </c>
    </row>
    <row r="57" outlineLevel="2">
      <c r="A57" s="12" t="s">
        <v>87</v>
      </c>
      <c r="B57" s="0" t="s">
        <v>68</v>
      </c>
      <c r="C57" s="14">
        <v>3</v>
      </c>
      <c r="D57" s="14"/>
      <c r="E57" s="14"/>
      <c r="F57" s="14"/>
      <c r="G57" s="14"/>
      <c r="H57" s="0" t="s">
        <v>36</v>
      </c>
      <c r="I57" s="5"/>
      <c r="J57" s="0" t="s">
        <v>73</v>
      </c>
    </row>
    <row r="58">
      <c r="I58" s="5"/>
    </row>
    <row r="59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21" errorStyle="stop" promptTitle="Enter moisture content" errorTitle="Invalid moisture content" prompt="Value should be between 0 and 100.&#10;Original value: 8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https://phyllis.nl/Biomass/View/2905</dc:description>
  <dcterms:created xsi:type="dcterms:W3CDTF">2026-03-19T04:20:06Z</dcterms:created>
  <dc:title>Phyllis2 #2905 wood, beech chips Rettenmayer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