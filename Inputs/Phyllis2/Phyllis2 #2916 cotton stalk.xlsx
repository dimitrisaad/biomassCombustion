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16 cotton stalk" sheetId="1" r:id="rId1"/>
  </sheets>
  <definedNames>
    <definedName name="w" localSheetId="0">IF(ISBLANK('Phyllis2 #2916 cotton stalk'!$C$18),#N/A,'Phyllis2 #2916 cotton stalk'!$C$18/100)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<sst xmlns="http://schemas.openxmlformats.org/spreadsheetml/2006/main" count="49" uniqueCount="49">
  <si>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</si>
  <si>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https://phyllis.nl/Biomass/View/2916</t>
  </si>
  <si>
    <t>cotton stalk (#2916)</t>
  </si>
  <si>
    <t>ID-number</t>
  </si>
  <si>
    <t>#2916</t>
  </si>
  <si>
    <t>Material</t>
  </si>
  <si>
    <t>cotton stalk</t>
  </si>
  <si>
    <t>Classification</t>
  </si>
  <si>
    <t>ECN Phyllis classification &gt; straw (stalk/cob/ear) &gt; others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</si>
  <si>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</si>
  <si>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</si>
  <si>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</si>
  <si>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</si>
  <si>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Literature</t>
  </si>
  <si>
    <t>Z. Sun, J. Shen, B. Jin, L. Wei: Combustion characteristics of cotton stalk in FBC. Biomass and Bioenergy 34 (2010) 761-770.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</si>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</sst>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40602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15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IFERROR(3.15*(1-w),"")</f>
        <v>2.6774999999999998</v>
      </c>
      <c r="D19" s="13">
        <v>3.15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IFERROR(74.2*(1-w),"")</f>
        <v>63.07</v>
      </c>
      <c r="D20" s="13">
        <v>74.2</v>
      </c>
      <c r="E20" s="13">
        <v>76.6133195663397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IFERROR(22.65*(1-w),"")</f>
        <v>19.252499999999991</v>
      </c>
      <c r="D21" s="13">
        <v>22.649999999999991</v>
      </c>
      <c r="E21" s="13">
        <v>23.386680433660288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IFERROR(47.57647*(1-w),"")</f>
        <v>40.4399995</v>
      </c>
      <c r="D23" s="13">
        <v>47.57647</v>
      </c>
      <c r="E23" s="13">
        <v>49.123871966959214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IFERROR(5.964706*(1-w),"")</f>
        <v>5.0700001</v>
      </c>
      <c r="D24" s="13">
        <v>5.964706</v>
      </c>
      <c r="E24" s="13">
        <v>6.1587052142488377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IFERROR(42.94118*(1-w),"")</f>
        <v>36.500003</v>
      </c>
      <c r="D25" s="13">
        <v>42.94118</v>
      </c>
      <c r="E25" s="13">
        <v>44.337821373257619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IFERROR(0.2470588*(1-w),"")</f>
        <v>0.20999998</v>
      </c>
      <c r="D26" s="13">
        <v>0.2470588</v>
      </c>
      <c r="E26" s="13">
        <v>0.25509426948890035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IFERROR(0.1176471*(1-w),"")</f>
        <v>0.100000035</v>
      </c>
      <c r="D27" s="13">
        <v>0.1176471</v>
      </c>
      <c r="E27" s="13">
        <v>0.12147351574599898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IFERROR(99.9970619*(1-w)+w*100,"")</f>
        <v>99.997502615000016</v>
      </c>
      <c r="D28" s="13">
        <v>99.99706190000002</v>
      </c>
      <c r="E28" s="13">
        <v>99.996966339700577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IFERROR(14.58075*(1-w)-w*2.443,"")</f>
        <v>12.0271875</v>
      </c>
      <c r="D30" s="13">
        <v>14.58075</v>
      </c>
      <c r="E30" s="13">
        <v>15.054981930820857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IFERROR(15.88235*(1-w),"")</f>
        <v>13.499997500000001</v>
      </c>
      <c r="D31" s="13">
        <v>15.88235</v>
      </c>
      <c r="E31" s="13">
        <v>16.39891584925142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IFERROR(18.88772267956*(1-w),"")</f>
        <v>16.054564277626003</v>
      </c>
      <c r="D32" s="13">
        <v>18.887722679560003</v>
      </c>
      <c r="E32" s="13">
        <v>19.502036840020654</v>
      </c>
      <c r="F32" s="13"/>
      <c r="G32" s="13"/>
      <c r="I32" s="5"/>
      <c r="J32" s="0" t="s">
        <v>35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1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https://phyllis.nl/Biomass/View/2916</dc:description>
  <dcterms:created xsi:type="dcterms:W3CDTF">2026-03-17T06:08:25Z</dcterms:created>
  <dc:title>Phyllis2 #2916 cotton stalk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