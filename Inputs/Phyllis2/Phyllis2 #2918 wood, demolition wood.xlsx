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918 wood, demolition" sheetId="1" r:id="rId1"/>
  </sheets>
  <definedNames>
    <definedName name="w" localSheetId="0">IF(ISBLANK('Phyllis2 #2918 wood, demolition'!$C$19),#N/A,'Phyllis2 #2918 wood, demolition'!$C$19/100)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<sst xmlns="http://schemas.openxmlformats.org/spreadsheetml/2006/main" count="70" uniqueCount="70">
  <si>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</si>
  <si>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https://phyllis.nl/Biomass/View/2918</t>
  </si>
  <si>
    <t>wood, demolition wood (#2918)</t>
  </si>
  <si>
    <t>ID-number</t>
  </si>
  <si>
    <t>#2918</t>
  </si>
  <si>
    <t>Material</t>
  </si>
  <si>
    <t>wood, demolition wood</t>
  </si>
  <si>
    <t>Classification</t>
  </si>
  <si>
    <t>ECN Phyllis classification &gt; treated wood &gt; demolition wood &gt; wood, demolition wood</t>
  </si>
  <si>
    <t>NTA 8003 classification &gt; [100] hout &gt; [150] verwerkt hout</t>
  </si>
  <si>
    <t>Ash type</t>
  </si>
  <si>
    <t>550°C</t>
  </si>
  <si>
    <t>Submitter organisation</t>
  </si>
  <si>
    <t>ECN (Netherlands)</t>
  </si>
  <si>
    <t>Submission date</t>
  </si>
  <si>
    <t>Literature</t>
  </si>
  <si>
    <t>G. Dunnu, J. Maier, G. Scheffknecht: Ash fusibility and compositional data of solid recovered fuels. Fuel 89 (2010) 1534-1540.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</si>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</sst>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91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40602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11.6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IFERROR(3.99*(1-w),"")</f>
        <v>3.5271600000000003</v>
      </c>
      <c r="D20" s="13">
        <v>3.99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IFERROR(79.83*(1-w),"")</f>
        <v>70.56972</v>
      </c>
      <c r="D21" s="13">
        <v>79.83</v>
      </c>
      <c r="E21" s="13">
        <v>83.147588792834085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IFERROR(16.18*(1-w),"")</f>
        <v>14.303120000000007</v>
      </c>
      <c r="D22" s="13">
        <v>16.180000000000007</v>
      </c>
      <c r="E22" s="13">
        <v>16.852411207165929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IFERROR(54.15158*(1-w),"")</f>
        <v>47.86999672</v>
      </c>
      <c r="D24" s="13">
        <v>54.15158</v>
      </c>
      <c r="E24" s="13">
        <v>56.402020622851794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IFERROR(8.597285*(1-w),"")</f>
        <v>7.5999999399999991</v>
      </c>
      <c r="D25" s="13">
        <v>8.597285</v>
      </c>
      <c r="E25" s="13">
        <v>8.9545724403707947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IFERROR(32.54525*(1-w),"")</f>
        <v>28.770001000000004</v>
      </c>
      <c r="D26" s="13">
        <v>32.54525</v>
      </c>
      <c r="E26" s="13">
        <v>33.897771065514014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33</v>
      </c>
      <c r="C27" s="13">
        <f>IFERROR(0.6900453*(1-w),"")</f>
        <v>0.6100000452</v>
      </c>
      <c r="D27" s="13">
        <v>0.6900453</v>
      </c>
      <c r="E27" s="13">
        <v>0.718722320591605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IFERROR(0.02262443*(1-w),"")</f>
        <v>0.019999996120000002</v>
      </c>
      <c r="D28" s="13">
        <v>0.02262443</v>
      </c>
      <c r="E28" s="13">
        <v>0.023564659931257163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IFERROR(99.99678473*(1-w)+w*100,"")</f>
        <v>99.997157701319978</v>
      </c>
      <c r="D29" s="13">
        <v>99.996784729999987</v>
      </c>
      <c r="E29" s="13">
        <v>99.996651109259446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IFERROR(17.67338*(1-w)-w*2.443,"")</f>
        <v>15.339879920000001</v>
      </c>
      <c r="D31" s="13">
        <v>17.67338</v>
      </c>
      <c r="E31" s="13">
        <v>18.407853348609521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IFERROR(19.54946*(1-w),"")</f>
        <v>17.28172264</v>
      </c>
      <c r="D32" s="13">
        <v>19.54946</v>
      </c>
      <c r="E32" s="13">
        <v>20.361899802103949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IFERROR(25.786004925198*(1-w),"")</f>
        <v>22.794828353875037</v>
      </c>
      <c r="D33" s="13">
        <v>25.786004925198004</v>
      </c>
      <c r="E33" s="13">
        <v>26.857624127901264</v>
      </c>
      <c r="F33" s="13"/>
      <c r="G33" s="13"/>
      <c r="I33" s="5"/>
      <c r="J33" s="0" t="s">
        <v>37</v>
      </c>
    </row>
    <row r="34" outlineLevel="1">
      <c r="A34" s="11" t="s">
        <v>51</v>
      </c>
      <c r="I34" s="5"/>
    </row>
    <row r="35" outlineLevel="2">
      <c r="A35" s="14" t="s">
        <v>52</v>
      </c>
      <c r="I35" s="5"/>
    </row>
    <row r="36" outlineLevel="3">
      <c r="A36" s="15" t="s">
        <v>53</v>
      </c>
      <c r="B36" s="0" t="s">
        <v>54</v>
      </c>
      <c r="C36" s="16">
        <v>1335</v>
      </c>
      <c r="D36" s="16"/>
      <c r="E36" s="16"/>
      <c r="F36" s="16"/>
      <c r="G36" s="16"/>
      <c r="I36" s="5"/>
    </row>
    <row r="37" outlineLevel="3">
      <c r="A37" s="15" t="s">
        <v>55</v>
      </c>
      <c r="B37" s="0" t="s">
        <v>54</v>
      </c>
      <c r="C37" s="16">
        <v>1340</v>
      </c>
      <c r="D37" s="16"/>
      <c r="E37" s="16"/>
      <c r="F37" s="16"/>
      <c r="G37" s="16"/>
      <c r="I37" s="5"/>
    </row>
    <row r="38">
      <c r="A38" s="7" t="s">
        <v>56</v>
      </c>
      <c r="I38" s="5"/>
    </row>
    <row r="39" outlineLevel="1">
      <c r="A39" s="11" t="s">
        <v>57</v>
      </c>
      <c r="I39" s="5"/>
    </row>
    <row r="40" outlineLevel="2">
      <c r="A40" s="12" t="s">
        <v>58</v>
      </c>
      <c r="B40" s="0" t="s">
        <v>59</v>
      </c>
      <c r="C40" s="13">
        <v>1.8</v>
      </c>
      <c r="D40" s="13"/>
      <c r="E40" s="13"/>
      <c r="F40" s="13"/>
      <c r="G40" s="13"/>
      <c r="I40" s="5"/>
    </row>
    <row r="41" outlineLevel="2">
      <c r="A41" s="12" t="s">
        <v>60</v>
      </c>
      <c r="B41" s="0" t="s">
        <v>59</v>
      </c>
      <c r="C41" s="13">
        <v>3.75</v>
      </c>
      <c r="D41" s="13"/>
      <c r="E41" s="13"/>
      <c r="F41" s="13"/>
      <c r="G41" s="13"/>
      <c r="I41" s="5"/>
    </row>
    <row r="42" outlineLevel="2">
      <c r="A42" s="12" t="s">
        <v>61</v>
      </c>
      <c r="B42" s="0" t="s">
        <v>59</v>
      </c>
      <c r="C42" s="13">
        <v>0.65</v>
      </c>
      <c r="D42" s="13"/>
      <c r="E42" s="13"/>
      <c r="F42" s="13"/>
      <c r="G42" s="13"/>
      <c r="I42" s="5"/>
    </row>
    <row r="43" outlineLevel="2">
      <c r="A43" s="12" t="s">
        <v>62</v>
      </c>
      <c r="B43" s="0" t="s">
        <v>59</v>
      </c>
      <c r="C43" s="13">
        <v>18.55</v>
      </c>
      <c r="D43" s="13"/>
      <c r="E43" s="13"/>
      <c r="F43" s="13"/>
      <c r="G43" s="13"/>
      <c r="I43" s="5"/>
    </row>
    <row r="44" outlineLevel="2">
      <c r="A44" s="12" t="s">
        <v>63</v>
      </c>
      <c r="B44" s="0" t="s">
        <v>59</v>
      </c>
      <c r="C44" s="13">
        <v>2.05</v>
      </c>
      <c r="D44" s="13"/>
      <c r="E44" s="13"/>
      <c r="F44" s="13"/>
      <c r="G44" s="13"/>
      <c r="I44" s="5"/>
    </row>
    <row r="45" outlineLevel="2">
      <c r="A45" s="12" t="s">
        <v>64</v>
      </c>
      <c r="B45" s="0" t="s">
        <v>59</v>
      </c>
      <c r="C45" s="13">
        <v>4.98</v>
      </c>
      <c r="D45" s="13"/>
      <c r="E45" s="13"/>
      <c r="F45" s="13"/>
      <c r="G45" s="13"/>
      <c r="I45" s="5"/>
    </row>
    <row r="46" outlineLevel="2">
      <c r="A46" s="12" t="s">
        <v>65</v>
      </c>
      <c r="B46" s="0" t="s">
        <v>59</v>
      </c>
      <c r="C46" s="13">
        <v>12.65</v>
      </c>
      <c r="D46" s="13"/>
      <c r="E46" s="13"/>
      <c r="F46" s="13"/>
      <c r="G46" s="13"/>
      <c r="I46" s="5"/>
    </row>
    <row r="47" outlineLevel="2">
      <c r="A47" s="12" t="s">
        <v>66</v>
      </c>
      <c r="B47" s="0" t="s">
        <v>59</v>
      </c>
      <c r="C47" s="13">
        <v>45.88</v>
      </c>
      <c r="D47" s="13"/>
      <c r="E47" s="13"/>
      <c r="F47" s="13"/>
      <c r="G47" s="13"/>
      <c r="I47" s="5"/>
    </row>
    <row r="48" outlineLevel="2">
      <c r="A48" s="12" t="s">
        <v>67</v>
      </c>
      <c r="B48" s="0" t="s">
        <v>59</v>
      </c>
      <c r="C48" s="13">
        <v>1.97</v>
      </c>
      <c r="D48" s="13"/>
      <c r="E48" s="13"/>
      <c r="F48" s="13"/>
      <c r="G48" s="13"/>
      <c r="I48" s="5"/>
    </row>
    <row r="49" outlineLevel="2">
      <c r="A49" s="12" t="s">
        <v>68</v>
      </c>
      <c r="B49" s="0" t="s">
        <v>59</v>
      </c>
      <c r="C49" s="13">
        <v>2.2</v>
      </c>
      <c r="D49" s="13"/>
      <c r="E49" s="13"/>
      <c r="F49" s="13"/>
      <c r="G49" s="13"/>
      <c r="I49" s="5"/>
    </row>
    <row r="50" outlineLevel="2">
      <c r="A50" s="12" t="s">
        <v>69</v>
      </c>
      <c r="B50" s="0" t="s">
        <v>59</v>
      </c>
      <c r="C50" s="13">
        <v>3.98</v>
      </c>
      <c r="D50" s="13"/>
      <c r="E50" s="13"/>
      <c r="F50" s="13"/>
      <c r="G50" s="13"/>
      <c r="I50" s="5"/>
    </row>
    <row r="51">
      <c r="I51" s="5"/>
    </row>
    <row r="5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</mergeCells>
  <dataValidations count="1">
    <dataValidation type="decimal" sqref="C19" errorStyle="stop" promptTitle="Enter moisture content" errorTitle="Invalid moisture content" prompt="Value should be between 0 and 100.&#10;Original value: 11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https://phyllis.nl/Biomass/View/2918</dc:description>
  <dcterms:created xsi:type="dcterms:W3CDTF">2026-03-19T04:02:45Z</dcterms:created>
  <dc:title>Phyllis2 #2918 wood, demolition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