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5 wood, redwood" sheetId="1" r:id="rId1"/>
  </sheets>
  <definedNames>
    <definedName name="w" localSheetId="0">IF(ISBLANK('Phyllis2 #295 wood, redwood'!$C$17),#N/A,'Phyllis2 #295 wood, redwood'!$C$17/100)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<sst xmlns="http://schemas.openxmlformats.org/spreadsheetml/2006/main" count="48" uniqueCount="48">
  <si>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</si>
  <si>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https://phyllis.nl/Biomass/View/295</t>
  </si>
  <si>
    <t>wood, redwood (#295)</t>
  </si>
  <si>
    <t>ID-number</t>
  </si>
  <si>
    <t>#295</t>
  </si>
  <si>
    <t>Material</t>
  </si>
  <si>
    <t>wood, redwood</t>
  </si>
  <si>
    <t>Classification</t>
  </si>
  <si>
    <t>ECN Phyllis classification &gt; untreated wood &gt; other soft wood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</si>
  <si>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</si>
  <si>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</si>
  <si>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</si>
  <si>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</si>
  <si>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</si>
  <si>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</si>
  <si>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</si>
  <si>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</si>
  <si>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</si>
  <si>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</si>
  <si>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</si>
  <si>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</si>
  <si>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</si>
  <si>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</si>
  <si>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</si>
  <si>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</si>
  <si>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</si>
  <si>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</si>
  <si>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</si>
  <si>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</si>
  <si>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</si>
  <si>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</si>
  <si>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</si>
  <si>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</si>
  <si>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</si>
  <si>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</si>
  <si>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</si>
  <si>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</si>
  <si>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</si>
  <si>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Unknown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</si>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</sst>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IFERROR(0.4*(1-w),"")</f>
        <v/>
      </c>
      <c r="D18" s="11">
        <v>0.4</v>
      </c>
      <c r="E18" s="11">
        <v/>
      </c>
      <c r="F18" s="11"/>
      <c r="G18" s="11"/>
      <c r="I18" s="12"/>
    </row>
    <row r="19" outlineLevel="2">
      <c r="A19" s="10" t="s">
        <v>33</v>
      </c>
      <c r="B19" s="0" t="s">
        <v>32</v>
      </c>
      <c r="C19" s="11">
        <f>IFERROR(83.5*(1-w),"")</f>
        <v/>
      </c>
      <c r="D19" s="11">
        <v>83.5</v>
      </c>
      <c r="E19" s="11">
        <v>83.835341365461844</v>
      </c>
      <c r="F19" s="11"/>
      <c r="G19" s="11"/>
      <c r="I19" s="12"/>
    </row>
    <row r="20" outlineLevel="2">
      <c r="A20" s="10" t="s">
        <v>34</v>
      </c>
      <c r="B20" s="0" t="s">
        <v>32</v>
      </c>
      <c r="C20" s="11">
        <f>IFERROR(16.1*(1-w),"")</f>
        <v/>
      </c>
      <c r="D20" s="11">
        <v>16.099999999999994</v>
      </c>
      <c r="E20" s="11">
        <v>16.164658634538146</v>
      </c>
      <c r="F20" s="11"/>
      <c r="G20" s="11"/>
      <c r="I20" s="12"/>
      <c r="J20" s="0" t="s">
        <v>35</v>
      </c>
    </row>
    <row r="21" outlineLevel="1">
      <c r="A21" s="9" t="s">
        <v>36</v>
      </c>
      <c r="I21" s="12"/>
    </row>
    <row r="22" outlineLevel="2">
      <c r="A22" s="10" t="s">
        <v>37</v>
      </c>
      <c r="B22" s="0" t="s">
        <v>32</v>
      </c>
      <c r="C22" s="11">
        <f>IFERROR(53.5*(1-w),"")</f>
        <v/>
      </c>
      <c r="D22" s="11">
        <v>53.5</v>
      </c>
      <c r="E22" s="11">
        <v>53.714859437751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IFERROR(5.9*(1-w),"")</f>
        <v/>
      </c>
      <c r="D23" s="11">
        <v>5.9</v>
      </c>
      <c r="E23" s="11">
        <v>5.9236947791164658</v>
      </c>
      <c r="F23" s="11"/>
      <c r="G23" s="11"/>
      <c r="I23" s="12"/>
      <c r="J23" s="0" t="s">
        <v>38</v>
      </c>
    </row>
    <row r="24" outlineLevel="2">
      <c r="A24" s="10" t="s">
        <v>40</v>
      </c>
      <c r="B24" s="0" t="s">
        <v>32</v>
      </c>
      <c r="C24" s="11">
        <f>IFERROR(40.3*(1-w),"")</f>
        <v/>
      </c>
      <c r="D24" s="11">
        <v>40.3</v>
      </c>
      <c r="E24" s="11">
        <v>40.46184738955823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IFERROR(0.1*(1-w),"")</f>
        <v/>
      </c>
      <c r="D25" s="11">
        <v>0.1</v>
      </c>
      <c r="E25" s="11">
        <v>0.10040160642570281</v>
      </c>
      <c r="F25" s="11"/>
      <c r="G25" s="11"/>
      <c r="I25" s="12"/>
      <c r="J25" s="0" t="s">
        <v>38</v>
      </c>
    </row>
    <row r="26" outlineLevel="2">
      <c r="A26" s="10" t="s">
        <v>42</v>
      </c>
      <c r="B26" s="0" t="s">
        <v>32</v>
      </c>
      <c r="C26" s="11">
        <f>IFERROR(100.2*(1-w)+w*100,"")</f>
        <v/>
      </c>
      <c r="D26" s="11">
        <v>100.19999999999999</v>
      </c>
      <c r="E26" s="11">
        <v>100.20080321285138</v>
      </c>
      <c r="F26" s="11"/>
      <c r="G26" s="11"/>
      <c r="I26" s="12"/>
      <c r="J26" s="0" t="s">
        <v>35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IFERROR(19.74252*(1-w)-w*2.443,"")</f>
        <v/>
      </c>
      <c r="D28" s="11">
        <v>19.74252</v>
      </c>
      <c r="E28" s="11">
        <v>19.821807228915663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IFERROR(21.03*(1-w),"")</f>
        <v/>
      </c>
      <c r="D29" s="11">
        <v>21.03</v>
      </c>
      <c r="E29" s="11">
        <v>21.114457831325304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IFERROR(21.18920448*(1-w),"")</f>
        <v/>
      </c>
      <c r="D30" s="11">
        <v>21.189204480000008</v>
      </c>
      <c r="E30" s="11">
        <v>21.274301686746995</v>
      </c>
      <c r="F30" s="11"/>
      <c r="G30" s="11"/>
      <c r="I30" s="12"/>
      <c r="J30" s="0" t="s">
        <v>35</v>
      </c>
    </row>
    <row r="31">
      <c r="I31" s="12"/>
    </row>
    <row r="32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https://phyllis.nl/Biomass/View/295</dc:description>
  <dcterms:created xsi:type="dcterms:W3CDTF">2026-03-19T07:19:29Z</dcterms:created>
  <dc:title>Phyllis2 #295 wood, redwood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