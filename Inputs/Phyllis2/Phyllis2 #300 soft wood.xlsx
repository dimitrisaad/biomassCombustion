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0 soft wood" sheetId="1" r:id="rId1"/>
  </sheets>
  <definedNames>
    <definedName name="w" localSheetId="0">IF(ISBLANK('Phyllis2 #300 soft wood'!$C$19),#N/A,'Phyllis2 #300 soft wood'!$C$19/100)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<sst xmlns="http://schemas.openxmlformats.org/spreadsheetml/2006/main" count="51" uniqueCount="51">
  <si>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</si>
  <si>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https://phyllis.nl/Biomass/View/300</t>
  </si>
  <si>
    <t>soft wood (#300)</t>
  </si>
  <si>
    <t>ID-number</t>
  </si>
  <si>
    <t>#300</t>
  </si>
  <si>
    <t>Material</t>
  </si>
  <si>
    <t>soft wood</t>
  </si>
  <si>
    <t>Classification</t>
  </si>
  <si>
    <t>ECN Phyllis classification &gt; untreated wood &gt; other soft wood &gt; soft wood</t>
  </si>
  <si>
    <t>NTA 8003 classification &gt; [100] hout &gt; [110] vers hout &gt; [130] naaldhout &gt; [132] naaldhout met schors</t>
  </si>
  <si>
    <t>Ash type</t>
  </si>
  <si>
    <t>laboratory</t>
  </si>
  <si>
    <t>Submitter organisation</t>
  </si>
  <si>
    <t>ECN (Netherlands)</t>
  </si>
  <si>
    <t>Remarks</t>
  </si>
  <si>
    <t>mixed, air dried residues, chipped, residues</t>
  </si>
  <si>
    <t>Literature</t>
  </si>
  <si>
    <t>Anonymous: Forestry waste firing of industrial boilers, Oldham (UK), FEC Consultants, ETSU-B--1178 (1990).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</si>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</sst>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>30.5</v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IFERROR(1.87*(1-w),"")</f>
        <v>1.2996500000000002</v>
      </c>
      <c r="D20" s="11">
        <v>1.87</v>
      </c>
      <c r="E20" s="11">
        <v/>
      </c>
      <c r="F20" s="11"/>
      <c r="G20" s="11"/>
      <c r="I20" s="12"/>
    </row>
    <row r="21" outlineLevel="2">
      <c r="A21" s="10" t="s">
        <v>35</v>
      </c>
      <c r="B21" s="0" t="s">
        <v>33</v>
      </c>
      <c r="C21" s="11">
        <f>IFERROR(80*(1-w),"")</f>
        <v>55.600000000000009</v>
      </c>
      <c r="D21" s="11">
        <v>80</v>
      </c>
      <c r="E21" s="11">
        <v>81.524508305309283</v>
      </c>
      <c r="F21" s="11"/>
      <c r="G21" s="11"/>
      <c r="I21" s="12"/>
    </row>
    <row r="22" outlineLevel="2">
      <c r="A22" s="10" t="s">
        <v>36</v>
      </c>
      <c r="B22" s="0" t="s">
        <v>33</v>
      </c>
      <c r="C22" s="11">
        <f>IFERROR(18.13*(1-w),"")</f>
        <v>12.600349999999999</v>
      </c>
      <c r="D22" s="11">
        <v>18.129999999999995</v>
      </c>
      <c r="E22" s="11">
        <v>18.475491694690714</v>
      </c>
      <c r="F22" s="11"/>
      <c r="G22" s="11"/>
      <c r="I22" s="12"/>
      <c r="J22" s="0" t="s">
        <v>37</v>
      </c>
    </row>
    <row r="23" outlineLevel="1">
      <c r="A23" s="9" t="s">
        <v>38</v>
      </c>
      <c r="I23" s="12"/>
    </row>
    <row r="24" outlineLevel="2">
      <c r="A24" s="10" t="s">
        <v>39</v>
      </c>
      <c r="B24" s="0" t="s">
        <v>33</v>
      </c>
      <c r="C24" s="11">
        <f>IFERROR(51.12573*(1-w),"")</f>
        <v>35.53238235</v>
      </c>
      <c r="D24" s="11">
        <v>51.12573</v>
      </c>
      <c r="E24" s="11">
        <v>52.1</v>
      </c>
      <c r="F24" s="11"/>
      <c r="G24" s="11"/>
      <c r="I24" s="12"/>
      <c r="J24" s="0" t="s">
        <v>40</v>
      </c>
    </row>
    <row r="25" outlineLevel="2">
      <c r="A25" s="10" t="s">
        <v>41</v>
      </c>
      <c r="B25" s="0" t="s">
        <v>33</v>
      </c>
      <c r="C25" s="11">
        <f>IFERROR(7.94853*(1-w),"")</f>
        <v>5.5242283500000005</v>
      </c>
      <c r="D25" s="11">
        <v>7.94853</v>
      </c>
      <c r="E25" s="11">
        <v>8.1</v>
      </c>
      <c r="F25" s="11"/>
      <c r="G25" s="11"/>
      <c r="I25" s="12"/>
      <c r="J25" s="0" t="s">
        <v>40</v>
      </c>
    </row>
    <row r="26" outlineLevel="2">
      <c r="A26" s="10" t="s">
        <v>42</v>
      </c>
      <c r="B26" s="0" t="s">
        <v>33</v>
      </c>
      <c r="C26" s="11">
        <f>IFERROR(38.37*(1-w),"")</f>
        <v>26.66715</v>
      </c>
      <c r="D26" s="11">
        <v>38.37</v>
      </c>
      <c r="E26" s="11">
        <v>39.101192295933963</v>
      </c>
      <c r="F26" s="11"/>
      <c r="G26" s="11"/>
      <c r="I26" s="12"/>
      <c r="J26" s="0" t="s">
        <v>37</v>
      </c>
    </row>
    <row r="27" outlineLevel="2">
      <c r="A27" s="10" t="s">
        <v>43</v>
      </c>
      <c r="B27" s="0" t="s">
        <v>33</v>
      </c>
      <c r="C27" s="11">
        <f>IFERROR(0.29439*(1-w),"")</f>
        <v>0.20460105</v>
      </c>
      <c r="D27" s="11">
        <v>0.29439</v>
      </c>
      <c r="E27" s="11">
        <v>0.3</v>
      </c>
      <c r="F27" s="11"/>
      <c r="G27" s="11"/>
      <c r="I27" s="12"/>
      <c r="J27" s="0" t="s">
        <v>40</v>
      </c>
    </row>
    <row r="28" outlineLevel="2">
      <c r="A28" s="10" t="s">
        <v>44</v>
      </c>
      <c r="B28" s="0" t="s">
        <v>33</v>
      </c>
      <c r="C28" s="11">
        <f>IFERROR(0.39252*(1-w),"")</f>
        <v>0.2728014</v>
      </c>
      <c r="D28" s="11">
        <v>0.39252</v>
      </c>
      <c r="E28" s="11">
        <v>0.4</v>
      </c>
      <c r="F28" s="11"/>
      <c r="G28" s="11"/>
      <c r="I28" s="12"/>
      <c r="J28" s="0" t="s">
        <v>40</v>
      </c>
    </row>
    <row r="29" outlineLevel="2">
      <c r="A29" s="10" t="s">
        <v>45</v>
      </c>
      <c r="B29" s="0" t="s">
        <v>33</v>
      </c>
      <c r="C29" s="11">
        <f>IFERROR(100.00117*(1-w)+w*100,"")</f>
        <v>100.00081315000001</v>
      </c>
      <c r="D29" s="11">
        <v>100.00117</v>
      </c>
      <c r="E29" s="11">
        <v>100.00119229593396</v>
      </c>
      <c r="F29" s="11"/>
      <c r="G29" s="11"/>
      <c r="I29" s="12"/>
      <c r="J29" s="0" t="s">
        <v>37</v>
      </c>
    </row>
    <row r="30" outlineLevel="1">
      <c r="A30" s="9" t="s">
        <v>46</v>
      </c>
      <c r="I30" s="12"/>
    </row>
    <row r="31" outlineLevel="2">
      <c r="A31" s="10" t="s">
        <v>47</v>
      </c>
      <c r="B31" s="0" t="s">
        <v>48</v>
      </c>
      <c r="C31" s="11">
        <f>IFERROR(18.36744*(1-w)-w*2.443,"")</f>
        <v>12.0202558</v>
      </c>
      <c r="D31" s="11">
        <v>18.36744</v>
      </c>
      <c r="E31" s="11">
        <v>18.717456435340875</v>
      </c>
      <c r="F31" s="11"/>
      <c r="G31" s="11"/>
      <c r="I31" s="12"/>
    </row>
    <row r="32" outlineLevel="2">
      <c r="A32" s="10" t="s">
        <v>49</v>
      </c>
      <c r="B32" s="0" t="s">
        <v>48</v>
      </c>
      <c r="C32" s="11">
        <f>IFERROR(20.135*(1-w),"")</f>
        <v>13.993825000000003</v>
      </c>
      <c r="D32" s="11">
        <v>20.135</v>
      </c>
      <c r="E32" s="11">
        <v>20.518699684092532</v>
      </c>
      <c r="F32" s="11"/>
      <c r="G32" s="11"/>
      <c r="I32" s="12"/>
    </row>
    <row r="33" outlineLevel="2">
      <c r="A33" s="10" t="s">
        <v>50</v>
      </c>
      <c r="B33" s="0" t="s">
        <v>48</v>
      </c>
      <c r="C33" s="11">
        <f>IFERROR(23.3009546877*(1-w),"")</f>
        <v>16.194163507951497</v>
      </c>
      <c r="D33" s="11">
        <v>23.300954687699996</v>
      </c>
      <c r="E33" s="11">
        <v>23.744985924487921</v>
      </c>
      <c r="F33" s="11"/>
      <c r="G33" s="11"/>
      <c r="I33" s="12"/>
      <c r="J33" s="0" t="s">
        <v>37</v>
      </c>
    </row>
    <row r="34">
      <c r="I34" s="12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30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https://phyllis.nl/Biomass/View/300</dc:description>
  <dcterms:created xsi:type="dcterms:W3CDTF">2026-03-19T07:18:29Z</dcterms:created>
  <dc:title>Phyllis2 #300 soft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