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27 wood pellets" sheetId="1" r:id="rId1"/>
  </sheets>
  <definedNames>
    <definedName name="w" localSheetId="0">IF(ISBLANK('Phyllis2 #3027 wood pellets'!$C$26),#N/A,'Phyllis2 #3027 wood pellets'!$C$26/100)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<sst xmlns="http://schemas.openxmlformats.org/spreadsheetml/2006/main" count="64" uniqueCount="64">
  <si>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</si>
  <si>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https://phyllis.nl/Biomass/View/3027</t>
  </si>
  <si>
    <t>wood pellets (#3027)</t>
  </si>
  <si>
    <t>ID-number</t>
  </si>
  <si>
    <t>#3027</t>
  </si>
  <si>
    <t>Material</t>
  </si>
  <si>
    <t>wood pellets</t>
  </si>
  <si>
    <t>Alternative name</t>
  </si>
  <si>
    <t>Description</t>
  </si>
  <si>
    <t>Wood</t>
  </si>
  <si>
    <t>Classification</t>
  </si>
  <si>
    <t>CEN/TS 14961 classification &gt; Solid biofuels &gt; Woody biomass &gt; Forest and plantation wood &gt; Whole trees without roots &gt; Deciduous</t>
  </si>
  <si>
    <t>ECN Phyllis classification &gt; untreated wood &gt; other hard wood &gt; hard wood</t>
  </si>
  <si>
    <t>NTA 8003 classification &gt; [100] hout &gt; [110] vers hout &gt; [120] loofhout &gt; [125] hard loofhout</t>
  </si>
  <si>
    <t>Sample date</t>
  </si>
  <si>
    <t>Sample location</t>
  </si>
  <si>
    <t>Estonia</t>
  </si>
  <si>
    <t>Sample lot size</t>
  </si>
  <si>
    <t>d =8 mm</t>
  </si>
  <si>
    <t>Country</t>
  </si>
  <si>
    <t>Producer</t>
  </si>
  <si>
    <t>Est_2, Estonia</t>
  </si>
  <si>
    <t>Production date</t>
  </si>
  <si>
    <t>Submitter organisation</t>
  </si>
  <si>
    <t>Est_2 (Estonia)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</si>
  <si>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</si>
  <si>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</si>
  <si>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</si>
  <si>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</si>
  <si>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</si>
  <si>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</si>
  <si>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</si>
  <si>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</si>
  <si>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</si>
  <si>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</si>
  <si>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</si>
  <si>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</si>
  <si>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</si>
  <si>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</si>
  <si>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</si>
  <si>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</si>
  <si>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</si>
  <si>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</si>
  <si>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TUT TED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</si>
  <si>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</si>
  <si>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</si>
  <si>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</si>
  <si>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</si>
  <si>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</si>
  <si>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</si>
  <si>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</si>
  <si>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Oxygen</t>
  </si>
  <si>
    <t>diff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</si>
  <si>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</si>
  <si>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</si>
  <si>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</si>
  <si>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</si>
  <si>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</si>
  <si>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</si>
  <si>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</si>
  <si>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</si>
  <si>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</si>
  <si>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ISO 1928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</si>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</sst>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2391481399536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39150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6">
        <v>39150</v>
      </c>
    </row>
    <row r="18" outlineLevel="1">
      <c r="A18" s="7" t="s">
        <v>23</v>
      </c>
      <c r="B18" s="0" t="s">
        <v>24</v>
      </c>
    </row>
    <row r="19" outlineLevel="1">
      <c r="A19" s="7" t="s">
        <v>25</v>
      </c>
      <c r="B19" s="6">
        <v>39150</v>
      </c>
    </row>
    <row r="20">
      <c r="A20" s="7"/>
    </row>
    <row r="21" s="1" customFormat="1">
      <c r="A21" s="9" t="s">
        <v>26</v>
      </c>
    </row>
    <row r="22" s="1" customFormat="1">
      <c r="A22" s="10" t="s">
        <v>27</v>
      </c>
      <c r="B22" s="10" t="s">
        <v>28</v>
      </c>
      <c r="C22" s="10" t="s">
        <v>29</v>
      </c>
      <c r="D22" s="10"/>
      <c r="E22" s="10"/>
      <c r="F22" s="10" t="s">
        <v>30</v>
      </c>
      <c r="G22" s="10" t="s">
        <v>31</v>
      </c>
      <c r="H22" s="10" t="s">
        <v>32</v>
      </c>
      <c r="I22" s="10" t="s">
        <v>33</v>
      </c>
      <c r="J22" s="10" t="s">
        <v>34</v>
      </c>
      <c r="K22" s="10" t="s">
        <v>35</v>
      </c>
      <c r="L22" s="10"/>
    </row>
    <row r="23" s="1" customFormat="1">
      <c r="A23" s="10"/>
      <c r="B23" s="10"/>
      <c r="C23" s="10" t="s">
        <v>36</v>
      </c>
      <c r="D23" s="10" t="s">
        <v>37</v>
      </c>
      <c r="E23" s="10" t="s">
        <v>38</v>
      </c>
      <c r="F23" s="10"/>
      <c r="G23" s="10"/>
      <c r="H23" s="10"/>
      <c r="I23" s="10"/>
      <c r="J23" s="10"/>
      <c r="K23" s="10"/>
      <c r="L23" s="10"/>
    </row>
    <row r="24">
      <c r="A24" s="7" t="s">
        <v>39</v>
      </c>
      <c r="I24" s="5"/>
    </row>
    <row r="25" outlineLevel="1">
      <c r="A25" s="11" t="s">
        <v>40</v>
      </c>
      <c r="I25" s="5"/>
    </row>
    <row r="26" outlineLevel="2">
      <c r="A26" s="12" t="s">
        <v>41</v>
      </c>
      <c r="B26" s="0" t="s">
        <v>42</v>
      </c>
      <c r="C26" s="13">
        <v>4.9</v>
      </c>
      <c r="D26" s="13"/>
      <c r="E26" s="13"/>
      <c r="F26" s="13"/>
      <c r="G26" s="13"/>
      <c r="H26" s="0" t="s">
        <v>43</v>
      </c>
      <c r="I26" s="5">
        <v>39150</v>
      </c>
      <c r="J26" s="0" t="s">
        <v>44</v>
      </c>
    </row>
    <row r="27" outlineLevel="2">
      <c r="A27" s="12" t="s">
        <v>45</v>
      </c>
      <c r="B27" s="0" t="s">
        <v>42</v>
      </c>
      <c r="C27" s="13">
        <f>IFERROR(0.44*(1-w),"")</f>
        <v>0.41844</v>
      </c>
      <c r="D27" s="13">
        <v>0.44</v>
      </c>
      <c r="E27" s="13">
        <v/>
      </c>
      <c r="F27" s="13"/>
      <c r="G27" s="13"/>
      <c r="H27" s="0" t="s">
        <v>43</v>
      </c>
      <c r="I27" s="5">
        <v>39150</v>
      </c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42</v>
      </c>
      <c r="C29" s="13">
        <f>IFERROR(50.8*(1-w),"")</f>
        <v>48.310799999999993</v>
      </c>
      <c r="D29" s="13">
        <v>50.8</v>
      </c>
      <c r="E29" s="13">
        <v>51.02450783447167</v>
      </c>
      <c r="F29" s="13"/>
      <c r="G29" s="13"/>
      <c r="H29" s="0" t="s">
        <v>43</v>
      </c>
      <c r="I29" s="5">
        <v>39150</v>
      </c>
      <c r="J29" s="0" t="s">
        <v>49</v>
      </c>
    </row>
    <row r="30" outlineLevel="2">
      <c r="A30" s="12" t="s">
        <v>50</v>
      </c>
      <c r="B30" s="0" t="s">
        <v>42</v>
      </c>
      <c r="C30" s="13">
        <f>IFERROR(7.51*(1-w),"")</f>
        <v>7.1420099999999991</v>
      </c>
      <c r="D30" s="13">
        <v>7.51</v>
      </c>
      <c r="E30" s="13">
        <v>7.5431900361591</v>
      </c>
      <c r="F30" s="13"/>
      <c r="G30" s="13"/>
      <c r="H30" s="0" t="s">
        <v>43</v>
      </c>
      <c r="I30" s="5">
        <v>39150</v>
      </c>
      <c r="J30" s="0" t="s">
        <v>49</v>
      </c>
    </row>
    <row r="31" outlineLevel="2">
      <c r="A31" s="12" t="s">
        <v>51</v>
      </c>
      <c r="B31" s="0" t="s">
        <v>42</v>
      </c>
      <c r="C31" s="13">
        <f>IFERROR(41.67*(1-w),"")</f>
        <v>39.62817</v>
      </c>
      <c r="D31" s="13">
        <v>41.67</v>
      </c>
      <c r="E31" s="13">
        <v>41.854158296504622</v>
      </c>
      <c r="F31" s="13"/>
      <c r="G31" s="13"/>
      <c r="H31" s="0" t="s">
        <v>43</v>
      </c>
      <c r="I31" s="5">
        <v>39150</v>
      </c>
      <c r="J31" s="0" t="s">
        <v>52</v>
      </c>
    </row>
    <row r="32" outlineLevel="2">
      <c r="A32" s="12" t="s">
        <v>53</v>
      </c>
      <c r="B32" s="0" t="s">
        <v>42</v>
      </c>
      <c r="C32" s="13">
        <f>IFERROR(0.03*(1-w),"")</f>
        <v>0.028529999999999996</v>
      </c>
      <c r="D32" s="13">
        <v>0.03</v>
      </c>
      <c r="E32" s="13">
        <v>0.030132583366813979</v>
      </c>
      <c r="F32" s="13"/>
      <c r="G32" s="13"/>
      <c r="H32" s="0" t="s">
        <v>43</v>
      </c>
      <c r="I32" s="5">
        <v>39150</v>
      </c>
      <c r="J32" s="0" t="s">
        <v>49</v>
      </c>
    </row>
    <row r="33" outlineLevel="2">
      <c r="A33" s="12" t="s">
        <v>54</v>
      </c>
      <c r="B33" s="0" t="s">
        <v>42</v>
      </c>
      <c r="C33" s="13">
        <f>IFERROR(0*(1-w),"")</f>
        <v>0</v>
      </c>
      <c r="D33" s="13">
        <v>0</v>
      </c>
      <c r="E33" s="13">
        <v>0</v>
      </c>
      <c r="F33" s="13"/>
      <c r="G33" s="13"/>
      <c r="H33" s="0" t="s">
        <v>43</v>
      </c>
      <c r="I33" s="5">
        <v>39150</v>
      </c>
      <c r="J33" s="0" t="s">
        <v>55</v>
      </c>
    </row>
    <row r="34" outlineLevel="2">
      <c r="A34" s="12" t="s">
        <v>56</v>
      </c>
      <c r="B34" s="0" t="s">
        <v>42</v>
      </c>
      <c r="C34" s="13">
        <f>IFERROR(100.45*(1-w)+w*100,"")</f>
        <v>100.42795</v>
      </c>
      <c r="D34" s="13">
        <v>100.44999999999999</v>
      </c>
      <c r="E34" s="13">
        <v>100.4519887505022</v>
      </c>
      <c r="F34" s="13"/>
      <c r="G34" s="13"/>
      <c r="I34" s="5"/>
      <c r="J34" s="0" t="s">
        <v>57</v>
      </c>
    </row>
    <row r="35" outlineLevel="1">
      <c r="A35" s="11" t="s">
        <v>58</v>
      </c>
      <c r="I35" s="5"/>
    </row>
    <row r="36" outlineLevel="2">
      <c r="A36" s="12" t="s">
        <v>59</v>
      </c>
      <c r="B36" s="0" t="s">
        <v>60</v>
      </c>
      <c r="C36" s="13">
        <f>IFERROR(18.07*(1-w)-w*2.443,"")</f>
        <v>17.064863000000003</v>
      </c>
      <c r="D36" s="13">
        <v>18.07</v>
      </c>
      <c r="E36" s="13">
        <v>18.149859381277622</v>
      </c>
      <c r="F36" s="13"/>
      <c r="G36" s="13"/>
      <c r="H36" s="0" t="s">
        <v>43</v>
      </c>
      <c r="I36" s="5">
        <v>39150</v>
      </c>
      <c r="J36" s="0" t="s">
        <v>61</v>
      </c>
      <c r="K36" s="0" t="s">
        <v>62</v>
      </c>
    </row>
    <row r="37" outlineLevel="2">
      <c r="A37" s="12" t="s">
        <v>63</v>
      </c>
      <c r="B37" s="0" t="s">
        <v>60</v>
      </c>
      <c r="C37" s="13">
        <f>IFERROR(22.2403176208*(1-w),"")</f>
        <v>21.150542057380793</v>
      </c>
      <c r="D37" s="13">
        <v>22.240317620799996</v>
      </c>
      <c r="E37" s="13">
        <v>22.338607493772596</v>
      </c>
      <c r="F37" s="13"/>
      <c r="G37" s="13"/>
      <c r="I37" s="5"/>
      <c r="J37" s="0" t="s">
        <v>57</v>
      </c>
    </row>
    <row r="38">
      <c r="I38" s="5"/>
    </row>
    <row r="39" s="1" customFormat="1"/>
  </sheetData>
  <mergeCells>
    <mergeCell ref="A9:A11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</mergeCells>
  <dataValidations count="1">
    <dataValidation type="decimal" sqref="C26" errorStyle="stop" promptTitle="Enter moisture content" errorTitle="Invalid moisture content" prompt="Value should be between 0 and 100.&#10;Original value: 4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https://phyllis.nl/Biomass/View/3027</dc:description>
  <dcterms:created xsi:type="dcterms:W3CDTF">2026-03-19T07:12:10Z</dcterms:created>
  <dc:title>Phyllis2 #3027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