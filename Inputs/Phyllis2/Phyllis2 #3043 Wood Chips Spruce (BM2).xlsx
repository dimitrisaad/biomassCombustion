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43 Wood Chips Spruc" sheetId="1" r:id="rId1"/>
  </sheets>
  <definedNames>
    <definedName name="w" localSheetId="0">IF(ISBLANK('Phyllis2 #3043 Wood Chips Spruc'!$C$19),#N/A,'Phyllis2 #3043 Wood Chips Spruc'!$C$19/100)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<sst xmlns="http://schemas.openxmlformats.org/spreadsheetml/2006/main" count="89" uniqueCount="89">
  <si>
    <t>Phyllis2</t>
  </si>
  <si>
    <t>https://phyllis.nl/Biomass/View/3043</t>
  </si>
  <si>
    <t>Wood Chips Spruce (BM2) (#3043)</t>
  </si>
  <si>
    <t>ID-number</t>
  </si>
  <si>
    <t>#3043</t>
  </si>
  <si>
    <t>Material</t>
  </si>
  <si>
    <t>Wood Chips Spruce (BM2)</t>
  </si>
  <si>
    <t>Description</t>
  </si>
  <si>
    <t>wood chips</t>
  </si>
  <si>
    <t>Classification</t>
  </si>
  <si>
    <t>CEN/TS 14961 classification &gt; Solid biofuels &gt; Woody biomass &gt; Forest and plantation wood</t>
  </si>
  <si>
    <t>ECN Phyllis classification &gt; untreated wood &gt; fir/pine/spruce &gt; wood, spruce</t>
  </si>
  <si>
    <t>NTA 8003 classification &gt; [100] hout &gt; [110] vers hout &gt; [130] naaldhout &gt; [131] naaldhout</t>
  </si>
  <si>
    <t>Submitter</t>
  </si>
  <si>
    <t>ECN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</si>
  <si>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</si>
  <si>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</si>
  <si>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</si>
  <si>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</si>
  <si>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</si>
  <si>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</si>
  <si>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</si>
  <si>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</si>
  <si>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</si>
  <si>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</si>
  <si>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</si>
  <si>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</si>
  <si>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</si>
  <si>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</si>
  <si>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</si>
  <si>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</si>
  <si>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</si>
  <si>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</si>
  <si>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</si>
  <si>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</si>
  <si>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CEN/TS 14774-3:2004 Solid biofuels - Methods for the determination of moisture content - Oven dry method - Part 3: Moisture in general analysis sample</t>
  </si>
  <si>
    <t>Ash content at 550°C</t>
  </si>
  <si>
    <t>CEN/TS 14775</t>
  </si>
  <si>
    <t>CEN/TS 14775 2004 Solid biofuels - Method for the determination of ash content</t>
  </si>
  <si>
    <t>Volatile matter</t>
  </si>
  <si>
    <t>CEN/TS 15148:2005</t>
  </si>
  <si>
    <t>Fixed carbon</t>
  </si>
  <si>
    <t>Calculated</t>
  </si>
  <si>
    <t>Ultimate analysis (macroelements)</t>
  </si>
  <si>
    <t>Carbon</t>
  </si>
  <si>
    <t>CEN/TS 15104</t>
  </si>
  <si>
    <t>CEN/TS 15104:2005 Solid biofuels - Determination of total content of carbon, hydrogen and nitrogen - Instrumental methods</t>
  </si>
  <si>
    <t>Hydrogen</t>
  </si>
  <si>
    <t>Oxygen</t>
  </si>
  <si>
    <t>Nitrogen</t>
  </si>
  <si>
    <t>Sulphur</t>
  </si>
  <si>
    <t>CEN/TS15289</t>
  </si>
  <si>
    <t>CEN/TS15289:2005 Solid Biofuels - Determination of total content of sulphur and chlorine</t>
  </si>
  <si>
    <t>Total (with halides)</t>
  </si>
  <si>
    <t>Halides</t>
  </si>
  <si>
    <t>Chlorine (Cl)</t>
  </si>
  <si>
    <t>mg/kg</t>
  </si>
  <si>
    <t>CEN/TS 15289</t>
  </si>
  <si>
    <t>CEN/TS 15289:2006 Solid Biofuels - Determination of total content of sulphur and chlorine</t>
  </si>
  <si>
    <t>Heating value</t>
  </si>
  <si>
    <t>Gross calorific value (HHV)</t>
  </si>
  <si>
    <t>MJ/kg</t>
  </si>
  <si>
    <t>CEN/TS 14918:2005 Solid Biofuels - Method for the determination of calorific value</t>
  </si>
  <si>
    <t>HHVMilne</t>
  </si>
  <si>
    <t>Trace elements composition</t>
  </si>
  <si>
    <t>Aluminium (Al)</t>
  </si>
  <si>
    <t>mg/kg (dry)</t>
  </si>
  <si>
    <t>CEN/TS 15290:2006Solid Biofuels - Determination of major elements</t>
  </si>
  <si>
    <t>Calcium (Ca)</t>
  </si>
  <si>
    <t>Iron (Fe)</t>
  </si>
  <si>
    <t>Potassium (K)</t>
  </si>
  <si>
    <t>Magnesium (Mg)</t>
  </si>
  <si>
    <t>Manganese (Mn)</t>
  </si>
  <si>
    <t>CEN/TS 15297:2005 Solid Biofuels - Determination of minor elements</t>
  </si>
  <si>
    <t>Sodium (Na)</t>
  </si>
  <si>
    <t>Phosphorus (P)</t>
  </si>
  <si>
    <t>Lead (Pb)</t>
  </si>
  <si>
    <t>Silicon (Si)</t>
  </si>
  <si>
    <t>Titanium (Ti)</t>
  </si>
  <si>
    <t>Zinc (Zn)</t>
  </si>
  <si>
    <t>Physical Properties</t>
  </si>
  <si>
    <t>Particle size distribution</t>
  </si>
  <si>
    <t>0.25-0.5 mm</t>
  </si>
  <si>
    <t>CEN/TS 15149-1,2</t>
  </si>
  <si>
    <t>0.5-1.0 mm</t>
  </si>
  <si>
    <t>1.0-1.4 mm</t>
  </si>
  <si>
    <t>1.4-2.0 mm</t>
  </si>
  <si>
    <t>2.0-2.8 mm</t>
  </si>
  <si>
    <t>2.8-3.15 mm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</si>
</sst>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4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136.083892822266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5" t="s">
        <v>7</v>
      </c>
      <c r="B7" s="0" t="s">
        <v>8</v>
      </c>
    </row>
    <row r="8" outlineLevel="1">
      <c r="A8" s="6" t="s">
        <v>9</v>
      </c>
      <c r="B8" s="0" t="s">
        <v>10</v>
      </c>
    </row>
    <row r="9" outlineLevel="1">
      <c r="A9" s="6"/>
      <c r="B9" s="0" t="s">
        <v>11</v>
      </c>
    </row>
    <row r="10" outlineLevel="1">
      <c r="A10" s="6"/>
      <c r="B10" s="0" t="s">
        <v>12</v>
      </c>
    </row>
    <row r="11" outlineLevel="1">
      <c r="A11" s="5" t="s">
        <v>13</v>
      </c>
      <c r="B11" s="0" t="s">
        <v>14</v>
      </c>
    </row>
    <row r="12" outlineLevel="1">
      <c r="A12" s="5" t="s">
        <v>15</v>
      </c>
      <c r="B12" s="0" t="s">
        <v>16</v>
      </c>
    </row>
    <row r="13">
      <c r="A13" s="5"/>
    </row>
    <row r="14" s="1" customFormat="1">
      <c r="A14" s="7" t="s">
        <v>17</v>
      </c>
    </row>
    <row r="15" s="1" customFormat="1">
      <c r="A15" s="8" t="s">
        <v>18</v>
      </c>
      <c r="B15" s="8" t="s">
        <v>19</v>
      </c>
      <c r="C15" s="8" t="s">
        <v>20</v>
      </c>
      <c r="D15" s="8"/>
      <c r="E15" s="8"/>
      <c r="F15" s="8" t="s">
        <v>21</v>
      </c>
      <c r="G15" s="8" t="s">
        <v>22</v>
      </c>
      <c r="H15" s="8" t="s">
        <v>23</v>
      </c>
      <c r="I15" s="8" t="s">
        <v>24</v>
      </c>
      <c r="J15" s="8" t="s">
        <v>25</v>
      </c>
      <c r="K15" s="8" t="s">
        <v>26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1.43</v>
      </c>
      <c r="D19" s="11"/>
      <c r="E19" s="11"/>
      <c r="F19" s="11"/>
      <c r="G19" s="11"/>
      <c r="H19" s="0" t="s">
        <v>14</v>
      </c>
      <c r="I19" s="13"/>
      <c r="J19" s="0" t="s">
        <v>34</v>
      </c>
      <c r="K19" s="0" t="s">
        <v>35</v>
      </c>
    </row>
    <row r="20" outlineLevel="2">
      <c r="A20" s="10" t="s">
        <v>36</v>
      </c>
      <c r="B20" s="0" t="s">
        <v>33</v>
      </c>
      <c r="C20" s="11">
        <f>IFERROR(0.44*(1-w),"")</f>
        <v>0.43370800000000004</v>
      </c>
      <c r="D20" s="11">
        <v>0.44</v>
      </c>
      <c r="E20" s="11">
        <v/>
      </c>
      <c r="F20" s="11"/>
      <c r="G20" s="11"/>
      <c r="H20" s="0" t="s">
        <v>14</v>
      </c>
      <c r="I20" s="13"/>
      <c r="J20" s="0" t="s">
        <v>37</v>
      </c>
      <c r="K20" s="0" t="s">
        <v>38</v>
      </c>
    </row>
    <row r="21" outlineLevel="2">
      <c r="A21" s="10" t="s">
        <v>39</v>
      </c>
      <c r="B21" s="0" t="s">
        <v>33</v>
      </c>
      <c r="C21" s="11">
        <f>IFERROR(83.99*(1-w),"")</f>
        <v>82.788943</v>
      </c>
      <c r="D21" s="11">
        <v>83.99</v>
      </c>
      <c r="E21" s="11">
        <v>84.361189232623531</v>
      </c>
      <c r="F21" s="11"/>
      <c r="G21" s="11"/>
      <c r="H21" s="0" t="s">
        <v>14</v>
      </c>
      <c r="I21" s="13"/>
      <c r="K21" s="0" t="s">
        <v>40</v>
      </c>
    </row>
    <row r="22" outlineLevel="2">
      <c r="A22" s="10" t="s">
        <v>41</v>
      </c>
      <c r="B22" s="0" t="s">
        <v>33</v>
      </c>
      <c r="C22" s="11">
        <f>IFERROR(15.57*(1-w),"")</f>
        <v>15.347349000000008</v>
      </c>
      <c r="D22" s="11">
        <v>15.570000000000007</v>
      </c>
      <c r="E22" s="11">
        <v>15.638810767376464</v>
      </c>
      <c r="F22" s="11"/>
      <c r="G22" s="11"/>
      <c r="I22" s="13"/>
      <c r="J22" s="0" t="s">
        <v>42</v>
      </c>
    </row>
    <row r="23" outlineLevel="1">
      <c r="A23" s="9" t="s">
        <v>43</v>
      </c>
      <c r="I23" s="13"/>
    </row>
    <row r="24" outlineLevel="2">
      <c r="A24" s="10" t="s">
        <v>44</v>
      </c>
      <c r="B24" s="0" t="s">
        <v>33</v>
      </c>
      <c r="C24" s="11">
        <f>IFERROR(47.22*(1-w),"")</f>
        <v>46.544754</v>
      </c>
      <c r="D24" s="11">
        <v>47.22</v>
      </c>
      <c r="E24" s="11">
        <v>47.428686219365204</v>
      </c>
      <c r="F24" s="11"/>
      <c r="G24" s="11"/>
      <c r="H24" s="0" t="s">
        <v>14</v>
      </c>
      <c r="I24" s="13"/>
      <c r="J24" s="0" t="s">
        <v>45</v>
      </c>
      <c r="K24" s="0" t="s">
        <v>46</v>
      </c>
    </row>
    <row r="25" outlineLevel="2">
      <c r="A25" s="10" t="s">
        <v>47</v>
      </c>
      <c r="B25" s="0" t="s">
        <v>33</v>
      </c>
      <c r="C25" s="11">
        <f>IFERROR(6.11*(1-w),"")</f>
        <v>6.0226270000000008</v>
      </c>
      <c r="D25" s="11">
        <v>6.11</v>
      </c>
      <c r="E25" s="11">
        <v>6.1370028123744476</v>
      </c>
      <c r="F25" s="11"/>
      <c r="G25" s="11"/>
      <c r="H25" s="0" t="s">
        <v>14</v>
      </c>
      <c r="I25" s="13"/>
      <c r="J25" s="0" t="s">
        <v>45</v>
      </c>
      <c r="K25" s="0" t="s">
        <v>46</v>
      </c>
    </row>
    <row r="26" outlineLevel="2">
      <c r="A26" s="10" t="s">
        <v>48</v>
      </c>
      <c r="B26" s="0" t="s">
        <v>33</v>
      </c>
      <c r="C26" s="11">
        <f>IFERROR(43.27*(1-w),"")</f>
        <v>42.651239000000004</v>
      </c>
      <c r="D26" s="11">
        <v>43.27</v>
      </c>
      <c r="E26" s="11">
        <v>43.461229409401369</v>
      </c>
      <c r="F26" s="11"/>
      <c r="G26" s="11"/>
      <c r="H26" s="0" t="s">
        <v>14</v>
      </c>
      <c r="I26" s="13"/>
      <c r="K26" s="0" t="s">
        <v>46</v>
      </c>
    </row>
    <row r="27" outlineLevel="2">
      <c r="A27" s="10" t="s">
        <v>49</v>
      </c>
      <c r="B27" s="0" t="s">
        <v>33</v>
      </c>
      <c r="C27" s="11">
        <f>IFERROR(0.08*(1-w),"")</f>
        <v>0.078856000000000009</v>
      </c>
      <c r="D27" s="11">
        <v>0.08</v>
      </c>
      <c r="E27" s="11">
        <v>0.080353555644837288</v>
      </c>
      <c r="F27" s="11"/>
      <c r="G27" s="11"/>
      <c r="H27" s="0" t="s">
        <v>14</v>
      </c>
      <c r="I27" s="13"/>
      <c r="J27" s="0" t="s">
        <v>45</v>
      </c>
      <c r="K27" s="0" t="s">
        <v>46</v>
      </c>
    </row>
    <row r="28" outlineLevel="2">
      <c r="A28" s="10" t="s">
        <v>50</v>
      </c>
      <c r="B28" s="0" t="s">
        <v>33</v>
      </c>
      <c r="C28" s="11">
        <f>IFERROR(0.0062*(1-w),"")</f>
        <v>0.00611134</v>
      </c>
      <c r="D28" s="11">
        <v>0.0062</v>
      </c>
      <c r="E28" s="11">
        <v>0.0062274005624748888</v>
      </c>
      <c r="F28" s="11"/>
      <c r="G28" s="11"/>
      <c r="H28" s="0" t="s">
        <v>14</v>
      </c>
      <c r="I28" s="13"/>
      <c r="J28" s="0" t="s">
        <v>51</v>
      </c>
      <c r="K28" s="0" t="s">
        <v>52</v>
      </c>
    </row>
    <row r="29" outlineLevel="2">
      <c r="A29" s="10" t="s">
        <v>53</v>
      </c>
      <c r="B29" s="0" t="s">
        <v>33</v>
      </c>
      <c r="C29" s="11">
        <f>IFERROR(97.131*(1-w)+w*100,"")</f>
        <v>97.1720267</v>
      </c>
      <c r="D29" s="11">
        <v>97.131</v>
      </c>
      <c r="E29" s="11">
        <v>97.118320610687022</v>
      </c>
      <c r="F29" s="11"/>
      <c r="G29" s="11"/>
      <c r="I29" s="13"/>
      <c r="J29" s="0" t="s">
        <v>42</v>
      </c>
    </row>
    <row r="30" outlineLevel="1">
      <c r="A30" s="9" t="s">
        <v>54</v>
      </c>
      <c r="I30" s="13"/>
    </row>
    <row r="31" outlineLevel="2">
      <c r="A31" s="10" t="s">
        <v>55</v>
      </c>
      <c r="B31" s="0" t="s">
        <v>56</v>
      </c>
      <c r="C31" s="12">
        <f>IFERROR(48*(1-w),"")</f>
        <v>47.3136</v>
      </c>
      <c r="D31" s="12">
        <v>48</v>
      </c>
      <c r="E31" s="12">
        <v>48.212133386902366</v>
      </c>
      <c r="F31" s="12"/>
      <c r="G31" s="12"/>
      <c r="H31" s="0" t="s">
        <v>14</v>
      </c>
      <c r="I31" s="13"/>
      <c r="J31" s="0" t="s">
        <v>57</v>
      </c>
      <c r="K31" s="0" t="s">
        <v>58</v>
      </c>
    </row>
    <row r="32" outlineLevel="1">
      <c r="A32" s="9" t="s">
        <v>59</v>
      </c>
      <c r="I32" s="13"/>
    </row>
    <row r="33" outlineLevel="2">
      <c r="A33" s="10" t="s">
        <v>60</v>
      </c>
      <c r="B33" s="0" t="s">
        <v>61</v>
      </c>
      <c r="C33" s="11">
        <f>IFERROR(18.063*(1-w),"")</f>
        <v>17.8046991</v>
      </c>
      <c r="D33" s="11">
        <v>18.063</v>
      </c>
      <c r="E33" s="11">
        <v>18.142828445158695</v>
      </c>
      <c r="F33" s="11"/>
      <c r="G33" s="11"/>
      <c r="H33" s="0" t="s">
        <v>14</v>
      </c>
      <c r="I33" s="13"/>
      <c r="K33" s="0" t="s">
        <v>62</v>
      </c>
    </row>
    <row r="34" outlineLevel="2">
      <c r="A34" s="10" t="s">
        <v>63</v>
      </c>
      <c r="B34" s="0" t="s">
        <v>61</v>
      </c>
      <c r="C34" s="11">
        <f>IFERROR(18.9711629408*(1-w),"")</f>
        <v>18.699875310746563</v>
      </c>
      <c r="D34" s="11">
        <v>18.971162940800003</v>
      </c>
      <c r="E34" s="11">
        <v>19.0550049626356</v>
      </c>
      <c r="F34" s="11"/>
      <c r="G34" s="11"/>
      <c r="I34" s="13"/>
      <c r="J34" s="0" t="s">
        <v>42</v>
      </c>
    </row>
    <row r="35" outlineLevel="1">
      <c r="A35" s="9" t="s">
        <v>64</v>
      </c>
      <c r="I35" s="13"/>
    </row>
    <row r="36" outlineLevel="2">
      <c r="A36" s="10" t="s">
        <v>65</v>
      </c>
      <c r="B36" s="0" t="s">
        <v>66</v>
      </c>
      <c r="C36" s="12">
        <v>64</v>
      </c>
      <c r="D36" s="12"/>
      <c r="E36" s="12"/>
      <c r="F36" s="12"/>
      <c r="G36" s="12"/>
      <c r="H36" s="0" t="s">
        <v>14</v>
      </c>
      <c r="I36" s="13"/>
      <c r="K36" s="0" t="s">
        <v>67</v>
      </c>
    </row>
    <row r="37" outlineLevel="2">
      <c r="A37" s="10" t="s">
        <v>68</v>
      </c>
      <c r="B37" s="0" t="s">
        <v>66</v>
      </c>
      <c r="C37" s="12">
        <v>924</v>
      </c>
      <c r="D37" s="12"/>
      <c r="E37" s="12"/>
      <c r="F37" s="12"/>
      <c r="G37" s="12"/>
      <c r="H37" s="0" t="s">
        <v>14</v>
      </c>
      <c r="I37" s="13"/>
      <c r="K37" s="0" t="s">
        <v>67</v>
      </c>
    </row>
    <row r="38" outlineLevel="2">
      <c r="A38" s="10" t="s">
        <v>69</v>
      </c>
      <c r="B38" s="0" t="s">
        <v>66</v>
      </c>
      <c r="C38" s="12">
        <v>44</v>
      </c>
      <c r="D38" s="12"/>
      <c r="E38" s="12"/>
      <c r="F38" s="12"/>
      <c r="G38" s="12"/>
      <c r="H38" s="0" t="s">
        <v>14</v>
      </c>
      <c r="I38" s="13"/>
      <c r="K38" s="0" t="s">
        <v>67</v>
      </c>
    </row>
    <row r="39" outlineLevel="2">
      <c r="A39" s="10" t="s">
        <v>70</v>
      </c>
      <c r="B39" s="0" t="s">
        <v>66</v>
      </c>
      <c r="C39" s="12">
        <v>352</v>
      </c>
      <c r="D39" s="12"/>
      <c r="E39" s="12"/>
      <c r="F39" s="12"/>
      <c r="G39" s="12"/>
      <c r="H39" s="0" t="s">
        <v>14</v>
      </c>
      <c r="I39" s="13"/>
      <c r="K39" s="0" t="s">
        <v>67</v>
      </c>
    </row>
    <row r="40" outlineLevel="2">
      <c r="A40" s="10" t="s">
        <v>71</v>
      </c>
      <c r="B40" s="0" t="s">
        <v>66</v>
      </c>
      <c r="C40" s="12">
        <v>124</v>
      </c>
      <c r="D40" s="12"/>
      <c r="E40" s="12"/>
      <c r="F40" s="12"/>
      <c r="G40" s="12"/>
      <c r="H40" s="0" t="s">
        <v>14</v>
      </c>
      <c r="I40" s="13"/>
      <c r="K40" s="0" t="s">
        <v>67</v>
      </c>
    </row>
    <row r="41" outlineLevel="2">
      <c r="A41" s="10" t="s">
        <v>72</v>
      </c>
      <c r="B41" s="0" t="s">
        <v>66</v>
      </c>
      <c r="C41" s="12">
        <v>145</v>
      </c>
      <c r="D41" s="12"/>
      <c r="E41" s="12"/>
      <c r="F41" s="12"/>
      <c r="G41" s="12"/>
      <c r="H41" s="0" t="s">
        <v>14</v>
      </c>
      <c r="I41" s="13"/>
      <c r="K41" s="0" t="s">
        <v>73</v>
      </c>
    </row>
    <row r="42" outlineLevel="2">
      <c r="A42" s="10" t="s">
        <v>74</v>
      </c>
      <c r="B42" s="0" t="s">
        <v>66</v>
      </c>
      <c r="C42" s="12">
        <v>21</v>
      </c>
      <c r="D42" s="12"/>
      <c r="E42" s="12"/>
      <c r="F42" s="12"/>
      <c r="G42" s="12"/>
      <c r="H42" s="0" t="s">
        <v>14</v>
      </c>
      <c r="I42" s="13"/>
      <c r="K42" s="0" t="s">
        <v>67</v>
      </c>
    </row>
    <row r="43" outlineLevel="2">
      <c r="A43" s="10" t="s">
        <v>75</v>
      </c>
      <c r="B43" s="0" t="s">
        <v>66</v>
      </c>
      <c r="C43" s="12">
        <v>52</v>
      </c>
      <c r="D43" s="12"/>
      <c r="E43" s="12"/>
      <c r="F43" s="12"/>
      <c r="G43" s="12"/>
      <c r="H43" s="0" t="s">
        <v>14</v>
      </c>
      <c r="I43" s="13"/>
      <c r="K43" s="0" t="s">
        <v>67</v>
      </c>
    </row>
    <row r="44" outlineLevel="2">
      <c r="A44" s="10" t="s">
        <v>76</v>
      </c>
      <c r="B44" s="0" t="s">
        <v>66</v>
      </c>
      <c r="C44" s="12">
        <v>1.82</v>
      </c>
      <c r="D44" s="12"/>
      <c r="E44" s="12"/>
      <c r="F44" s="12"/>
      <c r="G44" s="12"/>
      <c r="H44" s="0" t="s">
        <v>14</v>
      </c>
      <c r="I44" s="13"/>
      <c r="K44" s="0" t="s">
        <v>73</v>
      </c>
    </row>
    <row r="45" outlineLevel="2">
      <c r="A45" s="10" t="s">
        <v>77</v>
      </c>
      <c r="B45" s="0" t="s">
        <v>66</v>
      </c>
      <c r="C45" s="12">
        <v>256</v>
      </c>
      <c r="D45" s="12"/>
      <c r="E45" s="12"/>
      <c r="F45" s="12"/>
      <c r="G45" s="12"/>
      <c r="H45" s="0" t="s">
        <v>14</v>
      </c>
      <c r="I45" s="13"/>
      <c r="K45" s="0" t="s">
        <v>67</v>
      </c>
    </row>
    <row r="46" outlineLevel="2">
      <c r="A46" s="10" t="s">
        <v>78</v>
      </c>
      <c r="B46" s="0" t="s">
        <v>66</v>
      </c>
      <c r="C46" s="12">
        <v>3</v>
      </c>
      <c r="D46" s="12"/>
      <c r="E46" s="12"/>
      <c r="F46" s="12"/>
      <c r="G46" s="12"/>
      <c r="H46" s="0" t="s">
        <v>14</v>
      </c>
      <c r="I46" s="13"/>
      <c r="K46" s="0" t="s">
        <v>67</v>
      </c>
    </row>
    <row r="47" outlineLevel="2">
      <c r="A47" s="10" t="s">
        <v>79</v>
      </c>
      <c r="B47" s="0" t="s">
        <v>66</v>
      </c>
      <c r="C47" s="12">
        <v>7</v>
      </c>
      <c r="D47" s="12"/>
      <c r="E47" s="12"/>
      <c r="F47" s="12"/>
      <c r="G47" s="12"/>
      <c r="H47" s="0" t="s">
        <v>14</v>
      </c>
      <c r="I47" s="13"/>
      <c r="K47" s="0" t="s">
        <v>73</v>
      </c>
    </row>
    <row r="48">
      <c r="A48" s="5" t="s">
        <v>80</v>
      </c>
      <c r="I48" s="13"/>
    </row>
    <row r="49" outlineLevel="1">
      <c r="A49" s="9" t="s">
        <v>81</v>
      </c>
      <c r="I49" s="13"/>
    </row>
    <row r="50" outlineLevel="2">
      <c r="A50" s="10" t="s">
        <v>82</v>
      </c>
      <c r="B50" s="0" t="s">
        <v>33</v>
      </c>
      <c r="C50" s="11">
        <v>8.63</v>
      </c>
      <c r="D50" s="11"/>
      <c r="E50" s="11"/>
      <c r="F50" s="11"/>
      <c r="G50" s="11"/>
      <c r="I50" s="13"/>
      <c r="J50" s="0" t="s">
        <v>83</v>
      </c>
    </row>
    <row r="51" outlineLevel="2">
      <c r="A51" s="10" t="s">
        <v>84</v>
      </c>
      <c r="B51" s="0" t="s">
        <v>33</v>
      </c>
      <c r="C51" s="11">
        <v>14.57</v>
      </c>
      <c r="D51" s="11"/>
      <c r="E51" s="11"/>
      <c r="F51" s="11"/>
      <c r="G51" s="11"/>
      <c r="I51" s="13"/>
      <c r="J51" s="0" t="s">
        <v>83</v>
      </c>
    </row>
    <row r="52" outlineLevel="2">
      <c r="A52" s="10" t="s">
        <v>85</v>
      </c>
      <c r="B52" s="0" t="s">
        <v>33</v>
      </c>
      <c r="C52" s="11">
        <v>31.5</v>
      </c>
      <c r="D52" s="11"/>
      <c r="E52" s="11"/>
      <c r="F52" s="11"/>
      <c r="G52" s="11"/>
      <c r="I52" s="13"/>
      <c r="J52" s="0" t="s">
        <v>83</v>
      </c>
    </row>
    <row r="53" outlineLevel="2">
      <c r="A53" s="10" t="s">
        <v>86</v>
      </c>
      <c r="B53" s="0" t="s">
        <v>33</v>
      </c>
      <c r="C53" s="11">
        <v>31.5</v>
      </c>
      <c r="D53" s="11"/>
      <c r="E53" s="11"/>
      <c r="F53" s="11"/>
      <c r="G53" s="11"/>
      <c r="I53" s="13"/>
      <c r="J53" s="0" t="s">
        <v>83</v>
      </c>
    </row>
    <row r="54" outlineLevel="2">
      <c r="A54" s="10" t="s">
        <v>87</v>
      </c>
      <c r="B54" s="0" t="s">
        <v>33</v>
      </c>
      <c r="C54" s="11">
        <v>11.89</v>
      </c>
      <c r="D54" s="11"/>
      <c r="E54" s="11"/>
      <c r="F54" s="11"/>
      <c r="G54" s="11"/>
      <c r="I54" s="13"/>
      <c r="J54" s="0" t="s">
        <v>83</v>
      </c>
    </row>
    <row r="55" outlineLevel="2">
      <c r="A55" s="10" t="s">
        <v>88</v>
      </c>
      <c r="B55" s="0" t="s">
        <v>33</v>
      </c>
      <c r="C55" s="11">
        <v>1.9</v>
      </c>
      <c r="D55" s="11"/>
      <c r="E55" s="11"/>
      <c r="F55" s="11"/>
      <c r="G55" s="11"/>
      <c r="I55" s="13"/>
      <c r="J55" s="0" t="s">
        <v>83</v>
      </c>
    </row>
    <row r="56">
      <c r="I56" s="13"/>
    </row>
    <row r="57" s="1" customFormat="1"/>
  </sheetData>
  <mergeCells>
    <mergeCell ref="A8:A10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50:E50"/>
    <mergeCell ref="C51:E51"/>
    <mergeCell ref="C52:E52"/>
    <mergeCell ref="C53:E53"/>
    <mergeCell ref="C54:E54"/>
    <mergeCell ref="C55:E55"/>
  </mergeCells>
  <dataValidations count="1">
    <dataValidation type="decimal" sqref="C19" errorStyle="stop" promptTitle="Enter moisture content" errorTitle="Invalid moisture content" prompt="Value should be between 0 and 100.&#10;Original value: 1.4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https://phyllis.nl/Biomass/View/3043</dc:description>
  <dcterms:created xsi:type="dcterms:W3CDTF">2026-03-19T07:03:18Z</dcterms:created>
  <dc:title>Phyllis2 #3043 Wood Chips Spruce (BM2)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