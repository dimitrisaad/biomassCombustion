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054 Olive residue" sheetId="1" r:id="rId1"/>
  </sheets>
  <definedNames>
    <definedName name="w" localSheetId="0">IF(ISBLANK('Phyllis2 #3054 Olive residue'!$C$19),#N/A,'Phyllis2 #3054 Olive residue'!$C$19/100)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<sst xmlns="http://schemas.openxmlformats.org/spreadsheetml/2006/main" count="78" uniqueCount="78">
  <si>
    <t>Phyllis2</t>
  </si>
  <si>
    <t>https://phyllis.nl/Biomass/View/3054</t>
  </si>
  <si>
    <t>Olive residue (#3054)</t>
  </si>
  <si>
    <t>ID-number</t>
  </si>
  <si>
    <t>#3054</t>
  </si>
  <si>
    <t>Material</t>
  </si>
  <si>
    <t>Olive residue</t>
  </si>
  <si>
    <t>Alternative name</t>
  </si>
  <si>
    <t>Olive residue-ECN box 12462</t>
  </si>
  <si>
    <t>Classification</t>
  </si>
  <si>
    <t>CEN/TS 14961 classification &gt; Solid biofuels &gt; Fruit biomass &gt; Fruit processing industry &gt; Chemically treated fruit residues &gt; Exhausted olive cake</t>
  </si>
  <si>
    <t>ECN Phyllis classification &gt; husk/shell/pit &gt; olive &gt; olive residue</t>
  </si>
  <si>
    <t>NTA 8003 classification &gt; [500] biomassa uit de industrie &gt; [520] schillen/vliezen/pitten &gt; [524] olijven</t>
  </si>
  <si>
    <t>Submitter</t>
  </si>
  <si>
    <t>ECN</t>
  </si>
  <si>
    <t>Submitter organisation</t>
  </si>
  <si>
    <t>ECN (Netherlands)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</si>
  <si>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</si>
  <si>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</si>
  <si>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</si>
  <si>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</si>
  <si>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</si>
  <si>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</si>
  <si>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</si>
  <si>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</si>
  <si>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</si>
  <si>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</si>
  <si>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</si>
  <si>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</si>
  <si>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</si>
  <si>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</si>
  <si>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</si>
  <si>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</si>
  <si>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</si>
  <si>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CEN/TS 14774-1,2,3</t>
  </si>
  <si>
    <t>CEN/TS 14774-3:2004 Solid biofuels - Methods for the determination of moisture content - Oven dry method - Part 3: Moisture in general analysis sample</t>
  </si>
  <si>
    <t>Ash content at 550°C</t>
  </si>
  <si>
    <t>CEN/TS 14775</t>
  </si>
  <si>
    <t>CEN/TS 14775 2004 Solid biofuels - Method for the determination of ash content</t>
  </si>
  <si>
    <t>Volatile matter</t>
  </si>
  <si>
    <t>CEN/TS 15148:2005</t>
  </si>
  <si>
    <t>Fixed carbon</t>
  </si>
  <si>
    <t>Calculated</t>
  </si>
  <si>
    <t>Ultimate analysis (macroelements)</t>
  </si>
  <si>
    <t>Carbon</t>
  </si>
  <si>
    <t>CEN/TS 15104</t>
  </si>
  <si>
    <t>CEN/TS 15104:2005 Solid biofuels - Determination of total content of carbon, hydrogen and nitrogen - Instrumental methods</t>
  </si>
  <si>
    <t>Hydrogen</t>
  </si>
  <si>
    <t>Oxygen</t>
  </si>
  <si>
    <t>Nitrogen</t>
  </si>
  <si>
    <t>Sulphur</t>
  </si>
  <si>
    <t>CEN/TS15289</t>
  </si>
  <si>
    <t>CEN/TS15289:2005 Solid Biofuels - Determination of total content of sulphur and chlorine</t>
  </si>
  <si>
    <t>Total (with halides)</t>
  </si>
  <si>
    <t>Halides</t>
  </si>
  <si>
    <t>Chlorine (Cl)</t>
  </si>
  <si>
    <t>mg/kg</t>
  </si>
  <si>
    <t>CEN/TS 15289</t>
  </si>
  <si>
    <t>CEN/TS 15289:2006 Solid Biofuels - Determination of total content of sulphur and chlorine</t>
  </si>
  <si>
    <t>Heating value</t>
  </si>
  <si>
    <t>HHVMilne</t>
  </si>
  <si>
    <t>MJ/kg</t>
  </si>
  <si>
    <t>Trace elements composition</t>
  </si>
  <si>
    <t>Aluminium (Al)</t>
  </si>
  <si>
    <t>mg/kg (dry)</t>
  </si>
  <si>
    <t>CEN/TS 15290:2006Solid Biofuels - Determination of major elements</t>
  </si>
  <si>
    <t>Calcium (Ca)</t>
  </si>
  <si>
    <t>Iron (Fe)</t>
  </si>
  <si>
    <t>Potassium (K)</t>
  </si>
  <si>
    <t>Magnesium (Mg)</t>
  </si>
  <si>
    <t>Manganese (Mn)</t>
  </si>
  <si>
    <t>CEN/TS 15297:2005 Solid Biofuels - Determination of minor elements</t>
  </si>
  <si>
    <t>Sodium (Na)</t>
  </si>
  <si>
    <t>Phosphorus (P)</t>
  </si>
  <si>
    <t>Lead (Pb)</t>
  </si>
  <si>
    <t>Silicon (Si)</t>
  </si>
  <si>
    <t>Titanium (Ti)</t>
  </si>
  <si>
    <t>Zinc (Zn)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</si>
</sst>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05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8.8621006011963" customWidth="1"/>
    <col min="11" max="11" width="136.083892822266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5" t="s">
        <v>7</v>
      </c>
      <c r="B7" s="0" t="s">
        <v>8</v>
      </c>
    </row>
    <row r="8" outlineLevel="1">
      <c r="A8" s="6" t="s">
        <v>9</v>
      </c>
      <c r="B8" s="0" t="s">
        <v>10</v>
      </c>
    </row>
    <row r="9" outlineLevel="1">
      <c r="A9" s="6"/>
      <c r="B9" s="0" t="s">
        <v>11</v>
      </c>
    </row>
    <row r="10" outlineLevel="1">
      <c r="A10" s="6"/>
      <c r="B10" s="0" t="s">
        <v>12</v>
      </c>
    </row>
    <row r="11" outlineLevel="1">
      <c r="A11" s="5" t="s">
        <v>13</v>
      </c>
      <c r="B11" s="0" t="s">
        <v>14</v>
      </c>
    </row>
    <row r="12" outlineLevel="1">
      <c r="A12" s="5" t="s">
        <v>15</v>
      </c>
      <c r="B12" s="0" t="s">
        <v>16</v>
      </c>
    </row>
    <row r="13">
      <c r="A13" s="5"/>
    </row>
    <row r="14" s="1" customFormat="1">
      <c r="A14" s="7" t="s">
        <v>17</v>
      </c>
    </row>
    <row r="15" s="1" customFormat="1">
      <c r="A15" s="8" t="s">
        <v>18</v>
      </c>
      <c r="B15" s="8" t="s">
        <v>19</v>
      </c>
      <c r="C15" s="8" t="s">
        <v>20</v>
      </c>
      <c r="D15" s="8"/>
      <c r="E15" s="8"/>
      <c r="F15" s="8" t="s">
        <v>21</v>
      </c>
      <c r="G15" s="8" t="s">
        <v>22</v>
      </c>
      <c r="H15" s="8" t="s">
        <v>23</v>
      </c>
      <c r="I15" s="8" t="s">
        <v>24</v>
      </c>
      <c r="J15" s="8" t="s">
        <v>25</v>
      </c>
      <c r="K15" s="8" t="s">
        <v>26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3"/>
    </row>
    <row r="18" outlineLevel="1">
      <c r="A18" s="9" t="s">
        <v>31</v>
      </c>
      <c r="I18" s="13"/>
    </row>
    <row r="19" outlineLevel="2">
      <c r="A19" s="10" t="s">
        <v>32</v>
      </c>
      <c r="B19" s="0" t="s">
        <v>33</v>
      </c>
      <c r="C19" s="11">
        <v>14.33</v>
      </c>
      <c r="D19" s="11"/>
      <c r="E19" s="11"/>
      <c r="F19" s="11"/>
      <c r="G19" s="11"/>
      <c r="H19" s="0" t="s">
        <v>14</v>
      </c>
      <c r="I19" s="13"/>
      <c r="J19" s="0" t="s">
        <v>34</v>
      </c>
      <c r="K19" s="0" t="s">
        <v>35</v>
      </c>
    </row>
    <row r="20" outlineLevel="2">
      <c r="A20" s="10" t="s">
        <v>36</v>
      </c>
      <c r="B20" s="0" t="s">
        <v>33</v>
      </c>
      <c r="C20" s="11">
        <f>IFERROR(8.85*(1-w),"")</f>
        <v>7.581795</v>
      </c>
      <c r="D20" s="11">
        <v>8.85</v>
      </c>
      <c r="E20" s="11">
        <v/>
      </c>
      <c r="F20" s="11"/>
      <c r="G20" s="11"/>
      <c r="H20" s="0" t="s">
        <v>14</v>
      </c>
      <c r="I20" s="13"/>
      <c r="J20" s="0" t="s">
        <v>37</v>
      </c>
      <c r="K20" s="0" t="s">
        <v>38</v>
      </c>
    </row>
    <row r="21" outlineLevel="2">
      <c r="A21" s="10" t="s">
        <v>39</v>
      </c>
      <c r="B21" s="0" t="s">
        <v>33</v>
      </c>
      <c r="C21" s="11">
        <f>IFERROR(73.5*(1-w),"")</f>
        <v>62.96745</v>
      </c>
      <c r="D21" s="11">
        <v>73.5</v>
      </c>
      <c r="E21" s="11">
        <v>80.636313768513446</v>
      </c>
      <c r="F21" s="11"/>
      <c r="G21" s="11"/>
      <c r="H21" s="0" t="s">
        <v>14</v>
      </c>
      <c r="I21" s="13"/>
      <c r="K21" s="0" t="s">
        <v>40</v>
      </c>
    </row>
    <row r="22" outlineLevel="2">
      <c r="A22" s="10" t="s">
        <v>41</v>
      </c>
      <c r="B22" s="0" t="s">
        <v>33</v>
      </c>
      <c r="C22" s="11">
        <f>IFERROR(17.65*(1-w),"")</f>
        <v>15.120755000000004</v>
      </c>
      <c r="D22" s="11">
        <v>17.650000000000006</v>
      </c>
      <c r="E22" s="11">
        <v>19.363686231486568</v>
      </c>
      <c r="F22" s="11"/>
      <c r="G22" s="11"/>
      <c r="I22" s="13"/>
      <c r="J22" s="0" t="s">
        <v>42</v>
      </c>
    </row>
    <row r="23" outlineLevel="1">
      <c r="A23" s="9" t="s">
        <v>43</v>
      </c>
      <c r="I23" s="13"/>
    </row>
    <row r="24" outlineLevel="2">
      <c r="A24" s="10" t="s">
        <v>44</v>
      </c>
      <c r="B24" s="0" t="s">
        <v>33</v>
      </c>
      <c r="C24" s="11">
        <f>IFERROR(48.6*(1-w),"")</f>
        <v>41.63562</v>
      </c>
      <c r="D24" s="11">
        <v>48.6</v>
      </c>
      <c r="E24" s="11">
        <v>53.318705430608887</v>
      </c>
      <c r="F24" s="11"/>
      <c r="G24" s="11"/>
      <c r="H24" s="0" t="s">
        <v>14</v>
      </c>
      <c r="I24" s="13"/>
      <c r="J24" s="0" t="s">
        <v>45</v>
      </c>
      <c r="K24" s="0" t="s">
        <v>46</v>
      </c>
    </row>
    <row r="25" outlineLevel="2">
      <c r="A25" s="10" t="s">
        <v>47</v>
      </c>
      <c r="B25" s="0" t="s">
        <v>33</v>
      </c>
      <c r="C25" s="11">
        <f>IFERROR(6*(1-w),"")</f>
        <v>5.1402</v>
      </c>
      <c r="D25" s="11">
        <v>6</v>
      </c>
      <c r="E25" s="11">
        <v>6.5825562260010972</v>
      </c>
      <c r="F25" s="11"/>
      <c r="G25" s="11"/>
      <c r="H25" s="0" t="s">
        <v>14</v>
      </c>
      <c r="I25" s="13"/>
      <c r="J25" s="0" t="s">
        <v>45</v>
      </c>
      <c r="K25" s="0" t="s">
        <v>46</v>
      </c>
    </row>
    <row r="26" outlineLevel="2">
      <c r="A26" s="10" t="s">
        <v>48</v>
      </c>
      <c r="B26" s="0" t="s">
        <v>33</v>
      </c>
      <c r="C26" s="11">
        <f>IFERROR(36.37*(1-w),"")</f>
        <v>31.158178999999997</v>
      </c>
      <c r="D26" s="11">
        <v>36.37</v>
      </c>
      <c r="E26" s="11">
        <v>39.901261656609982</v>
      </c>
      <c r="F26" s="11"/>
      <c r="G26" s="11"/>
      <c r="H26" s="0" t="s">
        <v>14</v>
      </c>
      <c r="I26" s="13"/>
      <c r="K26" s="0" t="s">
        <v>46</v>
      </c>
    </row>
    <row r="27" outlineLevel="2">
      <c r="A27" s="10" t="s">
        <v>49</v>
      </c>
      <c r="B27" s="0" t="s">
        <v>33</v>
      </c>
      <c r="C27" s="11">
        <f>IFERROR(1.62*(1-w),"")</f>
        <v>1.3878540000000001</v>
      </c>
      <c r="D27" s="11">
        <v>1.62</v>
      </c>
      <c r="E27" s="11">
        <v>1.7772901810202963</v>
      </c>
      <c r="F27" s="11"/>
      <c r="G27" s="11"/>
      <c r="H27" s="0" t="s">
        <v>14</v>
      </c>
      <c r="I27" s="13"/>
      <c r="J27" s="0" t="s">
        <v>45</v>
      </c>
      <c r="K27" s="0" t="s">
        <v>46</v>
      </c>
    </row>
    <row r="28" outlineLevel="2">
      <c r="A28" s="10" t="s">
        <v>50</v>
      </c>
      <c r="B28" s="0" t="s">
        <v>33</v>
      </c>
      <c r="C28" s="11">
        <f>IFERROR(0.12122*(1-w),"")</f>
        <v>0.103849174</v>
      </c>
      <c r="D28" s="11">
        <v>0.12122</v>
      </c>
      <c r="E28" s="11">
        <v>0.13298957761930882</v>
      </c>
      <c r="F28" s="11"/>
      <c r="G28" s="11"/>
      <c r="H28" s="0" t="s">
        <v>14</v>
      </c>
      <c r="I28" s="13"/>
      <c r="J28" s="0" t="s">
        <v>51</v>
      </c>
      <c r="K28" s="0" t="s">
        <v>52</v>
      </c>
    </row>
    <row r="29" outlineLevel="2">
      <c r="A29" s="10" t="s">
        <v>53</v>
      </c>
      <c r="B29" s="0" t="s">
        <v>33</v>
      </c>
      <c r="C29" s="11">
        <f>IFERROR(101.86032*(1-w)+w*100,"")</f>
        <v>101.59373614399999</v>
      </c>
      <c r="D29" s="11">
        <v>101.86031999999999</v>
      </c>
      <c r="E29" s="11">
        <v>102.04094349972573</v>
      </c>
      <c r="F29" s="11"/>
      <c r="G29" s="11"/>
      <c r="I29" s="13"/>
      <c r="J29" s="0" t="s">
        <v>42</v>
      </c>
    </row>
    <row r="30" outlineLevel="1">
      <c r="A30" s="9" t="s">
        <v>54</v>
      </c>
      <c r="I30" s="13"/>
    </row>
    <row r="31" outlineLevel="2">
      <c r="A31" s="10" t="s">
        <v>55</v>
      </c>
      <c r="B31" s="0" t="s">
        <v>56</v>
      </c>
      <c r="C31" s="12">
        <f>IFERROR(2991*(1-w),"")</f>
        <v>2562.3897</v>
      </c>
      <c r="D31" s="12">
        <v>2991</v>
      </c>
      <c r="E31" s="12">
        <v>3281.4042786615469</v>
      </c>
      <c r="F31" s="12"/>
      <c r="G31" s="12"/>
      <c r="H31" s="0" t="s">
        <v>14</v>
      </c>
      <c r="I31" s="13"/>
      <c r="J31" s="0" t="s">
        <v>57</v>
      </c>
      <c r="K31" s="0" t="s">
        <v>58</v>
      </c>
    </row>
    <row r="32" outlineLevel="1">
      <c r="A32" s="9" t="s">
        <v>59</v>
      </c>
      <c r="I32" s="13"/>
    </row>
    <row r="33" outlineLevel="2">
      <c r="A33" s="10" t="s">
        <v>60</v>
      </c>
      <c r="B33" s="0" t="s">
        <v>61</v>
      </c>
      <c r="C33" s="11">
        <f>IFERROR(19.8306940345*(1-w),"")</f>
        <v>16.988955579356151</v>
      </c>
      <c r="D33" s="11">
        <v>19.830694034500002</v>
      </c>
      <c r="E33" s="11">
        <v>21.756109747120135</v>
      </c>
      <c r="F33" s="11"/>
      <c r="G33" s="11"/>
      <c r="I33" s="13"/>
      <c r="J33" s="0" t="s">
        <v>42</v>
      </c>
    </row>
    <row r="34" outlineLevel="1">
      <c r="A34" s="9" t="s">
        <v>62</v>
      </c>
      <c r="I34" s="13"/>
    </row>
    <row r="35" outlineLevel="2">
      <c r="A35" s="10" t="s">
        <v>63</v>
      </c>
      <c r="B35" s="0" t="s">
        <v>64</v>
      </c>
      <c r="C35" s="12">
        <v>1066.76</v>
      </c>
      <c r="D35" s="12"/>
      <c r="E35" s="12"/>
      <c r="F35" s="12"/>
      <c r="G35" s="12"/>
      <c r="H35" s="0" t="s">
        <v>14</v>
      </c>
      <c r="I35" s="13"/>
      <c r="K35" s="0" t="s">
        <v>65</v>
      </c>
    </row>
    <row r="36" outlineLevel="2">
      <c r="A36" s="10" t="s">
        <v>66</v>
      </c>
      <c r="B36" s="0" t="s">
        <v>64</v>
      </c>
      <c r="C36" s="12">
        <v>8551.47</v>
      </c>
      <c r="D36" s="12"/>
      <c r="E36" s="12"/>
      <c r="F36" s="12"/>
      <c r="G36" s="12"/>
      <c r="H36" s="0" t="s">
        <v>14</v>
      </c>
      <c r="I36" s="13"/>
      <c r="K36" s="0" t="s">
        <v>65</v>
      </c>
    </row>
    <row r="37" outlineLevel="2">
      <c r="A37" s="10" t="s">
        <v>67</v>
      </c>
      <c r="B37" s="0" t="s">
        <v>64</v>
      </c>
      <c r="C37" s="12">
        <v>1704.36</v>
      </c>
      <c r="D37" s="12"/>
      <c r="E37" s="12"/>
      <c r="F37" s="12"/>
      <c r="G37" s="12"/>
      <c r="H37" s="0" t="s">
        <v>14</v>
      </c>
      <c r="I37" s="13"/>
      <c r="K37" s="0" t="s">
        <v>65</v>
      </c>
    </row>
    <row r="38" outlineLevel="2">
      <c r="A38" s="10" t="s">
        <v>68</v>
      </c>
      <c r="B38" s="0" t="s">
        <v>64</v>
      </c>
      <c r="C38" s="12">
        <v>15561.27</v>
      </c>
      <c r="D38" s="12"/>
      <c r="E38" s="12"/>
      <c r="F38" s="12"/>
      <c r="G38" s="12"/>
      <c r="H38" s="0" t="s">
        <v>14</v>
      </c>
      <c r="I38" s="13"/>
      <c r="K38" s="0" t="s">
        <v>65</v>
      </c>
    </row>
    <row r="39" outlineLevel="2">
      <c r="A39" s="10" t="s">
        <v>69</v>
      </c>
      <c r="B39" s="0" t="s">
        <v>64</v>
      </c>
      <c r="C39" s="12">
        <v>4995.5</v>
      </c>
      <c r="D39" s="12"/>
      <c r="E39" s="12"/>
      <c r="F39" s="12"/>
      <c r="G39" s="12"/>
      <c r="H39" s="0" t="s">
        <v>14</v>
      </c>
      <c r="I39" s="13"/>
      <c r="K39" s="0" t="s">
        <v>65</v>
      </c>
    </row>
    <row r="40" outlineLevel="2">
      <c r="A40" s="10" t="s">
        <v>70</v>
      </c>
      <c r="B40" s="0" t="s">
        <v>64</v>
      </c>
      <c r="C40" s="12">
        <v>35.08</v>
      </c>
      <c r="D40" s="12"/>
      <c r="E40" s="12"/>
      <c r="F40" s="12"/>
      <c r="G40" s="12"/>
      <c r="H40" s="0" t="s">
        <v>14</v>
      </c>
      <c r="I40" s="13"/>
      <c r="K40" s="0" t="s">
        <v>71</v>
      </c>
    </row>
    <row r="41" outlineLevel="2">
      <c r="A41" s="10" t="s">
        <v>72</v>
      </c>
      <c r="B41" s="0" t="s">
        <v>64</v>
      </c>
      <c r="C41" s="12">
        <v>718.51</v>
      </c>
      <c r="D41" s="12"/>
      <c r="E41" s="12"/>
      <c r="F41" s="12"/>
      <c r="G41" s="12"/>
      <c r="H41" s="0" t="s">
        <v>14</v>
      </c>
      <c r="I41" s="13"/>
      <c r="K41" s="0" t="s">
        <v>65</v>
      </c>
    </row>
    <row r="42" outlineLevel="2">
      <c r="A42" s="10" t="s">
        <v>73</v>
      </c>
      <c r="B42" s="0" t="s">
        <v>64</v>
      </c>
      <c r="C42" s="12">
        <v>1297.62</v>
      </c>
      <c r="D42" s="12"/>
      <c r="E42" s="12"/>
      <c r="F42" s="12"/>
      <c r="G42" s="12"/>
      <c r="H42" s="0" t="s">
        <v>14</v>
      </c>
      <c r="I42" s="13"/>
      <c r="K42" s="0" t="s">
        <v>65</v>
      </c>
    </row>
    <row r="43" outlineLevel="2">
      <c r="A43" s="10" t="s">
        <v>74</v>
      </c>
      <c r="B43" s="0" t="s">
        <v>64</v>
      </c>
      <c r="C43" s="12">
        <v>1.48</v>
      </c>
      <c r="D43" s="12"/>
      <c r="E43" s="12"/>
      <c r="F43" s="12"/>
      <c r="G43" s="12"/>
      <c r="H43" s="0" t="s">
        <v>14</v>
      </c>
      <c r="I43" s="13"/>
    </row>
    <row r="44" outlineLevel="2">
      <c r="A44" s="10" t="s">
        <v>75</v>
      </c>
      <c r="B44" s="0" t="s">
        <v>64</v>
      </c>
      <c r="C44" s="12">
        <v>7929.1</v>
      </c>
      <c r="D44" s="12"/>
      <c r="E44" s="12"/>
      <c r="F44" s="12"/>
      <c r="G44" s="12"/>
      <c r="H44" s="0" t="s">
        <v>14</v>
      </c>
      <c r="I44" s="13"/>
      <c r="K44" s="0" t="s">
        <v>65</v>
      </c>
    </row>
    <row r="45" outlineLevel="2">
      <c r="A45" s="10" t="s">
        <v>76</v>
      </c>
      <c r="B45" s="0" t="s">
        <v>64</v>
      </c>
      <c r="C45" s="12">
        <v>50.1</v>
      </c>
      <c r="D45" s="12"/>
      <c r="E45" s="12"/>
      <c r="F45" s="12"/>
      <c r="G45" s="12"/>
      <c r="H45" s="0" t="s">
        <v>14</v>
      </c>
      <c r="I45" s="13"/>
      <c r="K45" s="0" t="s">
        <v>65</v>
      </c>
    </row>
    <row r="46" outlineLevel="2">
      <c r="A46" s="10" t="s">
        <v>77</v>
      </c>
      <c r="B46" s="0" t="s">
        <v>64</v>
      </c>
      <c r="C46" s="12">
        <v>14.83</v>
      </c>
      <c r="D46" s="12"/>
      <c r="E46" s="12"/>
      <c r="F46" s="12"/>
      <c r="G46" s="12"/>
      <c r="H46" s="0" t="s">
        <v>14</v>
      </c>
      <c r="I46" s="13"/>
      <c r="K46" s="0" t="s">
        <v>71</v>
      </c>
    </row>
    <row r="47">
      <c r="I47" s="13"/>
    </row>
    <row r="48" s="1" customFormat="1"/>
  </sheetData>
  <mergeCells>
    <mergeCell ref="A8:A10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</mergeCells>
  <dataValidations count="1">
    <dataValidation type="decimal" sqref="C19" errorStyle="stop" promptTitle="Enter moisture content" errorTitle="Invalid moisture content" prompt="Value should be between 0 and 100.&#10;Original value: 14.3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https://phyllis.nl/Biomass/View/3054</dc:description>
  <dcterms:created xsi:type="dcterms:W3CDTF">2026-03-17T05:42:31Z</dcterms:created>
  <dc:title>Phyllis2 #3054 Olive residue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