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055 Olive residue (B" sheetId="1" r:id="rId1"/>
  </sheets>
  <definedNames>
    <definedName name="w" localSheetId="0">IF(ISBLANK('Phyllis2 #3055 Olive residue (B'!$C$18),#N/A,'Phyllis2 #3055 Olive residue (B'!$C$18/100)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<sst xmlns="http://schemas.openxmlformats.org/spreadsheetml/2006/main" count="67" uniqueCount="67">
  <si>
    <t>Phyllis2</t>
  </si>
  <si>
    <t>https://phyllis.nl/Biomass/View/3055</t>
  </si>
  <si>
    <t>Olive residue (BM5) (#3055)</t>
  </si>
  <si>
    <t>ID-number</t>
  </si>
  <si>
    <t>#3055</t>
  </si>
  <si>
    <t>Material</t>
  </si>
  <si>
    <t>Olive residue (BM5)</t>
  </si>
  <si>
    <t>Classification</t>
  </si>
  <si>
    <t>CEN/TS 14961 classification &gt; Solid biofuels &gt; Fruit biomass &gt; Fruit processing industry &gt; Chemically treated fruit residues &gt; Exhausted olive cake</t>
  </si>
  <si>
    <t>ECN Phyllis classification &gt; husk/shell/pit &gt; olive &gt; olive residue</t>
  </si>
  <si>
    <t>NTA 8003 classification &gt; [500] biomassa uit de industrie &gt; [520] schillen/vliezen/pitten &gt; [524] olijven</t>
  </si>
  <si>
    <t>Submitter</t>
  </si>
  <si>
    <t>ECN</t>
  </si>
  <si>
    <t>Submitter organisation</t>
  </si>
  <si>
    <t>ECN (Netherlands)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</si>
  <si>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</si>
  <si>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</si>
  <si>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</si>
  <si>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</si>
  <si>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</si>
  <si>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</si>
  <si>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</si>
  <si>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</si>
  <si>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</si>
  <si>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</si>
  <si>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</si>
  <si>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</si>
  <si>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</si>
  <si>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</si>
  <si>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</si>
  <si>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</si>
  <si>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</si>
  <si>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CEN/TS 14774-1,2,3</t>
  </si>
  <si>
    <t>CEN/TS 14774-3:2004 Solid biofuels - Methods for the determination of moisture content - Oven dry method - Part 3: Moisture in general analysis sample</t>
  </si>
  <si>
    <t>Ash content at 550°C</t>
  </si>
  <si>
    <t>CEN/TS 14775</t>
  </si>
  <si>
    <t>CEN/TS 14775 2004 Solid biofuels - Method for the determination of ash content</t>
  </si>
  <si>
    <t>Ultimate analysis (macroelements)</t>
  </si>
  <si>
    <t>Carbon</t>
  </si>
  <si>
    <t>CEN/TS 15104</t>
  </si>
  <si>
    <t>CEN/TS 15104:2005 Solid biofuels - Determination of total content of carbon, hydrogen and nitrogen - Instrumental methods</t>
  </si>
  <si>
    <t>Hydrogen</t>
  </si>
  <si>
    <t>Nitrogen</t>
  </si>
  <si>
    <t>Sulphur</t>
  </si>
  <si>
    <t>CEN/TS15289</t>
  </si>
  <si>
    <t>Total (with halides)</t>
  </si>
  <si>
    <t>Calculated</t>
  </si>
  <si>
    <t>Halides</t>
  </si>
  <si>
    <t>Chlorine (Cl)</t>
  </si>
  <si>
    <t>mg/kg</t>
  </si>
  <si>
    <t>CEN/TS 15289</t>
  </si>
  <si>
    <t>CEN/TS 15289:2006 Solid Biofuels - Determination of total content of sulphur and chlorine</t>
  </si>
  <si>
    <t>Trace elements composition</t>
  </si>
  <si>
    <t>Aluminium (Al)</t>
  </si>
  <si>
    <t>mg/kg (dry)</t>
  </si>
  <si>
    <t>CEN/TS 15290:2006Solid Biofuels - Determination of major elements</t>
  </si>
  <si>
    <t>Calcium (Ca)</t>
  </si>
  <si>
    <t>Iron (Fe)</t>
  </si>
  <si>
    <t>Potassium (K)</t>
  </si>
  <si>
    <t>Magnesium (Mg)</t>
  </si>
  <si>
    <t>Manganese (Mn)</t>
  </si>
  <si>
    <t>CEN/TS 15297:2005 Solid Biofuels - Determination of minor elements</t>
  </si>
  <si>
    <t>Sodium (Na)</t>
  </si>
  <si>
    <t>Phosphorus (P)</t>
  </si>
  <si>
    <t>Silicon (Si)</t>
  </si>
  <si>
    <t>Titanium (Ti)</t>
  </si>
  <si>
    <t>Zinc (Zn)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</si>
</sst>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055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0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8.8621006011963" customWidth="1"/>
    <col min="11" max="11" width="136.083892822266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6"/>
      <c r="B9" s="0" t="s">
        <v>10</v>
      </c>
    </row>
    <row r="10" outlineLevel="1">
      <c r="A10" s="5" t="s">
        <v>11</v>
      </c>
      <c r="B10" s="0" t="s">
        <v>12</v>
      </c>
    </row>
    <row r="11" outlineLevel="1">
      <c r="A11" s="5" t="s">
        <v>13</v>
      </c>
      <c r="B11" s="0" t="s">
        <v>14</v>
      </c>
    </row>
    <row r="12">
      <c r="A12" s="5"/>
    </row>
    <row r="13" s="1" customFormat="1">
      <c r="A13" s="7" t="s">
        <v>15</v>
      </c>
    </row>
    <row r="14" s="1" customFormat="1">
      <c r="A14" s="8" t="s">
        <v>16</v>
      </c>
      <c r="B14" s="8" t="s">
        <v>17</v>
      </c>
      <c r="C14" s="8" t="s">
        <v>18</v>
      </c>
      <c r="D14" s="8"/>
      <c r="E14" s="8"/>
      <c r="F14" s="8" t="s">
        <v>19</v>
      </c>
      <c r="G14" s="8" t="s">
        <v>20</v>
      </c>
      <c r="H14" s="8" t="s">
        <v>21</v>
      </c>
      <c r="I14" s="8" t="s">
        <v>22</v>
      </c>
      <c r="J14" s="8" t="s">
        <v>23</v>
      </c>
      <c r="K14" s="8" t="s">
        <v>24</v>
      </c>
      <c r="L14" s="8"/>
    </row>
    <row r="15" s="1" customFormat="1">
      <c r="A15" s="8"/>
      <c r="B15" s="8"/>
      <c r="C15" s="8" t="s">
        <v>25</v>
      </c>
      <c r="D15" s="8" t="s">
        <v>26</v>
      </c>
      <c r="E15" s="8" t="s">
        <v>27</v>
      </c>
      <c r="F15" s="8"/>
      <c r="G15" s="8"/>
      <c r="H15" s="8"/>
      <c r="I15" s="8"/>
      <c r="J15" s="8"/>
      <c r="K15" s="8"/>
      <c r="L15" s="8"/>
    </row>
    <row r="16">
      <c r="A16" s="5" t="s">
        <v>28</v>
      </c>
      <c r="I16" s="13"/>
    </row>
    <row r="17" outlineLevel="1">
      <c r="A17" s="9" t="s">
        <v>29</v>
      </c>
      <c r="I17" s="13"/>
    </row>
    <row r="18" outlineLevel="2">
      <c r="A18" s="10" t="s">
        <v>30</v>
      </c>
      <c r="B18" s="0" t="s">
        <v>31</v>
      </c>
      <c r="C18" s="11">
        <v>13.68</v>
      </c>
      <c r="D18" s="11"/>
      <c r="E18" s="11"/>
      <c r="F18" s="11"/>
      <c r="G18" s="11"/>
      <c r="H18" s="0" t="s">
        <v>12</v>
      </c>
      <c r="I18" s="13"/>
      <c r="J18" s="0" t="s">
        <v>32</v>
      </c>
      <c r="K18" s="0" t="s">
        <v>33</v>
      </c>
    </row>
    <row r="19" outlineLevel="2">
      <c r="A19" s="10" t="s">
        <v>34</v>
      </c>
      <c r="B19" s="0" t="s">
        <v>31</v>
      </c>
      <c r="C19" s="11">
        <f>IFERROR(8.87*(1-w),"")</f>
        <v>7.6565839999999987</v>
      </c>
      <c r="D19" s="11">
        <v>8.87</v>
      </c>
      <c r="E19" s="11">
        <v/>
      </c>
      <c r="F19" s="11"/>
      <c r="G19" s="11"/>
      <c r="H19" s="0" t="s">
        <v>12</v>
      </c>
      <c r="I19" s="13"/>
      <c r="J19" s="0" t="s">
        <v>35</v>
      </c>
      <c r="K19" s="0" t="s">
        <v>36</v>
      </c>
    </row>
    <row r="20" outlineLevel="1">
      <c r="A20" s="9" t="s">
        <v>37</v>
      </c>
      <c r="I20" s="13"/>
    </row>
    <row r="21" outlineLevel="2">
      <c r="A21" s="10" t="s">
        <v>38</v>
      </c>
      <c r="B21" s="0" t="s">
        <v>31</v>
      </c>
      <c r="C21" s="11">
        <f>IFERROR(47.25*(1-w),"")</f>
        <v>40.7862</v>
      </c>
      <c r="D21" s="11">
        <v>47.25</v>
      </c>
      <c r="E21" s="11">
        <v>51.849006913200924</v>
      </c>
      <c r="F21" s="11"/>
      <c r="G21" s="11"/>
      <c r="H21" s="0" t="s">
        <v>12</v>
      </c>
      <c r="I21" s="13"/>
      <c r="J21" s="0" t="s">
        <v>39</v>
      </c>
      <c r="K21" s="0" t="s">
        <v>40</v>
      </c>
    </row>
    <row r="22" outlineLevel="2">
      <c r="A22" s="10" t="s">
        <v>41</v>
      </c>
      <c r="B22" s="0" t="s">
        <v>31</v>
      </c>
      <c r="C22" s="11">
        <f>IFERROR(5.62*(1-w),"")</f>
        <v>4.851184</v>
      </c>
      <c r="D22" s="11">
        <v>5.62</v>
      </c>
      <c r="E22" s="11">
        <v>6.1670141556018878</v>
      </c>
      <c r="F22" s="11"/>
      <c r="G22" s="11"/>
      <c r="H22" s="0" t="s">
        <v>12</v>
      </c>
      <c r="I22" s="13"/>
      <c r="J22" s="0" t="s">
        <v>39</v>
      </c>
      <c r="K22" s="0" t="s">
        <v>40</v>
      </c>
    </row>
    <row r="23" outlineLevel="2">
      <c r="A23" s="10" t="s">
        <v>42</v>
      </c>
      <c r="B23" s="0" t="s">
        <v>31</v>
      </c>
      <c r="C23" s="11">
        <f>IFERROR(1.26*(1-w),"")</f>
        <v>1.087632</v>
      </c>
      <c r="D23" s="11">
        <v>1.26</v>
      </c>
      <c r="E23" s="11">
        <v>1.3826401843520246</v>
      </c>
      <c r="F23" s="11"/>
      <c r="G23" s="11"/>
      <c r="H23" s="0" t="s">
        <v>12</v>
      </c>
      <c r="I23" s="13"/>
      <c r="J23" s="0" t="s">
        <v>39</v>
      </c>
      <c r="K23" s="0" t="s">
        <v>40</v>
      </c>
    </row>
    <row r="24" outlineLevel="2">
      <c r="A24" s="10" t="s">
        <v>43</v>
      </c>
      <c r="B24" s="0" t="s">
        <v>31</v>
      </c>
      <c r="C24" s="11">
        <f>IFERROR(0.1366*(1-w),"")</f>
        <v>0.11791312</v>
      </c>
      <c r="D24" s="11">
        <v>0.1366</v>
      </c>
      <c r="E24" s="11">
        <v>0.14989575331943378</v>
      </c>
      <c r="F24" s="11"/>
      <c r="G24" s="11"/>
      <c r="H24" s="0" t="s">
        <v>12</v>
      </c>
      <c r="I24" s="13"/>
      <c r="J24" s="0" t="s">
        <v>44</v>
      </c>
      <c r="K24" s="0" t="s">
        <v>40</v>
      </c>
    </row>
    <row r="25" outlineLevel="2">
      <c r="A25" s="10" t="s">
        <v>45</v>
      </c>
      <c r="B25" s="0" t="s">
        <v>31</v>
      </c>
      <c r="C25" s="11">
        <f>IFERROR(63.446*(1-w)+w*100,"")</f>
        <v>68.446587199999982</v>
      </c>
      <c r="D25" s="11">
        <v>63.445999999999991</v>
      </c>
      <c r="E25" s="11">
        <v>59.888071985076259</v>
      </c>
      <c r="F25" s="11"/>
      <c r="G25" s="11"/>
      <c r="I25" s="13"/>
      <c r="J25" s="0" t="s">
        <v>46</v>
      </c>
    </row>
    <row r="26" outlineLevel="1">
      <c r="A26" s="9" t="s">
        <v>47</v>
      </c>
      <c r="I26" s="13"/>
    </row>
    <row r="27" outlineLevel="2">
      <c r="A27" s="10" t="s">
        <v>48</v>
      </c>
      <c r="B27" s="0" t="s">
        <v>49</v>
      </c>
      <c r="C27" s="12">
        <f>IFERROR(3094*(1-w),"")</f>
        <v>2670.7408</v>
      </c>
      <c r="D27" s="12">
        <v>3094</v>
      </c>
      <c r="E27" s="12">
        <v>3395.1497860199715</v>
      </c>
      <c r="F27" s="12"/>
      <c r="G27" s="12"/>
      <c r="H27" s="0" t="s">
        <v>12</v>
      </c>
      <c r="I27" s="13"/>
      <c r="J27" s="0" t="s">
        <v>50</v>
      </c>
      <c r="K27" s="0" t="s">
        <v>51</v>
      </c>
    </row>
    <row r="28" outlineLevel="1">
      <c r="A28" s="9" t="s">
        <v>52</v>
      </c>
      <c r="I28" s="13"/>
    </row>
    <row r="29" outlineLevel="2">
      <c r="A29" s="10" t="s">
        <v>53</v>
      </c>
      <c r="B29" s="0" t="s">
        <v>54</v>
      </c>
      <c r="C29" s="12">
        <v>1200</v>
      </c>
      <c r="D29" s="12"/>
      <c r="E29" s="12"/>
      <c r="F29" s="12"/>
      <c r="G29" s="12"/>
      <c r="H29" s="0" t="s">
        <v>12</v>
      </c>
      <c r="I29" s="13"/>
      <c r="K29" s="0" t="s">
        <v>55</v>
      </c>
    </row>
    <row r="30" outlineLevel="2">
      <c r="A30" s="10" t="s">
        <v>56</v>
      </c>
      <c r="B30" s="0" t="s">
        <v>54</v>
      </c>
      <c r="C30" s="12">
        <v>7641</v>
      </c>
      <c r="D30" s="12"/>
      <c r="E30" s="12"/>
      <c r="F30" s="12"/>
      <c r="G30" s="12"/>
      <c r="H30" s="0" t="s">
        <v>12</v>
      </c>
      <c r="I30" s="13"/>
      <c r="K30" s="0" t="s">
        <v>55</v>
      </c>
    </row>
    <row r="31" outlineLevel="2">
      <c r="A31" s="10" t="s">
        <v>57</v>
      </c>
      <c r="B31" s="0" t="s">
        <v>54</v>
      </c>
      <c r="C31" s="12">
        <v>1211</v>
      </c>
      <c r="D31" s="12"/>
      <c r="E31" s="12"/>
      <c r="F31" s="12"/>
      <c r="G31" s="12"/>
      <c r="H31" s="0" t="s">
        <v>12</v>
      </c>
      <c r="I31" s="13"/>
      <c r="K31" s="0" t="s">
        <v>55</v>
      </c>
    </row>
    <row r="32" outlineLevel="2">
      <c r="A32" s="10" t="s">
        <v>58</v>
      </c>
      <c r="B32" s="0" t="s">
        <v>54</v>
      </c>
      <c r="C32" s="12">
        <v>26008</v>
      </c>
      <c r="D32" s="12"/>
      <c r="E32" s="12"/>
      <c r="F32" s="12"/>
      <c r="G32" s="12"/>
      <c r="H32" s="0" t="s">
        <v>12</v>
      </c>
      <c r="I32" s="13"/>
      <c r="K32" s="0" t="s">
        <v>55</v>
      </c>
    </row>
    <row r="33" outlineLevel="2">
      <c r="A33" s="10" t="s">
        <v>59</v>
      </c>
      <c r="B33" s="0" t="s">
        <v>54</v>
      </c>
      <c r="C33" s="12">
        <v>2291</v>
      </c>
      <c r="D33" s="12"/>
      <c r="E33" s="12"/>
      <c r="F33" s="12"/>
      <c r="G33" s="12"/>
      <c r="H33" s="0" t="s">
        <v>12</v>
      </c>
      <c r="I33" s="13"/>
      <c r="K33" s="0" t="s">
        <v>55</v>
      </c>
    </row>
    <row r="34" outlineLevel="2">
      <c r="A34" s="10" t="s">
        <v>60</v>
      </c>
      <c r="B34" s="0" t="s">
        <v>54</v>
      </c>
      <c r="C34" s="12">
        <v>32</v>
      </c>
      <c r="D34" s="12"/>
      <c r="E34" s="12"/>
      <c r="F34" s="12"/>
      <c r="G34" s="12"/>
      <c r="H34" s="0" t="s">
        <v>12</v>
      </c>
      <c r="I34" s="13"/>
      <c r="K34" s="0" t="s">
        <v>61</v>
      </c>
    </row>
    <row r="35" outlineLevel="2">
      <c r="A35" s="10" t="s">
        <v>62</v>
      </c>
      <c r="B35" s="0" t="s">
        <v>54</v>
      </c>
      <c r="C35" s="12">
        <v>249</v>
      </c>
      <c r="D35" s="12"/>
      <c r="E35" s="12"/>
      <c r="F35" s="12"/>
      <c r="G35" s="12"/>
      <c r="H35" s="0" t="s">
        <v>12</v>
      </c>
      <c r="I35" s="13"/>
      <c r="K35" s="0" t="s">
        <v>55</v>
      </c>
    </row>
    <row r="36" outlineLevel="2">
      <c r="A36" s="10" t="s">
        <v>63</v>
      </c>
      <c r="B36" s="0" t="s">
        <v>54</v>
      </c>
      <c r="C36" s="12">
        <v>1623</v>
      </c>
      <c r="D36" s="12"/>
      <c r="E36" s="12"/>
      <c r="F36" s="12"/>
      <c r="G36" s="12"/>
      <c r="H36" s="0" t="s">
        <v>12</v>
      </c>
      <c r="I36" s="13"/>
      <c r="K36" s="0" t="s">
        <v>55</v>
      </c>
    </row>
    <row r="37" outlineLevel="2">
      <c r="A37" s="10" t="s">
        <v>64</v>
      </c>
      <c r="B37" s="0" t="s">
        <v>54</v>
      </c>
      <c r="C37" s="12">
        <v>5671</v>
      </c>
      <c r="D37" s="12"/>
      <c r="E37" s="12"/>
      <c r="F37" s="12"/>
      <c r="G37" s="12"/>
      <c r="H37" s="0" t="s">
        <v>12</v>
      </c>
      <c r="I37" s="13"/>
      <c r="K37" s="0" t="s">
        <v>55</v>
      </c>
    </row>
    <row r="38" outlineLevel="2">
      <c r="A38" s="10" t="s">
        <v>65</v>
      </c>
      <c r="B38" s="0" t="s">
        <v>54</v>
      </c>
      <c r="C38" s="12">
        <v>66</v>
      </c>
      <c r="D38" s="12"/>
      <c r="E38" s="12"/>
      <c r="F38" s="12"/>
      <c r="G38" s="12"/>
      <c r="H38" s="0" t="s">
        <v>12</v>
      </c>
      <c r="I38" s="13"/>
      <c r="K38" s="0" t="s">
        <v>55</v>
      </c>
    </row>
    <row r="39" outlineLevel="2">
      <c r="A39" s="10" t="s">
        <v>66</v>
      </c>
      <c r="B39" s="0" t="s">
        <v>54</v>
      </c>
      <c r="C39" s="12">
        <v>17.9</v>
      </c>
      <c r="D39" s="12"/>
      <c r="E39" s="12"/>
      <c r="F39" s="12"/>
      <c r="G39" s="12"/>
      <c r="H39" s="0" t="s">
        <v>12</v>
      </c>
      <c r="I39" s="13"/>
      <c r="K39" s="0" t="s">
        <v>61</v>
      </c>
    </row>
    <row r="40">
      <c r="I40" s="13"/>
    </row>
    <row r="41" s="1" customFormat="1"/>
  </sheetData>
  <mergeCells>
    <mergeCell ref="A7:A9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29:E29"/>
    <mergeCell ref="C30:E30"/>
    <mergeCell ref="C31:E31"/>
    <mergeCell ref="C32:E32"/>
    <mergeCell ref="C33:E33"/>
    <mergeCell ref="C34:E34"/>
    <mergeCell ref="C35:E35"/>
    <mergeCell ref="C36:E36"/>
    <mergeCell ref="C37:E37"/>
    <mergeCell ref="C38:E38"/>
    <mergeCell ref="C39:E39"/>
  </mergeCells>
  <dataValidations count="1">
    <dataValidation type="decimal" sqref="C18" errorStyle="stop" promptTitle="Enter moisture content" errorTitle="Invalid moisture content" prompt="Value should be between 0 and 100.&#10;Original value: 13.68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https://phyllis.nl/Biomass/View/3055</dc:description>
  <dcterms:created xsi:type="dcterms:W3CDTF">2026-03-17T05:42:37Z</dcterms:created>
  <dc:title>Phyllis2 #3055 Olive residue (BM5)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