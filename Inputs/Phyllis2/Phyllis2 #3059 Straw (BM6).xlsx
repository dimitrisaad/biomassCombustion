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59 Straw (BM6)" sheetId="1" r:id="rId1"/>
  </sheets>
  <definedNames>
    <definedName name="w" localSheetId="0">IF(ISBLANK('Phyllis2 #3059 Straw (BM6)'!$C$18),#N/A,'Phyllis2 #3059 Straw (BM6)'!$C$18/100)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<sst xmlns="http://schemas.openxmlformats.org/spreadsheetml/2006/main" count="78" uniqueCount="78">
  <si>
    <t>Phyllis2</t>
  </si>
  <si>
    <t>https://phyllis.nl/Biomass/View/3059</t>
  </si>
  <si>
    <t>Straw (BM6) (#3059)</t>
  </si>
  <si>
    <t>ID-number</t>
  </si>
  <si>
    <t>#3059</t>
  </si>
  <si>
    <t>Material</t>
  </si>
  <si>
    <t>Straw (BM6)</t>
  </si>
  <si>
    <t>Classification</t>
  </si>
  <si>
    <t>CEN/TS 14961 classification &gt; Solid biofuels &gt; Herbaceous biomass &gt; Agriculture and Horticulture herb &gt; Cereal crops &gt; Straw parts</t>
  </si>
  <si>
    <t>ECN Phyllis classification &gt; straw (stalk/cob/ear)</t>
  </si>
  <si>
    <t>NTA 8003 classification &gt; [200] biomassa uit land- en tuinbouw &gt; [220] stro</t>
  </si>
  <si>
    <t>Submitter</t>
  </si>
  <si>
    <t>ECN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</si>
  <si>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</si>
  <si>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</si>
  <si>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</si>
  <si>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</si>
  <si>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</si>
  <si>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</si>
  <si>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</si>
  <si>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</si>
  <si>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</si>
  <si>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</si>
  <si>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</si>
  <si>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</si>
  <si>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</si>
  <si>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</si>
  <si>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</si>
  <si>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</si>
  <si>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</si>
  <si>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</si>
  <si>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</si>
  <si>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</si>
  <si>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CEN/TS 14774-3:2004 Solid biofuels - Methods for the determination of moisture content - Oven dry method - Part 3: Moisture in general analysis sample</t>
  </si>
  <si>
    <t>Ash content at 550°C</t>
  </si>
  <si>
    <t>CEN/TS 14775</t>
  </si>
  <si>
    <t>CEN/TS 14775 2004 Solid biofuels - Method for the determination of ash content</t>
  </si>
  <si>
    <t>Volatile matter</t>
  </si>
  <si>
    <t>CEN/TS 15148:2005</t>
  </si>
  <si>
    <t>Fixed carbon</t>
  </si>
  <si>
    <t>Calculated</t>
  </si>
  <si>
    <t>Ultimate analysis (macroelements)</t>
  </si>
  <si>
    <t>Carbon</t>
  </si>
  <si>
    <t>CEN/TS 15104</t>
  </si>
  <si>
    <t>CEN/TS 15104:2005 Solid biofuels - Determination of total content of carbon, hydrogen and nitrogen - Instrumental methods</t>
  </si>
  <si>
    <t>Hydrogen</t>
  </si>
  <si>
    <t>Oxygen</t>
  </si>
  <si>
    <t>Nitrogen</t>
  </si>
  <si>
    <t>Sulphur</t>
  </si>
  <si>
    <t>CEN/TS15289</t>
  </si>
  <si>
    <t>CEN/TS15289:2005 Solid Biofuels - Determination of total content of sulphur and chlorine</t>
  </si>
  <si>
    <t>Total (with halides)</t>
  </si>
  <si>
    <t>Halides</t>
  </si>
  <si>
    <t>Chlorine (Cl)</t>
  </si>
  <si>
    <t>mg/kg</t>
  </si>
  <si>
    <t>CEN/TS 15289</t>
  </si>
  <si>
    <t>CEN/TS 15289:2006 Solid Biofuels - Determination of total content of sulphur and chlorine</t>
  </si>
  <si>
    <t>Heating value</t>
  </si>
  <si>
    <t>Gross calorific value (HHV)</t>
  </si>
  <si>
    <t>MJ/kg</t>
  </si>
  <si>
    <t>CEN/TS 14918:2005 Solid Biofuels - Method for the determination of calorific value</t>
  </si>
  <si>
    <t>HHVMilne</t>
  </si>
  <si>
    <t>Trace elements composition</t>
  </si>
  <si>
    <t>Aluminium (Al)</t>
  </si>
  <si>
    <t>mg/kg (dry)</t>
  </si>
  <si>
    <t>CEN/TS 15290:2006Solid Biofuels - Determination of major elements</t>
  </si>
  <si>
    <t>Calcium (Ca)</t>
  </si>
  <si>
    <t>Iron (Fe)</t>
  </si>
  <si>
    <t>Potassium (K)</t>
  </si>
  <si>
    <t>Magnesium (Mg)</t>
  </si>
  <si>
    <t>Manganese (Mn)</t>
  </si>
  <si>
    <t>CEN/TS 15297:2005 Solid Biofuels - Determination of minor elements</t>
  </si>
  <si>
    <t>Sodium (Na)</t>
  </si>
  <si>
    <t>Phosphorus (P)</t>
  </si>
  <si>
    <t>Lead (Pb)</t>
  </si>
  <si>
    <t>Silicon (Si)</t>
  </si>
  <si>
    <t>Titanium (Ti)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</si>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</sst>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5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136.083892822266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6"/>
      <c r="B9" s="0" t="s">
        <v>10</v>
      </c>
    </row>
    <row r="10" outlineLevel="1">
      <c r="A10" s="5" t="s">
        <v>11</v>
      </c>
      <c r="B10" s="0" t="s">
        <v>12</v>
      </c>
    </row>
    <row r="11" outlineLevel="1">
      <c r="A11" s="5" t="s">
        <v>13</v>
      </c>
      <c r="B11" s="0" t="s">
        <v>14</v>
      </c>
    </row>
    <row r="12">
      <c r="A12" s="5"/>
    </row>
    <row r="13" s="1" customFormat="1">
      <c r="A13" s="7" t="s">
        <v>15</v>
      </c>
    </row>
    <row r="14" s="1" customFormat="1">
      <c r="A14" s="8" t="s">
        <v>16</v>
      </c>
      <c r="B14" s="8" t="s">
        <v>17</v>
      </c>
      <c r="C14" s="8" t="s">
        <v>18</v>
      </c>
      <c r="D14" s="8"/>
      <c r="E14" s="8"/>
      <c r="F14" s="8" t="s">
        <v>19</v>
      </c>
      <c r="G14" s="8" t="s">
        <v>20</v>
      </c>
      <c r="H14" s="8" t="s">
        <v>21</v>
      </c>
      <c r="I14" s="8" t="s">
        <v>22</v>
      </c>
      <c r="J14" s="8" t="s">
        <v>23</v>
      </c>
      <c r="K14" s="8" t="s">
        <v>24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5.01</v>
      </c>
      <c r="D18" s="11"/>
      <c r="E18" s="11"/>
      <c r="F18" s="11"/>
      <c r="G18" s="11"/>
      <c r="H18" s="0" t="s">
        <v>12</v>
      </c>
      <c r="I18" s="13"/>
      <c r="J18" s="0" t="s">
        <v>32</v>
      </c>
      <c r="K18" s="0" t="s">
        <v>33</v>
      </c>
    </row>
    <row r="19" outlineLevel="2">
      <c r="A19" s="10" t="s">
        <v>34</v>
      </c>
      <c r="B19" s="0" t="s">
        <v>31</v>
      </c>
      <c r="C19" s="11">
        <f>IFERROR(7.09*(1-w),"")</f>
        <v>6.7347909999999995</v>
      </c>
      <c r="D19" s="11">
        <v>7.09</v>
      </c>
      <c r="E19" s="11">
        <v/>
      </c>
      <c r="F19" s="11"/>
      <c r="G19" s="11"/>
      <c r="H19" s="0" t="s">
        <v>12</v>
      </c>
      <c r="I19" s="13"/>
      <c r="J19" s="0" t="s">
        <v>35</v>
      </c>
      <c r="K19" s="0" t="s">
        <v>36</v>
      </c>
    </row>
    <row r="20" outlineLevel="2">
      <c r="A20" s="10" t="s">
        <v>37</v>
      </c>
      <c r="B20" s="0" t="s">
        <v>31</v>
      </c>
      <c r="C20" s="11">
        <f>IFERROR(74.4*(1-w),"")</f>
        <v>70.67256</v>
      </c>
      <c r="D20" s="11">
        <v>74.4</v>
      </c>
      <c r="E20" s="11">
        <v>80.077494349370355</v>
      </c>
      <c r="F20" s="11"/>
      <c r="G20" s="11"/>
      <c r="H20" s="0" t="s">
        <v>12</v>
      </c>
      <c r="I20" s="13"/>
      <c r="K20" s="0" t="s">
        <v>38</v>
      </c>
    </row>
    <row r="21" outlineLevel="2">
      <c r="A21" s="10" t="s">
        <v>39</v>
      </c>
      <c r="B21" s="0" t="s">
        <v>31</v>
      </c>
      <c r="C21" s="11">
        <f>IFERROR(18.51*(1-w),"")</f>
        <v>17.582648999999989</v>
      </c>
      <c r="D21" s="11">
        <v>18.509999999999991</v>
      </c>
      <c r="E21" s="11">
        <v>19.922505650629631</v>
      </c>
      <c r="F21" s="11"/>
      <c r="G21" s="11"/>
      <c r="I21" s="13"/>
      <c r="J21" s="0" t="s">
        <v>40</v>
      </c>
    </row>
    <row r="22" outlineLevel="1">
      <c r="A22" s="9" t="s">
        <v>41</v>
      </c>
      <c r="I22" s="13"/>
    </row>
    <row r="23" outlineLevel="2">
      <c r="A23" s="10" t="s">
        <v>42</v>
      </c>
      <c r="B23" s="0" t="s">
        <v>31</v>
      </c>
      <c r="C23" s="11">
        <f>IFERROR(44.34*(1-w),"")</f>
        <v>42.118566</v>
      </c>
      <c r="D23" s="11">
        <v>44.34</v>
      </c>
      <c r="E23" s="11">
        <v>47.723603487245725</v>
      </c>
      <c r="F23" s="11"/>
      <c r="G23" s="11"/>
      <c r="H23" s="0" t="s">
        <v>12</v>
      </c>
      <c r="I23" s="13"/>
      <c r="J23" s="0" t="s">
        <v>43</v>
      </c>
      <c r="K23" s="0" t="s">
        <v>44</v>
      </c>
    </row>
    <row r="24" outlineLevel="2">
      <c r="A24" s="10" t="s">
        <v>45</v>
      </c>
      <c r="B24" s="0" t="s">
        <v>31</v>
      </c>
      <c r="C24" s="11">
        <f>IFERROR(5.77*(1-w),"")</f>
        <v>5.480923</v>
      </c>
      <c r="D24" s="11">
        <v>5.77</v>
      </c>
      <c r="E24" s="11">
        <v>6.2103110537078887</v>
      </c>
      <c r="F24" s="11"/>
      <c r="G24" s="11"/>
      <c r="H24" s="0" t="s">
        <v>12</v>
      </c>
      <c r="I24" s="13"/>
      <c r="J24" s="0" t="s">
        <v>43</v>
      </c>
      <c r="K24" s="0" t="s">
        <v>44</v>
      </c>
    </row>
    <row r="25" outlineLevel="2">
      <c r="A25" s="10" t="s">
        <v>46</v>
      </c>
      <c r="B25" s="0" t="s">
        <v>31</v>
      </c>
      <c r="C25" s="11">
        <f>IFERROR(41.17*(1-w),"")</f>
        <v>39.107383</v>
      </c>
      <c r="D25" s="11">
        <v>41.17</v>
      </c>
      <c r="E25" s="11">
        <v>44.31169949413411</v>
      </c>
      <c r="F25" s="11"/>
      <c r="G25" s="11"/>
      <c r="H25" s="0" t="s">
        <v>12</v>
      </c>
      <c r="I25" s="13"/>
      <c r="K25" s="0" t="s">
        <v>44</v>
      </c>
    </row>
    <row r="26" outlineLevel="2">
      <c r="A26" s="10" t="s">
        <v>47</v>
      </c>
      <c r="B26" s="0" t="s">
        <v>31</v>
      </c>
      <c r="C26" s="11">
        <f>IFERROR(0.1*(1-w),"")</f>
        <v>0.09499</v>
      </c>
      <c r="D26" s="11">
        <v>0.1</v>
      </c>
      <c r="E26" s="11">
        <v>0.10763104079216446</v>
      </c>
      <c r="F26" s="11"/>
      <c r="G26" s="11"/>
      <c r="H26" s="0" t="s">
        <v>12</v>
      </c>
      <c r="I26" s="13"/>
      <c r="J26" s="0" t="s">
        <v>43</v>
      </c>
      <c r="K26" s="0" t="s">
        <v>44</v>
      </c>
    </row>
    <row r="27" outlineLevel="2">
      <c r="A27" s="10" t="s">
        <v>48</v>
      </c>
      <c r="B27" s="0" t="s">
        <v>31</v>
      </c>
      <c r="C27" s="11">
        <f>IFERROR(0.1319*(1-w),"")</f>
        <v>0.12529180999999998</v>
      </c>
      <c r="D27" s="11">
        <v>0.1319</v>
      </c>
      <c r="E27" s="11">
        <v>0.14196534280486492</v>
      </c>
      <c r="F27" s="11"/>
      <c r="G27" s="11"/>
      <c r="H27" s="0" t="s">
        <v>12</v>
      </c>
      <c r="I27" s="13"/>
      <c r="J27" s="0" t="s">
        <v>49</v>
      </c>
      <c r="K27" s="0" t="s">
        <v>50</v>
      </c>
    </row>
    <row r="28" outlineLevel="2">
      <c r="A28" s="10" t="s">
        <v>51</v>
      </c>
      <c r="B28" s="0" t="s">
        <v>31</v>
      </c>
      <c r="C28" s="11">
        <f>IFERROR(99.5442*(1-w)+w*100,"")</f>
        <v>99.56703558000001</v>
      </c>
      <c r="D28" s="11">
        <v>99.5442</v>
      </c>
      <c r="E28" s="11">
        <v>99.509417716069308</v>
      </c>
      <c r="F28" s="11"/>
      <c r="G28" s="11"/>
      <c r="I28" s="13"/>
      <c r="J28" s="0" t="s">
        <v>40</v>
      </c>
    </row>
    <row r="29" outlineLevel="1">
      <c r="A29" s="9" t="s">
        <v>52</v>
      </c>
      <c r="I29" s="13"/>
    </row>
    <row r="30" outlineLevel="2">
      <c r="A30" s="10" t="s">
        <v>53</v>
      </c>
      <c r="B30" s="0" t="s">
        <v>54</v>
      </c>
      <c r="C30" s="12">
        <f>IFERROR(9423*(1-w),"")</f>
        <v>8950.9077</v>
      </c>
      <c r="D30" s="12">
        <v>9423</v>
      </c>
      <c r="E30" s="12">
        <v>10142.072973845658</v>
      </c>
      <c r="F30" s="12"/>
      <c r="G30" s="12"/>
      <c r="H30" s="0" t="s">
        <v>12</v>
      </c>
      <c r="I30" s="13"/>
      <c r="J30" s="0" t="s">
        <v>55</v>
      </c>
      <c r="K30" s="0" t="s">
        <v>56</v>
      </c>
    </row>
    <row r="31" outlineLevel="1">
      <c r="A31" s="9" t="s">
        <v>57</v>
      </c>
      <c r="I31" s="13"/>
    </row>
    <row r="32" outlineLevel="2">
      <c r="A32" s="10" t="s">
        <v>58</v>
      </c>
      <c r="B32" s="0" t="s">
        <v>59</v>
      </c>
      <c r="C32" s="11">
        <f>IFERROR(17.996*(1-w),"")</f>
        <v>17.094400399999998</v>
      </c>
      <c r="D32" s="11">
        <v>17.996</v>
      </c>
      <c r="E32" s="11">
        <v>19.369282100957914</v>
      </c>
      <c r="F32" s="11"/>
      <c r="G32" s="11"/>
      <c r="H32" s="0" t="s">
        <v>12</v>
      </c>
      <c r="I32" s="13"/>
      <c r="K32" s="0" t="s">
        <v>60</v>
      </c>
    </row>
    <row r="33" outlineLevel="2">
      <c r="A33" s="10" t="s">
        <v>61</v>
      </c>
      <c r="B33" s="0" t="s">
        <v>59</v>
      </c>
      <c r="C33" s="11">
        <f>IFERROR(17.7037423593*(1-w),"")</f>
        <v>16.81678486709907</v>
      </c>
      <c r="D33" s="11">
        <v>17.7037423593</v>
      </c>
      <c r="E33" s="11">
        <v>19.054722160477883</v>
      </c>
      <c r="F33" s="11"/>
      <c r="G33" s="11"/>
      <c r="I33" s="13"/>
      <c r="J33" s="0" t="s">
        <v>40</v>
      </c>
    </row>
    <row r="34" outlineLevel="1">
      <c r="A34" s="9" t="s">
        <v>62</v>
      </c>
      <c r="I34" s="13"/>
    </row>
    <row r="35" outlineLevel="2">
      <c r="A35" s="10" t="s">
        <v>63</v>
      </c>
      <c r="B35" s="0" t="s">
        <v>64</v>
      </c>
      <c r="C35" s="12">
        <v>114</v>
      </c>
      <c r="D35" s="12"/>
      <c r="E35" s="12"/>
      <c r="F35" s="12"/>
      <c r="G35" s="12"/>
      <c r="H35" s="0" t="s">
        <v>12</v>
      </c>
      <c r="I35" s="13"/>
      <c r="K35" s="0" t="s">
        <v>65</v>
      </c>
    </row>
    <row r="36" outlineLevel="2">
      <c r="A36" s="10" t="s">
        <v>66</v>
      </c>
      <c r="B36" s="0" t="s">
        <v>64</v>
      </c>
      <c r="C36" s="12">
        <v>3285</v>
      </c>
      <c r="D36" s="12"/>
      <c r="E36" s="12"/>
      <c r="F36" s="12"/>
      <c r="G36" s="12"/>
      <c r="H36" s="0" t="s">
        <v>12</v>
      </c>
      <c r="I36" s="13"/>
      <c r="K36" s="0" t="s">
        <v>65</v>
      </c>
    </row>
    <row r="37" outlineLevel="2">
      <c r="A37" s="10" t="s">
        <v>67</v>
      </c>
      <c r="B37" s="0" t="s">
        <v>64</v>
      </c>
      <c r="C37" s="12">
        <v>131</v>
      </c>
      <c r="D37" s="12"/>
      <c r="E37" s="12"/>
      <c r="F37" s="12"/>
      <c r="G37" s="12"/>
      <c r="H37" s="0" t="s">
        <v>12</v>
      </c>
      <c r="I37" s="13"/>
      <c r="K37" s="0" t="s">
        <v>65</v>
      </c>
    </row>
    <row r="38" outlineLevel="2">
      <c r="A38" s="10" t="s">
        <v>68</v>
      </c>
      <c r="B38" s="0" t="s">
        <v>64</v>
      </c>
      <c r="C38" s="12">
        <v>13985</v>
      </c>
      <c r="D38" s="12"/>
      <c r="E38" s="12"/>
      <c r="F38" s="12"/>
      <c r="G38" s="12"/>
      <c r="H38" s="0" t="s">
        <v>12</v>
      </c>
      <c r="I38" s="13"/>
      <c r="K38" s="0" t="s">
        <v>65</v>
      </c>
    </row>
    <row r="39" outlineLevel="2">
      <c r="A39" s="10" t="s">
        <v>69</v>
      </c>
      <c r="B39" s="0" t="s">
        <v>64</v>
      </c>
      <c r="C39" s="12">
        <v>377</v>
      </c>
      <c r="D39" s="12"/>
      <c r="E39" s="12"/>
      <c r="F39" s="12"/>
      <c r="G39" s="12"/>
      <c r="H39" s="0" t="s">
        <v>12</v>
      </c>
      <c r="I39" s="13"/>
      <c r="K39" s="0" t="s">
        <v>65</v>
      </c>
    </row>
    <row r="40" outlineLevel="2">
      <c r="A40" s="10" t="s">
        <v>70</v>
      </c>
      <c r="B40" s="0" t="s">
        <v>64</v>
      </c>
      <c r="C40" s="12">
        <v>12</v>
      </c>
      <c r="D40" s="12"/>
      <c r="E40" s="12"/>
      <c r="F40" s="12"/>
      <c r="G40" s="12"/>
      <c r="H40" s="0" t="s">
        <v>12</v>
      </c>
      <c r="I40" s="13"/>
      <c r="K40" s="0" t="s">
        <v>71</v>
      </c>
    </row>
    <row r="41" outlineLevel="2">
      <c r="A41" s="10" t="s">
        <v>72</v>
      </c>
      <c r="B41" s="0" t="s">
        <v>64</v>
      </c>
      <c r="C41" s="12">
        <v>50</v>
      </c>
      <c r="D41" s="12"/>
      <c r="E41" s="12"/>
      <c r="F41" s="12"/>
      <c r="G41" s="12"/>
      <c r="H41" s="0" t="s">
        <v>12</v>
      </c>
      <c r="I41" s="13"/>
      <c r="K41" s="0" t="s">
        <v>65</v>
      </c>
    </row>
    <row r="42" outlineLevel="2">
      <c r="A42" s="10" t="s">
        <v>73</v>
      </c>
      <c r="B42" s="0" t="s">
        <v>64</v>
      </c>
      <c r="C42" s="12">
        <v>547</v>
      </c>
      <c r="D42" s="12"/>
      <c r="E42" s="12"/>
      <c r="F42" s="12"/>
      <c r="G42" s="12"/>
      <c r="H42" s="0" t="s">
        <v>12</v>
      </c>
      <c r="I42" s="13"/>
      <c r="K42" s="0" t="s">
        <v>65</v>
      </c>
    </row>
    <row r="43" outlineLevel="2">
      <c r="A43" s="10" t="s">
        <v>74</v>
      </c>
      <c r="B43" s="0" t="s">
        <v>64</v>
      </c>
      <c r="C43" s="12">
        <v>3.23</v>
      </c>
      <c r="D43" s="12"/>
      <c r="E43" s="12"/>
      <c r="F43" s="12"/>
      <c r="G43" s="12"/>
      <c r="H43" s="0" t="s">
        <v>12</v>
      </c>
      <c r="I43" s="13"/>
      <c r="K43" s="0" t="s">
        <v>71</v>
      </c>
    </row>
    <row r="44" outlineLevel="2">
      <c r="A44" s="10" t="s">
        <v>75</v>
      </c>
      <c r="B44" s="0" t="s">
        <v>64</v>
      </c>
      <c r="C44" s="12">
        <v>17146</v>
      </c>
      <c r="D44" s="12"/>
      <c r="E44" s="12"/>
      <c r="F44" s="12"/>
      <c r="G44" s="12"/>
      <c r="H44" s="0" t="s">
        <v>12</v>
      </c>
      <c r="I44" s="13"/>
      <c r="K44" s="0" t="s">
        <v>65</v>
      </c>
    </row>
    <row r="45" outlineLevel="2">
      <c r="A45" s="10" t="s">
        <v>76</v>
      </c>
      <c r="B45" s="0" t="s">
        <v>64</v>
      </c>
      <c r="C45" s="12">
        <v>6</v>
      </c>
      <c r="D45" s="12"/>
      <c r="E45" s="12"/>
      <c r="F45" s="12"/>
      <c r="G45" s="12"/>
      <c r="H45" s="0" t="s">
        <v>12</v>
      </c>
      <c r="I45" s="13"/>
      <c r="K45" s="0" t="s">
        <v>65</v>
      </c>
    </row>
    <row r="46" outlineLevel="2">
      <c r="A46" s="10" t="s">
        <v>77</v>
      </c>
      <c r="B46" s="0" t="s">
        <v>64</v>
      </c>
      <c r="C46" s="12">
        <v>10</v>
      </c>
      <c r="D46" s="12"/>
      <c r="E46" s="12"/>
      <c r="F46" s="12"/>
      <c r="G46" s="12"/>
      <c r="H46" s="0" t="s">
        <v>12</v>
      </c>
      <c r="I46" s="13"/>
      <c r="K46" s="0" t="s">
        <v>71</v>
      </c>
    </row>
    <row r="47">
      <c r="I47" s="13"/>
    </row>
    <row r="48" s="1" customFormat="1"/>
  </sheetData>
  <mergeCells>
    <mergeCell ref="A7:A9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</mergeCells>
  <dataValidations count="1">
    <dataValidation type="decimal" sqref="C18" errorStyle="stop" promptTitle="Enter moisture content" errorTitle="Invalid moisture content" prompt="Value should be between 0 and 100.&#10;Original value: 5.0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https://phyllis.nl/Biomass/View/3059</dc:description>
  <dcterms:created xsi:type="dcterms:W3CDTF">2026-03-17T06:18:59Z</dcterms:created>
  <dc:title>Phyllis2 #3059 Straw (BM6)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