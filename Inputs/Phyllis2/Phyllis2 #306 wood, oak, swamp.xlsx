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06 wood, oak, swamp" sheetId="1" r:id="rId1"/>
  </sheets>
  <definedNames>
    <definedName name="w" localSheetId="0">IF(ISBLANK('Phyllis2 #306 wood, oak, swamp'!$C$17),#N/A,'Phyllis2 #306 wood, oak, swamp'!$C$17/100)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<sst xmlns="http://schemas.openxmlformats.org/spreadsheetml/2006/main" count="51" uniqueCount="51">
  <si>
    <t>Phyllis2</t>
  </si>
  <si>
    <t>https://phyllis.nl/Biomass/View/306</t>
  </si>
  <si>
    <t>wood, oak, swamp (#306)</t>
  </si>
  <si>
    <t>ID-number</t>
  </si>
  <si>
    <t>#306</t>
  </si>
  <si>
    <t>Material</t>
  </si>
  <si>
    <t>wood, oak, swamp</t>
  </si>
  <si>
    <t>Classification</t>
  </si>
  <si>
    <t>ECN Phyllis classification &gt; untreated wood &gt; oak &gt; wood, oak, swamp</t>
  </si>
  <si>
    <t>NTA 8003 classification &gt; [100] hout &gt; [110] vers hout &gt; [120] loofhout &gt; [125] hard loofhout</t>
  </si>
  <si>
    <t>Submitter organisation</t>
  </si>
  <si>
    <t>ECN (Netherlands)</t>
  </si>
  <si>
    <t>Literature</t>
  </si>
  <si>
    <t>H. F. Feldmann, M. A. Paisley, H. R. Appelbaum and D. R. Taylor: Conversion of forest residues to a methane-rich gas in a high-throughput gasifier, Battelle, Columbus, OH (USA), DE88013138, 108 p. (1988).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</si>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</sst>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0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3"/>
    </row>
    <row r="16" outlineLevel="1">
      <c r="A16" s="9" t="s">
        <v>28</v>
      </c>
      <c r="I16" s="13"/>
    </row>
    <row r="17" outlineLevel="2">
      <c r="A17" s="10" t="s">
        <v>29</v>
      </c>
      <c r="B17" s="0" t="s">
        <v>30</v>
      </c>
      <c r="C17" s="11">
        <v>10</v>
      </c>
      <c r="D17" s="11"/>
      <c r="E17" s="11"/>
      <c r="F17" s="11"/>
      <c r="G17" s="11"/>
      <c r="I17" s="13"/>
    </row>
    <row r="18" outlineLevel="2">
      <c r="A18" s="10" t="s">
        <v>31</v>
      </c>
      <c r="B18" s="0" t="s">
        <v>30</v>
      </c>
      <c r="C18" s="11">
        <f>IFERROR(0.67*(1-w),"")</f>
        <v>0.60300000000000009</v>
      </c>
      <c r="D18" s="11">
        <v>0.67</v>
      </c>
      <c r="E18" s="11">
        <v/>
      </c>
      <c r="F18" s="11"/>
      <c r="G18" s="11"/>
      <c r="I18" s="13"/>
    </row>
    <row r="19" outlineLevel="2">
      <c r="A19" s="10" t="s">
        <v>32</v>
      </c>
      <c r="B19" s="0" t="s">
        <v>30</v>
      </c>
      <c r="C19" s="11">
        <f>IFERROR(85.07*(1-w),"")</f>
        <v>76.563</v>
      </c>
      <c r="D19" s="11">
        <v>85.07</v>
      </c>
      <c r="E19" s="11">
        <v>85.6438135507903</v>
      </c>
      <c r="F19" s="11"/>
      <c r="G19" s="11"/>
      <c r="I19" s="13"/>
    </row>
    <row r="20" outlineLevel="2">
      <c r="A20" s="10" t="s">
        <v>33</v>
      </c>
      <c r="B20" s="0" t="s">
        <v>30</v>
      </c>
      <c r="C20" s="11">
        <f>IFERROR(14.26*(1-w),"")</f>
        <v>12.834000000000005</v>
      </c>
      <c r="D20" s="11">
        <v>14.260000000000005</v>
      </c>
      <c r="E20" s="11">
        <v>14.35618644920971</v>
      </c>
      <c r="F20" s="11"/>
      <c r="G20" s="11"/>
      <c r="I20" s="13"/>
      <c r="J20" s="0" t="s">
        <v>34</v>
      </c>
    </row>
    <row r="21" outlineLevel="1">
      <c r="A21" s="9" t="s">
        <v>35</v>
      </c>
      <c r="I21" s="13"/>
    </row>
    <row r="22" outlineLevel="2">
      <c r="A22" s="10" t="s">
        <v>36</v>
      </c>
      <c r="B22" s="0" t="s">
        <v>30</v>
      </c>
      <c r="C22" s="11">
        <f>IFERROR(49.81*(1-w),"")</f>
        <v>44.829</v>
      </c>
      <c r="D22" s="11">
        <v>49.81</v>
      </c>
      <c r="E22" s="11">
        <v>50.1459780529548</v>
      </c>
      <c r="F22" s="11"/>
      <c r="G22" s="11"/>
      <c r="I22" s="13"/>
      <c r="J22" s="0" t="s">
        <v>37</v>
      </c>
    </row>
    <row r="23" outlineLevel="2">
      <c r="A23" s="10" t="s">
        <v>38</v>
      </c>
      <c r="B23" s="0" t="s">
        <v>30</v>
      </c>
      <c r="C23" s="11">
        <f>IFERROR(6.05*(1-w),"")</f>
        <v>5.445</v>
      </c>
      <c r="D23" s="11">
        <v>6.05</v>
      </c>
      <c r="E23" s="11">
        <v>6.0908084163898115</v>
      </c>
      <c r="F23" s="11"/>
      <c r="G23" s="11"/>
      <c r="I23" s="13"/>
      <c r="J23" s="0" t="s">
        <v>37</v>
      </c>
    </row>
    <row r="24" outlineLevel="2">
      <c r="A24" s="10" t="s">
        <v>39</v>
      </c>
      <c r="B24" s="0" t="s">
        <v>30</v>
      </c>
      <c r="C24" s="11">
        <f>IFERROR(43.33*(1-w),"")</f>
        <v>38.997</v>
      </c>
      <c r="D24" s="11">
        <v>43.33</v>
      </c>
      <c r="E24" s="11">
        <v>43.622269203664551</v>
      </c>
      <c r="F24" s="11"/>
      <c r="G24" s="11"/>
      <c r="I24" s="13"/>
      <c r="J24" s="0" t="s">
        <v>34</v>
      </c>
    </row>
    <row r="25" outlineLevel="2">
      <c r="A25" s="10" t="s">
        <v>40</v>
      </c>
      <c r="B25" s="0" t="s">
        <v>30</v>
      </c>
      <c r="C25" s="11">
        <f>IFERROR(0.11*(1-w),"")</f>
        <v>0.099</v>
      </c>
      <c r="D25" s="11">
        <v>0.11</v>
      </c>
      <c r="E25" s="11">
        <v>0.11074197120708749</v>
      </c>
      <c r="F25" s="11"/>
      <c r="G25" s="11"/>
      <c r="I25" s="13"/>
      <c r="J25" s="0" t="s">
        <v>37</v>
      </c>
    </row>
    <row r="26" outlineLevel="2">
      <c r="A26" s="10" t="s">
        <v>41</v>
      </c>
      <c r="B26" s="0" t="s">
        <v>30</v>
      </c>
      <c r="C26" s="11">
        <f>IFERROR(0.01*(1-w),"")</f>
        <v>0.0090000000000000011</v>
      </c>
      <c r="D26" s="11">
        <v>0.01</v>
      </c>
      <c r="E26" s="11">
        <v>0.010067451927917045</v>
      </c>
      <c r="F26" s="11"/>
      <c r="G26" s="11"/>
      <c r="I26" s="13"/>
      <c r="J26" s="0" t="s">
        <v>37</v>
      </c>
    </row>
    <row r="27" outlineLevel="2">
      <c r="A27" s="10" t="s">
        <v>42</v>
      </c>
      <c r="B27" s="0" t="s">
        <v>30</v>
      </c>
      <c r="C27" s="11">
        <f>IFERROR(100*(1-w)+w*100,"")</f>
        <v>100</v>
      </c>
      <c r="D27" s="11">
        <v>100</v>
      </c>
      <c r="E27" s="11">
        <v>100</v>
      </c>
      <c r="F27" s="11"/>
      <c r="G27" s="11"/>
      <c r="I27" s="13"/>
      <c r="J27" s="0" t="s">
        <v>34</v>
      </c>
    </row>
    <row r="28" outlineLevel="1">
      <c r="A28" s="9" t="s">
        <v>43</v>
      </c>
      <c r="I28" s="13"/>
    </row>
    <row r="29" outlineLevel="2">
      <c r="A29" s="10" t="s">
        <v>44</v>
      </c>
      <c r="B29" s="0" t="s">
        <v>45</v>
      </c>
      <c r="C29" s="12">
        <f>IFERROR(200*(1-w),"")</f>
        <v>180</v>
      </c>
      <c r="D29" s="12">
        <v>200</v>
      </c>
      <c r="E29" s="12">
        <v>201.34903855834088</v>
      </c>
      <c r="F29" s="12"/>
      <c r="G29" s="12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1">
        <f>IFERROR(18.33828*(1-w)-w*2.443,"")</f>
        <v>16.260152</v>
      </c>
      <c r="D31" s="11">
        <v>18.33828</v>
      </c>
      <c r="E31" s="11">
        <v>18.461975234068259</v>
      </c>
      <c r="F31" s="11"/>
      <c r="G31" s="11"/>
      <c r="I31" s="13"/>
    </row>
    <row r="32" outlineLevel="2">
      <c r="A32" s="10" t="s">
        <v>49</v>
      </c>
      <c r="B32" s="0" t="s">
        <v>48</v>
      </c>
      <c r="C32" s="11">
        <f>IFERROR(19.6585*(1-w),"")</f>
        <v>17.69265</v>
      </c>
      <c r="D32" s="11">
        <v>19.6585</v>
      </c>
      <c r="E32" s="11">
        <v>19.791100372495723</v>
      </c>
      <c r="F32" s="11"/>
      <c r="G32" s="11"/>
      <c r="I32" s="13"/>
    </row>
    <row r="33" outlineLevel="2">
      <c r="A33" s="10" t="s">
        <v>50</v>
      </c>
      <c r="B33" s="0" t="s">
        <v>48</v>
      </c>
      <c r="C33" s="11">
        <f>IFERROR(19.7610136817*(1-w),"")</f>
        <v>17.784912313530008</v>
      </c>
      <c r="D33" s="11">
        <v>19.761013681700007</v>
      </c>
      <c r="E33" s="11">
        <v>19.894305528742581</v>
      </c>
      <c r="F33" s="11"/>
      <c r="G33" s="11"/>
      <c r="I33" s="13"/>
      <c r="J33" s="0" t="s">
        <v>34</v>
      </c>
    </row>
    <row r="34">
      <c r="I34" s="13"/>
    </row>
    <row r="35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&#10;Original value: 10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https://phyllis.nl/Biomass/View/306</dc:description>
  <dcterms:created xsi:type="dcterms:W3CDTF">2026-03-19T07:10:40Z</dcterms:created>
  <dc:title>Phyllis2 #306 wood, oak, swamp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