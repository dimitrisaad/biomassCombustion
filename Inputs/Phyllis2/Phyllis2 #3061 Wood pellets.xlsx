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61 Wood pellets" sheetId="1" r:id="rId1"/>
  </sheets>
  <definedNames>
    <definedName name="w" localSheetId="0">IF(ISBLANK('Phyllis2 #3061 Wood pellets'!$C$19),#N/A,'Phyllis2 #3061 Wood pellets'!$C$19/100)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<sst xmlns="http://schemas.openxmlformats.org/spreadsheetml/2006/main" count="67" uniqueCount="67">
  <si>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</si>
  <si>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https://phyllis.nl/Biomass/View/3061</t>
  </si>
  <si>
    <t>Wood pellets (#3061)</t>
  </si>
  <si>
    <t>ID-number</t>
  </si>
  <si>
    <t>#3061</t>
  </si>
  <si>
    <t>Material</t>
  </si>
  <si>
    <t>Wood pellets</t>
  </si>
  <si>
    <t>Alternative name</t>
  </si>
  <si>
    <t>Wood pellets ECN box 12462</t>
  </si>
  <si>
    <t>Classification</t>
  </si>
  <si>
    <t>CEN/TS 14961 classification &gt; Solid biofuels &gt; Woody biomass &gt; Wood processing industry</t>
  </si>
  <si>
    <t>ECN Phyllis classification &gt; untreated wood</t>
  </si>
  <si>
    <t>NTA 8003 classification &gt; [100] hout &gt; [110] vers hout &gt; [119] overig vers hout</t>
  </si>
  <si>
    <t>Submitter</t>
  </si>
  <si>
    <t>ECN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</si>
  <si>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</si>
  <si>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</si>
  <si>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</si>
  <si>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</si>
  <si>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</si>
  <si>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</si>
  <si>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</si>
  <si>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</si>
  <si>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</si>
  <si>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</si>
  <si>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</si>
  <si>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</si>
  <si>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</si>
  <si>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</si>
  <si>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</si>
  <si>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</si>
  <si>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</si>
  <si>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</si>
  <si>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</si>
  <si>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</si>
  <si>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CEN/TS 14774-3:2004 Solid biofuels - Methods for the determination of moisture content - Oven dry method - Part 3: Moisture in general analysis sample</t>
  </si>
  <si>
    <t>Volatile matter</t>
  </si>
  <si>
    <t>CEN/TS 15148:2005</t>
  </si>
  <si>
    <t>Fixed carbon</t>
  </si>
  <si>
    <t>Calculated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</si>
  <si>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</si>
  <si>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</si>
  <si>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</si>
  <si>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</si>
  <si>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</si>
  <si>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Oxygen</t>
  </si>
  <si>
    <t>Nitrogen</t>
  </si>
  <si>
    <t>Sulphur</t>
  </si>
  <si>
    <t>CEN/TS15289</t>
  </si>
  <si>
    <t>CEN/TS15289:2005 Solid Biofuels - Determination of total content of sulphur and chlorine</t>
  </si>
  <si>
    <t>Total (with halides)</t>
  </si>
  <si>
    <t>Trace elements composition</t>
  </si>
  <si>
    <t>Aluminium (Al)</t>
  </si>
  <si>
    <t>mg/kg (dry)</t>
  </si>
  <si>
    <t>CEN/TS 15290:2006Solid Biofuels - Determination of major elements</t>
  </si>
  <si>
    <t>Calcium (Ca)</t>
  </si>
  <si>
    <t>Iron (Fe)</t>
  </si>
  <si>
    <t>Potassium (K)</t>
  </si>
  <si>
    <t>Magnesium (Mg)</t>
  </si>
  <si>
    <t>Manganese (Mn)</t>
  </si>
  <si>
    <t>CEN/TS 15297:2005 Solid Biofuels - Determination of minor elements</t>
  </si>
  <si>
    <t>Sodium (Na)</t>
  </si>
  <si>
    <t>Phosphorus (P)</t>
  </si>
  <si>
    <t>Lead (Pb)</t>
  </si>
  <si>
    <t>Silicon (Si)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</si>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</sst>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6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136.083892822266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5" t="s">
        <v>7</v>
      </c>
      <c r="B7" s="0" t="s">
        <v>8</v>
      </c>
    </row>
    <row r="8" outlineLevel="1">
      <c r="A8" s="6" t="s">
        <v>9</v>
      </c>
      <c r="B8" s="0" t="s">
        <v>10</v>
      </c>
    </row>
    <row r="9" outlineLevel="1">
      <c r="A9" s="6"/>
      <c r="B9" s="0" t="s">
        <v>11</v>
      </c>
    </row>
    <row r="10" outlineLevel="1">
      <c r="A10" s="6"/>
      <c r="B10" s="0" t="s">
        <v>12</v>
      </c>
    </row>
    <row r="11" outlineLevel="1">
      <c r="A11" s="5" t="s">
        <v>13</v>
      </c>
      <c r="B11" s="0" t="s">
        <v>14</v>
      </c>
    </row>
    <row r="12" outlineLevel="1">
      <c r="A12" s="5" t="s">
        <v>15</v>
      </c>
      <c r="B12" s="0" t="s">
        <v>16</v>
      </c>
    </row>
    <row r="13">
      <c r="A13" s="5"/>
    </row>
    <row r="14" s="1" customFormat="1">
      <c r="A14" s="7" t="s">
        <v>17</v>
      </c>
    </row>
    <row r="15" s="1" customFormat="1">
      <c r="A15" s="8" t="s">
        <v>18</v>
      </c>
      <c r="B15" s="8" t="s">
        <v>19</v>
      </c>
      <c r="C15" s="8" t="s">
        <v>20</v>
      </c>
      <c r="D15" s="8"/>
      <c r="E15" s="8"/>
      <c r="F15" s="8" t="s">
        <v>21</v>
      </c>
      <c r="G15" s="8" t="s">
        <v>22</v>
      </c>
      <c r="H15" s="8" t="s">
        <v>23</v>
      </c>
      <c r="I15" s="8" t="s">
        <v>24</v>
      </c>
      <c r="J15" s="8" t="s">
        <v>25</v>
      </c>
      <c r="K15" s="8" t="s">
        <v>26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6.78</v>
      </c>
      <c r="D19" s="11"/>
      <c r="E19" s="11"/>
      <c r="F19" s="11"/>
      <c r="G19" s="11"/>
      <c r="H19" s="0" t="s">
        <v>14</v>
      </c>
      <c r="I19" s="13"/>
      <c r="J19" s="0" t="s">
        <v>34</v>
      </c>
      <c r="K19" s="0" t="s">
        <v>35</v>
      </c>
    </row>
    <row r="20" outlineLevel="2">
      <c r="A20" s="10" t="s">
        <v>36</v>
      </c>
      <c r="B20" s="0" t="s">
        <v>33</v>
      </c>
      <c r="C20" s="11">
        <f>IFERROR(83.1*(1-w),"")</f>
        <v>77.46582</v>
      </c>
      <c r="D20" s="11">
        <v>83.1</v>
      </c>
      <c r="E20" s="11">
        <v/>
      </c>
      <c r="F20" s="11"/>
      <c r="G20" s="11"/>
      <c r="H20" s="0" t="s">
        <v>14</v>
      </c>
      <c r="I20" s="13"/>
      <c r="K20" s="0" t="s">
        <v>37</v>
      </c>
    </row>
    <row r="21" outlineLevel="2">
      <c r="A21" s="10" t="s">
        <v>38</v>
      </c>
      <c r="B21" s="0" t="s">
        <v>33</v>
      </c>
      <c r="C21" s="11">
        <f>IFERROR(16.9*(1-w),"")</f>
        <v>15.754180000000005</v>
      </c>
      <c r="D21" s="11">
        <v>16.900000000000006</v>
      </c>
      <c r="E21" s="11">
        <v/>
      </c>
      <c r="F21" s="11"/>
      <c r="G21" s="11"/>
      <c r="I21" s="13"/>
      <c r="J21" s="0" t="s">
        <v>39</v>
      </c>
    </row>
    <row r="22" outlineLevel="1">
      <c r="A22" s="9" t="s">
        <v>40</v>
      </c>
      <c r="I22" s="13"/>
    </row>
    <row r="23" outlineLevel="2">
      <c r="A23" s="10" t="s">
        <v>41</v>
      </c>
      <c r="B23" s="0" t="s">
        <v>33</v>
      </c>
      <c r="C23" s="11">
        <f>IFERROR(49.57*(1-w),"")</f>
        <v>46.209154000000005</v>
      </c>
      <c r="D23" s="11">
        <v>49.57</v>
      </c>
      <c r="E23" s="11">
        <v/>
      </c>
      <c r="F23" s="11"/>
      <c r="G23" s="11"/>
      <c r="H23" s="0" t="s">
        <v>14</v>
      </c>
      <c r="I23" s="13"/>
      <c r="J23" s="0" t="s">
        <v>42</v>
      </c>
      <c r="K23" s="0" t="s">
        <v>43</v>
      </c>
    </row>
    <row r="24" outlineLevel="2">
      <c r="A24" s="10" t="s">
        <v>44</v>
      </c>
      <c r="B24" s="0" t="s">
        <v>33</v>
      </c>
      <c r="C24" s="11">
        <f>IFERROR(6.36*(1-w),"")</f>
        <v>5.9287920000000005</v>
      </c>
      <c r="D24" s="11">
        <v>6.36</v>
      </c>
      <c r="E24" s="11">
        <v/>
      </c>
      <c r="F24" s="11"/>
      <c r="G24" s="11"/>
      <c r="H24" s="0" t="s">
        <v>14</v>
      </c>
      <c r="I24" s="13"/>
      <c r="J24" s="0" t="s">
        <v>42</v>
      </c>
      <c r="K24" s="0" t="s">
        <v>43</v>
      </c>
    </row>
    <row r="25" outlineLevel="2">
      <c r="A25" s="10" t="s">
        <v>45</v>
      </c>
      <c r="B25" s="0" t="s">
        <v>33</v>
      </c>
      <c r="C25" s="11">
        <f>IFERROR(44.17*(1-w),"")</f>
        <v>41.175274</v>
      </c>
      <c r="D25" s="11">
        <v>44.17</v>
      </c>
      <c r="E25" s="11">
        <v/>
      </c>
      <c r="F25" s="11"/>
      <c r="G25" s="11"/>
      <c r="H25" s="0" t="s">
        <v>14</v>
      </c>
      <c r="I25" s="13"/>
      <c r="K25" s="0" t="s">
        <v>43</v>
      </c>
    </row>
    <row r="26" outlineLevel="2">
      <c r="A26" s="10" t="s">
        <v>46</v>
      </c>
      <c r="B26" s="0" t="s">
        <v>33</v>
      </c>
      <c r="C26" s="11">
        <f>IFERROR(0.06*(1-w),"")</f>
        <v>0.055932</v>
      </c>
      <c r="D26" s="11">
        <v>0.06</v>
      </c>
      <c r="E26" s="11">
        <v/>
      </c>
      <c r="F26" s="11"/>
      <c r="G26" s="11"/>
      <c r="H26" s="0" t="s">
        <v>14</v>
      </c>
      <c r="I26" s="13"/>
      <c r="J26" s="0" t="s">
        <v>42</v>
      </c>
      <c r="K26" s="0" t="s">
        <v>43</v>
      </c>
    </row>
    <row r="27" outlineLevel="2">
      <c r="A27" s="10" t="s">
        <v>47</v>
      </c>
      <c r="B27" s="0" t="s">
        <v>33</v>
      </c>
      <c r="C27" s="11">
        <f>IFERROR(0.006613*(1-w),"")</f>
        <v>0.0061646386</v>
      </c>
      <c r="D27" s="11">
        <v>0.006613</v>
      </c>
      <c r="E27" s="11">
        <v/>
      </c>
      <c r="F27" s="11"/>
      <c r="G27" s="11"/>
      <c r="H27" s="0" t="s">
        <v>14</v>
      </c>
      <c r="I27" s="13"/>
      <c r="J27" s="0" t="s">
        <v>48</v>
      </c>
      <c r="K27" s="0" t="s">
        <v>49</v>
      </c>
    </row>
    <row r="28" outlineLevel="2">
      <c r="A28" s="10" t="s">
        <v>50</v>
      </c>
      <c r="B28" s="0" t="s">
        <v>33</v>
      </c>
      <c r="C28" s="11">
        <f>IFERROR(100.166613*(1-w)+w*100,"")</f>
        <v>100.1553166386</v>
      </c>
      <c r="D28" s="11">
        <v>100.166613</v>
      </c>
      <c r="E28" s="11">
        <v/>
      </c>
      <c r="F28" s="11"/>
      <c r="G28" s="11"/>
      <c r="I28" s="13"/>
      <c r="J28" s="0" t="s">
        <v>39</v>
      </c>
    </row>
    <row r="29" outlineLevel="1">
      <c r="A29" s="9" t="s">
        <v>51</v>
      </c>
      <c r="I29" s="13"/>
    </row>
    <row r="30" outlineLevel="2">
      <c r="A30" s="10" t="s">
        <v>52</v>
      </c>
      <c r="B30" s="0" t="s">
        <v>53</v>
      </c>
      <c r="C30" s="12">
        <v>81.72</v>
      </c>
      <c r="D30" s="12"/>
      <c r="E30" s="12"/>
      <c r="F30" s="12"/>
      <c r="G30" s="12"/>
      <c r="H30" s="0" t="s">
        <v>14</v>
      </c>
      <c r="I30" s="13"/>
      <c r="K30" s="0" t="s">
        <v>54</v>
      </c>
    </row>
    <row r="31" outlineLevel="2">
      <c r="A31" s="10" t="s">
        <v>55</v>
      </c>
      <c r="B31" s="0" t="s">
        <v>53</v>
      </c>
      <c r="C31" s="12">
        <v>1012.57</v>
      </c>
      <c r="D31" s="12"/>
      <c r="E31" s="12"/>
      <c r="F31" s="12"/>
      <c r="G31" s="12"/>
      <c r="H31" s="0" t="s">
        <v>14</v>
      </c>
      <c r="I31" s="13"/>
      <c r="K31" s="0" t="s">
        <v>54</v>
      </c>
    </row>
    <row r="32" outlineLevel="2">
      <c r="A32" s="10" t="s">
        <v>56</v>
      </c>
      <c r="B32" s="0" t="s">
        <v>53</v>
      </c>
      <c r="C32" s="12">
        <v>299</v>
      </c>
      <c r="D32" s="12"/>
      <c r="E32" s="12"/>
      <c r="F32" s="12"/>
      <c r="G32" s="12"/>
      <c r="H32" s="0" t="s">
        <v>14</v>
      </c>
      <c r="I32" s="13"/>
      <c r="K32" s="0" t="s">
        <v>54</v>
      </c>
    </row>
    <row r="33" outlineLevel="2">
      <c r="A33" s="10" t="s">
        <v>57</v>
      </c>
      <c r="B33" s="0" t="s">
        <v>53</v>
      </c>
      <c r="C33" s="12">
        <v>481</v>
      </c>
      <c r="D33" s="12"/>
      <c r="E33" s="12"/>
      <c r="F33" s="12"/>
      <c r="G33" s="12"/>
      <c r="H33" s="0" t="s">
        <v>14</v>
      </c>
      <c r="I33" s="13"/>
      <c r="K33" s="0" t="s">
        <v>54</v>
      </c>
    </row>
    <row r="34" outlineLevel="2">
      <c r="A34" s="10" t="s">
        <v>58</v>
      </c>
      <c r="B34" s="0" t="s">
        <v>53</v>
      </c>
      <c r="C34" s="12">
        <v>192.5</v>
      </c>
      <c r="D34" s="12"/>
      <c r="E34" s="12"/>
      <c r="F34" s="12"/>
      <c r="G34" s="12"/>
      <c r="H34" s="0" t="s">
        <v>14</v>
      </c>
      <c r="I34" s="13"/>
      <c r="K34" s="0" t="s">
        <v>54</v>
      </c>
    </row>
    <row r="35" outlineLevel="2">
      <c r="A35" s="10" t="s">
        <v>59</v>
      </c>
      <c r="B35" s="0" t="s">
        <v>53</v>
      </c>
      <c r="C35" s="12">
        <v>97.18</v>
      </c>
      <c r="D35" s="12"/>
      <c r="E35" s="12"/>
      <c r="F35" s="12"/>
      <c r="G35" s="12"/>
      <c r="H35" s="0" t="s">
        <v>14</v>
      </c>
      <c r="I35" s="13"/>
      <c r="K35" s="0" t="s">
        <v>60</v>
      </c>
    </row>
    <row r="36" outlineLevel="2">
      <c r="A36" s="10" t="s">
        <v>61</v>
      </c>
      <c r="B36" s="0" t="s">
        <v>53</v>
      </c>
      <c r="C36" s="12">
        <v>23.22</v>
      </c>
      <c r="D36" s="12"/>
      <c r="E36" s="12"/>
      <c r="F36" s="12"/>
      <c r="G36" s="12"/>
      <c r="H36" s="0" t="s">
        <v>14</v>
      </c>
      <c r="I36" s="13"/>
      <c r="K36" s="0" t="s">
        <v>54</v>
      </c>
    </row>
    <row r="37" outlineLevel="2">
      <c r="A37" s="10" t="s">
        <v>62</v>
      </c>
      <c r="B37" s="0" t="s">
        <v>53</v>
      </c>
      <c r="C37" s="12">
        <v>48.89</v>
      </c>
      <c r="D37" s="12"/>
      <c r="E37" s="12"/>
      <c r="F37" s="12"/>
      <c r="G37" s="12"/>
      <c r="H37" s="0" t="s">
        <v>14</v>
      </c>
      <c r="I37" s="13"/>
      <c r="K37" s="0" t="s">
        <v>54</v>
      </c>
    </row>
    <row r="38" outlineLevel="2">
      <c r="A38" s="10" t="s">
        <v>63</v>
      </c>
      <c r="B38" s="0" t="s">
        <v>53</v>
      </c>
      <c r="C38" s="12">
        <v>0.96</v>
      </c>
      <c r="D38" s="12"/>
      <c r="E38" s="12"/>
      <c r="F38" s="12"/>
      <c r="G38" s="12"/>
      <c r="H38" s="0" t="s">
        <v>14</v>
      </c>
      <c r="I38" s="13"/>
      <c r="K38" s="0" t="s">
        <v>60</v>
      </c>
    </row>
    <row r="39" outlineLevel="2">
      <c r="A39" s="10" t="s">
        <v>64</v>
      </c>
      <c r="B39" s="0" t="s">
        <v>53</v>
      </c>
      <c r="C39" s="12">
        <v>528.7</v>
      </c>
      <c r="D39" s="12"/>
      <c r="E39" s="12"/>
      <c r="F39" s="12"/>
      <c r="G39" s="12"/>
      <c r="H39" s="0" t="s">
        <v>14</v>
      </c>
      <c r="I39" s="13"/>
      <c r="K39" s="0" t="s">
        <v>54</v>
      </c>
    </row>
    <row r="40" outlineLevel="2">
      <c r="A40" s="10" t="s">
        <v>65</v>
      </c>
      <c r="B40" s="0" t="s">
        <v>53</v>
      </c>
      <c r="C40" s="12">
        <v>0</v>
      </c>
      <c r="D40" s="12"/>
      <c r="E40" s="12"/>
      <c r="F40" s="12"/>
      <c r="G40" s="12"/>
      <c r="H40" s="0" t="s">
        <v>14</v>
      </c>
      <c r="I40" s="13"/>
      <c r="K40" s="0" t="s">
        <v>54</v>
      </c>
    </row>
    <row r="41" outlineLevel="2">
      <c r="A41" s="10" t="s">
        <v>66</v>
      </c>
      <c r="B41" s="0" t="s">
        <v>53</v>
      </c>
      <c r="C41" s="12">
        <v>12</v>
      </c>
      <c r="D41" s="12"/>
      <c r="E41" s="12"/>
      <c r="F41" s="12"/>
      <c r="G41" s="12"/>
      <c r="H41" s="0" t="s">
        <v>14</v>
      </c>
      <c r="I41" s="13"/>
      <c r="K41" s="0" t="s">
        <v>60</v>
      </c>
    </row>
    <row r="42">
      <c r="I42" s="13"/>
    </row>
    <row r="43" s="1" customFormat="1"/>
  </sheetData>
  <mergeCells>
    <mergeCell ref="A8:A10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</mergeCells>
  <dataValidations count="1">
    <dataValidation type="decimal" sqref="C19" errorStyle="stop" promptTitle="Enter moisture content" errorTitle="Invalid moisture content" prompt="Value should be between 0 and 100.&#10;Original value: 6.7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https://phyllis.nl/Biomass/View/3061</dc:description>
  <dcterms:created xsi:type="dcterms:W3CDTF">2026-03-19T07:33:04Z</dcterms:created>
  <dc:title>Phyllis2 #3061 Wood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