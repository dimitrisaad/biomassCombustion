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63 Grass seed chaff" sheetId="1" r:id="rId1"/>
  </sheets>
  <definedNames>
    <definedName name="w" localSheetId="0">IF(ISBLANK('Phyllis2 #3063 Grass seed chaff'!$C$24),#N/A,'Phyllis2 #3063 Grass seed chaff'!$C$24/100)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<sst xmlns="http://schemas.openxmlformats.org/spreadsheetml/2006/main" count="102" uniqueCount="102">
  <si>
    <t>Phyllis2</t>
  </si>
  <si>
    <t>https://phyllis.nl/Biomass/View/3063</t>
  </si>
  <si>
    <t>Grass seed chaff (#3063)</t>
  </si>
  <si>
    <t>ID-number</t>
  </si>
  <si>
    <t>#3063</t>
  </si>
  <si>
    <t>Material</t>
  </si>
  <si>
    <t>Grass seed chaff</t>
  </si>
  <si>
    <t>Alternative name</t>
  </si>
  <si>
    <t>Graszaad kaf</t>
  </si>
  <si>
    <t>Description</t>
  </si>
  <si>
    <t>biomassa</t>
  </si>
  <si>
    <t>Classification</t>
  </si>
  <si>
    <t>CEN/TS 14961 classification &gt; Solid biofuels &gt; Herbaceous biomass &gt; Agriculture and Horticulture herb &gt; Grasses &gt; Seeds</t>
  </si>
  <si>
    <t>ECN Phyllis classification &gt; husk/shell/pit &gt; others</t>
  </si>
  <si>
    <t>NTA 8003 classification &gt; [200] biomassa uit land- en tuinbouw &gt; [240] gewassen &gt; [242] granen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</si>
  <si>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</si>
  <si>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</si>
  <si>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</si>
  <si>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</si>
  <si>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</si>
  <si>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</si>
  <si>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</si>
  <si>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</si>
  <si>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Remarks</t>
  </si>
  <si>
    <t>ECN box 14818 nr 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</si>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</sst>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39601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39918</v>
      </c>
    </row>
    <row r="17" outlineLevel="1">
      <c r="A17" s="7" t="s">
        <v>23</v>
      </c>
      <c r="B17" s="0" t="s">
        <v>24</v>
      </c>
    </row>
    <row r="18">
      <c r="A18" s="7"/>
    </row>
    <row r="19" s="1" customFormat="1">
      <c r="A19" s="9" t="s">
        <v>25</v>
      </c>
    </row>
    <row r="20" s="1" customFormat="1">
      <c r="A20" s="10" t="s">
        <v>26</v>
      </c>
      <c r="B20" s="10" t="s">
        <v>27</v>
      </c>
      <c r="C20" s="10" t="s">
        <v>28</v>
      </c>
      <c r="D20" s="10"/>
      <c r="E20" s="10"/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23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11.241</v>
      </c>
      <c r="D24" s="13"/>
      <c r="E24" s="13"/>
      <c r="F24" s="13"/>
      <c r="G24" s="13">
        <v>0.1</v>
      </c>
      <c r="H24" s="0" t="s">
        <v>41</v>
      </c>
      <c r="I24" s="5">
        <v>39622</v>
      </c>
      <c r="J24" s="0" t="s">
        <v>42</v>
      </c>
      <c r="K24" s="0" t="s">
        <v>42</v>
      </c>
    </row>
    <row r="25" outlineLevel="2">
      <c r="A25" s="12" t="s">
        <v>43</v>
      </c>
      <c r="B25" s="0" t="s">
        <v>40</v>
      </c>
      <c r="C25" s="13">
        <f>IFERROR(15.08*(1-w),"")</f>
        <v>13.3848572</v>
      </c>
      <c r="D25" s="13">
        <v>15.08</v>
      </c>
      <c r="E25" s="13">
        <v/>
      </c>
      <c r="F25" s="13"/>
      <c r="G25" s="13">
        <v>0.1</v>
      </c>
      <c r="H25" s="0" t="s">
        <v>41</v>
      </c>
      <c r="I25" s="5">
        <v>39644</v>
      </c>
      <c r="J25" s="0" t="s">
        <v>44</v>
      </c>
      <c r="K25" s="0" t="s">
        <v>44</v>
      </c>
    </row>
    <row r="26" outlineLevel="2">
      <c r="A26" s="12" t="s">
        <v>45</v>
      </c>
      <c r="B26" s="0" t="s">
        <v>40</v>
      </c>
      <c r="C26" s="13">
        <f>IFERROR(15.01*(1-w),"")</f>
        <v>13.3227259</v>
      </c>
      <c r="D26" s="13">
        <v>15.01</v>
      </c>
      <c r="E26" s="13">
        <v/>
      </c>
      <c r="F26" s="13"/>
      <c r="G26" s="13">
        <v>0.1</v>
      </c>
      <c r="H26" s="0" t="s">
        <v>41</v>
      </c>
      <c r="I26" s="5">
        <v>39644</v>
      </c>
      <c r="K26" s="0" t="s">
        <v>44</v>
      </c>
    </row>
    <row r="27" outlineLevel="2">
      <c r="A27" s="12" t="s">
        <v>46</v>
      </c>
      <c r="B27" s="0" t="s">
        <v>40</v>
      </c>
      <c r="C27" s="13">
        <f>IFERROR(69.2*(1-w),"")</f>
        <v>61.421228</v>
      </c>
      <c r="D27" s="13">
        <v>69.2</v>
      </c>
      <c r="E27" s="13">
        <v>81.488459726801707</v>
      </c>
      <c r="F27" s="13">
        <v>1.84</v>
      </c>
      <c r="G27" s="13">
        <v>0.1</v>
      </c>
      <c r="H27" s="0" t="s">
        <v>41</v>
      </c>
      <c r="I27" s="5">
        <v>39644</v>
      </c>
    </row>
    <row r="28" outlineLevel="2">
      <c r="A28" s="12" t="s">
        <v>47</v>
      </c>
      <c r="B28" s="0" t="s">
        <v>40</v>
      </c>
      <c r="C28" s="13">
        <f>IFERROR(15.72*(1-w),"")</f>
        <v>13.952914799999999</v>
      </c>
      <c r="D28" s="13">
        <v>15.719999999999999</v>
      </c>
      <c r="E28" s="13">
        <v>18.511540273198303</v>
      </c>
      <c r="F28" s="13"/>
      <c r="G28" s="13"/>
      <c r="I28" s="5"/>
      <c r="J28" s="0" t="s">
        <v>48</v>
      </c>
    </row>
    <row r="29" outlineLevel="1">
      <c r="A29" s="11" t="s">
        <v>49</v>
      </c>
      <c r="I29" s="5"/>
    </row>
    <row r="30" outlineLevel="2">
      <c r="A30" s="12" t="s">
        <v>50</v>
      </c>
      <c r="B30" s="0" t="s">
        <v>40</v>
      </c>
      <c r="C30" s="13">
        <f>IFERROR(41.328*(1-w),"")</f>
        <v>36.68231952</v>
      </c>
      <c r="D30" s="13">
        <v>41.328</v>
      </c>
      <c r="E30" s="13">
        <v>48.666980687706079</v>
      </c>
      <c r="F30" s="13">
        <v>0.33</v>
      </c>
      <c r="G30" s="13">
        <v>0.1</v>
      </c>
      <c r="H30" s="0" t="s">
        <v>41</v>
      </c>
      <c r="I30" s="5">
        <v>39639</v>
      </c>
      <c r="J30" s="0" t="s">
        <v>51</v>
      </c>
      <c r="K30" s="0" t="s">
        <v>51</v>
      </c>
    </row>
    <row r="31" outlineLevel="2">
      <c r="A31" s="12" t="s">
        <v>52</v>
      </c>
      <c r="B31" s="0" t="s">
        <v>40</v>
      </c>
      <c r="C31" s="13">
        <f>IFERROR(5.485*(1-w),"")</f>
        <v>4.86843115</v>
      </c>
      <c r="D31" s="13">
        <v>5.485</v>
      </c>
      <c r="E31" s="13">
        <v>6.4590202543570427</v>
      </c>
      <c r="F31" s="13">
        <v>0.36</v>
      </c>
      <c r="G31" s="13">
        <v>0.1</v>
      </c>
      <c r="H31" s="0" t="s">
        <v>41</v>
      </c>
      <c r="I31" s="5">
        <v>39639</v>
      </c>
      <c r="J31" s="0" t="s">
        <v>51</v>
      </c>
      <c r="K31" s="0" t="s">
        <v>51</v>
      </c>
    </row>
    <row r="32" outlineLevel="2">
      <c r="A32" s="12" t="s">
        <v>53</v>
      </c>
      <c r="B32" s="0" t="s">
        <v>40</v>
      </c>
      <c r="C32" s="13">
        <f>IFERROR(37.79*(1-w),"")</f>
        <v>33.5420261</v>
      </c>
      <c r="D32" s="13">
        <v>37.79</v>
      </c>
      <c r="E32" s="13">
        <v>44.500706547338673</v>
      </c>
      <c r="F32" s="13"/>
      <c r="G32" s="13">
        <v>0.1</v>
      </c>
      <c r="H32" s="0" t="s">
        <v>41</v>
      </c>
      <c r="I32" s="5">
        <v>39639</v>
      </c>
      <c r="K32" s="0" t="s">
        <v>54</v>
      </c>
    </row>
    <row r="33" outlineLevel="2">
      <c r="A33" s="12" t="s">
        <v>55</v>
      </c>
      <c r="B33" s="0" t="s">
        <v>40</v>
      </c>
      <c r="C33" s="13">
        <f>IFERROR(1.6895*(1-w),"")</f>
        <v>1.499583305</v>
      </c>
      <c r="D33" s="13">
        <v>1.6895</v>
      </c>
      <c r="E33" s="13">
        <v>1.9895195478097034</v>
      </c>
      <c r="F33" s="13">
        <v>3.47</v>
      </c>
      <c r="G33" s="13">
        <v>0.1</v>
      </c>
      <c r="H33" s="0" t="s">
        <v>41</v>
      </c>
      <c r="I33" s="5">
        <v>39639</v>
      </c>
      <c r="J33" s="0" t="s">
        <v>51</v>
      </c>
      <c r="K33" s="0" t="s">
        <v>51</v>
      </c>
    </row>
    <row r="34" outlineLevel="2">
      <c r="A34" s="12" t="s">
        <v>56</v>
      </c>
      <c r="B34" s="0" t="s">
        <v>40</v>
      </c>
      <c r="C34" s="13">
        <f>IFERROR(0.175334895962855*(1-w),"")</f>
        <v>0.15562550030767047</v>
      </c>
      <c r="D34" s="13">
        <v>0.175334895962855</v>
      </c>
      <c r="E34" s="13">
        <v>0.2064706735313884</v>
      </c>
      <c r="F34" s="13"/>
      <c r="G34" s="13">
        <v>0.00114005982717306</v>
      </c>
      <c r="H34" s="0" t="s">
        <v>41</v>
      </c>
      <c r="I34" s="5">
        <v>39625</v>
      </c>
      <c r="J34" s="0" t="s">
        <v>57</v>
      </c>
      <c r="K34" s="0" t="s">
        <v>51</v>
      </c>
    </row>
    <row r="35" outlineLevel="2">
      <c r="A35" s="12" t="s">
        <v>58</v>
      </c>
      <c r="B35" s="0" t="s">
        <v>40</v>
      </c>
      <c r="C35" s="13">
        <f>IFERROR(101.693484895963*(1-w)+w*100,"")</f>
        <v>101.50312025880767</v>
      </c>
      <c r="D35" s="13">
        <v>101.69348489596285</v>
      </c>
      <c r="E35" s="13">
        <v>101.99421207720545</v>
      </c>
      <c r="F35" s="13"/>
      <c r="G35" s="13"/>
      <c r="I35" s="5"/>
      <c r="J35" s="0" t="s">
        <v>48</v>
      </c>
    </row>
    <row r="36" outlineLevel="1">
      <c r="A36" s="11" t="s">
        <v>59</v>
      </c>
      <c r="I36" s="5"/>
    </row>
    <row r="37" outlineLevel="2">
      <c r="A37" s="12" t="s">
        <v>60</v>
      </c>
      <c r="B37" s="0" t="s">
        <v>61</v>
      </c>
      <c r="C37" s="14">
        <f>IFERROR(12.5*(1-w),"")</f>
        <v>11.094875</v>
      </c>
      <c r="D37" s="14">
        <v>12.5</v>
      </c>
      <c r="E37" s="14">
        <v>14.719736222326897</v>
      </c>
      <c r="F37" s="14"/>
      <c r="G37" s="14">
        <v>5</v>
      </c>
      <c r="H37" s="0" t="s">
        <v>41</v>
      </c>
      <c r="I37" s="5">
        <v>39644</v>
      </c>
      <c r="K37" s="0" t="s">
        <v>62</v>
      </c>
    </row>
    <row r="38" outlineLevel="2">
      <c r="A38" s="12" t="s">
        <v>63</v>
      </c>
      <c r="B38" s="0" t="s">
        <v>61</v>
      </c>
      <c r="C38" s="14">
        <f>IFERROR(1410*(1-w),"")</f>
        <v>1251.5019</v>
      </c>
      <c r="D38" s="14">
        <v>1410</v>
      </c>
      <c r="E38" s="14">
        <v>1660.386245878474</v>
      </c>
      <c r="F38" s="14"/>
      <c r="G38" s="14">
        <v>10</v>
      </c>
      <c r="H38" s="0" t="s">
        <v>41</v>
      </c>
      <c r="I38" s="5">
        <v>39644</v>
      </c>
      <c r="J38" s="0" t="s">
        <v>64</v>
      </c>
      <c r="K38" s="0" t="s">
        <v>64</v>
      </c>
    </row>
    <row r="39" outlineLevel="2">
      <c r="A39" s="12" t="s">
        <v>65</v>
      </c>
      <c r="B39" s="0" t="s">
        <v>61</v>
      </c>
      <c r="C39" s="14">
        <f>IFERROR(34*(1-w),"")</f>
        <v>30.17806</v>
      </c>
      <c r="D39" s="14">
        <v>34</v>
      </c>
      <c r="E39" s="14">
        <v>40.037682524729156</v>
      </c>
      <c r="F39" s="14"/>
      <c r="G39" s="14">
        <v>10</v>
      </c>
      <c r="H39" s="0" t="s">
        <v>41</v>
      </c>
      <c r="I39" s="5">
        <v>39651</v>
      </c>
      <c r="K39" s="0" t="s">
        <v>62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3">
        <f>IFERROR(17.127*(1-w)-w*2.443,"")</f>
        <v>14.927136299999999</v>
      </c>
      <c r="D41" s="13">
        <v>17.127</v>
      </c>
      <c r="E41" s="13">
        <v>20.168393782383419</v>
      </c>
      <c r="F41" s="13"/>
      <c r="G41" s="13">
        <v>1</v>
      </c>
      <c r="H41" s="0" t="s">
        <v>41</v>
      </c>
      <c r="I41" s="5">
        <v>39645</v>
      </c>
      <c r="J41" s="0" t="s">
        <v>69</v>
      </c>
      <c r="K41" s="0" t="s">
        <v>69</v>
      </c>
    </row>
    <row r="42" outlineLevel="2">
      <c r="A42" s="12" t="s">
        <v>70</v>
      </c>
      <c r="B42" s="0" t="s">
        <v>68</v>
      </c>
      <c r="C42" s="13">
        <f>IFERROR(16.4225751530631*(1-w),"")</f>
        <v>14.576513480107236</v>
      </c>
      <c r="D42" s="13">
        <v>16.422575153063054</v>
      </c>
      <c r="E42" s="13">
        <v>19.338877947554234</v>
      </c>
      <c r="F42" s="13"/>
      <c r="G42" s="13"/>
      <c r="I42" s="5"/>
      <c r="J42" s="0" t="s">
        <v>48</v>
      </c>
    </row>
    <row r="43" outlineLevel="1">
      <c r="A43" s="11" t="s">
        <v>71</v>
      </c>
      <c r="I43" s="5"/>
    </row>
    <row r="44" outlineLevel="2">
      <c r="A44" s="12" t="s">
        <v>72</v>
      </c>
      <c r="B44" s="0" t="s">
        <v>73</v>
      </c>
      <c r="C44" s="14">
        <v>2697.25887485556</v>
      </c>
      <c r="D44" s="14"/>
      <c r="E44" s="14"/>
      <c r="F44" s="14"/>
      <c r="G44" s="14">
        <v>0.281661578537668</v>
      </c>
      <c r="H44" s="0" t="s">
        <v>41</v>
      </c>
      <c r="I44" s="5">
        <v>39625</v>
      </c>
      <c r="K44" s="0" t="s">
        <v>74</v>
      </c>
    </row>
    <row r="45" outlineLevel="2">
      <c r="A45" s="12" t="s">
        <v>75</v>
      </c>
      <c r="B45" s="0" t="s">
        <v>73</v>
      </c>
      <c r="C45" s="14">
        <v>1.32537038421536</v>
      </c>
      <c r="D45" s="14"/>
      <c r="E45" s="14"/>
      <c r="F45" s="14"/>
      <c r="G45" s="14">
        <v>5.76779302394247</v>
      </c>
      <c r="H45" s="0" t="s">
        <v>41</v>
      </c>
      <c r="I45" s="5">
        <v>39625</v>
      </c>
      <c r="K45" s="0" t="s">
        <v>76</v>
      </c>
    </row>
    <row r="46" outlineLevel="2">
      <c r="A46" s="12" t="s">
        <v>77</v>
      </c>
      <c r="B46" s="0" t="s">
        <v>73</v>
      </c>
      <c r="C46" s="14">
        <v>7.69499432564909</v>
      </c>
      <c r="D46" s="14"/>
      <c r="E46" s="14"/>
      <c r="F46" s="14"/>
      <c r="G46" s="14">
        <v>0.371793283669722</v>
      </c>
      <c r="H46" s="0" t="s">
        <v>41</v>
      </c>
      <c r="I46" s="5">
        <v>39625</v>
      </c>
      <c r="K46" s="0" t="s">
        <v>78</v>
      </c>
    </row>
    <row r="47" outlineLevel="2">
      <c r="A47" s="12" t="s">
        <v>79</v>
      </c>
      <c r="B47" s="0" t="s">
        <v>73</v>
      </c>
      <c r="C47" s="14">
        <v>22.9837600359749</v>
      </c>
      <c r="D47" s="14"/>
      <c r="E47" s="14"/>
      <c r="F47" s="14"/>
      <c r="G47" s="14">
        <v>0.0136677970954875</v>
      </c>
      <c r="H47" s="0" t="s">
        <v>41</v>
      </c>
      <c r="I47" s="5">
        <v>39625</v>
      </c>
      <c r="K47" s="0" t="s">
        <v>76</v>
      </c>
    </row>
    <row r="48" outlineLevel="2">
      <c r="A48" s="12" t="s">
        <v>80</v>
      </c>
      <c r="B48" s="0" t="s">
        <v>73</v>
      </c>
      <c r="C48" s="14">
        <v>7216.07613049098</v>
      </c>
      <c r="D48" s="14"/>
      <c r="E48" s="14"/>
      <c r="F48" s="14"/>
      <c r="G48" s="14">
        <v>2.89756430906672</v>
      </c>
      <c r="H48" s="0" t="s">
        <v>41</v>
      </c>
      <c r="I48" s="5">
        <v>39625</v>
      </c>
      <c r="K48" s="0" t="s">
        <v>74</v>
      </c>
    </row>
    <row r="49" outlineLevel="2">
      <c r="A49" s="12" t="s">
        <v>81</v>
      </c>
      <c r="B49" s="0" t="s">
        <v>73</v>
      </c>
      <c r="C49" s="14">
        <v>0.0766423879657151</v>
      </c>
      <c r="D49" s="14"/>
      <c r="E49" s="14"/>
      <c r="F49" s="14"/>
      <c r="G49" s="14">
        <v>0.259687356161842</v>
      </c>
      <c r="H49" s="0" t="s">
        <v>41</v>
      </c>
      <c r="I49" s="5">
        <v>39625</v>
      </c>
      <c r="K49" s="0" t="s">
        <v>76</v>
      </c>
    </row>
    <row r="50" outlineLevel="2">
      <c r="A50" s="12" t="s">
        <v>82</v>
      </c>
      <c r="B50" s="0" t="s">
        <v>73</v>
      </c>
      <c r="C50" s="14">
        <v>0.808719035161627</v>
      </c>
      <c r="D50" s="14"/>
      <c r="E50" s="14"/>
      <c r="F50" s="14"/>
      <c r="G50" s="14">
        <v>0.423700470649166</v>
      </c>
      <c r="H50" s="0" t="s">
        <v>41</v>
      </c>
      <c r="I50" s="5">
        <v>39625</v>
      </c>
      <c r="K50" s="0" t="s">
        <v>76</v>
      </c>
    </row>
    <row r="51" outlineLevel="2">
      <c r="A51" s="12" t="s">
        <v>83</v>
      </c>
      <c r="B51" s="0" t="s">
        <v>73</v>
      </c>
      <c r="C51" s="14">
        <v>13.8723075004705</v>
      </c>
      <c r="D51" s="14"/>
      <c r="E51" s="14"/>
      <c r="F51" s="14"/>
      <c r="G51" s="14">
        <v>0.218684077540011</v>
      </c>
      <c r="H51" s="0" t="s">
        <v>41</v>
      </c>
      <c r="I51" s="5">
        <v>39625</v>
      </c>
      <c r="K51" s="0" t="s">
        <v>76</v>
      </c>
    </row>
    <row r="52" outlineLevel="2">
      <c r="A52" s="12" t="s">
        <v>84</v>
      </c>
      <c r="B52" s="0" t="s">
        <v>73</v>
      </c>
      <c r="C52" s="14">
        <v>6.15641649050016</v>
      </c>
      <c r="D52" s="14"/>
      <c r="E52" s="14"/>
      <c r="F52" s="14"/>
      <c r="G52" s="14">
        <v>0.150345317391836</v>
      </c>
      <c r="H52" s="0" t="s">
        <v>41</v>
      </c>
      <c r="I52" s="5">
        <v>39625</v>
      </c>
      <c r="K52" s="0" t="s">
        <v>76</v>
      </c>
    </row>
    <row r="53" outlineLevel="2">
      <c r="A53" s="12" t="s">
        <v>85</v>
      </c>
      <c r="B53" s="0" t="s">
        <v>73</v>
      </c>
      <c r="C53" s="14">
        <v>2224.08097759408</v>
      </c>
      <c r="D53" s="14"/>
      <c r="E53" s="14"/>
      <c r="F53" s="14"/>
      <c r="G53" s="14">
        <v>0.765394384054669</v>
      </c>
      <c r="H53" s="0" t="s">
        <v>41</v>
      </c>
      <c r="I53" s="5">
        <v>39625</v>
      </c>
      <c r="K53" s="0" t="s">
        <v>74</v>
      </c>
    </row>
    <row r="54" outlineLevel="2">
      <c r="A54" s="12" t="s">
        <v>86</v>
      </c>
      <c r="B54" s="0" t="s">
        <v>73</v>
      </c>
      <c r="C54" s="14">
        <v>7087.99221762044</v>
      </c>
      <c r="D54" s="14"/>
      <c r="E54" s="14"/>
      <c r="F54" s="14"/>
      <c r="G54" s="14">
        <v>3.15725166522856</v>
      </c>
      <c r="H54" s="0" t="s">
        <v>41</v>
      </c>
      <c r="I54" s="5">
        <v>39625</v>
      </c>
      <c r="K54" s="0" t="s">
        <v>74</v>
      </c>
    </row>
    <row r="55" outlineLevel="2">
      <c r="A55" s="12" t="s">
        <v>87</v>
      </c>
      <c r="B55" s="0" t="s">
        <v>73</v>
      </c>
      <c r="C55" s="14">
        <v>1392.20811685913</v>
      </c>
      <c r="D55" s="14"/>
      <c r="E55" s="14"/>
      <c r="F55" s="14"/>
      <c r="G55" s="14">
        <v>0.214062799688628</v>
      </c>
      <c r="H55" s="0" t="s">
        <v>41</v>
      </c>
      <c r="I55" s="5">
        <v>39625</v>
      </c>
      <c r="K55" s="0" t="s">
        <v>74</v>
      </c>
    </row>
    <row r="56" outlineLevel="2">
      <c r="A56" s="12" t="s">
        <v>88</v>
      </c>
      <c r="B56" s="0" t="s">
        <v>73</v>
      </c>
      <c r="C56" s="14">
        <v>66.786722436254</v>
      </c>
      <c r="D56" s="14"/>
      <c r="E56" s="14"/>
      <c r="F56" s="14"/>
      <c r="G56" s="14">
        <v>0.109342038770005</v>
      </c>
      <c r="H56" s="0" t="s">
        <v>41</v>
      </c>
      <c r="I56" s="5">
        <v>39625</v>
      </c>
      <c r="K56" s="0" t="s">
        <v>76</v>
      </c>
    </row>
    <row r="57" outlineLevel="2">
      <c r="A57" s="12" t="s">
        <v>89</v>
      </c>
      <c r="B57" s="0" t="s">
        <v>73</v>
      </c>
      <c r="C57" s="14">
        <v>3.50420888490074</v>
      </c>
      <c r="D57" s="14"/>
      <c r="E57" s="14"/>
      <c r="F57" s="14"/>
      <c r="G57" s="14">
        <v>1.58545973116203</v>
      </c>
      <c r="H57" s="0" t="s">
        <v>41</v>
      </c>
      <c r="I57" s="5">
        <v>39625</v>
      </c>
      <c r="K57" s="0" t="s">
        <v>76</v>
      </c>
    </row>
    <row r="58" outlineLevel="2">
      <c r="A58" s="12" t="s">
        <v>90</v>
      </c>
      <c r="B58" s="0" t="s">
        <v>73</v>
      </c>
      <c r="C58" s="14">
        <v>615.869941167323</v>
      </c>
      <c r="D58" s="14"/>
      <c r="E58" s="14"/>
      <c r="F58" s="14"/>
      <c r="G58" s="14">
        <v>1.29564326127327</v>
      </c>
      <c r="H58" s="0" t="s">
        <v>41</v>
      </c>
      <c r="I58" s="5">
        <v>39625</v>
      </c>
      <c r="K58" s="0" t="s">
        <v>74</v>
      </c>
    </row>
    <row r="59" outlineLevel="2">
      <c r="A59" s="12" t="s">
        <v>91</v>
      </c>
      <c r="B59" s="0" t="s">
        <v>73</v>
      </c>
      <c r="C59" s="14">
        <v>4.58012581601531</v>
      </c>
      <c r="D59" s="14"/>
      <c r="E59" s="14"/>
      <c r="F59" s="14"/>
      <c r="G59" s="14">
        <v>0.751726586959182</v>
      </c>
      <c r="H59" s="0" t="s">
        <v>41</v>
      </c>
      <c r="I59" s="5">
        <v>39625</v>
      </c>
      <c r="K59" s="0" t="s">
        <v>76</v>
      </c>
    </row>
    <row r="60" outlineLevel="2">
      <c r="A60" s="12" t="s">
        <v>92</v>
      </c>
      <c r="B60" s="0" t="s">
        <v>73</v>
      </c>
      <c r="C60" s="14">
        <v>2522.20507714808</v>
      </c>
      <c r="D60" s="14"/>
      <c r="E60" s="14"/>
      <c r="F60" s="14"/>
      <c r="G60" s="14">
        <v>1.16044570357519</v>
      </c>
      <c r="H60" s="0" t="s">
        <v>41</v>
      </c>
      <c r="I60" s="5">
        <v>39625</v>
      </c>
      <c r="K60" s="0" t="s">
        <v>74</v>
      </c>
    </row>
    <row r="61" outlineLevel="2">
      <c r="A61" s="12" t="s">
        <v>93</v>
      </c>
      <c r="B61" s="0" t="s">
        <v>73</v>
      </c>
      <c r="C61" s="14">
        <v>3.81790945785725</v>
      </c>
      <c r="D61" s="14"/>
      <c r="E61" s="14"/>
      <c r="F61" s="14"/>
      <c r="G61" s="14">
        <v>5.78146082103796</v>
      </c>
      <c r="H61" s="0" t="s">
        <v>41</v>
      </c>
      <c r="I61" s="5">
        <v>39625</v>
      </c>
      <c r="K61" s="0" t="s">
        <v>76</v>
      </c>
    </row>
    <row r="62" outlineLevel="2">
      <c r="A62" s="12" t="s">
        <v>94</v>
      </c>
      <c r="B62" s="0" t="s">
        <v>73</v>
      </c>
      <c r="C62" s="14">
        <v>-0.229668724752435</v>
      </c>
      <c r="D62" s="14"/>
      <c r="E62" s="14"/>
      <c r="F62" s="14"/>
      <c r="G62" s="14">
        <v>1.55812413697105</v>
      </c>
      <c r="H62" s="0" t="s">
        <v>41</v>
      </c>
      <c r="I62" s="5">
        <v>39625</v>
      </c>
      <c r="K62" s="0" t="s">
        <v>78</v>
      </c>
    </row>
    <row r="63" outlineLevel="2">
      <c r="A63" s="12" t="s">
        <v>95</v>
      </c>
      <c r="B63" s="0" t="s">
        <v>73</v>
      </c>
      <c r="C63" s="14">
        <v>-0.0270090661762688</v>
      </c>
      <c r="D63" s="14"/>
      <c r="E63" s="14"/>
      <c r="F63" s="14"/>
      <c r="G63" s="14">
        <v>2.88389651197124</v>
      </c>
      <c r="H63" s="0" t="s">
        <v>41</v>
      </c>
      <c r="I63" s="5">
        <v>39625</v>
      </c>
      <c r="K63" s="0" t="s">
        <v>76</v>
      </c>
    </row>
    <row r="64" outlineLevel="2">
      <c r="A64" s="12" t="s">
        <v>96</v>
      </c>
      <c r="B64" s="0" t="s">
        <v>73</v>
      </c>
      <c r="C64" s="14">
        <v>67792.6121283023</v>
      </c>
      <c r="D64" s="14"/>
      <c r="E64" s="14"/>
      <c r="F64" s="14"/>
      <c r="G64" s="14">
        <v>13.9390890213497</v>
      </c>
      <c r="H64" s="0" t="s">
        <v>41</v>
      </c>
      <c r="I64" s="5">
        <v>39625</v>
      </c>
      <c r="K64" s="0" t="s">
        <v>74</v>
      </c>
    </row>
    <row r="65" outlineLevel="2">
      <c r="A65" s="12" t="s">
        <v>97</v>
      </c>
      <c r="B65" s="0" t="s">
        <v>73</v>
      </c>
      <c r="C65" s="14">
        <v>0.117115258402539</v>
      </c>
      <c r="D65" s="14"/>
      <c r="E65" s="14"/>
      <c r="F65" s="14"/>
      <c r="G65" s="14">
        <v>0.587713472471858</v>
      </c>
      <c r="H65" s="0" t="s">
        <v>41</v>
      </c>
      <c r="I65" s="5">
        <v>39625</v>
      </c>
      <c r="K65" s="0" t="s">
        <v>78</v>
      </c>
    </row>
    <row r="66" outlineLevel="2">
      <c r="A66" s="12" t="s">
        <v>98</v>
      </c>
      <c r="B66" s="0" t="s">
        <v>73</v>
      </c>
      <c r="C66" s="14">
        <v>24.8519613600978</v>
      </c>
      <c r="D66" s="14"/>
      <c r="E66" s="14"/>
      <c r="F66" s="14"/>
      <c r="G66" s="14">
        <v>0</v>
      </c>
      <c r="H66" s="0" t="s">
        <v>41</v>
      </c>
      <c r="I66" s="5">
        <v>39625</v>
      </c>
      <c r="K66" s="0" t="s">
        <v>78</v>
      </c>
    </row>
    <row r="67" outlineLevel="2">
      <c r="A67" s="12" t="s">
        <v>99</v>
      </c>
      <c r="B67" s="0" t="s">
        <v>73</v>
      </c>
      <c r="C67" s="14">
        <v>269.873117625889</v>
      </c>
      <c r="D67" s="14"/>
      <c r="E67" s="14"/>
      <c r="F67" s="14"/>
      <c r="G67" s="14">
        <v>0.130523327469932</v>
      </c>
      <c r="H67" s="0" t="s">
        <v>41</v>
      </c>
      <c r="I67" s="5">
        <v>39625</v>
      </c>
      <c r="K67" s="0" t="s">
        <v>74</v>
      </c>
    </row>
    <row r="68" outlineLevel="2">
      <c r="A68" s="12" t="s">
        <v>100</v>
      </c>
      <c r="B68" s="0" t="s">
        <v>73</v>
      </c>
      <c r="C68" s="14">
        <v>4.8626054918743</v>
      </c>
      <c r="D68" s="14"/>
      <c r="E68" s="14"/>
      <c r="F68" s="14"/>
      <c r="G68" s="14">
        <v>0.191348596013667</v>
      </c>
      <c r="H68" s="0" t="s">
        <v>41</v>
      </c>
      <c r="I68" s="5">
        <v>39625</v>
      </c>
      <c r="K68" s="0" t="s">
        <v>76</v>
      </c>
    </row>
    <row r="69" outlineLevel="2">
      <c r="A69" s="12" t="s">
        <v>101</v>
      </c>
      <c r="B69" s="0" t="s">
        <v>73</v>
      </c>
      <c r="C69" s="14">
        <v>37.4079703980915</v>
      </c>
      <c r="D69" s="14"/>
      <c r="E69" s="14"/>
      <c r="F69" s="14"/>
      <c r="G69" s="14">
        <v>0.341693913405504</v>
      </c>
      <c r="H69" s="0" t="s">
        <v>41</v>
      </c>
      <c r="I69" s="5">
        <v>39625</v>
      </c>
      <c r="K69" s="0" t="s">
        <v>76</v>
      </c>
    </row>
    <row r="70">
      <c r="I70" s="5"/>
    </row>
    <row r="71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</mergeCells>
  <dataValidations count="1">
    <dataValidation type="decimal" sqref="C24" errorStyle="stop" promptTitle="Enter moisture content" errorTitle="Invalid moisture content" prompt="Value should be between 0 and 100.&#10;Original value: 11.24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https://phyllis.nl/Biomass/View/3063</dc:description>
  <dcterms:created xsi:type="dcterms:W3CDTF">2026-03-17T05:44:26Z</dcterms:created>
  <dc:title>Phyllis2 #3063 Grass seed chaff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