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5 Withered leaves" sheetId="1" r:id="rId1"/>
  </sheets>
  <definedNames>
    <definedName name="w" localSheetId="0">IF(ISBLANK('Phyllis2 #3065 Withered leaves'!$C$24),#N/A,'Phyllis2 #3065 Withered leaves'!$C$24/100)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<sst xmlns="http://schemas.openxmlformats.org/spreadsheetml/2006/main" count="102" uniqueCount="102">
  <si>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</si>
  <si>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https://phyllis.nl/Biomass/View/3065</t>
  </si>
  <si>
    <t>Withered leaves (#3065)</t>
  </si>
  <si>
    <t>ID-number</t>
  </si>
  <si>
    <t>#3065</t>
  </si>
  <si>
    <t>Material</t>
  </si>
  <si>
    <t>Withered leaves</t>
  </si>
  <si>
    <t>Alternative name</t>
  </si>
  <si>
    <t>Dorre bladeren</t>
  </si>
  <si>
    <t>Description</t>
  </si>
  <si>
    <t>biomassa</t>
  </si>
  <si>
    <t>Classification</t>
  </si>
  <si>
    <t>CEN/TS 14961 classification &gt; Solid biofuels &gt; Woody biomass &gt; Forest and plantation wood &gt; Landscape management woody biomass</t>
  </si>
  <si>
    <t>ECN Phyllis classification &gt; untreated wood &gt; leaves</t>
  </si>
  <si>
    <t>NTA 8003 classification &gt; [100] 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</si>
  <si>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</si>
  <si>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</si>
  <si>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</si>
  <si>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</si>
  <si>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</si>
  <si>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</si>
  <si>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</si>
  <si>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</si>
  <si>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Remarks</t>
  </si>
  <si>
    <t>ECN Box 14818 nr.5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</si>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</sst>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39601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39918</v>
      </c>
    </row>
    <row r="17" outlineLevel="1">
      <c r="A17" s="7" t="s">
        <v>23</v>
      </c>
      <c r="B17" s="0" t="s">
        <v>24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23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32.947</v>
      </c>
      <c r="D24" s="13"/>
      <c r="E24" s="13"/>
      <c r="F24" s="13"/>
      <c r="G24" s="13">
        <v>0.1</v>
      </c>
      <c r="H24" s="0" t="s">
        <v>41</v>
      </c>
      <c r="I24" s="5">
        <v>39622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40</v>
      </c>
      <c r="C25" s="13">
        <f>IFERROR(43.77*(1-w),"")</f>
        <v>29.3490981</v>
      </c>
      <c r="D25" s="13">
        <v>43.77</v>
      </c>
      <c r="E25" s="13">
        <v/>
      </c>
      <c r="F25" s="13"/>
      <c r="G25" s="13">
        <v>0.1</v>
      </c>
      <c r="H25" s="0" t="s">
        <v>41</v>
      </c>
      <c r="I25" s="5">
        <v>39644</v>
      </c>
      <c r="J25" s="0" t="s">
        <v>44</v>
      </c>
      <c r="K25" s="0" t="s">
        <v>44</v>
      </c>
    </row>
    <row r="26" outlineLevel="2">
      <c r="A26" s="12" t="s">
        <v>45</v>
      </c>
      <c r="B26" s="0" t="s">
        <v>40</v>
      </c>
      <c r="C26" s="13">
        <f>IFERROR(43.2*(1-w),"")</f>
        <v>28.966896</v>
      </c>
      <c r="D26" s="13">
        <v>43.2</v>
      </c>
      <c r="E26" s="13">
        <v/>
      </c>
      <c r="F26" s="13"/>
      <c r="G26" s="13">
        <v>0.1</v>
      </c>
      <c r="H26" s="0" t="s">
        <v>41</v>
      </c>
      <c r="I26" s="5">
        <v>39644</v>
      </c>
      <c r="K26" s="0" t="s">
        <v>44</v>
      </c>
    </row>
    <row r="27" outlineLevel="2">
      <c r="A27" s="12" t="s">
        <v>46</v>
      </c>
      <c r="B27" s="0" t="s">
        <v>40</v>
      </c>
      <c r="C27" s="13">
        <f>IFERROR(40.6*(1-w),"")</f>
        <v>27.223518</v>
      </c>
      <c r="D27" s="13">
        <v>40.6</v>
      </c>
      <c r="E27" s="13">
        <v>72.203450115596652</v>
      </c>
      <c r="F27" s="13"/>
      <c r="G27" s="13">
        <v>0.1</v>
      </c>
      <c r="H27" s="0" t="s">
        <v>41</v>
      </c>
      <c r="I27" s="5">
        <v>39644</v>
      </c>
    </row>
    <row r="28" outlineLevel="2">
      <c r="A28" s="12" t="s">
        <v>47</v>
      </c>
      <c r="B28" s="0" t="s">
        <v>40</v>
      </c>
      <c r="C28" s="13">
        <f>IFERROR(15.63*(1-w),"")</f>
        <v>10.480383899999996</v>
      </c>
      <c r="D28" s="13">
        <v>15.629999999999995</v>
      </c>
      <c r="E28" s="13">
        <v>27.796549884403333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40</v>
      </c>
      <c r="C30" s="13">
        <f>IFERROR(30.168*(1-w),"")</f>
        <v>20.228549039999997</v>
      </c>
      <c r="D30" s="13">
        <v>30.168</v>
      </c>
      <c r="E30" s="13">
        <v>53.651075938111326</v>
      </c>
      <c r="F30" s="13"/>
      <c r="G30" s="13">
        <v>0.1</v>
      </c>
      <c r="H30" s="0" t="s">
        <v>41</v>
      </c>
      <c r="I30" s="5">
        <v>39639</v>
      </c>
      <c r="J30" s="0" t="s">
        <v>51</v>
      </c>
      <c r="K30" s="0" t="s">
        <v>51</v>
      </c>
    </row>
    <row r="31" outlineLevel="2">
      <c r="A31" s="12" t="s">
        <v>52</v>
      </c>
      <c r="B31" s="0" t="s">
        <v>40</v>
      </c>
      <c r="C31" s="13">
        <f>IFERROR(3.328*(1-w),"")</f>
        <v>2.23152384</v>
      </c>
      <c r="D31" s="13">
        <v>3.328</v>
      </c>
      <c r="E31" s="13">
        <v>5.9185488173572818</v>
      </c>
      <c r="F31" s="13"/>
      <c r="G31" s="13">
        <v>0.1</v>
      </c>
      <c r="H31" s="0" t="s">
        <v>41</v>
      </c>
      <c r="I31" s="5">
        <v>39639</v>
      </c>
      <c r="J31" s="0" t="s">
        <v>51</v>
      </c>
      <c r="K31" s="0" t="s">
        <v>51</v>
      </c>
    </row>
    <row r="32" outlineLevel="2">
      <c r="A32" s="12" t="s">
        <v>53</v>
      </c>
      <c r="B32" s="0" t="s">
        <v>40</v>
      </c>
      <c r="C32" s="13">
        <f>IFERROR(24.23*(1-w),"")</f>
        <v>16.2469419</v>
      </c>
      <c r="D32" s="13">
        <v>24.23</v>
      </c>
      <c r="E32" s="13">
        <v>43.090876756179973</v>
      </c>
      <c r="F32" s="13"/>
      <c r="G32" s="13">
        <v>0.1</v>
      </c>
      <c r="H32" s="0" t="s">
        <v>41</v>
      </c>
      <c r="I32" s="5">
        <v>39639</v>
      </c>
      <c r="K32" s="0" t="s">
        <v>54</v>
      </c>
    </row>
    <row r="33" outlineLevel="2">
      <c r="A33" s="12" t="s">
        <v>55</v>
      </c>
      <c r="B33" s="0" t="s">
        <v>40</v>
      </c>
      <c r="C33" s="13">
        <f>IFERROR(1.034*(1-w),"")</f>
        <v>0.69332801999999993</v>
      </c>
      <c r="D33" s="13">
        <v>1.034</v>
      </c>
      <c r="E33" s="13">
        <v>1.8388760448159345</v>
      </c>
      <c r="F33" s="13"/>
      <c r="G33" s="13">
        <v>0.1</v>
      </c>
      <c r="H33" s="0" t="s">
        <v>41</v>
      </c>
      <c r="I33" s="5">
        <v>39639</v>
      </c>
      <c r="J33" s="0" t="s">
        <v>51</v>
      </c>
      <c r="K33" s="0" t="s">
        <v>51</v>
      </c>
    </row>
    <row r="34" outlineLevel="2">
      <c r="A34" s="12" t="s">
        <v>56</v>
      </c>
      <c r="B34" s="0" t="s">
        <v>40</v>
      </c>
      <c r="C34" s="13">
        <f>IFERROR(0.149662651781461*(1-w),"")</f>
        <v>0.10035329789902303</v>
      </c>
      <c r="D34" s="13">
        <v>0.149662651781461</v>
      </c>
      <c r="E34" s="13">
        <v>0.26616157172587762</v>
      </c>
      <c r="F34" s="13">
        <v>0.6</v>
      </c>
      <c r="G34" s="13">
        <v>0.00150911320718676</v>
      </c>
      <c r="H34" s="0" t="s">
        <v>41</v>
      </c>
      <c r="I34" s="5">
        <v>39625</v>
      </c>
      <c r="J34" s="0" t="s">
        <v>57</v>
      </c>
      <c r="K34" s="0" t="s">
        <v>51</v>
      </c>
    </row>
    <row r="35" outlineLevel="2">
      <c r="A35" s="12" t="s">
        <v>58</v>
      </c>
      <c r="B35" s="0" t="s">
        <v>40</v>
      </c>
      <c r="C35" s="13">
        <f>IFERROR(102.723682651781*(1-w)+w*100,"")</f>
        <v>101.82631092849903</v>
      </c>
      <c r="D35" s="13">
        <v>102.72368265178147</v>
      </c>
      <c r="E35" s="13">
        <v>104.8438247408527</v>
      </c>
      <c r="F35" s="13"/>
      <c r="G35" s="13"/>
      <c r="I35" s="5"/>
      <c r="J35" s="0" t="s">
        <v>48</v>
      </c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4">
        <f>IFERROR(8.2*(1-w),"")</f>
        <v>5.4983459999999988</v>
      </c>
      <c r="D37" s="14">
        <v>8.2</v>
      </c>
      <c r="E37" s="14">
        <v>14.58296283122888</v>
      </c>
      <c r="F37" s="14"/>
      <c r="G37" s="14">
        <v>5</v>
      </c>
      <c r="H37" s="0" t="s">
        <v>41</v>
      </c>
      <c r="I37" s="5">
        <v>39644</v>
      </c>
      <c r="K37" s="0" t="s">
        <v>62</v>
      </c>
    </row>
    <row r="38" outlineLevel="2">
      <c r="A38" s="12" t="s">
        <v>63</v>
      </c>
      <c r="B38" s="0" t="s">
        <v>61</v>
      </c>
      <c r="C38" s="14">
        <f>IFERROR(410*(1-w),"")</f>
        <v>274.9173</v>
      </c>
      <c r="D38" s="14">
        <v>410</v>
      </c>
      <c r="E38" s="14">
        <v>729.148141561444</v>
      </c>
      <c r="F38" s="14"/>
      <c r="G38" s="14">
        <v>10</v>
      </c>
      <c r="H38" s="0" t="s">
        <v>41</v>
      </c>
      <c r="I38" s="5">
        <v>39644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61</v>
      </c>
      <c r="C39" s="14">
        <f>IFERROR(22*(1-w),"")</f>
        <v>14.75166</v>
      </c>
      <c r="D39" s="14">
        <v>22</v>
      </c>
      <c r="E39" s="14">
        <v>39.125022230126262</v>
      </c>
      <c r="F39" s="14"/>
      <c r="G39" s="14">
        <v>10</v>
      </c>
      <c r="H39" s="0" t="s">
        <v>41</v>
      </c>
      <c r="I39" s="5">
        <v>39651</v>
      </c>
      <c r="K39" s="0" t="s">
        <v>62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IFERROR(11.931*(1-w)-w*2.443,"")</f>
        <v>7.19519822</v>
      </c>
      <c r="D41" s="13">
        <v>11.931</v>
      </c>
      <c r="E41" s="13">
        <v>21.218210919438022</v>
      </c>
      <c r="F41" s="13"/>
      <c r="G41" s="13">
        <v>1</v>
      </c>
      <c r="H41" s="0" t="s">
        <v>41</v>
      </c>
      <c r="I41" s="5">
        <v>39645</v>
      </c>
      <c r="J41" s="0" t="s">
        <v>69</v>
      </c>
      <c r="K41" s="0" t="s">
        <v>69</v>
      </c>
    </row>
    <row r="42" outlineLevel="2">
      <c r="A42" s="12" t="s">
        <v>70</v>
      </c>
      <c r="B42" s="0" t="s">
        <v>68</v>
      </c>
      <c r="C42" s="13">
        <f>IFERROR(11.2889292316122*(1-w),"")</f>
        <v>7.5695657176729325</v>
      </c>
      <c r="D42" s="13">
        <v>11.288929231612206</v>
      </c>
      <c r="E42" s="13">
        <v>20.076345779143171</v>
      </c>
      <c r="F42" s="13"/>
      <c r="G42" s="13"/>
      <c r="I42" s="5"/>
      <c r="J42" s="0" t="s">
        <v>48</v>
      </c>
    </row>
    <row r="43" outlineLevel="1">
      <c r="A43" s="11" t="s">
        <v>71</v>
      </c>
      <c r="I43" s="5"/>
    </row>
    <row r="44" outlineLevel="2">
      <c r="A44" s="12" t="s">
        <v>72</v>
      </c>
      <c r="B44" s="0" t="s">
        <v>73</v>
      </c>
      <c r="C44" s="14">
        <v>5409.66835795358</v>
      </c>
      <c r="D44" s="14"/>
      <c r="E44" s="14"/>
      <c r="F44" s="14">
        <v>2.77</v>
      </c>
      <c r="G44" s="14">
        <v>0.372839387896214</v>
      </c>
      <c r="H44" s="0" t="s">
        <v>41</v>
      </c>
      <c r="I44" s="5">
        <v>39625</v>
      </c>
      <c r="K44" s="0" t="s">
        <v>74</v>
      </c>
    </row>
    <row r="45" outlineLevel="2">
      <c r="A45" s="12" t="s">
        <v>75</v>
      </c>
      <c r="B45" s="0" t="s">
        <v>73</v>
      </c>
      <c r="C45" s="14">
        <v>6.69673518185712</v>
      </c>
      <c r="D45" s="14"/>
      <c r="E45" s="14"/>
      <c r="F45" s="14">
        <v>14.26</v>
      </c>
      <c r="G45" s="14">
        <v>7.63490864364085</v>
      </c>
      <c r="H45" s="0" t="s">
        <v>41</v>
      </c>
      <c r="I45" s="5">
        <v>39625</v>
      </c>
      <c r="K45" s="0" t="s">
        <v>76</v>
      </c>
    </row>
    <row r="46" outlineLevel="2">
      <c r="A46" s="12" t="s">
        <v>77</v>
      </c>
      <c r="B46" s="0" t="s">
        <v>73</v>
      </c>
      <c r="C46" s="14">
        <v>104.148954614929</v>
      </c>
      <c r="D46" s="14"/>
      <c r="E46" s="14"/>
      <c r="F46" s="14">
        <v>3.64</v>
      </c>
      <c r="G46" s="14">
        <v>0.492147992023003</v>
      </c>
      <c r="H46" s="0" t="s">
        <v>41</v>
      </c>
      <c r="I46" s="5">
        <v>39625</v>
      </c>
      <c r="K46" s="0" t="s">
        <v>78</v>
      </c>
    </row>
    <row r="47" outlineLevel="2">
      <c r="A47" s="12" t="s">
        <v>79</v>
      </c>
      <c r="B47" s="0" t="s">
        <v>73</v>
      </c>
      <c r="C47" s="14">
        <v>84.7907906278609</v>
      </c>
      <c r="D47" s="14"/>
      <c r="E47" s="14"/>
      <c r="F47" s="14">
        <v>0.48</v>
      </c>
      <c r="G47" s="14">
        <v>0.0180922550012965</v>
      </c>
      <c r="H47" s="0" t="s">
        <v>41</v>
      </c>
      <c r="I47" s="5">
        <v>39625</v>
      </c>
      <c r="K47" s="0" t="s">
        <v>76</v>
      </c>
    </row>
    <row r="48" outlineLevel="2">
      <c r="A48" s="12" t="s">
        <v>80</v>
      </c>
      <c r="B48" s="0" t="s">
        <v>73</v>
      </c>
      <c r="C48" s="14">
        <v>21806.1051614156</v>
      </c>
      <c r="D48" s="14"/>
      <c r="E48" s="14"/>
      <c r="F48" s="14">
        <v>1.4</v>
      </c>
      <c r="G48" s="14">
        <v>3.83554657682172</v>
      </c>
      <c r="H48" s="0" t="s">
        <v>41</v>
      </c>
      <c r="I48" s="5">
        <v>39625</v>
      </c>
      <c r="K48" s="0" t="s">
        <v>74</v>
      </c>
    </row>
    <row r="49" outlineLevel="2">
      <c r="A49" s="12" t="s">
        <v>81</v>
      </c>
      <c r="B49" s="0" t="s">
        <v>73</v>
      </c>
      <c r="C49" s="14">
        <v>0.491573355553444</v>
      </c>
      <c r="D49" s="14"/>
      <c r="E49" s="14"/>
      <c r="F49" s="14">
        <v>11.32</v>
      </c>
      <c r="G49" s="14">
        <v>0.343751801074348</v>
      </c>
      <c r="H49" s="0" t="s">
        <v>41</v>
      </c>
      <c r="I49" s="5">
        <v>39625</v>
      </c>
      <c r="K49" s="0" t="s">
        <v>76</v>
      </c>
    </row>
    <row r="50" outlineLevel="2">
      <c r="A50" s="12" t="s">
        <v>82</v>
      </c>
      <c r="B50" s="0" t="s">
        <v>73</v>
      </c>
      <c r="C50" s="14">
        <v>2.15455205994394</v>
      </c>
      <c r="D50" s="14"/>
      <c r="E50" s="14"/>
      <c r="F50" s="14">
        <v>11.23</v>
      </c>
      <c r="G50" s="14">
        <v>0.560858264546886</v>
      </c>
      <c r="H50" s="0" t="s">
        <v>41</v>
      </c>
      <c r="I50" s="5">
        <v>39625</v>
      </c>
      <c r="K50" s="0" t="s">
        <v>76</v>
      </c>
    </row>
    <row r="51" outlineLevel="2">
      <c r="A51" s="12" t="s">
        <v>83</v>
      </c>
      <c r="B51" s="0" t="s">
        <v>73</v>
      </c>
      <c r="C51" s="14">
        <v>23.3881974880684</v>
      </c>
      <c r="D51" s="14"/>
      <c r="E51" s="14"/>
      <c r="F51" s="14">
        <v>6.47</v>
      </c>
      <c r="G51" s="14">
        <v>0.289475185206214</v>
      </c>
      <c r="H51" s="0" t="s">
        <v>41</v>
      </c>
      <c r="I51" s="5">
        <v>39625</v>
      </c>
      <c r="K51" s="0" t="s">
        <v>76</v>
      </c>
    </row>
    <row r="52" outlineLevel="2">
      <c r="A52" s="12" t="s">
        <v>84</v>
      </c>
      <c r="B52" s="0" t="s">
        <v>73</v>
      </c>
      <c r="C52" s="14">
        <v>13.9275450561256</v>
      </c>
      <c r="D52" s="14"/>
      <c r="E52" s="14"/>
      <c r="F52" s="14">
        <v>9.19</v>
      </c>
      <c r="G52" s="14">
        <v>0.199014208471241</v>
      </c>
      <c r="H52" s="0" t="s">
        <v>41</v>
      </c>
      <c r="I52" s="5">
        <v>39625</v>
      </c>
      <c r="K52" s="0" t="s">
        <v>76</v>
      </c>
    </row>
    <row r="53" outlineLevel="2">
      <c r="A53" s="12" t="s">
        <v>85</v>
      </c>
      <c r="B53" s="0" t="s">
        <v>73</v>
      </c>
      <c r="C53" s="14">
        <v>3535.1992705361</v>
      </c>
      <c r="D53" s="14"/>
      <c r="E53" s="14"/>
      <c r="F53" s="14">
        <v>2.41</v>
      </c>
      <c r="G53" s="14">
        <v>1.0131632973575</v>
      </c>
      <c r="H53" s="0" t="s">
        <v>41</v>
      </c>
      <c r="I53" s="5">
        <v>39625</v>
      </c>
      <c r="K53" s="0" t="s">
        <v>74</v>
      </c>
    </row>
    <row r="54" outlineLevel="2">
      <c r="A54" s="12" t="s">
        <v>86</v>
      </c>
      <c r="B54" s="0" t="s">
        <v>73</v>
      </c>
      <c r="C54" s="14">
        <v>4632.42276254553</v>
      </c>
      <c r="D54" s="14"/>
      <c r="E54" s="14"/>
      <c r="F54" s="14">
        <v>1.25</v>
      </c>
      <c r="G54" s="14">
        <v>4.17929837789607</v>
      </c>
      <c r="H54" s="0" t="s">
        <v>41</v>
      </c>
      <c r="I54" s="5">
        <v>39625</v>
      </c>
      <c r="K54" s="0" t="s">
        <v>74</v>
      </c>
    </row>
    <row r="55" outlineLevel="2">
      <c r="A55" s="12" t="s">
        <v>87</v>
      </c>
      <c r="B55" s="0" t="s">
        <v>73</v>
      </c>
      <c r="C55" s="14">
        <v>1825.97344543395</v>
      </c>
      <c r="D55" s="14"/>
      <c r="E55" s="14"/>
      <c r="F55" s="14">
        <v>0.84</v>
      </c>
      <c r="G55" s="14">
        <v>0.283357934801123</v>
      </c>
      <c r="H55" s="0" t="s">
        <v>41</v>
      </c>
      <c r="I55" s="5">
        <v>39625</v>
      </c>
      <c r="K55" s="0" t="s">
        <v>74</v>
      </c>
    </row>
    <row r="56" outlineLevel="2">
      <c r="A56" s="12" t="s">
        <v>88</v>
      </c>
      <c r="B56" s="0" t="s">
        <v>73</v>
      </c>
      <c r="C56" s="14">
        <v>372.984796599716</v>
      </c>
      <c r="D56" s="14"/>
      <c r="E56" s="14"/>
      <c r="F56" s="14">
        <v>2.26</v>
      </c>
      <c r="G56" s="14">
        <v>0.144737592603107</v>
      </c>
      <c r="H56" s="0" t="s">
        <v>41</v>
      </c>
      <c r="I56" s="5">
        <v>39625</v>
      </c>
      <c r="K56" s="0" t="s">
        <v>76</v>
      </c>
    </row>
    <row r="57" outlineLevel="2">
      <c r="A57" s="12" t="s">
        <v>89</v>
      </c>
      <c r="B57" s="0" t="s">
        <v>73</v>
      </c>
      <c r="C57" s="14">
        <v>2.62302573513152</v>
      </c>
      <c r="D57" s="14"/>
      <c r="E57" s="14"/>
      <c r="F57" s="14">
        <v>40.63</v>
      </c>
      <c r="G57" s="14">
        <v>2.09869531644868</v>
      </c>
      <c r="H57" s="0" t="s">
        <v>41</v>
      </c>
      <c r="I57" s="5">
        <v>39625</v>
      </c>
      <c r="K57" s="0" t="s">
        <v>76</v>
      </c>
    </row>
    <row r="58" outlineLevel="2">
      <c r="A58" s="12" t="s">
        <v>90</v>
      </c>
      <c r="B58" s="0" t="s">
        <v>73</v>
      </c>
      <c r="C58" s="14">
        <v>960.575942188049</v>
      </c>
      <c r="D58" s="14"/>
      <c r="E58" s="14"/>
      <c r="F58" s="14">
        <v>6</v>
      </c>
      <c r="G58" s="14">
        <v>1.71506118432259</v>
      </c>
      <c r="H58" s="0" t="s">
        <v>41</v>
      </c>
      <c r="I58" s="5">
        <v>39625</v>
      </c>
      <c r="K58" s="0" t="s">
        <v>74</v>
      </c>
    </row>
    <row r="59" outlineLevel="2">
      <c r="A59" s="12" t="s">
        <v>91</v>
      </c>
      <c r="B59" s="0" t="s">
        <v>73</v>
      </c>
      <c r="C59" s="14">
        <v>9.51493273668375</v>
      </c>
      <c r="D59" s="14"/>
      <c r="E59" s="14"/>
      <c r="F59" s="14">
        <v>2.05</v>
      </c>
      <c r="G59" s="14">
        <v>0.995071042356207</v>
      </c>
      <c r="H59" s="0" t="s">
        <v>41</v>
      </c>
      <c r="I59" s="5">
        <v>39625</v>
      </c>
      <c r="K59" s="0" t="s">
        <v>76</v>
      </c>
    </row>
    <row r="60" outlineLevel="2">
      <c r="A60" s="12" t="s">
        <v>92</v>
      </c>
      <c r="B60" s="0" t="s">
        <v>73</v>
      </c>
      <c r="C60" s="14">
        <v>1176.58566131715</v>
      </c>
      <c r="D60" s="14"/>
      <c r="E60" s="14"/>
      <c r="F60" s="14">
        <v>2.59</v>
      </c>
      <c r="G60" s="14">
        <v>1.5360982781324</v>
      </c>
      <c r="H60" s="0" t="s">
        <v>41</v>
      </c>
      <c r="I60" s="5">
        <v>39625</v>
      </c>
      <c r="K60" s="0" t="s">
        <v>74</v>
      </c>
    </row>
    <row r="61" outlineLevel="2">
      <c r="A61" s="12" t="s">
        <v>93</v>
      </c>
      <c r="B61" s="0" t="s">
        <v>73</v>
      </c>
      <c r="C61" s="14">
        <v>14.001580296101</v>
      </c>
      <c r="D61" s="14"/>
      <c r="E61" s="14"/>
      <c r="F61" s="14">
        <v>12.45</v>
      </c>
      <c r="G61" s="14">
        <v>7.65300089864214</v>
      </c>
      <c r="H61" s="0" t="s">
        <v>41</v>
      </c>
      <c r="I61" s="5">
        <v>39625</v>
      </c>
      <c r="K61" s="0" t="s">
        <v>76</v>
      </c>
    </row>
    <row r="62" outlineLevel="2">
      <c r="A62" s="12" t="s">
        <v>94</v>
      </c>
      <c r="B62" s="0" t="s">
        <v>73</v>
      </c>
      <c r="C62" s="14">
        <v>-0.169826711132922</v>
      </c>
      <c r="D62" s="14"/>
      <c r="E62" s="14"/>
      <c r="F62" s="14">
        <v>-18.06</v>
      </c>
      <c r="G62" s="14">
        <v>2.06251080644609</v>
      </c>
      <c r="H62" s="0" t="s">
        <v>41</v>
      </c>
      <c r="I62" s="5">
        <v>39625</v>
      </c>
      <c r="K62" s="0" t="s">
        <v>78</v>
      </c>
    </row>
    <row r="63" outlineLevel="2">
      <c r="A63" s="12" t="s">
        <v>95</v>
      </c>
      <c r="B63" s="0" t="s">
        <v>73</v>
      </c>
      <c r="C63" s="14">
        <v>-1.1196655381296</v>
      </c>
      <c r="D63" s="14"/>
      <c r="E63" s="14"/>
      <c r="F63" s="14">
        <v>-40.97</v>
      </c>
      <c r="G63" s="14">
        <v>3.81745432182042</v>
      </c>
      <c r="H63" s="0" t="s">
        <v>41</v>
      </c>
      <c r="I63" s="5">
        <v>39625</v>
      </c>
      <c r="K63" s="0" t="s">
        <v>76</v>
      </c>
    </row>
    <row r="64" outlineLevel="2">
      <c r="A64" s="12" t="s">
        <v>96</v>
      </c>
      <c r="B64" s="0" t="s">
        <v>73</v>
      </c>
      <c r="C64" s="14">
        <v>71031.0148134468</v>
      </c>
      <c r="D64" s="14"/>
      <c r="E64" s="14"/>
      <c r="F64" s="14">
        <v>65.85</v>
      </c>
      <c r="G64" s="14">
        <v>16.6526445740366</v>
      </c>
      <c r="H64" s="0" t="s">
        <v>41</v>
      </c>
      <c r="I64" s="5">
        <v>39625</v>
      </c>
      <c r="K64" s="0" t="s">
        <v>74</v>
      </c>
    </row>
    <row r="65" outlineLevel="2">
      <c r="A65" s="12" t="s">
        <v>97</v>
      </c>
      <c r="B65" s="0" t="s">
        <v>73</v>
      </c>
      <c r="C65" s="14">
        <v>1.43254936899132</v>
      </c>
      <c r="D65" s="14"/>
      <c r="E65" s="14"/>
      <c r="F65" s="14">
        <v>82.23</v>
      </c>
      <c r="G65" s="14">
        <v>0.777964578883669</v>
      </c>
      <c r="H65" s="0" t="s">
        <v>41</v>
      </c>
      <c r="I65" s="5">
        <v>39625</v>
      </c>
      <c r="K65" s="0" t="s">
        <v>78</v>
      </c>
    </row>
    <row r="66" outlineLevel="2">
      <c r="A66" s="12" t="s">
        <v>98</v>
      </c>
      <c r="B66" s="0" t="s">
        <v>73</v>
      </c>
      <c r="C66" s="14">
        <v>54.3894198864729</v>
      </c>
      <c r="D66" s="14"/>
      <c r="E66" s="14"/>
      <c r="F66" s="14">
        <v>1.69</v>
      </c>
      <c r="G66" s="14">
        <v>0</v>
      </c>
      <c r="H66" s="0" t="s">
        <v>41</v>
      </c>
      <c r="I66" s="5">
        <v>39625</v>
      </c>
      <c r="K66" s="0" t="s">
        <v>78</v>
      </c>
    </row>
    <row r="67" outlineLevel="2">
      <c r="A67" s="12" t="s">
        <v>99</v>
      </c>
      <c r="B67" s="0" t="s">
        <v>73</v>
      </c>
      <c r="C67" s="14">
        <v>354.022437519876</v>
      </c>
      <c r="D67" s="14"/>
      <c r="E67" s="14"/>
      <c r="F67" s="14">
        <v>41.43</v>
      </c>
      <c r="G67" s="14">
        <v>0.167802704792286</v>
      </c>
      <c r="H67" s="0" t="s">
        <v>41</v>
      </c>
      <c r="I67" s="5">
        <v>39625</v>
      </c>
      <c r="K67" s="0" t="s">
        <v>74</v>
      </c>
    </row>
    <row r="68" outlineLevel="2">
      <c r="A68" s="12" t="s">
        <v>100</v>
      </c>
      <c r="B68" s="0" t="s">
        <v>73</v>
      </c>
      <c r="C68" s="14">
        <v>9.44178465908373</v>
      </c>
      <c r="D68" s="14"/>
      <c r="E68" s="14"/>
      <c r="F68" s="14">
        <v>0.76</v>
      </c>
      <c r="G68" s="14">
        <v>0.253290824339376</v>
      </c>
      <c r="H68" s="0" t="s">
        <v>41</v>
      </c>
      <c r="I68" s="5">
        <v>39625</v>
      </c>
      <c r="K68" s="0" t="s">
        <v>76</v>
      </c>
    </row>
    <row r="69" outlineLevel="2">
      <c r="A69" s="12" t="s">
        <v>101</v>
      </c>
      <c r="B69" s="0" t="s">
        <v>73</v>
      </c>
      <c r="C69" s="14">
        <v>92.7649058397958</v>
      </c>
      <c r="D69" s="14"/>
      <c r="E69" s="14"/>
      <c r="F69" s="14">
        <v>1.23</v>
      </c>
      <c r="G69" s="14">
        <v>0.452305032810617</v>
      </c>
      <c r="H69" s="0" t="s">
        <v>41</v>
      </c>
      <c r="I69" s="5">
        <v>39625</v>
      </c>
      <c r="K69" s="0" t="s">
        <v>76</v>
      </c>
    </row>
    <row r="70">
      <c r="I70" s="5"/>
    </row>
    <row r="71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</mergeCells>
  <dataValidations count="1">
    <dataValidation type="decimal" sqref="C24" errorStyle="stop" promptTitle="Enter moisture content" errorTitle="Invalid moisture content" prompt="Value should be between 0 and 100.&#10;Original value: 32.94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https://phyllis.nl/Biomass/View/3065</dc:description>
  <dcterms:created xsi:type="dcterms:W3CDTF">2026-03-19T07:09:07Z</dcterms:created>
  <dc:title>Phyllis2 #3065 Withered leaves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