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67 Nature grass" sheetId="1" r:id="rId1"/>
  </sheets>
  <definedNames>
    <definedName name="w" localSheetId="0">IF(ISBLANK('Phyllis2 #3067 Nature grass'!$C$24),#N/A,'Phyllis2 #3067 Nature grass'!$C$24/100)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<sst xmlns="http://schemas.openxmlformats.org/spreadsheetml/2006/main" count="102" uniqueCount="102">
  <si>
    <t>Phyllis2</t>
  </si>
  <si>
    <t>https://phyllis.nl/Biomass/View/3067</t>
  </si>
  <si>
    <t>Nature grass (#3067)</t>
  </si>
  <si>
    <t>ID-number</t>
  </si>
  <si>
    <t>#3067</t>
  </si>
  <si>
    <t>Material</t>
  </si>
  <si>
    <t>Nature grass</t>
  </si>
  <si>
    <t>Alternative name</t>
  </si>
  <si>
    <t>Natuurgras hooi vers</t>
  </si>
  <si>
    <t>Description</t>
  </si>
  <si>
    <t>biomassa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</si>
  <si>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</si>
  <si>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</si>
  <si>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other grass &gt; grass from nature reserve</t>
  </si>
  <si>
    <t>NTA 8003 classification &gt; [200] biomassa uit land- en tuinbouw &gt; [210] gras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</si>
  <si>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</si>
  <si>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</si>
  <si>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</si>
  <si>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</si>
  <si>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</si>
  <si>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</si>
  <si>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</si>
  <si>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</si>
  <si>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Remarks</t>
  </si>
  <si>
    <t>ECN box 14818 nr.6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</si>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</sst>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39601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39918</v>
      </c>
    </row>
    <row r="17" outlineLevel="1">
      <c r="A17" s="7" t="s">
        <v>23</v>
      </c>
      <c r="B17" s="0" t="s">
        <v>24</v>
      </c>
    </row>
    <row r="18">
      <c r="A18" s="7"/>
    </row>
    <row r="19" s="1" customFormat="1">
      <c r="A19" s="9" t="s">
        <v>25</v>
      </c>
    </row>
    <row r="20" s="1" customFormat="1">
      <c r="A20" s="10" t="s">
        <v>26</v>
      </c>
      <c r="B20" s="10" t="s">
        <v>27</v>
      </c>
      <c r="C20" s="10" t="s">
        <v>28</v>
      </c>
      <c r="D20" s="10"/>
      <c r="E20" s="10"/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23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15.942</v>
      </c>
      <c r="D24" s="13"/>
      <c r="E24" s="13"/>
      <c r="F24" s="13"/>
      <c r="G24" s="13">
        <v>0.1</v>
      </c>
      <c r="H24" s="0" t="s">
        <v>41</v>
      </c>
      <c r="I24" s="5">
        <v>39622</v>
      </c>
      <c r="J24" s="0" t="s">
        <v>42</v>
      </c>
      <c r="K24" s="0" t="s">
        <v>42</v>
      </c>
    </row>
    <row r="25" outlineLevel="2">
      <c r="A25" s="12" t="s">
        <v>43</v>
      </c>
      <c r="B25" s="0" t="s">
        <v>40</v>
      </c>
      <c r="C25" s="13">
        <f>IFERROR(8.55*(1-w),"")</f>
        <v>7.1869590000000008</v>
      </c>
      <c r="D25" s="13">
        <v>8.55</v>
      </c>
      <c r="E25" s="13">
        <v/>
      </c>
      <c r="F25" s="13"/>
      <c r="G25" s="13">
        <v>0.1</v>
      </c>
      <c r="H25" s="0" t="s">
        <v>41</v>
      </c>
      <c r="I25" s="5">
        <v>39644</v>
      </c>
      <c r="J25" s="0" t="s">
        <v>44</v>
      </c>
      <c r="K25" s="0" t="s">
        <v>44</v>
      </c>
    </row>
    <row r="26" outlineLevel="2">
      <c r="A26" s="12" t="s">
        <v>45</v>
      </c>
      <c r="B26" s="0" t="s">
        <v>40</v>
      </c>
      <c r="C26" s="13">
        <f>IFERROR(7.49*(1-w),"")</f>
        <v>6.2959442</v>
      </c>
      <c r="D26" s="13">
        <v>7.49</v>
      </c>
      <c r="E26" s="13">
        <v/>
      </c>
      <c r="F26" s="13"/>
      <c r="G26" s="13">
        <v>0.1</v>
      </c>
      <c r="H26" s="0" t="s">
        <v>41</v>
      </c>
      <c r="I26" s="5">
        <v>39644</v>
      </c>
      <c r="K26" s="0" t="s">
        <v>44</v>
      </c>
    </row>
    <row r="27" outlineLevel="2">
      <c r="A27" s="12" t="s">
        <v>46</v>
      </c>
      <c r="B27" s="0" t="s">
        <v>40</v>
      </c>
      <c r="C27" s="13">
        <f>IFERROR(72.2*(1-w),"")</f>
        <v>60.689876000000005</v>
      </c>
      <c r="D27" s="13">
        <v>72.2</v>
      </c>
      <c r="E27" s="13">
        <v>78.9502460360853</v>
      </c>
      <c r="F27" s="13"/>
      <c r="G27" s="13">
        <v>0.1</v>
      </c>
      <c r="H27" s="0" t="s">
        <v>41</v>
      </c>
      <c r="I27" s="5">
        <v>39644</v>
      </c>
    </row>
    <row r="28" outlineLevel="2">
      <c r="A28" s="12" t="s">
        <v>47</v>
      </c>
      <c r="B28" s="0" t="s">
        <v>40</v>
      </c>
      <c r="C28" s="13">
        <f>IFERROR(19.25*(1-w),"")</f>
        <v>16.181165</v>
      </c>
      <c r="D28" s="13">
        <v>19.25</v>
      </c>
      <c r="E28" s="13">
        <v>21.049753963914707</v>
      </c>
      <c r="F28" s="13"/>
      <c r="G28" s="13"/>
      <c r="I28" s="5"/>
      <c r="J28" s="0" t="s">
        <v>48</v>
      </c>
    </row>
    <row r="29" outlineLevel="1">
      <c r="A29" s="11" t="s">
        <v>49</v>
      </c>
      <c r="I29" s="5"/>
    </row>
    <row r="30" outlineLevel="2">
      <c r="A30" s="12" t="s">
        <v>50</v>
      </c>
      <c r="B30" s="0" t="s">
        <v>40</v>
      </c>
      <c r="C30" s="13">
        <f>IFERROR(45.144*(1-w),"")</f>
        <v>37.94714352</v>
      </c>
      <c r="D30" s="13">
        <v>45.144</v>
      </c>
      <c r="E30" s="13">
        <v>49.364680153089118</v>
      </c>
      <c r="F30" s="13"/>
      <c r="G30" s="13">
        <v>0.1</v>
      </c>
      <c r="H30" s="0" t="s">
        <v>41</v>
      </c>
      <c r="I30" s="5">
        <v>39639</v>
      </c>
      <c r="J30" s="0" t="s">
        <v>51</v>
      </c>
      <c r="K30" s="0" t="s">
        <v>51</v>
      </c>
    </row>
    <row r="31" outlineLevel="2">
      <c r="A31" s="12" t="s">
        <v>52</v>
      </c>
      <c r="B31" s="0" t="s">
        <v>40</v>
      </c>
      <c r="C31" s="13">
        <f>IFERROR(5.553*(1-w),"")</f>
        <v>4.66774074</v>
      </c>
      <c r="D31" s="13">
        <v>5.553</v>
      </c>
      <c r="E31" s="13">
        <v>6.0721705850191361</v>
      </c>
      <c r="F31" s="13"/>
      <c r="G31" s="13">
        <v>0.1</v>
      </c>
      <c r="H31" s="0" t="s">
        <v>41</v>
      </c>
      <c r="I31" s="5">
        <v>39639</v>
      </c>
      <c r="J31" s="0" t="s">
        <v>51</v>
      </c>
      <c r="K31" s="0" t="s">
        <v>51</v>
      </c>
    </row>
    <row r="32" outlineLevel="2">
      <c r="A32" s="12" t="s">
        <v>53</v>
      </c>
      <c r="B32" s="0" t="s">
        <v>40</v>
      </c>
      <c r="C32" s="13">
        <f>IFERROR(40.515*(1-w),"")</f>
        <v>34.0560987</v>
      </c>
      <c r="D32" s="13">
        <v>40.515</v>
      </c>
      <c r="E32" s="13">
        <v>44.302897758337892</v>
      </c>
      <c r="F32" s="13">
        <v>1.2</v>
      </c>
      <c r="G32" s="13">
        <v>0.1</v>
      </c>
      <c r="H32" s="0" t="s">
        <v>41</v>
      </c>
      <c r="I32" s="5">
        <v>39639</v>
      </c>
      <c r="K32" s="0" t="s">
        <v>54</v>
      </c>
    </row>
    <row r="33" outlineLevel="2">
      <c r="A33" s="12" t="s">
        <v>55</v>
      </c>
      <c r="B33" s="0" t="s">
        <v>40</v>
      </c>
      <c r="C33" s="13">
        <f>IFERROR(1.432*(1-w),"")</f>
        <v>1.20371056</v>
      </c>
      <c r="D33" s="13">
        <v>1.432</v>
      </c>
      <c r="E33" s="13">
        <v>1.565882996172772</v>
      </c>
      <c r="F33" s="13"/>
      <c r="G33" s="13">
        <v>0.1</v>
      </c>
      <c r="H33" s="0" t="s">
        <v>41</v>
      </c>
      <c r="I33" s="5">
        <v>39639</v>
      </c>
      <c r="J33" s="0" t="s">
        <v>51</v>
      </c>
      <c r="K33" s="0" t="s">
        <v>51</v>
      </c>
    </row>
    <row r="34" outlineLevel="2">
      <c r="A34" s="12" t="s">
        <v>56</v>
      </c>
      <c r="B34" s="0" t="s">
        <v>40</v>
      </c>
      <c r="C34" s="13">
        <f>IFERROR(0.168*(1-w),"")</f>
        <v>0.14121744</v>
      </c>
      <c r="D34" s="13">
        <v>0.168</v>
      </c>
      <c r="E34" s="13">
        <v>0.18370694368507381</v>
      </c>
      <c r="F34" s="13"/>
      <c r="G34" s="13">
        <v>0.012</v>
      </c>
      <c r="H34" s="0" t="s">
        <v>41</v>
      </c>
      <c r="I34" s="5">
        <v>39625</v>
      </c>
      <c r="J34" s="0" t="s">
        <v>57</v>
      </c>
      <c r="K34" s="0" t="s">
        <v>51</v>
      </c>
    </row>
    <row r="35" outlineLevel="2">
      <c r="A35" s="12" t="s">
        <v>58</v>
      </c>
      <c r="B35" s="0" t="s">
        <v>40</v>
      </c>
      <c r="C35" s="13">
        <f>IFERROR(102.23501*(1-w)+w*100,"")</f>
        <v>101.87870470579998</v>
      </c>
      <c r="D35" s="13">
        <v>102.23500999999999</v>
      </c>
      <c r="E35" s="13">
        <v>102.44396938217605</v>
      </c>
      <c r="F35" s="13"/>
      <c r="G35" s="13"/>
      <c r="I35" s="5"/>
      <c r="J35" s="0" t="s">
        <v>48</v>
      </c>
    </row>
    <row r="36" outlineLevel="1">
      <c r="A36" s="11" t="s">
        <v>59</v>
      </c>
      <c r="I36" s="5"/>
    </row>
    <row r="37" outlineLevel="2">
      <c r="A37" s="12" t="s">
        <v>60</v>
      </c>
      <c r="B37" s="0" t="s">
        <v>61</v>
      </c>
      <c r="C37" s="14">
        <f>IFERROR(17.1*(1-w),"")</f>
        <v>14.373918000000002</v>
      </c>
      <c r="D37" s="14">
        <v>17.1</v>
      </c>
      <c r="E37" s="14">
        <v>18.698742482230728</v>
      </c>
      <c r="F37" s="14"/>
      <c r="G37" s="14">
        <v>5</v>
      </c>
      <c r="H37" s="0" t="s">
        <v>41</v>
      </c>
      <c r="I37" s="5">
        <v>39644</v>
      </c>
      <c r="K37" s="0" t="s">
        <v>62</v>
      </c>
    </row>
    <row r="38" outlineLevel="2">
      <c r="A38" s="12" t="s">
        <v>63</v>
      </c>
      <c r="B38" s="0" t="s">
        <v>61</v>
      </c>
      <c r="C38" s="14">
        <f>IFERROR(8697*(1-w),"")</f>
        <v>7310.52426</v>
      </c>
      <c r="D38" s="14">
        <v>8697</v>
      </c>
      <c r="E38" s="14">
        <v>9510.1148168398031</v>
      </c>
      <c r="F38" s="14"/>
      <c r="G38" s="14">
        <v>10</v>
      </c>
      <c r="H38" s="0" t="s">
        <v>41</v>
      </c>
      <c r="I38" s="5">
        <v>39644</v>
      </c>
      <c r="J38" s="0" t="s">
        <v>64</v>
      </c>
      <c r="K38" s="0" t="s">
        <v>64</v>
      </c>
    </row>
    <row r="39" outlineLevel="2">
      <c r="A39" s="12" t="s">
        <v>65</v>
      </c>
      <c r="B39" s="0" t="s">
        <v>61</v>
      </c>
      <c r="C39" s="14">
        <f>IFERROR(16*(1-w),"")</f>
        <v>13.44928</v>
      </c>
      <c r="D39" s="14">
        <v>16</v>
      </c>
      <c r="E39" s="14">
        <v>17.495899398578459</v>
      </c>
      <c r="F39" s="14"/>
      <c r="G39" s="14">
        <v>10</v>
      </c>
      <c r="H39" s="0" t="s">
        <v>41</v>
      </c>
      <c r="I39" s="5">
        <v>39651</v>
      </c>
      <c r="K39" s="0" t="s">
        <v>62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3">
        <f>IFERROR(18.1*(1-w)-w*2.443,"")</f>
        <v>14.82503494</v>
      </c>
      <c r="D41" s="13">
        <v>18.1</v>
      </c>
      <c r="E41" s="13">
        <v>19.792236194641884</v>
      </c>
      <c r="F41" s="13"/>
      <c r="G41" s="13">
        <v>1</v>
      </c>
      <c r="H41" s="0" t="s">
        <v>41</v>
      </c>
      <c r="I41" s="5">
        <v>39645</v>
      </c>
      <c r="J41" s="0" t="s">
        <v>69</v>
      </c>
      <c r="K41" s="0" t="s">
        <v>69</v>
      </c>
    </row>
    <row r="42" outlineLevel="2">
      <c r="A42" s="12" t="s">
        <v>70</v>
      </c>
      <c r="B42" s="0" t="s">
        <v>68</v>
      </c>
      <c r="C42" s="13">
        <f>IFERROR(17.5934244825*(1-w),"")</f>
        <v>14.788680751499848</v>
      </c>
      <c r="D42" s="13">
        <v>17.593424482499998</v>
      </c>
      <c r="E42" s="13">
        <v>19.238299051394204</v>
      </c>
      <c r="F42" s="13"/>
      <c r="G42" s="13"/>
      <c r="I42" s="5"/>
      <c r="J42" s="0" t="s">
        <v>48</v>
      </c>
    </row>
    <row r="43" outlineLevel="1">
      <c r="A43" s="11" t="s">
        <v>71</v>
      </c>
      <c r="I43" s="5"/>
    </row>
    <row r="44" outlineLevel="2">
      <c r="A44" s="12" t="s">
        <v>72</v>
      </c>
      <c r="B44" s="0" t="s">
        <v>73</v>
      </c>
      <c r="C44" s="14">
        <v>691.320282055154</v>
      </c>
      <c r="D44" s="14"/>
      <c r="E44" s="14"/>
      <c r="F44" s="14"/>
      <c r="G44" s="14">
        <v>0.297413691923712</v>
      </c>
      <c r="H44" s="0" t="s">
        <v>41</v>
      </c>
      <c r="I44" s="5">
        <v>39625</v>
      </c>
      <c r="K44" s="0" t="s">
        <v>74</v>
      </c>
    </row>
    <row r="45" outlineLevel="2">
      <c r="A45" s="12" t="s">
        <v>75</v>
      </c>
      <c r="B45" s="0" t="s">
        <v>73</v>
      </c>
      <c r="C45" s="14">
        <v>1.36423911502563</v>
      </c>
      <c r="D45" s="14"/>
      <c r="E45" s="14"/>
      <c r="F45" s="14"/>
      <c r="G45" s="14">
        <v>6.09036073151579</v>
      </c>
      <c r="H45" s="0" t="s">
        <v>41</v>
      </c>
      <c r="I45" s="5">
        <v>39625</v>
      </c>
      <c r="K45" s="0" t="s">
        <v>76</v>
      </c>
    </row>
    <row r="46" outlineLevel="2">
      <c r="A46" s="12" t="s">
        <v>77</v>
      </c>
      <c r="B46" s="0" t="s">
        <v>73</v>
      </c>
      <c r="C46" s="14">
        <v>6.697756342122</v>
      </c>
      <c r="D46" s="14"/>
      <c r="E46" s="14"/>
      <c r="F46" s="14"/>
      <c r="G46" s="14">
        <v>0.3925860733393</v>
      </c>
      <c r="H46" s="0" t="s">
        <v>41</v>
      </c>
      <c r="I46" s="5">
        <v>39625</v>
      </c>
      <c r="K46" s="0" t="s">
        <v>78</v>
      </c>
    </row>
    <row r="47" outlineLevel="2">
      <c r="A47" s="12" t="s">
        <v>79</v>
      </c>
      <c r="B47" s="0" t="s">
        <v>73</v>
      </c>
      <c r="C47" s="14">
        <v>20.9184978840725</v>
      </c>
      <c r="D47" s="14"/>
      <c r="E47" s="14"/>
      <c r="F47" s="14"/>
      <c r="G47" s="14">
        <v>0.0144321778488133</v>
      </c>
      <c r="H47" s="0" t="s">
        <v>41</v>
      </c>
      <c r="I47" s="5">
        <v>39625</v>
      </c>
      <c r="K47" s="0" t="s">
        <v>76</v>
      </c>
    </row>
    <row r="48" outlineLevel="2">
      <c r="A48" s="12" t="s">
        <v>80</v>
      </c>
      <c r="B48" s="0" t="s">
        <v>73</v>
      </c>
      <c r="C48" s="14">
        <v>3295.56736161106</v>
      </c>
      <c r="D48" s="14"/>
      <c r="E48" s="14"/>
      <c r="F48" s="14"/>
      <c r="G48" s="14">
        <v>3.05961254360671</v>
      </c>
      <c r="H48" s="0" t="s">
        <v>41</v>
      </c>
      <c r="I48" s="5">
        <v>39625</v>
      </c>
      <c r="K48" s="0" t="s">
        <v>74</v>
      </c>
    </row>
    <row r="49" outlineLevel="2">
      <c r="A49" s="12" t="s">
        <v>81</v>
      </c>
      <c r="B49" s="0" t="s">
        <v>73</v>
      </c>
      <c r="C49" s="14">
        <v>0.312066367525099</v>
      </c>
      <c r="D49" s="14"/>
      <c r="E49" s="14"/>
      <c r="F49" s="14"/>
      <c r="G49" s="14">
        <v>0.274210546369115</v>
      </c>
      <c r="H49" s="0" t="s">
        <v>41</v>
      </c>
      <c r="I49" s="5">
        <v>39625</v>
      </c>
      <c r="K49" s="0" t="s">
        <v>76</v>
      </c>
    </row>
    <row r="50" outlineLevel="2">
      <c r="A50" s="12" t="s">
        <v>82</v>
      </c>
      <c r="B50" s="0" t="s">
        <v>73</v>
      </c>
      <c r="C50" s="14">
        <v>0.971961773753711</v>
      </c>
      <c r="D50" s="14"/>
      <c r="E50" s="14"/>
      <c r="F50" s="14"/>
      <c r="G50" s="14">
        <v>0.447396204692968</v>
      </c>
      <c r="H50" s="0" t="s">
        <v>41</v>
      </c>
      <c r="I50" s="5">
        <v>39625</v>
      </c>
      <c r="K50" s="0" t="s">
        <v>76</v>
      </c>
    </row>
    <row r="51" outlineLevel="2">
      <c r="A51" s="12" t="s">
        <v>83</v>
      </c>
      <c r="B51" s="0" t="s">
        <v>73</v>
      </c>
      <c r="C51" s="14">
        <v>9.97848281523019</v>
      </c>
      <c r="D51" s="14"/>
      <c r="E51" s="14"/>
      <c r="F51" s="14"/>
      <c r="G51" s="14">
        <v>0.230914131788152</v>
      </c>
      <c r="H51" s="0" t="s">
        <v>41</v>
      </c>
      <c r="I51" s="5">
        <v>39625</v>
      </c>
      <c r="K51" s="0" t="s">
        <v>76</v>
      </c>
    </row>
    <row r="52" outlineLevel="2">
      <c r="A52" s="12" t="s">
        <v>84</v>
      </c>
      <c r="B52" s="0" t="s">
        <v>73</v>
      </c>
      <c r="C52" s="14">
        <v>5.40534681533246</v>
      </c>
      <c r="D52" s="14"/>
      <c r="E52" s="14"/>
      <c r="F52" s="14"/>
      <c r="G52" s="14">
        <v>0.158753480475039</v>
      </c>
      <c r="H52" s="0" t="s">
        <v>41</v>
      </c>
      <c r="I52" s="5">
        <v>39625</v>
      </c>
      <c r="K52" s="0" t="s">
        <v>76</v>
      </c>
    </row>
    <row r="53" outlineLevel="2">
      <c r="A53" s="12" t="s">
        <v>85</v>
      </c>
      <c r="B53" s="0" t="s">
        <v>73</v>
      </c>
      <c r="C53" s="14">
        <v>757.344423667968</v>
      </c>
      <c r="D53" s="14"/>
      <c r="E53" s="14"/>
      <c r="F53" s="14"/>
      <c r="G53" s="14">
        <v>0.808199580224009</v>
      </c>
      <c r="H53" s="0" t="s">
        <v>41</v>
      </c>
      <c r="I53" s="5">
        <v>39625</v>
      </c>
      <c r="K53" s="0" t="s">
        <v>74</v>
      </c>
    </row>
    <row r="54" outlineLevel="2">
      <c r="A54" s="12" t="s">
        <v>86</v>
      </c>
      <c r="B54" s="0" t="s">
        <v>73</v>
      </c>
      <c r="C54" s="14">
        <v>22631.2023698611</v>
      </c>
      <c r="D54" s="14"/>
      <c r="E54" s="14"/>
      <c r="F54" s="14"/>
      <c r="G54" s="14">
        <v>3.33382308997582</v>
      </c>
      <c r="H54" s="0" t="s">
        <v>41</v>
      </c>
      <c r="I54" s="5">
        <v>39625</v>
      </c>
      <c r="K54" s="0" t="s">
        <v>74</v>
      </c>
    </row>
    <row r="55" outlineLevel="2">
      <c r="A55" s="12" t="s">
        <v>87</v>
      </c>
      <c r="B55" s="0" t="s">
        <v>73</v>
      </c>
      <c r="C55" s="14">
        <v>1281.30577099806</v>
      </c>
      <c r="D55" s="14"/>
      <c r="E55" s="14"/>
      <c r="F55" s="14"/>
      <c r="G55" s="14">
        <v>0.226034405862021</v>
      </c>
      <c r="H55" s="0" t="s">
        <v>41</v>
      </c>
      <c r="I55" s="5">
        <v>39625</v>
      </c>
      <c r="K55" s="0" t="s">
        <v>74</v>
      </c>
    </row>
    <row r="56" outlineLevel="2">
      <c r="A56" s="12" t="s">
        <v>88</v>
      </c>
      <c r="B56" s="0" t="s">
        <v>73</v>
      </c>
      <c r="C56" s="14">
        <v>225.741039732514</v>
      </c>
      <c r="D56" s="14"/>
      <c r="E56" s="14"/>
      <c r="F56" s="14"/>
      <c r="G56" s="14">
        <v>0.115457065894076</v>
      </c>
      <c r="H56" s="0" t="s">
        <v>41</v>
      </c>
      <c r="I56" s="5">
        <v>39625</v>
      </c>
      <c r="K56" s="0" t="s">
        <v>76</v>
      </c>
    </row>
    <row r="57" outlineLevel="2">
      <c r="A57" s="12" t="s">
        <v>89</v>
      </c>
      <c r="B57" s="0" t="s">
        <v>73</v>
      </c>
      <c r="C57" s="14">
        <v>1.97369443322424</v>
      </c>
      <c r="D57" s="14"/>
      <c r="E57" s="14"/>
      <c r="F57" s="14"/>
      <c r="G57" s="14">
        <v>1.67412763391232</v>
      </c>
      <c r="H57" s="0" t="s">
        <v>41</v>
      </c>
      <c r="I57" s="5">
        <v>39625</v>
      </c>
      <c r="K57" s="0" t="s">
        <v>76</v>
      </c>
    </row>
    <row r="58" outlineLevel="2">
      <c r="A58" s="12" t="s">
        <v>90</v>
      </c>
      <c r="B58" s="0" t="s">
        <v>73</v>
      </c>
      <c r="C58" s="14">
        <v>388.386592009337</v>
      </c>
      <c r="D58" s="14"/>
      <c r="E58" s="14"/>
      <c r="F58" s="14"/>
      <c r="G58" s="14">
        <v>1.36810298284908</v>
      </c>
      <c r="H58" s="0" t="s">
        <v>41</v>
      </c>
      <c r="I58" s="5">
        <v>39625</v>
      </c>
      <c r="K58" s="0" t="s">
        <v>74</v>
      </c>
    </row>
    <row r="59" outlineLevel="2">
      <c r="A59" s="12" t="s">
        <v>91</v>
      </c>
      <c r="B59" s="0" t="s">
        <v>73</v>
      </c>
      <c r="C59" s="14">
        <v>5.52845747639865</v>
      </c>
      <c r="D59" s="14"/>
      <c r="E59" s="14"/>
      <c r="F59" s="14"/>
      <c r="G59" s="14">
        <v>0.793767402375196</v>
      </c>
      <c r="H59" s="0" t="s">
        <v>41</v>
      </c>
      <c r="I59" s="5">
        <v>39625</v>
      </c>
      <c r="K59" s="0" t="s">
        <v>76</v>
      </c>
    </row>
    <row r="60" outlineLevel="2">
      <c r="A60" s="12" t="s">
        <v>92</v>
      </c>
      <c r="B60" s="0" t="s">
        <v>73</v>
      </c>
      <c r="C60" s="14">
        <v>2376.90048448512</v>
      </c>
      <c r="D60" s="14"/>
      <c r="E60" s="14"/>
      <c r="F60" s="14"/>
      <c r="G60" s="14">
        <v>1.22534441072569</v>
      </c>
      <c r="H60" s="0" t="s">
        <v>41</v>
      </c>
      <c r="I60" s="5">
        <v>39625</v>
      </c>
      <c r="K60" s="0" t="s">
        <v>74</v>
      </c>
    </row>
    <row r="61" outlineLevel="2">
      <c r="A61" s="12" t="s">
        <v>93</v>
      </c>
      <c r="B61" s="0" t="s">
        <v>73</v>
      </c>
      <c r="C61" s="14">
        <v>0.362931109962361</v>
      </c>
      <c r="D61" s="14"/>
      <c r="E61" s="14"/>
      <c r="F61" s="14"/>
      <c r="G61" s="14">
        <v>6.1047929093646</v>
      </c>
      <c r="H61" s="0" t="s">
        <v>41</v>
      </c>
      <c r="I61" s="5">
        <v>39625</v>
      </c>
      <c r="K61" s="0" t="s">
        <v>76</v>
      </c>
    </row>
    <row r="62" outlineLevel="2">
      <c r="A62" s="12" t="s">
        <v>94</v>
      </c>
      <c r="B62" s="0" t="s">
        <v>73</v>
      </c>
      <c r="C62" s="14">
        <v>-0.332000555915929</v>
      </c>
      <c r="D62" s="14"/>
      <c r="E62" s="14"/>
      <c r="F62" s="14"/>
      <c r="G62" s="14">
        <v>1.64526327821469</v>
      </c>
      <c r="H62" s="0" t="s">
        <v>41</v>
      </c>
      <c r="I62" s="5">
        <v>39625</v>
      </c>
      <c r="K62" s="0" t="s">
        <v>78</v>
      </c>
    </row>
    <row r="63" outlineLevel="2">
      <c r="A63" s="12" t="s">
        <v>95</v>
      </c>
      <c r="B63" s="0" t="s">
        <v>73</v>
      </c>
      <c r="C63" s="14">
        <v>-0.66786231839759</v>
      </c>
      <c r="D63" s="14"/>
      <c r="E63" s="14"/>
      <c r="F63" s="14"/>
      <c r="G63" s="14">
        <v>3.04518036575789</v>
      </c>
      <c r="H63" s="0" t="s">
        <v>41</v>
      </c>
      <c r="I63" s="5">
        <v>39625</v>
      </c>
      <c r="K63" s="0" t="s">
        <v>76</v>
      </c>
    </row>
    <row r="64" outlineLevel="2">
      <c r="A64" s="12" t="s">
        <v>96</v>
      </c>
      <c r="B64" s="0" t="s">
        <v>73</v>
      </c>
      <c r="C64" s="14">
        <v>7466.80866669833</v>
      </c>
      <c r="D64" s="14"/>
      <c r="E64" s="14"/>
      <c r="F64" s="14"/>
      <c r="G64" s="14">
        <v>11.8489614862407</v>
      </c>
      <c r="H64" s="0" t="s">
        <v>41</v>
      </c>
      <c r="I64" s="5">
        <v>39625</v>
      </c>
      <c r="K64" s="0" t="s">
        <v>74</v>
      </c>
    </row>
    <row r="65" outlineLevel="2">
      <c r="A65" s="12" t="s">
        <v>97</v>
      </c>
      <c r="B65" s="0" t="s">
        <v>73</v>
      </c>
      <c r="C65" s="14">
        <v>0.127717975085</v>
      </c>
      <c r="D65" s="14"/>
      <c r="E65" s="14"/>
      <c r="F65" s="14"/>
      <c r="G65" s="14">
        <v>0.620581744051343</v>
      </c>
      <c r="H65" s="0" t="s">
        <v>41</v>
      </c>
      <c r="I65" s="5">
        <v>39625</v>
      </c>
      <c r="K65" s="0" t="s">
        <v>78</v>
      </c>
    </row>
    <row r="66" outlineLevel="2">
      <c r="A66" s="12" t="s">
        <v>98</v>
      </c>
      <c r="B66" s="0" t="s">
        <v>73</v>
      </c>
      <c r="C66" s="14">
        <v>8.51925222958949</v>
      </c>
      <c r="D66" s="14"/>
      <c r="E66" s="14"/>
      <c r="F66" s="14"/>
      <c r="G66" s="14">
        <v>0</v>
      </c>
      <c r="H66" s="0" t="s">
        <v>41</v>
      </c>
      <c r="I66" s="5">
        <v>39625</v>
      </c>
      <c r="K66" s="0" t="s">
        <v>78</v>
      </c>
    </row>
    <row r="67" outlineLevel="2">
      <c r="A67" s="12" t="s">
        <v>99</v>
      </c>
      <c r="B67" s="0" t="s">
        <v>73</v>
      </c>
      <c r="C67" s="14">
        <v>22.9912680404707</v>
      </c>
      <c r="D67" s="14"/>
      <c r="E67" s="14"/>
      <c r="F67" s="14"/>
      <c r="G67" s="14">
        <v>0.129889243742889</v>
      </c>
      <c r="H67" s="0" t="s">
        <v>41</v>
      </c>
      <c r="I67" s="5">
        <v>39625</v>
      </c>
      <c r="K67" s="0" t="s">
        <v>74</v>
      </c>
    </row>
    <row r="68" outlineLevel="2">
      <c r="A68" s="12" t="s">
        <v>100</v>
      </c>
      <c r="B68" s="0" t="s">
        <v>73</v>
      </c>
      <c r="C68" s="14">
        <v>1.53346499555866</v>
      </c>
      <c r="D68" s="14"/>
      <c r="E68" s="14"/>
      <c r="F68" s="14"/>
      <c r="G68" s="14">
        <v>0.202049895056002</v>
      </c>
      <c r="H68" s="0" t="s">
        <v>41</v>
      </c>
      <c r="I68" s="5">
        <v>39625</v>
      </c>
      <c r="K68" s="0" t="s">
        <v>76</v>
      </c>
    </row>
    <row r="69" outlineLevel="2">
      <c r="A69" s="12" t="s">
        <v>101</v>
      </c>
      <c r="B69" s="0" t="s">
        <v>73</v>
      </c>
      <c r="C69" s="14">
        <v>39.31089834752</v>
      </c>
      <c r="D69" s="14"/>
      <c r="E69" s="14"/>
      <c r="F69" s="14"/>
      <c r="G69" s="14">
        <v>0.360803375531041</v>
      </c>
      <c r="H69" s="0" t="s">
        <v>41</v>
      </c>
      <c r="I69" s="5">
        <v>39625</v>
      </c>
      <c r="K69" s="0" t="s">
        <v>76</v>
      </c>
    </row>
    <row r="70">
      <c r="I70" s="5"/>
    </row>
    <row r="71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</mergeCells>
  <dataValidations count="1">
    <dataValidation type="decimal" sqref="C24" errorStyle="stop" promptTitle="Enter moisture content" errorTitle="Invalid moisture content" prompt="Value should be between 0 and 100.&#10;Original value: 15.9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https://phyllis.nl/Biomass/View/3067</dc:description>
  <dcterms:created xsi:type="dcterms:W3CDTF">2026-03-04T04:25:27Z</dcterms:created>
  <dc:title>Phyllis2 #3067 Nature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