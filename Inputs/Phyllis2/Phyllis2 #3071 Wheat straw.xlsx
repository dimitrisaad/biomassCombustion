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71 Wheat straw" sheetId="1" r:id="rId1"/>
  </sheets>
  <definedNames>
    <definedName name="w" localSheetId="0">IF(ISBLANK('Phyllis2 #3071 Wheat straw'!$C$27),#N/A,'Phyllis2 #3071 Wheat straw'!$C$27/100)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<sst xmlns="http://schemas.openxmlformats.org/spreadsheetml/2006/main" count="108" uniqueCount="108">
  <si>
    <t>Phyllis2</t>
  </si>
  <si>
    <t>https://phyllis.nl/Biomass/View/3071</t>
  </si>
  <si>
    <t>Wheat straw (#3071)</t>
  </si>
  <si>
    <t>ID-number</t>
  </si>
  <si>
    <t>#3071</t>
  </si>
  <si>
    <t>Material</t>
  </si>
  <si>
    <t>Wheat straw</t>
  </si>
  <si>
    <t>Alternative name</t>
  </si>
  <si>
    <t>Tarwestro</t>
  </si>
  <si>
    <t>Description</t>
  </si>
  <si>
    <t>biomass</t>
  </si>
  <si>
    <t>Classification</t>
  </si>
  <si>
    <t>CEN/TS 14961 classification &gt; Solid biofuels &gt; Herbaceous biomass &gt; Agriculture and Horticulture herb &gt; Grasses &gt; Straw parts</t>
  </si>
  <si>
    <t>ECN Phyllis classification &gt; straw (stalk/cob/ear) &gt; wheat &gt; wheat straw</t>
  </si>
  <si>
    <t>NTA 8003 classification &gt; [200] biomassa uit land- en tuinbouw &gt; [220] stro &gt; [223] tarwestro</t>
  </si>
  <si>
    <t>Sample date</t>
  </si>
  <si>
    <t>Sample location</t>
  </si>
  <si>
    <t>Petten</t>
  </si>
  <si>
    <t>Sample lot size</t>
  </si>
  <si>
    <t>50 l bag</t>
  </si>
  <si>
    <t>Country</t>
  </si>
  <si>
    <t>Netherlands</t>
  </si>
  <si>
    <t>Production date</t>
  </si>
  <si>
    <t>Submitter</t>
  </si>
  <si>
    <t>Pels, J.R.</t>
  </si>
  <si>
    <t>Submitter organisation</t>
  </si>
  <si>
    <t>ECN (Netherlands)</t>
  </si>
  <si>
    <t>Submission date</t>
  </si>
  <si>
    <t>Remarks</t>
  </si>
  <si>
    <t>box ECN 14818-2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</si>
  <si>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</si>
  <si>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</si>
  <si>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</si>
  <si>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</si>
  <si>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</si>
  <si>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</si>
  <si>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</si>
  <si>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</si>
  <si>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</si>
  <si>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</si>
  <si>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</si>
  <si>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</si>
  <si>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</si>
  <si>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</si>
  <si>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</si>
  <si>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</si>
  <si>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</si>
  <si>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</si>
  <si>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</si>
  <si>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</si>
  <si>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</si>
  <si>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</si>
  <si>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</si>
  <si>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</si>
  <si>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</si>
  <si>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</si>
  <si>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</si>
  <si>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</si>
  <si>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</si>
  <si>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</si>
  <si>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</si>
  <si>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</si>
  <si>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</si>
  <si>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</si>
  <si>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</si>
  <si>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Bromine (Br)</t>
  </si>
  <si>
    <t>mg/kg</t>
  </si>
  <si>
    <t>B.N203</t>
  </si>
  <si>
    <t>Chlorine (Cl)</t>
  </si>
  <si>
    <t>CEN/TS 15289</t>
  </si>
  <si>
    <t>Fluorine (F)</t>
  </si>
  <si>
    <t>mg/kg (dry)</t>
  </si>
  <si>
    <t>below detection limit</t>
  </si>
  <si>
    <t>Heating value</t>
  </si>
  <si>
    <t>Net calorific value (LHV)</t>
  </si>
  <si>
    <t>MJ/kg</t>
  </si>
  <si>
    <t>CEN/TS 14918</t>
  </si>
  <si>
    <t>HHVMilne</t>
  </si>
  <si>
    <t>Trace elements composition</t>
  </si>
  <si>
    <t>Aluminium (Al)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</si>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</sst>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7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20.1122856140137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39600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39600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0" t="s">
        <v>26</v>
      </c>
    </row>
    <row r="19" outlineLevel="1">
      <c r="A19" s="7" t="s">
        <v>27</v>
      </c>
      <c r="B19" s="6">
        <v>39909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28</v>
      </c>
      <c r="L23" s="10"/>
    </row>
    <row r="24" s="1" customFormat="1">
      <c r="A24" s="10"/>
      <c r="B24" s="10"/>
      <c r="C24" s="10" t="s">
        <v>39</v>
      </c>
      <c r="D24" s="10" t="s">
        <v>40</v>
      </c>
      <c r="E24" s="10" t="s">
        <v>41</v>
      </c>
      <c r="F24" s="10"/>
      <c r="G24" s="10"/>
      <c r="H24" s="10"/>
      <c r="I24" s="10"/>
      <c r="J24" s="10"/>
      <c r="K24" s="10"/>
      <c r="L24" s="10"/>
    </row>
    <row r="25">
      <c r="A25" s="7" t="s">
        <v>42</v>
      </c>
      <c r="I25" s="5"/>
    </row>
    <row r="26" outlineLevel="1">
      <c r="A26" s="11" t="s">
        <v>43</v>
      </c>
      <c r="I26" s="5"/>
    </row>
    <row r="27" outlineLevel="2">
      <c r="A27" s="12" t="s">
        <v>44</v>
      </c>
      <c r="B27" s="0" t="s">
        <v>45</v>
      </c>
      <c r="C27" s="13">
        <v>8.452</v>
      </c>
      <c r="D27" s="13"/>
      <c r="E27" s="13"/>
      <c r="F27" s="13"/>
      <c r="G27" s="13">
        <v>0.1</v>
      </c>
      <c r="H27" s="0" t="s">
        <v>46</v>
      </c>
      <c r="I27" s="5">
        <v>39622</v>
      </c>
      <c r="J27" s="0" t="s">
        <v>47</v>
      </c>
      <c r="K27" s="0" t="s">
        <v>47</v>
      </c>
    </row>
    <row r="28" outlineLevel="2">
      <c r="A28" s="12" t="s">
        <v>48</v>
      </c>
      <c r="B28" s="0" t="s">
        <v>45</v>
      </c>
      <c r="C28" s="13">
        <f>IFERROR(8.25*(1-w),"")</f>
        <v>7.5527099999999994</v>
      </c>
      <c r="D28" s="13">
        <v>8.25</v>
      </c>
      <c r="E28" s="13">
        <v/>
      </c>
      <c r="F28" s="13"/>
      <c r="G28" s="13">
        <v>0.1</v>
      </c>
      <c r="H28" s="0" t="s">
        <v>46</v>
      </c>
      <c r="I28" s="5">
        <v>39644</v>
      </c>
      <c r="J28" s="0" t="s">
        <v>49</v>
      </c>
      <c r="K28" s="0" t="s">
        <v>49</v>
      </c>
    </row>
    <row r="29" outlineLevel="2">
      <c r="A29" s="12" t="s">
        <v>50</v>
      </c>
      <c r="B29" s="0" t="s">
        <v>45</v>
      </c>
      <c r="C29" s="13">
        <f>IFERROR(7.75*(1-w),"")</f>
        <v>7.09497</v>
      </c>
      <c r="D29" s="13">
        <v>7.75</v>
      </c>
      <c r="E29" s="13">
        <v/>
      </c>
      <c r="F29" s="13"/>
      <c r="G29" s="13">
        <v>0.1</v>
      </c>
      <c r="H29" s="0" t="s">
        <v>46</v>
      </c>
      <c r="I29" s="5">
        <v>39644</v>
      </c>
      <c r="K29" s="0" t="s">
        <v>49</v>
      </c>
    </row>
    <row r="30" outlineLevel="2">
      <c r="A30" s="12" t="s">
        <v>51</v>
      </c>
      <c r="B30" s="0" t="s">
        <v>45</v>
      </c>
      <c r="C30" s="13">
        <f>IFERROR(71.6*(1-w),"")</f>
        <v>65.548368</v>
      </c>
      <c r="D30" s="13">
        <v>71.6</v>
      </c>
      <c r="E30" s="13">
        <v>78.038147138964575</v>
      </c>
      <c r="F30" s="13"/>
      <c r="G30" s="13">
        <v>0.1</v>
      </c>
      <c r="H30" s="0" t="s">
        <v>46</v>
      </c>
      <c r="I30" s="5">
        <v>39644</v>
      </c>
    </row>
    <row r="31" outlineLevel="2">
      <c r="A31" s="12" t="s">
        <v>52</v>
      </c>
      <c r="B31" s="0" t="s">
        <v>45</v>
      </c>
      <c r="C31" s="13">
        <f>IFERROR(20.15*(1-w),"")</f>
        <v>18.446922000000004</v>
      </c>
      <c r="D31" s="13">
        <v>20.150000000000006</v>
      </c>
      <c r="E31" s="13">
        <v>21.961852861035428</v>
      </c>
      <c r="F31" s="13"/>
      <c r="G31" s="13"/>
      <c r="I31" s="5"/>
      <c r="J31" s="0" t="s">
        <v>53</v>
      </c>
    </row>
    <row r="32" outlineLevel="1">
      <c r="A32" s="11" t="s">
        <v>54</v>
      </c>
      <c r="I32" s="5"/>
    </row>
    <row r="33" outlineLevel="2">
      <c r="A33" s="12" t="s">
        <v>55</v>
      </c>
      <c r="B33" s="0" t="s">
        <v>45</v>
      </c>
      <c r="C33" s="13">
        <f>IFERROR(43.823*(1-w),"")</f>
        <v>40.11908004</v>
      </c>
      <c r="D33" s="13">
        <v>43.823</v>
      </c>
      <c r="E33" s="13">
        <v>47.76348773841962</v>
      </c>
      <c r="F33" s="13"/>
      <c r="G33" s="13">
        <v>0.1</v>
      </c>
      <c r="H33" s="0" t="s">
        <v>46</v>
      </c>
      <c r="I33" s="5">
        <v>39639</v>
      </c>
      <c r="J33" s="0" t="s">
        <v>56</v>
      </c>
      <c r="K33" s="0" t="s">
        <v>56</v>
      </c>
    </row>
    <row r="34" outlineLevel="2">
      <c r="A34" s="12" t="s">
        <v>57</v>
      </c>
      <c r="B34" s="0" t="s">
        <v>45</v>
      </c>
      <c r="C34" s="13">
        <f>IFERROR(5.28*(1-w),"")</f>
        <v>4.8337344</v>
      </c>
      <c r="D34" s="13">
        <v>5.28</v>
      </c>
      <c r="E34" s="13">
        <v>5.7547683923705728</v>
      </c>
      <c r="F34" s="13"/>
      <c r="G34" s="13">
        <v>0.1</v>
      </c>
      <c r="H34" s="0" t="s">
        <v>46</v>
      </c>
      <c r="I34" s="5">
        <v>39639</v>
      </c>
      <c r="J34" s="0" t="s">
        <v>56</v>
      </c>
      <c r="K34" s="0" t="s">
        <v>56</v>
      </c>
    </row>
    <row r="35" outlineLevel="2">
      <c r="A35" s="12" t="s">
        <v>58</v>
      </c>
      <c r="B35" s="0" t="s">
        <v>45</v>
      </c>
      <c r="C35" s="13">
        <f>IFERROR(43.31*(1-w),"")</f>
        <v>39.6494388</v>
      </c>
      <c r="D35" s="13">
        <v>43.31</v>
      </c>
      <c r="E35" s="13">
        <v>47.204359673024527</v>
      </c>
      <c r="F35" s="13"/>
      <c r="G35" s="13">
        <v>0.1</v>
      </c>
      <c r="H35" s="0" t="s">
        <v>46</v>
      </c>
      <c r="I35" s="5">
        <v>39639</v>
      </c>
      <c r="K35" s="0" t="s">
        <v>59</v>
      </c>
    </row>
    <row r="36" outlineLevel="2">
      <c r="A36" s="12" t="s">
        <v>60</v>
      </c>
      <c r="B36" s="0" t="s">
        <v>45</v>
      </c>
      <c r="C36" s="13">
        <f>IFERROR(0.419*(1-w),"")</f>
        <v>0.38358612</v>
      </c>
      <c r="D36" s="13">
        <v>0.419</v>
      </c>
      <c r="E36" s="13">
        <v>0.45667574931880106</v>
      </c>
      <c r="F36" s="13"/>
      <c r="G36" s="13">
        <v>0.1</v>
      </c>
      <c r="H36" s="0" t="s">
        <v>46</v>
      </c>
      <c r="I36" s="5">
        <v>39639</v>
      </c>
      <c r="J36" s="0" t="s">
        <v>56</v>
      </c>
      <c r="K36" s="0" t="s">
        <v>56</v>
      </c>
    </row>
    <row r="37" outlineLevel="2">
      <c r="A37" s="12" t="s">
        <v>61</v>
      </c>
      <c r="B37" s="0" t="s">
        <v>45</v>
      </c>
      <c r="C37" s="13">
        <f>IFERROR(0.113522414054827*(1-w),"")</f>
        <v>0.10392749961891302</v>
      </c>
      <c r="D37" s="13">
        <v>0.113522414054827</v>
      </c>
      <c r="E37" s="13">
        <v>0.12373015155839456</v>
      </c>
      <c r="F37" s="13"/>
      <c r="G37" s="13">
        <v>0.00110532802058973</v>
      </c>
      <c r="H37" s="0" t="s">
        <v>46</v>
      </c>
      <c r="I37" s="5">
        <v>39625</v>
      </c>
      <c r="J37" s="0" t="s">
        <v>62</v>
      </c>
      <c r="K37" s="0" t="s">
        <v>56</v>
      </c>
    </row>
    <row r="38" outlineLevel="2">
      <c r="A38" s="12" t="s">
        <v>63</v>
      </c>
      <c r="B38" s="0" t="s">
        <v>45</v>
      </c>
      <c r="C38" s="13">
        <f>IFERROR(101.465142414055*(1-w)+w*100,"")</f>
        <v>101.34130857721892</v>
      </c>
      <c r="D38" s="13">
        <v>101.46514241405484</v>
      </c>
      <c r="E38" s="13">
        <v>101.5968854649099</v>
      </c>
      <c r="F38" s="13"/>
      <c r="G38" s="13"/>
      <c r="I38" s="5"/>
      <c r="J38" s="0" t="s">
        <v>53</v>
      </c>
    </row>
    <row r="39" outlineLevel="1">
      <c r="A39" s="11" t="s">
        <v>64</v>
      </c>
      <c r="I39" s="5"/>
    </row>
    <row r="40" outlineLevel="2">
      <c r="A40" s="12" t="s">
        <v>65</v>
      </c>
      <c r="B40" s="0" t="s">
        <v>66</v>
      </c>
      <c r="C40" s="14">
        <f>IFERROR(14.2*(1-w),"")</f>
        <v>12.999816</v>
      </c>
      <c r="D40" s="14">
        <v>14.2</v>
      </c>
      <c r="E40" s="14">
        <v>15.47683923705722</v>
      </c>
      <c r="F40" s="14"/>
      <c r="G40" s="14">
        <v>5</v>
      </c>
      <c r="H40" s="0" t="s">
        <v>46</v>
      </c>
      <c r="I40" s="5">
        <v>39644</v>
      </c>
      <c r="K40" s="0" t="s">
        <v>67</v>
      </c>
    </row>
    <row r="41" outlineLevel="2">
      <c r="A41" s="12" t="s">
        <v>68</v>
      </c>
      <c r="B41" s="0" t="s">
        <v>66</v>
      </c>
      <c r="C41" s="14">
        <f>IFERROR(2682*(1-w),"")</f>
        <v>2455.31736</v>
      </c>
      <c r="D41" s="14">
        <v>2682</v>
      </c>
      <c r="E41" s="14">
        <v>2923.1607629427795</v>
      </c>
      <c r="F41" s="14"/>
      <c r="G41" s="14">
        <v>10</v>
      </c>
      <c r="H41" s="0" t="s">
        <v>46</v>
      </c>
      <c r="I41" s="5">
        <v>39644</v>
      </c>
      <c r="J41" s="0" t="s">
        <v>69</v>
      </c>
      <c r="K41" s="0" t="s">
        <v>69</v>
      </c>
    </row>
    <row r="42" outlineLevel="2">
      <c r="A42" s="12" t="s">
        <v>70</v>
      </c>
      <c r="B42" s="0" t="s">
        <v>71</v>
      </c>
      <c r="C42" s="14"/>
      <c r="D42" s="14"/>
      <c r="E42" s="14"/>
      <c r="F42" s="14"/>
      <c r="G42" s="14">
        <v>10</v>
      </c>
      <c r="H42" s="0" t="s">
        <v>46</v>
      </c>
      <c r="I42" s="5">
        <v>39651</v>
      </c>
      <c r="J42" s="0" t="s">
        <v>72</v>
      </c>
      <c r="K42" s="0" t="s">
        <v>67</v>
      </c>
    </row>
    <row r="43" outlineLevel="1">
      <c r="A43" s="11" t="s">
        <v>73</v>
      </c>
      <c r="I43" s="5"/>
    </row>
    <row r="44" outlineLevel="2">
      <c r="A44" s="12" t="s">
        <v>74</v>
      </c>
      <c r="B44" s="0" t="s">
        <v>75</v>
      </c>
      <c r="C44" s="13">
        <f>IFERROR(17.726*(1-w)-w*2.443,"")</f>
        <v>16.021316119999998</v>
      </c>
      <c r="D44" s="13">
        <v>17.726</v>
      </c>
      <c r="E44" s="13">
        <v>19.319891008174388</v>
      </c>
      <c r="F44" s="13"/>
      <c r="G44" s="13">
        <v>1</v>
      </c>
      <c r="H44" s="0" t="s">
        <v>46</v>
      </c>
      <c r="I44" s="5">
        <v>39645</v>
      </c>
      <c r="J44" s="0" t="s">
        <v>76</v>
      </c>
      <c r="K44" s="0" t="s">
        <v>76</v>
      </c>
    </row>
    <row r="45" outlineLevel="2">
      <c r="A45" s="12" t="s">
        <v>77</v>
      </c>
      <c r="B45" s="0" t="s">
        <v>75</v>
      </c>
      <c r="C45" s="13">
        <f>IFERROR(16.5682992001042*(1-w),"")</f>
        <v>15.167946551711356</v>
      </c>
      <c r="D45" s="13">
        <v>16.56829920010416</v>
      </c>
      <c r="E45" s="13">
        <v>18.058091771230693</v>
      </c>
      <c r="F45" s="13"/>
      <c r="G45" s="13"/>
      <c r="I45" s="5"/>
      <c r="J45" s="0" t="s">
        <v>53</v>
      </c>
    </row>
    <row r="46" outlineLevel="1">
      <c r="A46" s="11" t="s">
        <v>78</v>
      </c>
      <c r="I46" s="5"/>
    </row>
    <row r="47" outlineLevel="2">
      <c r="A47" s="12" t="s">
        <v>79</v>
      </c>
      <c r="B47" s="0" t="s">
        <v>71</v>
      </c>
      <c r="C47" s="14">
        <v>109.865862313964</v>
      </c>
      <c r="D47" s="14"/>
      <c r="E47" s="14"/>
      <c r="F47" s="14"/>
      <c r="G47" s="14">
        <v>0.273080787219039</v>
      </c>
      <c r="H47" s="0" t="s">
        <v>46</v>
      </c>
      <c r="I47" s="5">
        <v>39625</v>
      </c>
      <c r="K47" s="0" t="s">
        <v>80</v>
      </c>
    </row>
    <row r="48" outlineLevel="2">
      <c r="A48" s="12" t="s">
        <v>81</v>
      </c>
      <c r="B48" s="0" t="s">
        <v>71</v>
      </c>
      <c r="C48" s="14">
        <v>0.981487712134848</v>
      </c>
      <c r="D48" s="14"/>
      <c r="E48" s="14"/>
      <c r="F48" s="14"/>
      <c r="G48" s="14">
        <v>5.59207779659607</v>
      </c>
      <c r="H48" s="0" t="s">
        <v>46</v>
      </c>
      <c r="I48" s="5">
        <v>39625</v>
      </c>
      <c r="K48" s="0" t="s">
        <v>82</v>
      </c>
    </row>
    <row r="49" outlineLevel="2">
      <c r="A49" s="12" t="s">
        <v>83</v>
      </c>
      <c r="B49" s="0" t="s">
        <v>71</v>
      </c>
      <c r="C49" s="14">
        <v>7.02363784727369</v>
      </c>
      <c r="D49" s="14"/>
      <c r="E49" s="14"/>
      <c r="F49" s="14"/>
      <c r="G49" s="14">
        <v>0.360466639129132</v>
      </c>
      <c r="H49" s="0" t="s">
        <v>46</v>
      </c>
      <c r="I49" s="5">
        <v>39625</v>
      </c>
      <c r="K49" s="0" t="s">
        <v>84</v>
      </c>
    </row>
    <row r="50" outlineLevel="2">
      <c r="A50" s="12" t="s">
        <v>85</v>
      </c>
      <c r="B50" s="0" t="s">
        <v>71</v>
      </c>
      <c r="C50" s="14">
        <v>42.1583533539533</v>
      </c>
      <c r="D50" s="14"/>
      <c r="E50" s="14"/>
      <c r="F50" s="14"/>
      <c r="G50" s="14">
        <v>0.0132514090482762</v>
      </c>
      <c r="H50" s="0" t="s">
        <v>46</v>
      </c>
      <c r="I50" s="5">
        <v>39625</v>
      </c>
      <c r="K50" s="0" t="s">
        <v>82</v>
      </c>
    </row>
    <row r="51" outlineLevel="2">
      <c r="A51" s="12" t="s">
        <v>86</v>
      </c>
      <c r="B51" s="0" t="s">
        <v>71</v>
      </c>
      <c r="C51" s="14">
        <v>2281.98539819497</v>
      </c>
      <c r="D51" s="14"/>
      <c r="E51" s="14"/>
      <c r="F51" s="14"/>
      <c r="G51" s="14">
        <v>2.80929030734631</v>
      </c>
      <c r="H51" s="0" t="s">
        <v>46</v>
      </c>
      <c r="I51" s="5">
        <v>39625</v>
      </c>
      <c r="K51" s="0" t="s">
        <v>80</v>
      </c>
    </row>
    <row r="52" outlineLevel="2">
      <c r="A52" s="12" t="s">
        <v>87</v>
      </c>
      <c r="B52" s="0" t="s">
        <v>71</v>
      </c>
      <c r="C52" s="14">
        <v>0.326138447486755</v>
      </c>
      <c r="D52" s="14"/>
      <c r="E52" s="14"/>
      <c r="F52" s="14"/>
      <c r="G52" s="14">
        <v>0.251776007291044</v>
      </c>
      <c r="H52" s="0" t="s">
        <v>46</v>
      </c>
      <c r="I52" s="5">
        <v>39625</v>
      </c>
      <c r="K52" s="0" t="s">
        <v>82</v>
      </c>
    </row>
    <row r="53" outlineLevel="2">
      <c r="A53" s="12" t="s">
        <v>88</v>
      </c>
      <c r="B53" s="0" t="s">
        <v>71</v>
      </c>
      <c r="C53" s="14">
        <v>0.390342274751657</v>
      </c>
      <c r="D53" s="14"/>
      <c r="E53" s="14"/>
      <c r="F53" s="14"/>
      <c r="G53" s="14">
        <v>0.410792478941099</v>
      </c>
      <c r="H53" s="0" t="s">
        <v>46</v>
      </c>
      <c r="I53" s="5">
        <v>39625</v>
      </c>
      <c r="K53" s="0" t="s">
        <v>82</v>
      </c>
    </row>
    <row r="54" outlineLevel="2">
      <c r="A54" s="12" t="s">
        <v>89</v>
      </c>
      <c r="B54" s="0" t="s">
        <v>71</v>
      </c>
      <c r="C54" s="14">
        <v>4.66817361966318</v>
      </c>
      <c r="D54" s="14"/>
      <c r="E54" s="14"/>
      <c r="F54" s="14"/>
      <c r="G54" s="14">
        <v>0.21202188937853</v>
      </c>
      <c r="H54" s="0" t="s">
        <v>46</v>
      </c>
      <c r="I54" s="5">
        <v>39625</v>
      </c>
      <c r="K54" s="0" t="s">
        <v>82</v>
      </c>
    </row>
    <row r="55" outlineLevel="2">
      <c r="A55" s="12" t="s">
        <v>90</v>
      </c>
      <c r="B55" s="0" t="s">
        <v>71</v>
      </c>
      <c r="C55" s="14">
        <v>3.6928257062999</v>
      </c>
      <c r="D55" s="14"/>
      <c r="E55" s="14"/>
      <c r="F55" s="14"/>
      <c r="G55" s="14">
        <v>0.145765062601779</v>
      </c>
      <c r="H55" s="0" t="s">
        <v>46</v>
      </c>
      <c r="I55" s="5">
        <v>39625</v>
      </c>
      <c r="K55" s="0" t="s">
        <v>82</v>
      </c>
    </row>
    <row r="56" outlineLevel="2">
      <c r="A56" s="12" t="s">
        <v>91</v>
      </c>
      <c r="B56" s="0" t="s">
        <v>71</v>
      </c>
      <c r="C56" s="14">
        <v>114.582385432073</v>
      </c>
      <c r="D56" s="14"/>
      <c r="E56" s="14"/>
      <c r="F56" s="14"/>
      <c r="G56" s="14">
        <v>0.74207672205717</v>
      </c>
      <c r="H56" s="0" t="s">
        <v>46</v>
      </c>
      <c r="I56" s="5">
        <v>39625</v>
      </c>
      <c r="K56" s="0" t="s">
        <v>80</v>
      </c>
    </row>
    <row r="57" outlineLevel="2">
      <c r="A57" s="12" t="s">
        <v>92</v>
      </c>
      <c r="B57" s="0" t="s">
        <v>71</v>
      </c>
      <c r="C57" s="14">
        <v>15466.0155853559</v>
      </c>
      <c r="D57" s="14"/>
      <c r="E57" s="14"/>
      <c r="F57" s="14"/>
      <c r="G57" s="14">
        <v>3.06106631463735</v>
      </c>
      <c r="H57" s="0" t="s">
        <v>46</v>
      </c>
      <c r="I57" s="5">
        <v>39625</v>
      </c>
      <c r="K57" s="0" t="s">
        <v>80</v>
      </c>
    </row>
    <row r="58" outlineLevel="2">
      <c r="A58" s="12" t="s">
        <v>93</v>
      </c>
      <c r="B58" s="0" t="s">
        <v>71</v>
      </c>
      <c r="C58" s="14">
        <v>642.351550928112</v>
      </c>
      <c r="D58" s="14"/>
      <c r="E58" s="14"/>
      <c r="F58" s="14"/>
      <c r="G58" s="14">
        <v>0.20754139828647</v>
      </c>
      <c r="H58" s="0" t="s">
        <v>46</v>
      </c>
      <c r="I58" s="5">
        <v>39625</v>
      </c>
      <c r="K58" s="0" t="s">
        <v>80</v>
      </c>
    </row>
    <row r="59" outlineLevel="2">
      <c r="A59" s="12" t="s">
        <v>94</v>
      </c>
      <c r="B59" s="0" t="s">
        <v>71</v>
      </c>
      <c r="C59" s="14">
        <v>28.0926996282766</v>
      </c>
      <c r="D59" s="14"/>
      <c r="E59" s="14"/>
      <c r="F59" s="14"/>
      <c r="G59" s="14">
        <v>0.106010944689265</v>
      </c>
      <c r="H59" s="0" t="s">
        <v>46</v>
      </c>
      <c r="I59" s="5">
        <v>39625</v>
      </c>
      <c r="K59" s="0" t="s">
        <v>82</v>
      </c>
    </row>
    <row r="60" outlineLevel="2">
      <c r="A60" s="12" t="s">
        <v>95</v>
      </c>
      <c r="B60" s="0" t="s">
        <v>71</v>
      </c>
      <c r="C60" s="14">
        <v>0.394613928950176</v>
      </c>
      <c r="D60" s="14"/>
      <c r="E60" s="14"/>
      <c r="F60" s="14"/>
      <c r="G60" s="14">
        <v>1.53715886184281</v>
      </c>
      <c r="H60" s="0" t="s">
        <v>46</v>
      </c>
      <c r="I60" s="5">
        <v>39625</v>
      </c>
      <c r="K60" s="0" t="s">
        <v>82</v>
      </c>
    </row>
    <row r="61" outlineLevel="2">
      <c r="A61" s="12" t="s">
        <v>96</v>
      </c>
      <c r="B61" s="0" t="s">
        <v>71</v>
      </c>
      <c r="C61" s="14">
        <v>48.3462225692587</v>
      </c>
      <c r="D61" s="14"/>
      <c r="E61" s="14"/>
      <c r="F61" s="14"/>
      <c r="G61" s="14">
        <v>1.25617162120758</v>
      </c>
      <c r="H61" s="0" t="s">
        <v>46</v>
      </c>
      <c r="I61" s="5">
        <v>39625</v>
      </c>
      <c r="K61" s="0" t="s">
        <v>80</v>
      </c>
    </row>
    <row r="62" outlineLevel="2">
      <c r="A62" s="12" t="s">
        <v>97</v>
      </c>
      <c r="B62" s="0" t="s">
        <v>71</v>
      </c>
      <c r="C62" s="14">
        <v>1.92328070798234</v>
      </c>
      <c r="D62" s="14"/>
      <c r="E62" s="14"/>
      <c r="F62" s="14"/>
      <c r="G62" s="14">
        <v>0.728825313008893</v>
      </c>
      <c r="H62" s="0" t="s">
        <v>46</v>
      </c>
      <c r="I62" s="5">
        <v>39625</v>
      </c>
      <c r="K62" s="0" t="s">
        <v>82</v>
      </c>
    </row>
    <row r="63" outlineLevel="2">
      <c r="A63" s="12" t="s">
        <v>98</v>
      </c>
      <c r="B63" s="0" t="s">
        <v>71</v>
      </c>
      <c r="C63" s="14">
        <v>1029.98503565606</v>
      </c>
      <c r="D63" s="14"/>
      <c r="E63" s="14"/>
      <c r="F63" s="14"/>
      <c r="G63" s="14">
        <v>1.12509284334244</v>
      </c>
      <c r="H63" s="0" t="s">
        <v>46</v>
      </c>
      <c r="I63" s="5">
        <v>39625</v>
      </c>
      <c r="K63" s="0" t="s">
        <v>80</v>
      </c>
    </row>
    <row r="64" outlineLevel="2">
      <c r="A64" s="12" t="s">
        <v>99</v>
      </c>
      <c r="B64" s="0" t="s">
        <v>71</v>
      </c>
      <c r="C64" s="14">
        <v>0.0398054155922313</v>
      </c>
      <c r="D64" s="14"/>
      <c r="E64" s="14"/>
      <c r="F64" s="14"/>
      <c r="G64" s="14">
        <v>5.60532920564434</v>
      </c>
      <c r="H64" s="0" t="s">
        <v>46</v>
      </c>
      <c r="I64" s="5">
        <v>39625</v>
      </c>
      <c r="K64" s="0" t="s">
        <v>82</v>
      </c>
    </row>
    <row r="65" outlineLevel="2">
      <c r="A65" s="12" t="s">
        <v>100</v>
      </c>
      <c r="B65" s="0" t="s">
        <v>71</v>
      </c>
      <c r="C65" s="14"/>
      <c r="D65" s="14"/>
      <c r="E65" s="14"/>
      <c r="F65" s="14"/>
      <c r="G65" s="14">
        <v>1.51065604374626</v>
      </c>
      <c r="H65" s="0" t="s">
        <v>46</v>
      </c>
      <c r="I65" s="5">
        <v>39625</v>
      </c>
      <c r="J65" s="0" t="s">
        <v>72</v>
      </c>
      <c r="K65" s="0" t="s">
        <v>84</v>
      </c>
    </row>
    <row r="66" outlineLevel="2">
      <c r="A66" s="12" t="s">
        <v>101</v>
      </c>
      <c r="B66" s="0" t="s">
        <v>71</v>
      </c>
      <c r="C66" s="14"/>
      <c r="D66" s="14"/>
      <c r="E66" s="14"/>
      <c r="F66" s="14"/>
      <c r="G66" s="14">
        <v>2.79603889829803</v>
      </c>
      <c r="H66" s="0" t="s">
        <v>46</v>
      </c>
      <c r="I66" s="5">
        <v>39625</v>
      </c>
      <c r="J66" s="0" t="s">
        <v>72</v>
      </c>
      <c r="K66" s="0" t="s">
        <v>82</v>
      </c>
    </row>
    <row r="67" outlineLevel="2">
      <c r="A67" s="12" t="s">
        <v>102</v>
      </c>
      <c r="B67" s="0" t="s">
        <v>71</v>
      </c>
      <c r="C67" s="14">
        <v>20271.6388473254</v>
      </c>
      <c r="D67" s="14"/>
      <c r="E67" s="14"/>
      <c r="F67" s="14"/>
      <c r="G67" s="14">
        <v>10.8795385628065</v>
      </c>
      <c r="H67" s="0" t="s">
        <v>46</v>
      </c>
      <c r="I67" s="5">
        <v>39625</v>
      </c>
      <c r="K67" s="0" t="s">
        <v>80</v>
      </c>
    </row>
    <row r="68" outlineLevel="2">
      <c r="A68" s="12" t="s">
        <v>103</v>
      </c>
      <c r="B68" s="0" t="s">
        <v>71</v>
      </c>
      <c r="C68" s="14"/>
      <c r="D68" s="14"/>
      <c r="E68" s="14"/>
      <c r="F68" s="14"/>
      <c r="G68" s="14">
        <v>0.569808841358839</v>
      </c>
      <c r="H68" s="0" t="s">
        <v>46</v>
      </c>
      <c r="I68" s="5">
        <v>39625</v>
      </c>
      <c r="J68" s="0" t="s">
        <v>72</v>
      </c>
      <c r="K68" s="0" t="s">
        <v>84</v>
      </c>
    </row>
    <row r="69" outlineLevel="2">
      <c r="A69" s="12" t="s">
        <v>104</v>
      </c>
      <c r="B69" s="0" t="s">
        <v>71</v>
      </c>
      <c r="C69" s="14">
        <v>8.24189621874045</v>
      </c>
      <c r="D69" s="14"/>
      <c r="E69" s="14"/>
      <c r="F69" s="14"/>
      <c r="G69" s="14">
        <v>0</v>
      </c>
      <c r="H69" s="0" t="s">
        <v>46</v>
      </c>
      <c r="I69" s="5">
        <v>39625</v>
      </c>
      <c r="K69" s="0" t="s">
        <v>84</v>
      </c>
    </row>
    <row r="70" outlineLevel="2">
      <c r="A70" s="12" t="s">
        <v>105</v>
      </c>
      <c r="B70" s="0" t="s">
        <v>71</v>
      </c>
      <c r="C70" s="14">
        <v>1.41128150834799</v>
      </c>
      <c r="D70" s="14"/>
      <c r="E70" s="14"/>
      <c r="F70" s="14"/>
      <c r="G70" s="14">
        <v>0.119262353737541</v>
      </c>
      <c r="H70" s="0" t="s">
        <v>46</v>
      </c>
      <c r="I70" s="5">
        <v>39625</v>
      </c>
      <c r="K70" s="0" t="s">
        <v>80</v>
      </c>
    </row>
    <row r="71" outlineLevel="2">
      <c r="A71" s="12" t="s">
        <v>106</v>
      </c>
      <c r="B71" s="0" t="s">
        <v>71</v>
      </c>
      <c r="C71" s="14">
        <v>0.270896140921287</v>
      </c>
      <c r="D71" s="14"/>
      <c r="E71" s="14"/>
      <c r="F71" s="14"/>
      <c r="G71" s="14">
        <v>0.185519180514292</v>
      </c>
      <c r="H71" s="0" t="s">
        <v>46</v>
      </c>
      <c r="I71" s="5">
        <v>39625</v>
      </c>
      <c r="K71" s="0" t="s">
        <v>82</v>
      </c>
    </row>
    <row r="72" outlineLevel="2">
      <c r="A72" s="12" t="s">
        <v>107</v>
      </c>
      <c r="B72" s="0" t="s">
        <v>71</v>
      </c>
      <c r="C72" s="14">
        <v>28.7464994467382</v>
      </c>
      <c r="D72" s="14"/>
      <c r="E72" s="14"/>
      <c r="F72" s="14"/>
      <c r="G72" s="14">
        <v>0.331284243116071</v>
      </c>
      <c r="H72" s="0" t="s">
        <v>46</v>
      </c>
      <c r="I72" s="5">
        <v>39625</v>
      </c>
      <c r="K72" s="0" t="s">
        <v>82</v>
      </c>
    </row>
    <row r="73">
      <c r="I73" s="5"/>
    </row>
    <row r="74" s="1" customFormat="1"/>
  </sheetData>
  <mergeCells>
    <mergeCell ref="A9:A11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2:E42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</mergeCells>
  <dataValidations count="1">
    <dataValidation type="decimal" sqref="C27" errorStyle="stop" promptTitle="Enter moisture content" errorTitle="Invalid moisture content" prompt="Value should be between 0 and 100.&#10;Original value: 8.45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https://phyllis.nl/Biomass/View/3071</dc:description>
  <dcterms:created xsi:type="dcterms:W3CDTF">2026-03-17T06:16:29Z</dcterms:created>
  <dc:title>Phyllis2 #3071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