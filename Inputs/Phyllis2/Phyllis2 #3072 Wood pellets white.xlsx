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72 Wood pellets whi" sheetId="1" r:id="rId1"/>
  </sheets>
  <definedNames>
    <definedName name="w" localSheetId="0">IF(ISBLANK('Phyllis2 #3072 Wood pellets whi'!$C$28),#N/A,'Phyllis2 #3072 Wood pellets whi'!$C$28/100)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<sst xmlns="http://schemas.openxmlformats.org/spreadsheetml/2006/main" count="108" uniqueCount="108">
  <si>
    <t>Phyllis2</t>
  </si>
  <si>
    <t>https://phyllis.nl/Biomass/View/3072</t>
  </si>
  <si>
    <t>Wood pellets white (#3072)</t>
  </si>
  <si>
    <t>ID-number</t>
  </si>
  <si>
    <t>#3072</t>
  </si>
  <si>
    <t>Material</t>
  </si>
  <si>
    <t>Wood pellets white</t>
  </si>
  <si>
    <t>Alternative name</t>
  </si>
  <si>
    <t>Description</t>
  </si>
  <si>
    <t>biomassa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</si>
  <si>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</si>
  <si>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</si>
  <si>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</t>
  </si>
  <si>
    <t>NTA 8003 classification &gt; [100] hout &gt; [110] vers hout &gt; [119] overig vers hout</t>
  </si>
  <si>
    <t>Sample date</t>
  </si>
  <si>
    <t>Sample location</t>
  </si>
  <si>
    <t>Petten</t>
  </si>
  <si>
    <t>Sample lot size</t>
  </si>
  <si>
    <t>big bag</t>
  </si>
  <si>
    <t>Country</t>
  </si>
  <si>
    <t>Unknown</t>
  </si>
  <si>
    <t>Producer</t>
  </si>
  <si>
    <t>Labee, Netherlands</t>
  </si>
  <si>
    <t>Production date</t>
  </si>
  <si>
    <t>Submitter</t>
  </si>
  <si>
    <t>Pels, J.R.</t>
  </si>
  <si>
    <t>Submitter organisation</t>
  </si>
  <si>
    <t>Labee (Netherlands)</t>
  </si>
  <si>
    <t>Submission date</t>
  </si>
  <si>
    <t>Remarks</t>
  </si>
  <si>
    <t>B13251-2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</si>
  <si>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</si>
  <si>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</si>
  <si>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</si>
  <si>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</si>
  <si>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</si>
  <si>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</si>
  <si>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</si>
  <si>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</si>
  <si>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</si>
  <si>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</si>
  <si>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</si>
  <si>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</si>
  <si>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</si>
  <si>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</si>
  <si>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</si>
  <si>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</si>
  <si>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</si>
  <si>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</si>
  <si>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</si>
  <si>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</si>
  <si>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</si>
  <si>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</si>
  <si>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</si>
  <si>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</si>
  <si>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</si>
  <si>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</si>
  <si>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</si>
  <si>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</si>
  <si>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</si>
  <si>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</si>
  <si>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</si>
  <si>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</si>
  <si>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</si>
  <si>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</si>
  <si>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</si>
  <si>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</si>
  <si>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 (dry)</t>
  </si>
  <si>
    <t>&lt;5</t>
  </si>
  <si>
    <t>B.N203</t>
  </si>
  <si>
    <t>Chlorine (Cl)</t>
  </si>
  <si>
    <t>mg/kg</t>
  </si>
  <si>
    <t>CEN/TS 15289</t>
  </si>
  <si>
    <t>Fluorine (F)</t>
  </si>
  <si>
    <t>&lt;1</t>
  </si>
  <si>
    <t>Heating value</t>
  </si>
  <si>
    <t>HHVMilne</t>
  </si>
  <si>
    <t>MJ/kg</t>
  </si>
  <si>
    <t>Trace elements composition</t>
  </si>
  <si>
    <t>Aluminium (Al)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</si>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</sst>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38735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38735</v>
      </c>
    </row>
    <row r="18" outlineLevel="1">
      <c r="A18" s="7" t="s">
        <v>24</v>
      </c>
      <c r="B18" s="0" t="s">
        <v>25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6">
        <v>39909</v>
      </c>
    </row>
    <row r="21" outlineLevel="1">
      <c r="A21" s="7" t="s">
        <v>29</v>
      </c>
      <c r="B21" s="0" t="s">
        <v>30</v>
      </c>
    </row>
    <row r="22">
      <c r="A22" s="7"/>
    </row>
    <row r="23" s="1" customFormat="1">
      <c r="A23" s="9" t="s">
        <v>31</v>
      </c>
    </row>
    <row r="24" s="1" customFormat="1">
      <c r="A24" s="10" t="s">
        <v>32</v>
      </c>
      <c r="B24" s="10" t="s">
        <v>33</v>
      </c>
      <c r="C24" s="10" t="s">
        <v>34</v>
      </c>
      <c r="D24" s="10"/>
      <c r="E24" s="10"/>
      <c r="F24" s="10" t="s">
        <v>35</v>
      </c>
      <c r="G24" s="10" t="s">
        <v>36</v>
      </c>
      <c r="H24" s="10" t="s">
        <v>37</v>
      </c>
      <c r="I24" s="10" t="s">
        <v>38</v>
      </c>
      <c r="J24" s="10" t="s">
        <v>39</v>
      </c>
      <c r="K24" s="10" t="s">
        <v>29</v>
      </c>
      <c r="L24" s="10"/>
    </row>
    <row r="25" s="1" customFormat="1">
      <c r="A25" s="10"/>
      <c r="B25" s="10"/>
      <c r="C25" s="10" t="s">
        <v>40</v>
      </c>
      <c r="D25" s="10" t="s">
        <v>41</v>
      </c>
      <c r="E25" s="10" t="s">
        <v>42</v>
      </c>
      <c r="F25" s="10"/>
      <c r="G25" s="10"/>
      <c r="H25" s="10"/>
      <c r="I25" s="10"/>
      <c r="J25" s="10"/>
      <c r="K25" s="10"/>
      <c r="L25" s="10"/>
    </row>
    <row r="26">
      <c r="A26" s="7" t="s">
        <v>43</v>
      </c>
      <c r="I26" s="5"/>
    </row>
    <row r="27" outlineLevel="1">
      <c r="A27" s="11" t="s">
        <v>44</v>
      </c>
      <c r="I27" s="5"/>
    </row>
    <row r="28" outlineLevel="2">
      <c r="A28" s="12" t="s">
        <v>45</v>
      </c>
      <c r="B28" s="0" t="s">
        <v>46</v>
      </c>
      <c r="C28" s="13">
        <v>7.83</v>
      </c>
      <c r="D28" s="13"/>
      <c r="E28" s="13"/>
      <c r="F28" s="13"/>
      <c r="G28" s="13">
        <v>1</v>
      </c>
      <c r="H28" s="0" t="s">
        <v>47</v>
      </c>
      <c r="I28" s="5">
        <v>38763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46</v>
      </c>
      <c r="C29" s="13">
        <f>IFERROR(0.31*(1-w),"")</f>
        <v>0.285727</v>
      </c>
      <c r="D29" s="13">
        <v>0.31</v>
      </c>
      <c r="E29" s="13">
        <v/>
      </c>
      <c r="F29" s="13"/>
      <c r="G29" s="13">
        <v>1</v>
      </c>
      <c r="H29" s="0" t="s">
        <v>47</v>
      </c>
      <c r="I29" s="5">
        <v>38763</v>
      </c>
      <c r="J29" s="0" t="s">
        <v>50</v>
      </c>
      <c r="K29" s="0" t="s">
        <v>50</v>
      </c>
    </row>
    <row r="30" outlineLevel="2">
      <c r="A30" s="12" t="s">
        <v>51</v>
      </c>
      <c r="B30" s="0" t="s">
        <v>46</v>
      </c>
      <c r="C30" s="13">
        <f>IFERROR(0.25*(1-w),"")</f>
        <v>0.230425</v>
      </c>
      <c r="D30" s="13">
        <v>0.25</v>
      </c>
      <c r="E30" s="13">
        <v/>
      </c>
      <c r="F30" s="13"/>
      <c r="G30" s="13">
        <v>1</v>
      </c>
      <c r="H30" s="0" t="s">
        <v>47</v>
      </c>
      <c r="I30" s="5">
        <v>38763</v>
      </c>
      <c r="K30" s="0" t="s">
        <v>50</v>
      </c>
    </row>
    <row r="31" outlineLevel="2">
      <c r="A31" s="12" t="s">
        <v>52</v>
      </c>
      <c r="B31" s="0" t="s">
        <v>46</v>
      </c>
      <c r="C31" s="13">
        <f>IFERROR(82.635*(1-w),"")</f>
        <v>76.1646795</v>
      </c>
      <c r="D31" s="13">
        <v>82.635</v>
      </c>
      <c r="E31" s="13">
        <v>82.891965091784542</v>
      </c>
      <c r="F31" s="13">
        <v>0.21</v>
      </c>
      <c r="G31" s="13">
        <v>1</v>
      </c>
      <c r="H31" s="0" t="s">
        <v>47</v>
      </c>
      <c r="I31" s="5">
        <v>38763</v>
      </c>
    </row>
    <row r="32" outlineLevel="2">
      <c r="A32" s="12" t="s">
        <v>53</v>
      </c>
      <c r="B32" s="0" t="s">
        <v>46</v>
      </c>
      <c r="C32" s="13">
        <f>IFERROR(17.055*(1-w),"")</f>
        <v>15.719593499999993</v>
      </c>
      <c r="D32" s="13">
        <v>17.054999999999993</v>
      </c>
      <c r="E32" s="13">
        <v>17.108034908215462</v>
      </c>
      <c r="F32" s="13"/>
      <c r="G32" s="13"/>
      <c r="I32" s="5"/>
      <c r="J32" s="0" t="s">
        <v>54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46</v>
      </c>
      <c r="C34" s="13">
        <f>IFERROR(50.66*(1-w),"")</f>
        <v>46.693321999999995</v>
      </c>
      <c r="D34" s="13">
        <v>50.66</v>
      </c>
      <c r="E34" s="13">
        <v>50.817534356505163</v>
      </c>
      <c r="F34" s="13">
        <v>0.08</v>
      </c>
      <c r="G34" s="13">
        <v>0.1</v>
      </c>
      <c r="H34" s="0" t="s">
        <v>47</v>
      </c>
      <c r="I34" s="5">
        <v>38768</v>
      </c>
      <c r="J34" s="0" t="s">
        <v>57</v>
      </c>
      <c r="K34" s="0" t="s">
        <v>57</v>
      </c>
    </row>
    <row r="35" outlineLevel="2">
      <c r="A35" s="12" t="s">
        <v>58</v>
      </c>
      <c r="B35" s="0" t="s">
        <v>46</v>
      </c>
      <c r="C35" s="13">
        <f>IFERROR(6.33*(1-w),"")</f>
        <v>5.8343609999999995</v>
      </c>
      <c r="D35" s="13">
        <v>6.33</v>
      </c>
      <c r="E35" s="13">
        <v>6.3496840204634371</v>
      </c>
      <c r="F35" s="13">
        <v>0.67</v>
      </c>
      <c r="G35" s="13">
        <v>0.1</v>
      </c>
      <c r="H35" s="0" t="s">
        <v>47</v>
      </c>
      <c r="I35" s="5">
        <v>38768</v>
      </c>
      <c r="J35" s="0" t="s">
        <v>57</v>
      </c>
      <c r="K35" s="0" t="s">
        <v>57</v>
      </c>
    </row>
    <row r="36" outlineLevel="2">
      <c r="A36" s="12" t="s">
        <v>59</v>
      </c>
      <c r="B36" s="0" t="s">
        <v>46</v>
      </c>
      <c r="C36" s="13">
        <f>IFERROR(44.23*(1-w),"")</f>
        <v>40.766791</v>
      </c>
      <c r="D36" s="13">
        <v>44.23</v>
      </c>
      <c r="E36" s="13">
        <v>44.367539372053365</v>
      </c>
      <c r="F36" s="13">
        <v>0.03</v>
      </c>
      <c r="G36" s="13">
        <v>0.1</v>
      </c>
      <c r="H36" s="0" t="s">
        <v>47</v>
      </c>
      <c r="I36" s="5">
        <v>38765</v>
      </c>
      <c r="K36" s="0" t="s">
        <v>60</v>
      </c>
    </row>
    <row r="37" outlineLevel="2">
      <c r="A37" s="12" t="s">
        <v>61</v>
      </c>
      <c r="B37" s="0" t="s">
        <v>46</v>
      </c>
      <c r="C37" s="13">
        <f>IFERROR(0.08*(1-w),"")</f>
        <v>0.073736</v>
      </c>
      <c r="D37" s="13">
        <v>0.08</v>
      </c>
      <c r="E37" s="13">
        <v>0.08024877119069114</v>
      </c>
      <c r="F37" s="13"/>
      <c r="G37" s="13">
        <v>0.1</v>
      </c>
      <c r="H37" s="0" t="s">
        <v>47</v>
      </c>
      <c r="I37" s="5">
        <v>38768</v>
      </c>
      <c r="J37" s="0" t="s">
        <v>57</v>
      </c>
      <c r="K37" s="0" t="s">
        <v>57</v>
      </c>
    </row>
    <row r="38" outlineLevel="2">
      <c r="A38" s="12" t="s">
        <v>62</v>
      </c>
      <c r="B38" s="0" t="s">
        <v>46</v>
      </c>
      <c r="C38" s="13">
        <f>IFERROR(0.00545188238672078*(1-w),"")</f>
        <v>0.0050249999958405433</v>
      </c>
      <c r="D38" s="13">
        <v>0.00545188238672078</v>
      </c>
      <c r="E38" s="13">
        <v>0.0054688357776314376</v>
      </c>
      <c r="F38" s="13">
        <v>1.18</v>
      </c>
      <c r="G38" s="13">
        <v>0.000606488010781476</v>
      </c>
      <c r="H38" s="0" t="s">
        <v>47</v>
      </c>
      <c r="I38" s="5">
        <v>38789</v>
      </c>
      <c r="J38" s="0" t="s">
        <v>63</v>
      </c>
      <c r="K38" s="0" t="s">
        <v>57</v>
      </c>
    </row>
    <row r="39" outlineLevel="2">
      <c r="A39" s="12" t="s">
        <v>64</v>
      </c>
      <c r="B39" s="0" t="s">
        <v>46</v>
      </c>
      <c r="C39" s="13">
        <f>IFERROR(101.618051882387*(1-w)+w*100,"")</f>
        <v>101.49135841999583</v>
      </c>
      <c r="D39" s="13">
        <v>101.61805188238672</v>
      </c>
      <c r="E39" s="13">
        <v>101.62308344105399</v>
      </c>
      <c r="F39" s="13"/>
      <c r="G39" s="13"/>
      <c r="I39" s="5"/>
      <c r="J39" s="0" t="s">
        <v>54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4" t="s">
        <v>68</v>
      </c>
      <c r="D41" s="14"/>
      <c r="E41" s="14"/>
      <c r="F41" s="14"/>
      <c r="G41" s="14">
        <v>5</v>
      </c>
      <c r="H41" s="0" t="s">
        <v>47</v>
      </c>
      <c r="I41" s="5">
        <v>38769</v>
      </c>
      <c r="K41" s="0" t="s">
        <v>69</v>
      </c>
    </row>
    <row r="42" outlineLevel="2">
      <c r="A42" s="12" t="s">
        <v>70</v>
      </c>
      <c r="B42" s="0" t="s">
        <v>71</v>
      </c>
      <c r="C42" s="14">
        <f>IFERROR(26*(1-w),"")</f>
        <v>23.964199999999998</v>
      </c>
      <c r="D42" s="14">
        <v>26</v>
      </c>
      <c r="E42" s="14">
        <v>26.08085063697462</v>
      </c>
      <c r="F42" s="14"/>
      <c r="G42" s="14">
        <v>15</v>
      </c>
      <c r="H42" s="0" t="s">
        <v>47</v>
      </c>
      <c r="I42" s="5">
        <v>38769</v>
      </c>
      <c r="J42" s="0" t="s">
        <v>72</v>
      </c>
      <c r="K42" s="0" t="s">
        <v>72</v>
      </c>
    </row>
    <row r="43" outlineLevel="2">
      <c r="A43" s="12" t="s">
        <v>73</v>
      </c>
      <c r="B43" s="0" t="s">
        <v>67</v>
      </c>
      <c r="C43" s="14" t="s">
        <v>74</v>
      </c>
      <c r="D43" s="14"/>
      <c r="E43" s="14"/>
      <c r="F43" s="14"/>
      <c r="G43" s="14">
        <v>1</v>
      </c>
      <c r="H43" s="0" t="s">
        <v>47</v>
      </c>
      <c r="I43" s="5">
        <v>38772</v>
      </c>
      <c r="K43" s="0" t="s">
        <v>69</v>
      </c>
    </row>
    <row r="44" outlineLevel="1">
      <c r="A44" s="11" t="s">
        <v>75</v>
      </c>
      <c r="I44" s="5"/>
    </row>
    <row r="45" outlineLevel="2">
      <c r="A45" s="12" t="s">
        <v>76</v>
      </c>
      <c r="B45" s="0" t="s">
        <v>77</v>
      </c>
      <c r="C45" s="13">
        <f>IFERROR(20.3217657024317*(1-w),"")</f>
        <v>18.730571447931325</v>
      </c>
      <c r="D45" s="13">
        <v>20.32176570243173</v>
      </c>
      <c r="E45" s="13">
        <v>20.384959075565984</v>
      </c>
      <c r="F45" s="13"/>
      <c r="G45" s="13"/>
      <c r="I45" s="5"/>
      <c r="J45" s="0" t="s">
        <v>54</v>
      </c>
    </row>
    <row r="46" outlineLevel="1">
      <c r="A46" s="11" t="s">
        <v>78</v>
      </c>
      <c r="I46" s="5"/>
    </row>
    <row r="47" outlineLevel="2">
      <c r="A47" s="12" t="s">
        <v>79</v>
      </c>
      <c r="B47" s="0" t="s">
        <v>67</v>
      </c>
      <c r="C47" s="14">
        <v>35.548443064857</v>
      </c>
      <c r="D47" s="14"/>
      <c r="E47" s="14"/>
      <c r="F47" s="14">
        <v>2.57</v>
      </c>
      <c r="G47" s="14">
        <v>0.130194206250048</v>
      </c>
      <c r="H47" s="0" t="s">
        <v>47</v>
      </c>
      <c r="I47" s="5">
        <v>38789</v>
      </c>
      <c r="K47" s="0" t="s">
        <v>80</v>
      </c>
    </row>
    <row r="48" outlineLevel="2">
      <c r="A48" s="12" t="s">
        <v>81</v>
      </c>
      <c r="B48" s="0" t="s">
        <v>67</v>
      </c>
      <c r="C48" s="14">
        <v>1.53520668203182</v>
      </c>
      <c r="D48" s="14"/>
      <c r="E48" s="14"/>
      <c r="F48" s="14">
        <v>164.41</v>
      </c>
      <c r="G48" s="14">
        <v>2.90767060625108</v>
      </c>
      <c r="H48" s="0" t="s">
        <v>47</v>
      </c>
      <c r="I48" s="5">
        <v>38789</v>
      </c>
      <c r="K48" s="0" t="s">
        <v>82</v>
      </c>
    </row>
    <row r="49" outlineLevel="2">
      <c r="A49" s="12" t="s">
        <v>83</v>
      </c>
      <c r="B49" s="0" t="s">
        <v>67</v>
      </c>
      <c r="C49" s="14">
        <v>2.59845936640722</v>
      </c>
      <c r="D49" s="14"/>
      <c r="E49" s="14"/>
      <c r="F49" s="14">
        <v>4.43</v>
      </c>
      <c r="G49" s="14">
        <v>0.0976456546875364</v>
      </c>
      <c r="H49" s="0" t="s">
        <v>47</v>
      </c>
      <c r="I49" s="5">
        <v>38789</v>
      </c>
      <c r="K49" s="0" t="s">
        <v>84</v>
      </c>
    </row>
    <row r="50" outlineLevel="2">
      <c r="A50" s="12" t="s">
        <v>85</v>
      </c>
      <c r="B50" s="0" t="s">
        <v>67</v>
      </c>
      <c r="C50" s="14">
        <v>10.5999782921914</v>
      </c>
      <c r="D50" s="14"/>
      <c r="E50" s="14"/>
      <c r="F50" s="14">
        <v>0.29</v>
      </c>
      <c r="G50" s="14">
        <v>0.0433980687500162</v>
      </c>
      <c r="H50" s="0" t="s">
        <v>47</v>
      </c>
      <c r="I50" s="5">
        <v>38789</v>
      </c>
      <c r="K50" s="0" t="s">
        <v>82</v>
      </c>
    </row>
    <row r="51" outlineLevel="2">
      <c r="A51" s="12" t="s">
        <v>86</v>
      </c>
      <c r="B51" s="0" t="s">
        <v>67</v>
      </c>
      <c r="C51" s="14">
        <v>911.120754372214</v>
      </c>
      <c r="D51" s="14"/>
      <c r="E51" s="14"/>
      <c r="F51" s="14">
        <v>1.03</v>
      </c>
      <c r="G51" s="14">
        <v>0.867961375000323</v>
      </c>
      <c r="H51" s="0" t="s">
        <v>47</v>
      </c>
      <c r="I51" s="5">
        <v>38789</v>
      </c>
      <c r="K51" s="0" t="s">
        <v>80</v>
      </c>
    </row>
    <row r="52" outlineLevel="2">
      <c r="A52" s="12" t="s">
        <v>87</v>
      </c>
      <c r="B52" s="0" t="s">
        <v>67</v>
      </c>
      <c r="C52" s="14">
        <v>0.0596723445312722</v>
      </c>
      <c r="D52" s="14"/>
      <c r="E52" s="14"/>
      <c r="F52" s="14">
        <v>12.86</v>
      </c>
      <c r="G52" s="14">
        <v>0.227839860937585</v>
      </c>
      <c r="H52" s="0" t="s">
        <v>47</v>
      </c>
      <c r="I52" s="5">
        <v>38789</v>
      </c>
      <c r="K52" s="0" t="s">
        <v>82</v>
      </c>
    </row>
    <row r="53" outlineLevel="2">
      <c r="A53" s="12" t="s">
        <v>88</v>
      </c>
      <c r="B53" s="0" t="s">
        <v>67</v>
      </c>
      <c r="C53" s="14">
        <v>0.222415102343833</v>
      </c>
      <c r="D53" s="14"/>
      <c r="E53" s="14"/>
      <c r="F53" s="14">
        <v>17.25</v>
      </c>
      <c r="G53" s="14">
        <v>0.596723445312722</v>
      </c>
      <c r="H53" s="0" t="s">
        <v>47</v>
      </c>
      <c r="I53" s="5">
        <v>38789</v>
      </c>
      <c r="K53" s="0" t="s">
        <v>82</v>
      </c>
    </row>
    <row r="54" outlineLevel="2">
      <c r="A54" s="12" t="s">
        <v>89</v>
      </c>
      <c r="B54" s="0" t="s">
        <v>67</v>
      </c>
      <c r="C54" s="14">
        <v>-0.0216990343750081</v>
      </c>
      <c r="D54" s="14"/>
      <c r="E54" s="14"/>
      <c r="F54" s="14">
        <v>-636.4</v>
      </c>
      <c r="G54" s="14">
        <v>0.650971031250242</v>
      </c>
      <c r="H54" s="0" t="s">
        <v>47</v>
      </c>
      <c r="I54" s="5">
        <v>38789</v>
      </c>
      <c r="K54" s="0" t="s">
        <v>82</v>
      </c>
    </row>
    <row r="55" outlineLevel="2">
      <c r="A55" s="12" t="s">
        <v>90</v>
      </c>
      <c r="B55" s="0" t="s">
        <v>67</v>
      </c>
      <c r="C55" s="14">
        <v>0.824563306250307</v>
      </c>
      <c r="D55" s="14"/>
      <c r="E55" s="14"/>
      <c r="F55" s="14"/>
      <c r="G55" s="14">
        <v>0.303786481250113</v>
      </c>
      <c r="H55" s="0" t="s">
        <v>47</v>
      </c>
      <c r="I55" s="5">
        <v>38789</v>
      </c>
      <c r="K55" s="0" t="s">
        <v>82</v>
      </c>
    </row>
    <row r="56" outlineLevel="2">
      <c r="A56" s="12" t="s">
        <v>91</v>
      </c>
      <c r="B56" s="0" t="s">
        <v>67</v>
      </c>
      <c r="C56" s="14">
        <v>24.0805033976652</v>
      </c>
      <c r="D56" s="14"/>
      <c r="E56" s="14"/>
      <c r="F56" s="14">
        <v>2.64</v>
      </c>
      <c r="G56" s="14">
        <v>0.553325376562706</v>
      </c>
      <c r="H56" s="0" t="s">
        <v>47</v>
      </c>
      <c r="I56" s="5">
        <v>38789</v>
      </c>
      <c r="K56" s="0" t="s">
        <v>80</v>
      </c>
    </row>
    <row r="57" outlineLevel="2">
      <c r="A57" s="12" t="s">
        <v>92</v>
      </c>
      <c r="B57" s="0" t="s">
        <v>67</v>
      </c>
      <c r="C57" s="14">
        <v>409.222089278277</v>
      </c>
      <c r="D57" s="14"/>
      <c r="E57" s="14"/>
      <c r="F57" s="14">
        <v>1.05</v>
      </c>
      <c r="G57" s="14">
        <v>5.28371487031447</v>
      </c>
      <c r="H57" s="0" t="s">
        <v>47</v>
      </c>
      <c r="I57" s="5">
        <v>38789</v>
      </c>
      <c r="K57" s="0" t="s">
        <v>80</v>
      </c>
    </row>
    <row r="58" outlineLevel="2">
      <c r="A58" s="12" t="s">
        <v>93</v>
      </c>
      <c r="B58" s="0" t="s">
        <v>67</v>
      </c>
      <c r="C58" s="14">
        <v>168.341108681313</v>
      </c>
      <c r="D58" s="14"/>
      <c r="E58" s="14"/>
      <c r="F58" s="14">
        <v>0.51</v>
      </c>
      <c r="G58" s="14">
        <v>0.368883584375137</v>
      </c>
      <c r="H58" s="0" t="s">
        <v>47</v>
      </c>
      <c r="I58" s="5">
        <v>38789</v>
      </c>
      <c r="K58" s="0" t="s">
        <v>80</v>
      </c>
    </row>
    <row r="59" outlineLevel="2">
      <c r="A59" s="12" t="s">
        <v>94</v>
      </c>
      <c r="B59" s="0" t="s">
        <v>67</v>
      </c>
      <c r="C59" s="14">
        <v>92.7959205047221</v>
      </c>
      <c r="D59" s="14"/>
      <c r="E59" s="14"/>
      <c r="F59" s="14">
        <v>1.01</v>
      </c>
      <c r="G59" s="14">
        <v>0.0867961375000323</v>
      </c>
      <c r="H59" s="0" t="s">
        <v>47</v>
      </c>
      <c r="I59" s="5">
        <v>38789</v>
      </c>
      <c r="K59" s="0" t="s">
        <v>82</v>
      </c>
    </row>
    <row r="60" outlineLevel="2">
      <c r="A60" s="12" t="s">
        <v>95</v>
      </c>
      <c r="B60" s="0" t="s">
        <v>67</v>
      </c>
      <c r="C60" s="14">
        <v>-1.00358033984412</v>
      </c>
      <c r="D60" s="14"/>
      <c r="E60" s="14"/>
      <c r="F60" s="14">
        <v>-25.23</v>
      </c>
      <c r="G60" s="14">
        <v>1.41043723437553</v>
      </c>
      <c r="H60" s="0" t="s">
        <v>47</v>
      </c>
      <c r="I60" s="5">
        <v>38789</v>
      </c>
      <c r="K60" s="0" t="s">
        <v>82</v>
      </c>
    </row>
    <row r="61" outlineLevel="2">
      <c r="A61" s="12" t="s">
        <v>96</v>
      </c>
      <c r="B61" s="0" t="s">
        <v>67</v>
      </c>
      <c r="C61" s="14">
        <v>31.9084300484494</v>
      </c>
      <c r="D61" s="14"/>
      <c r="E61" s="14"/>
      <c r="F61" s="14">
        <v>3.13</v>
      </c>
      <c r="G61" s="14">
        <v>0.173592275000065</v>
      </c>
      <c r="H61" s="0" t="s">
        <v>47</v>
      </c>
      <c r="I61" s="5">
        <v>38789</v>
      </c>
      <c r="K61" s="0" t="s">
        <v>80</v>
      </c>
    </row>
    <row r="62" outlineLevel="2">
      <c r="A62" s="12" t="s">
        <v>97</v>
      </c>
      <c r="B62" s="0" t="s">
        <v>67</v>
      </c>
      <c r="C62" s="14">
        <v>-0.010849517187504</v>
      </c>
      <c r="D62" s="14"/>
      <c r="E62" s="14"/>
      <c r="F62" s="14">
        <v>-2121.32</v>
      </c>
      <c r="G62" s="14">
        <v>0.889660409375331</v>
      </c>
      <c r="H62" s="0" t="s">
        <v>47</v>
      </c>
      <c r="I62" s="5">
        <v>38789</v>
      </c>
      <c r="K62" s="0" t="s">
        <v>82</v>
      </c>
    </row>
    <row r="63" outlineLevel="2">
      <c r="A63" s="12" t="s">
        <v>98</v>
      </c>
      <c r="B63" s="0" t="s">
        <v>67</v>
      </c>
      <c r="C63" s="14">
        <v>22.1221655453207</v>
      </c>
      <c r="D63" s="14"/>
      <c r="E63" s="14"/>
      <c r="F63" s="14">
        <v>7.28</v>
      </c>
      <c r="G63" s="14">
        <v>13.3123575890675</v>
      </c>
      <c r="H63" s="0" t="s">
        <v>47</v>
      </c>
      <c r="I63" s="5">
        <v>38789</v>
      </c>
      <c r="K63" s="0" t="s">
        <v>80</v>
      </c>
    </row>
    <row r="64" outlineLevel="2">
      <c r="A64" s="12" t="s">
        <v>99</v>
      </c>
      <c r="B64" s="0" t="s">
        <v>67</v>
      </c>
      <c r="C64" s="14">
        <v>-0.558750135156458</v>
      </c>
      <c r="D64" s="14"/>
      <c r="E64" s="14"/>
      <c r="F64" s="14">
        <v>-105.72</v>
      </c>
      <c r="G64" s="14">
        <v>1.99631116250074</v>
      </c>
      <c r="H64" s="0" t="s">
        <v>47</v>
      </c>
      <c r="I64" s="5">
        <v>38789</v>
      </c>
      <c r="K64" s="0" t="s">
        <v>82</v>
      </c>
    </row>
    <row r="65" outlineLevel="2">
      <c r="A65" s="12" t="s">
        <v>100</v>
      </c>
      <c r="B65" s="0" t="s">
        <v>67</v>
      </c>
      <c r="C65" s="14">
        <v>0.905934685156587</v>
      </c>
      <c r="D65" s="14"/>
      <c r="E65" s="14"/>
      <c r="F65" s="14">
        <v>12.7</v>
      </c>
      <c r="G65" s="14">
        <v>1.32364109687549</v>
      </c>
      <c r="H65" s="0" t="s">
        <v>47</v>
      </c>
      <c r="I65" s="5">
        <v>38789</v>
      </c>
      <c r="K65" s="0" t="s">
        <v>84</v>
      </c>
    </row>
    <row r="66" outlineLevel="2">
      <c r="A66" s="12" t="s">
        <v>101</v>
      </c>
      <c r="B66" s="0" t="s">
        <v>67</v>
      </c>
      <c r="C66" s="14">
        <v>0.233264619531337</v>
      </c>
      <c r="D66" s="14"/>
      <c r="E66" s="14"/>
      <c r="F66" s="14">
        <v>207.2</v>
      </c>
      <c r="G66" s="14">
        <v>2.86427253750107</v>
      </c>
      <c r="H66" s="0" t="s">
        <v>47</v>
      </c>
      <c r="I66" s="5">
        <v>38789</v>
      </c>
      <c r="K66" s="0" t="s">
        <v>82</v>
      </c>
    </row>
    <row r="67" outlineLevel="2">
      <c r="A67" s="12" t="s">
        <v>102</v>
      </c>
      <c r="B67" s="0" t="s">
        <v>67</v>
      </c>
      <c r="C67" s="14">
        <v>115.004882187543</v>
      </c>
      <c r="D67" s="14"/>
      <c r="E67" s="14"/>
      <c r="F67" s="14">
        <v>4.16</v>
      </c>
      <c r="G67" s="14">
        <v>11.0990560828166</v>
      </c>
      <c r="H67" s="0" t="s">
        <v>47</v>
      </c>
      <c r="I67" s="5">
        <v>38789</v>
      </c>
      <c r="K67" s="0" t="s">
        <v>80</v>
      </c>
    </row>
    <row r="68" outlineLevel="2">
      <c r="A68" s="12" t="s">
        <v>103</v>
      </c>
      <c r="B68" s="0" t="s">
        <v>67</v>
      </c>
      <c r="C68" s="14">
        <v>0.0542475859375202</v>
      </c>
      <c r="D68" s="14"/>
      <c r="E68" s="14"/>
      <c r="F68" s="14">
        <v>480.83</v>
      </c>
      <c r="G68" s="14">
        <v>0.846262340625315</v>
      </c>
      <c r="H68" s="0" t="s">
        <v>47</v>
      </c>
      <c r="I68" s="5">
        <v>38789</v>
      </c>
      <c r="K68" s="0" t="s">
        <v>84</v>
      </c>
    </row>
    <row r="69" outlineLevel="2">
      <c r="A69" s="12" t="s">
        <v>104</v>
      </c>
      <c r="B69" s="0" t="s">
        <v>67</v>
      </c>
      <c r="C69" s="14">
        <v>5.32168818047073</v>
      </c>
      <c r="D69" s="14"/>
      <c r="E69" s="14"/>
      <c r="F69" s="14">
        <v>1.3</v>
      </c>
      <c r="G69" s="14">
        <v>0.0325485515625121</v>
      </c>
      <c r="H69" s="0" t="s">
        <v>47</v>
      </c>
      <c r="I69" s="5">
        <v>38789</v>
      </c>
      <c r="K69" s="0" t="s">
        <v>84</v>
      </c>
    </row>
    <row r="70" outlineLevel="2">
      <c r="A70" s="12" t="s">
        <v>105</v>
      </c>
      <c r="B70" s="0" t="s">
        <v>67</v>
      </c>
      <c r="C70" s="14">
        <v>2.64728219375099</v>
      </c>
      <c r="D70" s="14"/>
      <c r="E70" s="14"/>
      <c r="F70" s="14">
        <v>41.73</v>
      </c>
      <c r="G70" s="14">
        <v>0.130194206250048</v>
      </c>
      <c r="H70" s="0" t="s">
        <v>47</v>
      </c>
      <c r="I70" s="5">
        <v>38789</v>
      </c>
      <c r="K70" s="0" t="s">
        <v>80</v>
      </c>
    </row>
    <row r="71" outlineLevel="2">
      <c r="A71" s="12" t="s">
        <v>106</v>
      </c>
      <c r="B71" s="0" t="s">
        <v>67</v>
      </c>
      <c r="C71" s="14">
        <v>-0.0271237929687601</v>
      </c>
      <c r="D71" s="14"/>
      <c r="E71" s="14"/>
      <c r="F71" s="14">
        <v>-141.42</v>
      </c>
      <c r="G71" s="14">
        <v>0.206140826562577</v>
      </c>
      <c r="H71" s="0" t="s">
        <v>47</v>
      </c>
      <c r="I71" s="5">
        <v>38789</v>
      </c>
      <c r="K71" s="0" t="s">
        <v>82</v>
      </c>
    </row>
    <row r="72" outlineLevel="2">
      <c r="A72" s="12" t="s">
        <v>107</v>
      </c>
      <c r="B72" s="0" t="s">
        <v>67</v>
      </c>
      <c r="C72" s="14">
        <v>10.9688618765666</v>
      </c>
      <c r="D72" s="14"/>
      <c r="E72" s="14"/>
      <c r="F72" s="14">
        <v>0.28</v>
      </c>
      <c r="G72" s="14">
        <v>0.206140826562577</v>
      </c>
      <c r="H72" s="0" t="s">
        <v>47</v>
      </c>
      <c r="I72" s="5">
        <v>38789</v>
      </c>
      <c r="K72" s="0" t="s">
        <v>82</v>
      </c>
    </row>
    <row r="73">
      <c r="I73" s="5"/>
    </row>
    <row r="74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1:E41"/>
    <mergeCell ref="C43:E43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8" errorStyle="stop" promptTitle="Enter moisture content" errorTitle="Invalid moisture content" prompt="Value should be between 0 and 100.&#10;Original value: 7.8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https://phyllis.nl/Biomass/View/3072</dc:description>
  <dcterms:created xsi:type="dcterms:W3CDTF">2026-03-19T07:33:26Z</dcterms:created>
  <dc:title>Phyllis2 #3072 Wood pellets white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