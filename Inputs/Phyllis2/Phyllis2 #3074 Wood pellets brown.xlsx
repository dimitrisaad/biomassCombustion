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74 Wood pellets bro" sheetId="1" r:id="rId1"/>
  </sheets>
  <definedNames>
    <definedName name="w" localSheetId="0">IF(ISBLANK('Phyllis2 #3074 Wood pellets bro'!$C$28),#N/A,'Phyllis2 #3074 Wood pellets bro'!$C$28/100)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<sst xmlns="http://schemas.openxmlformats.org/spreadsheetml/2006/main" count="106" uniqueCount="106">
  <si>
    <t>Phyllis2</t>
  </si>
  <si>
    <t>https://phyllis.nl/Biomass/View/3074</t>
  </si>
  <si>
    <t>Wood pellets brown (#3074)</t>
  </si>
  <si>
    <t>ID-number</t>
  </si>
  <si>
    <t>#3074</t>
  </si>
  <si>
    <t>Material</t>
  </si>
  <si>
    <t>Wood pellets brown</t>
  </si>
  <si>
    <t>Alternative name</t>
  </si>
  <si>
    <t>Description</t>
  </si>
  <si>
    <t>biomassa</t>
  </si>
  <si>
    <t>Classification</t>
  </si>
  <si>
    <t>CEN/TS 14961 classification &gt; Solid biofuels &gt; Woody biomass &gt; Wood processing industry &gt; Chemically untreated wood residues &gt; Without bark</t>
  </si>
  <si>
    <t>ECN Phyllis classification &gt; untreated wood</t>
  </si>
  <si>
    <t>NTA 8003 classification &gt; [100] hout &gt; [110] vers hout &gt; [119] overig vers hout</t>
  </si>
  <si>
    <t>Sample date</t>
  </si>
  <si>
    <t>Sample location</t>
  </si>
  <si>
    <t>Petten</t>
  </si>
  <si>
    <t>Sample lot size</t>
  </si>
  <si>
    <t>big bag</t>
  </si>
  <si>
    <t>Country</t>
  </si>
  <si>
    <t>Unknown</t>
  </si>
  <si>
    <t>Producer</t>
  </si>
  <si>
    <t>Labee, Netherlands</t>
  </si>
  <si>
    <t>Production date</t>
  </si>
  <si>
    <t>Submitter</t>
  </si>
  <si>
    <t>Pels, J.R.</t>
  </si>
  <si>
    <t>Submitter organisation</t>
  </si>
  <si>
    <t>Labee (Netherlands)</t>
  </si>
  <si>
    <t>Submission date</t>
  </si>
  <si>
    <t>Remarks</t>
  </si>
  <si>
    <t>b13251-4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</si>
  <si>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</si>
  <si>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</si>
  <si>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</si>
  <si>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</si>
  <si>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</si>
  <si>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</si>
  <si>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</si>
  <si>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</si>
  <si>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</si>
  <si>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</si>
  <si>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</si>
  <si>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</si>
  <si>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</si>
  <si>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</si>
  <si>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</si>
  <si>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</si>
  <si>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</si>
  <si>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</si>
  <si>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</si>
  <si>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</si>
  <si>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</si>
  <si>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</si>
  <si>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</si>
  <si>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</si>
  <si>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</si>
  <si>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</si>
  <si>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</si>
  <si>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</si>
  <si>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</si>
  <si>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B.N213</t>
  </si>
  <si>
    <t>Nitrogen</t>
  </si>
  <si>
    <t>Sulphur</t>
  </si>
  <si>
    <t>CEN/TS15289</t>
  </si>
  <si>
    <t>Total (with halides)</t>
  </si>
  <si>
    <t>Halides</t>
  </si>
  <si>
    <t>Bromine (Br)</t>
  </si>
  <si>
    <t>mg/kg</t>
  </si>
  <si>
    <t>B.N203</t>
  </si>
  <si>
    <t>Chlorine (Cl)</t>
  </si>
  <si>
    <t>CEN/TS 15289</t>
  </si>
  <si>
    <t>Fluorine (F)</t>
  </si>
  <si>
    <t>Heating value</t>
  </si>
  <si>
    <t>HHVMilne</t>
  </si>
  <si>
    <t>MJ/kg</t>
  </si>
  <si>
    <t>Trace elements composition</t>
  </si>
  <si>
    <t>Aluminium (Al)</t>
  </si>
  <si>
    <t>mg/kg (dry)</t>
  </si>
  <si>
    <t>CEN/TS 15290</t>
  </si>
  <si>
    <t>Arsenic (As)</t>
  </si>
  <si>
    <t>CEN/TS 15297</t>
  </si>
  <si>
    <t>Boron (B)</t>
  </si>
  <si>
    <t>B.S221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</si>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</sst>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7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7" t="s">
        <v>8</v>
      </c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8"/>
      <c r="B10" s="0" t="s">
        <v>12</v>
      </c>
    </row>
    <row r="11" outlineLevel="1">
      <c r="A11" s="8"/>
      <c r="B11" s="0" t="s">
        <v>13</v>
      </c>
    </row>
    <row r="12" outlineLevel="1">
      <c r="A12" s="7" t="s">
        <v>14</v>
      </c>
      <c r="B12" s="6">
        <v>38735</v>
      </c>
    </row>
    <row r="13" outlineLevel="1">
      <c r="A13" s="7" t="s">
        <v>15</v>
      </c>
      <c r="B13" s="0" t="s">
        <v>16</v>
      </c>
    </row>
    <row r="14" outlineLevel="1">
      <c r="A14" s="7" t="s">
        <v>17</v>
      </c>
      <c r="B14" s="0" t="s">
        <v>18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6">
        <v>38735</v>
      </c>
    </row>
    <row r="18" outlineLevel="1">
      <c r="A18" s="7" t="s">
        <v>24</v>
      </c>
      <c r="B18" s="0" t="s">
        <v>25</v>
      </c>
    </row>
    <row r="19" outlineLevel="1">
      <c r="A19" s="7" t="s">
        <v>26</v>
      </c>
      <c r="B19" s="0" t="s">
        <v>27</v>
      </c>
    </row>
    <row r="20" outlineLevel="1">
      <c r="A20" s="7" t="s">
        <v>28</v>
      </c>
      <c r="B20" s="6">
        <v>39909</v>
      </c>
    </row>
    <row r="21" outlineLevel="1">
      <c r="A21" s="7" t="s">
        <v>29</v>
      </c>
      <c r="B21" s="0" t="s">
        <v>30</v>
      </c>
    </row>
    <row r="22">
      <c r="A22" s="7"/>
    </row>
    <row r="23" s="1" customFormat="1">
      <c r="A23" s="9" t="s">
        <v>31</v>
      </c>
    </row>
    <row r="24" s="1" customFormat="1">
      <c r="A24" s="10" t="s">
        <v>32</v>
      </c>
      <c r="B24" s="10" t="s">
        <v>33</v>
      </c>
      <c r="C24" s="10" t="s">
        <v>34</v>
      </c>
      <c r="D24" s="10"/>
      <c r="E24" s="10"/>
      <c r="F24" s="10" t="s">
        <v>35</v>
      </c>
      <c r="G24" s="10" t="s">
        <v>36</v>
      </c>
      <c r="H24" s="10" t="s">
        <v>37</v>
      </c>
      <c r="I24" s="10" t="s">
        <v>38</v>
      </c>
      <c r="J24" s="10" t="s">
        <v>39</v>
      </c>
      <c r="K24" s="10" t="s">
        <v>29</v>
      </c>
      <c r="L24" s="10"/>
    </row>
    <row r="25" s="1" customFormat="1">
      <c r="A25" s="10"/>
      <c r="B25" s="10"/>
      <c r="C25" s="10" t="s">
        <v>40</v>
      </c>
      <c r="D25" s="10" t="s">
        <v>41</v>
      </c>
      <c r="E25" s="10" t="s">
        <v>42</v>
      </c>
      <c r="F25" s="10"/>
      <c r="G25" s="10"/>
      <c r="H25" s="10"/>
      <c r="I25" s="10"/>
      <c r="J25" s="10"/>
      <c r="K25" s="10"/>
      <c r="L25" s="10"/>
    </row>
    <row r="26">
      <c r="A26" s="7" t="s">
        <v>43</v>
      </c>
      <c r="I26" s="5"/>
    </row>
    <row r="27" outlineLevel="1">
      <c r="A27" s="11" t="s">
        <v>44</v>
      </c>
      <c r="I27" s="5"/>
    </row>
    <row r="28" outlineLevel="2">
      <c r="A28" s="12" t="s">
        <v>45</v>
      </c>
      <c r="B28" s="0" t="s">
        <v>46</v>
      </c>
      <c r="C28" s="13">
        <v>10.4</v>
      </c>
      <c r="D28" s="13"/>
      <c r="E28" s="13"/>
      <c r="F28" s="13"/>
      <c r="G28" s="13">
        <v>1</v>
      </c>
      <c r="H28" s="0" t="s">
        <v>47</v>
      </c>
      <c r="I28" s="5">
        <v>38763</v>
      </c>
      <c r="J28" s="0" t="s">
        <v>48</v>
      </c>
      <c r="K28" s="0" t="s">
        <v>48</v>
      </c>
    </row>
    <row r="29" outlineLevel="2">
      <c r="A29" s="12" t="s">
        <v>49</v>
      </c>
      <c r="B29" s="0" t="s">
        <v>46</v>
      </c>
      <c r="C29" s="13">
        <f>IFERROR(2.355*(1-w),"")</f>
        <v>2.11008</v>
      </c>
      <c r="D29" s="13">
        <v>2.355</v>
      </c>
      <c r="E29" s="13">
        <v/>
      </c>
      <c r="F29" s="13">
        <v>1.5</v>
      </c>
      <c r="G29" s="13">
        <v>1</v>
      </c>
      <c r="H29" s="0" t="s">
        <v>47</v>
      </c>
      <c r="I29" s="5">
        <v>38763</v>
      </c>
      <c r="J29" s="0" t="s">
        <v>50</v>
      </c>
      <c r="K29" s="0" t="s">
        <v>50</v>
      </c>
    </row>
    <row r="30" outlineLevel="2">
      <c r="A30" s="12" t="s">
        <v>51</v>
      </c>
      <c r="B30" s="0" t="s">
        <v>46</v>
      </c>
      <c r="C30" s="13">
        <f>IFERROR(2.31*(1-w),"")</f>
        <v>2.06976</v>
      </c>
      <c r="D30" s="13">
        <v>2.31</v>
      </c>
      <c r="E30" s="13">
        <v/>
      </c>
      <c r="F30" s="13">
        <v>1.22</v>
      </c>
      <c r="G30" s="13">
        <v>1</v>
      </c>
      <c r="H30" s="0" t="s">
        <v>47</v>
      </c>
      <c r="I30" s="5">
        <v>38763</v>
      </c>
      <c r="K30" s="0" t="s">
        <v>50</v>
      </c>
    </row>
    <row r="31" outlineLevel="2">
      <c r="A31" s="12" t="s">
        <v>52</v>
      </c>
      <c r="B31" s="0" t="s">
        <v>46</v>
      </c>
      <c r="C31" s="13">
        <f>IFERROR(77.255*(1-w),"")</f>
        <v>69.22048</v>
      </c>
      <c r="D31" s="13">
        <v>77.255</v>
      </c>
      <c r="E31" s="13">
        <v>79.118234420605248</v>
      </c>
      <c r="F31" s="13">
        <v>0.59</v>
      </c>
      <c r="G31" s="13">
        <v>1</v>
      </c>
      <c r="H31" s="0" t="s">
        <v>47</v>
      </c>
      <c r="I31" s="5">
        <v>38763</v>
      </c>
    </row>
    <row r="32" outlineLevel="2">
      <c r="A32" s="12" t="s">
        <v>53</v>
      </c>
      <c r="B32" s="0" t="s">
        <v>46</v>
      </c>
      <c r="C32" s="13">
        <f>IFERROR(20.39*(1-w),"")</f>
        <v>18.26944</v>
      </c>
      <c r="D32" s="13">
        <v>20.39</v>
      </c>
      <c r="E32" s="13">
        <v>20.881765579394745</v>
      </c>
      <c r="F32" s="13"/>
      <c r="G32" s="13"/>
      <c r="I32" s="5"/>
      <c r="J32" s="0" t="s">
        <v>54</v>
      </c>
    </row>
    <row r="33" outlineLevel="1">
      <c r="A33" s="11" t="s">
        <v>55</v>
      </c>
      <c r="I33" s="5"/>
    </row>
    <row r="34" outlineLevel="2">
      <c r="A34" s="12" t="s">
        <v>56</v>
      </c>
      <c r="B34" s="0" t="s">
        <v>46</v>
      </c>
      <c r="C34" s="13">
        <f>IFERROR(48.9*(1-w),"")</f>
        <v>43.8144</v>
      </c>
      <c r="D34" s="13">
        <v>48.9</v>
      </c>
      <c r="E34" s="13">
        <v>50.079369143325309</v>
      </c>
      <c r="F34" s="13">
        <v>0.58</v>
      </c>
      <c r="G34" s="13">
        <v>0.1</v>
      </c>
      <c r="H34" s="0" t="s">
        <v>47</v>
      </c>
      <c r="I34" s="5">
        <v>38768</v>
      </c>
      <c r="J34" s="0" t="s">
        <v>57</v>
      </c>
      <c r="K34" s="0" t="s">
        <v>57</v>
      </c>
    </row>
    <row r="35" outlineLevel="2">
      <c r="A35" s="12" t="s">
        <v>58</v>
      </c>
      <c r="B35" s="0" t="s">
        <v>46</v>
      </c>
      <c r="C35" s="13">
        <f>IFERROR(6.165*(1-w),"")</f>
        <v>5.52384</v>
      </c>
      <c r="D35" s="13">
        <v>6.165</v>
      </c>
      <c r="E35" s="13">
        <v>6.3136873367811965</v>
      </c>
      <c r="F35" s="13">
        <v>0.8</v>
      </c>
      <c r="G35" s="13">
        <v>0.1</v>
      </c>
      <c r="H35" s="0" t="s">
        <v>47</v>
      </c>
      <c r="I35" s="5">
        <v>38768</v>
      </c>
      <c r="J35" s="0" t="s">
        <v>57</v>
      </c>
      <c r="K35" s="0" t="s">
        <v>57</v>
      </c>
    </row>
    <row r="36" outlineLevel="2">
      <c r="A36" s="12" t="s">
        <v>59</v>
      </c>
      <c r="B36" s="0" t="s">
        <v>46</v>
      </c>
      <c r="C36" s="13">
        <f>IFERROR(43.22*(1-w),"")</f>
        <v>38.72512</v>
      </c>
      <c r="D36" s="13">
        <v>43.22</v>
      </c>
      <c r="E36" s="13">
        <v>44.2623790260638</v>
      </c>
      <c r="F36" s="13">
        <v>0.23</v>
      </c>
      <c r="G36" s="13">
        <v>0.1</v>
      </c>
      <c r="H36" s="0" t="s">
        <v>47</v>
      </c>
      <c r="I36" s="5">
        <v>38765</v>
      </c>
      <c r="K36" s="0" t="s">
        <v>60</v>
      </c>
    </row>
    <row r="37" outlineLevel="2">
      <c r="A37" s="12" t="s">
        <v>61</v>
      </c>
      <c r="B37" s="0" t="s">
        <v>46</v>
      </c>
      <c r="C37" s="13">
        <f>IFERROR(1.19*(1-w),"")</f>
        <v>1.06624</v>
      </c>
      <c r="D37" s="13">
        <v>1.19</v>
      </c>
      <c r="E37" s="13">
        <v>1.2187003942854215</v>
      </c>
      <c r="F37" s="13"/>
      <c r="G37" s="13">
        <v>0.1</v>
      </c>
      <c r="H37" s="0" t="s">
        <v>47</v>
      </c>
      <c r="I37" s="5">
        <v>38768</v>
      </c>
      <c r="J37" s="0" t="s">
        <v>57</v>
      </c>
      <c r="K37" s="0" t="s">
        <v>57</v>
      </c>
    </row>
    <row r="38" outlineLevel="2">
      <c r="A38" s="12" t="s">
        <v>62</v>
      </c>
      <c r="B38" s="0" t="s">
        <v>46</v>
      </c>
      <c r="C38" s="13">
        <f>IFERROR(0.0968749995875571*(1-w),"")</f>
        <v>0.086799999630451166</v>
      </c>
      <c r="D38" s="13">
        <v>0.0968749995875571</v>
      </c>
      <c r="E38" s="13">
        <v>0.099211428734248652</v>
      </c>
      <c r="F38" s="13"/>
      <c r="G38" s="13">
        <v>0.000623883925915259</v>
      </c>
      <c r="H38" s="0" t="s">
        <v>47</v>
      </c>
      <c r="I38" s="5">
        <v>38789</v>
      </c>
      <c r="J38" s="0" t="s">
        <v>63</v>
      </c>
      <c r="K38" s="0" t="s">
        <v>57</v>
      </c>
    </row>
    <row r="39" outlineLevel="2">
      <c r="A39" s="12" t="s">
        <v>64</v>
      </c>
      <c r="B39" s="0" t="s">
        <v>46</v>
      </c>
      <c r="C39" s="13">
        <f>IFERROR(102.125374999588*(1-w)+w*100,"")</f>
        <v>101.90433599963045</v>
      </c>
      <c r="D39" s="13">
        <v>102.12537499958755</v>
      </c>
      <c r="E39" s="13">
        <v>102.17663474790061</v>
      </c>
      <c r="F39" s="13"/>
      <c r="G39" s="13"/>
      <c r="I39" s="5"/>
      <c r="J39" s="0" t="s">
        <v>54</v>
      </c>
    </row>
    <row r="40" outlineLevel="1">
      <c r="A40" s="11" t="s">
        <v>65</v>
      </c>
      <c r="I40" s="5"/>
    </row>
    <row r="41" outlineLevel="2">
      <c r="A41" s="12" t="s">
        <v>66</v>
      </c>
      <c r="B41" s="0" t="s">
        <v>67</v>
      </c>
      <c r="C41" s="14">
        <f>IFERROR(6*(1-w),"")</f>
        <v>5.376</v>
      </c>
      <c r="D41" s="14">
        <v>6</v>
      </c>
      <c r="E41" s="14">
        <v>6.1447078703466635</v>
      </c>
      <c r="F41" s="14"/>
      <c r="G41" s="14">
        <v>5</v>
      </c>
      <c r="H41" s="0" t="s">
        <v>47</v>
      </c>
      <c r="I41" s="5">
        <v>38769</v>
      </c>
      <c r="K41" s="0" t="s">
        <v>68</v>
      </c>
    </row>
    <row r="42" outlineLevel="2">
      <c r="A42" s="12" t="s">
        <v>69</v>
      </c>
      <c r="B42" s="0" t="s">
        <v>67</v>
      </c>
      <c r="C42" s="14">
        <f>IFERROR(1962*(1-w),"")</f>
        <v>1757.952</v>
      </c>
      <c r="D42" s="14">
        <v>1962</v>
      </c>
      <c r="E42" s="14">
        <v>2009.319473603359</v>
      </c>
      <c r="F42" s="14"/>
      <c r="G42" s="14">
        <v>15</v>
      </c>
      <c r="H42" s="0" t="s">
        <v>47</v>
      </c>
      <c r="I42" s="5">
        <v>38769</v>
      </c>
      <c r="J42" s="0" t="s">
        <v>70</v>
      </c>
      <c r="K42" s="0" t="s">
        <v>70</v>
      </c>
    </row>
    <row r="43" outlineLevel="2">
      <c r="A43" s="12" t="s">
        <v>71</v>
      </c>
      <c r="B43" s="0" t="s">
        <v>67</v>
      </c>
      <c r="C43" s="14">
        <f>IFERROR(17*(1-w),"")</f>
        <v>15.232000000000001</v>
      </c>
      <c r="D43" s="14">
        <v>17</v>
      </c>
      <c r="E43" s="14">
        <v>17.410005632648879</v>
      </c>
      <c r="F43" s="14"/>
      <c r="G43" s="14">
        <v>1</v>
      </c>
      <c r="H43" s="0" t="s">
        <v>47</v>
      </c>
      <c r="I43" s="5">
        <v>38772</v>
      </c>
      <c r="K43" s="0" t="s">
        <v>68</v>
      </c>
    </row>
    <row r="44" outlineLevel="1">
      <c r="A44" s="11" t="s">
        <v>72</v>
      </c>
      <c r="I44" s="5"/>
    </row>
    <row r="45" outlineLevel="2">
      <c r="A45" s="12" t="s">
        <v>73</v>
      </c>
      <c r="B45" s="0" t="s">
        <v>74</v>
      </c>
      <c r="C45" s="13">
        <f>IFERROR(19.4672926667967*(1-w),"")</f>
        <v>17.442694229449849</v>
      </c>
      <c r="D45" s="13">
        <v>19.467292666796705</v>
      </c>
      <c r="E45" s="13">
        <v>19.936804410667936</v>
      </c>
      <c r="F45" s="13"/>
      <c r="G45" s="13"/>
      <c r="I45" s="5"/>
      <c r="J45" s="0" t="s">
        <v>54</v>
      </c>
    </row>
    <row r="46" outlineLevel="1">
      <c r="A46" s="11" t="s">
        <v>75</v>
      </c>
      <c r="I46" s="5"/>
    </row>
    <row r="47" outlineLevel="2">
      <c r="A47" s="12" t="s">
        <v>76</v>
      </c>
      <c r="B47" s="0" t="s">
        <v>77</v>
      </c>
      <c r="C47" s="14">
        <v>578.526783251223</v>
      </c>
      <c r="D47" s="14"/>
      <c r="E47" s="14"/>
      <c r="F47" s="14"/>
      <c r="G47" s="14">
        <v>0.133928570858374</v>
      </c>
      <c r="H47" s="0" t="s">
        <v>47</v>
      </c>
      <c r="I47" s="5">
        <v>38789</v>
      </c>
      <c r="K47" s="0" t="s">
        <v>78</v>
      </c>
    </row>
    <row r="48" outlineLevel="2">
      <c r="A48" s="12" t="s">
        <v>79</v>
      </c>
      <c r="B48" s="0" t="s">
        <v>77</v>
      </c>
      <c r="C48" s="14">
        <v>5.29017854890577</v>
      </c>
      <c r="D48" s="14"/>
      <c r="E48" s="14"/>
      <c r="F48" s="14"/>
      <c r="G48" s="14">
        <v>2.99107141583702</v>
      </c>
      <c r="H48" s="0" t="s">
        <v>47</v>
      </c>
      <c r="I48" s="5">
        <v>38789</v>
      </c>
      <c r="K48" s="0" t="s">
        <v>80</v>
      </c>
    </row>
    <row r="49" outlineLevel="2">
      <c r="A49" s="12" t="s">
        <v>81</v>
      </c>
      <c r="B49" s="0" t="s">
        <v>77</v>
      </c>
      <c r="C49" s="14">
        <v>10.2455356706656</v>
      </c>
      <c r="D49" s="14"/>
      <c r="E49" s="14"/>
      <c r="F49" s="14"/>
      <c r="G49" s="14">
        <v>0.10044642814378</v>
      </c>
      <c r="H49" s="0" t="s">
        <v>47</v>
      </c>
      <c r="I49" s="5">
        <v>38789</v>
      </c>
      <c r="K49" s="0" t="s">
        <v>82</v>
      </c>
    </row>
    <row r="50" outlineLevel="2">
      <c r="A50" s="12" t="s">
        <v>83</v>
      </c>
      <c r="B50" s="0" t="s">
        <v>77</v>
      </c>
      <c r="C50" s="14">
        <v>214.999999084643</v>
      </c>
      <c r="D50" s="14"/>
      <c r="E50" s="14"/>
      <c r="F50" s="14"/>
      <c r="G50" s="14">
        <v>0.0446428569527913</v>
      </c>
      <c r="H50" s="0" t="s">
        <v>47</v>
      </c>
      <c r="I50" s="5">
        <v>38789</v>
      </c>
      <c r="K50" s="0" t="s">
        <v>80</v>
      </c>
    </row>
    <row r="51" outlineLevel="2">
      <c r="A51" s="12" t="s">
        <v>84</v>
      </c>
      <c r="B51" s="0" t="s">
        <v>77</v>
      </c>
      <c r="C51" s="14">
        <v>3582.1205204635</v>
      </c>
      <c r="D51" s="14"/>
      <c r="E51" s="14"/>
      <c r="F51" s="14"/>
      <c r="G51" s="14">
        <v>0.892857139055826</v>
      </c>
      <c r="H51" s="0" t="s">
        <v>47</v>
      </c>
      <c r="I51" s="5">
        <v>38789</v>
      </c>
      <c r="K51" s="0" t="s">
        <v>78</v>
      </c>
    </row>
    <row r="52" outlineLevel="2">
      <c r="A52" s="12" t="s">
        <v>85</v>
      </c>
      <c r="B52" s="0" t="s">
        <v>77</v>
      </c>
      <c r="C52" s="14">
        <v>0.25669642747855</v>
      </c>
      <c r="D52" s="14"/>
      <c r="E52" s="14"/>
      <c r="F52" s="14"/>
      <c r="G52" s="14">
        <v>0.234374999002154</v>
      </c>
      <c r="H52" s="0" t="s">
        <v>47</v>
      </c>
      <c r="I52" s="5">
        <v>38789</v>
      </c>
      <c r="K52" s="0" t="s">
        <v>80</v>
      </c>
    </row>
    <row r="53" outlineLevel="2">
      <c r="A53" s="12" t="s">
        <v>86</v>
      </c>
      <c r="B53" s="0" t="s">
        <v>77</v>
      </c>
      <c r="C53" s="14">
        <v>3.00223213007522</v>
      </c>
      <c r="D53" s="14"/>
      <c r="E53" s="14"/>
      <c r="F53" s="14"/>
      <c r="G53" s="14">
        <v>0.613839283100881</v>
      </c>
      <c r="H53" s="0" t="s">
        <v>47</v>
      </c>
      <c r="I53" s="5">
        <v>38789</v>
      </c>
      <c r="K53" s="0" t="s">
        <v>80</v>
      </c>
    </row>
    <row r="54" outlineLevel="2">
      <c r="A54" s="12" t="s">
        <v>87</v>
      </c>
      <c r="B54" s="0" t="s">
        <v>77</v>
      </c>
      <c r="C54" s="14">
        <v>14.3638392245606</v>
      </c>
      <c r="D54" s="14"/>
      <c r="E54" s="14"/>
      <c r="F54" s="14"/>
      <c r="G54" s="14">
        <v>0.66964285429187</v>
      </c>
      <c r="H54" s="0" t="s">
        <v>47</v>
      </c>
      <c r="I54" s="5">
        <v>38789</v>
      </c>
      <c r="K54" s="0" t="s">
        <v>80</v>
      </c>
    </row>
    <row r="55" outlineLevel="2">
      <c r="A55" s="12" t="s">
        <v>88</v>
      </c>
      <c r="B55" s="0" t="s">
        <v>77</v>
      </c>
      <c r="C55" s="14">
        <v>16.0491070745285</v>
      </c>
      <c r="D55" s="14"/>
      <c r="E55" s="14"/>
      <c r="F55" s="14"/>
      <c r="G55" s="14">
        <v>0.312499998669539</v>
      </c>
      <c r="H55" s="0" t="s">
        <v>47</v>
      </c>
      <c r="I55" s="5">
        <v>38789</v>
      </c>
      <c r="K55" s="0" t="s">
        <v>80</v>
      </c>
    </row>
    <row r="56" outlineLevel="2">
      <c r="A56" s="12" t="s">
        <v>89</v>
      </c>
      <c r="B56" s="0" t="s">
        <v>77</v>
      </c>
      <c r="C56" s="14">
        <v>516.11606923122</v>
      </c>
      <c r="D56" s="14"/>
      <c r="E56" s="14"/>
      <c r="F56" s="14"/>
      <c r="G56" s="14">
        <v>0.569196426148089</v>
      </c>
      <c r="H56" s="0" t="s">
        <v>47</v>
      </c>
      <c r="I56" s="5">
        <v>38789</v>
      </c>
      <c r="K56" s="0" t="s">
        <v>78</v>
      </c>
    </row>
    <row r="57" outlineLevel="2">
      <c r="A57" s="12" t="s">
        <v>90</v>
      </c>
      <c r="B57" s="0" t="s">
        <v>77</v>
      </c>
      <c r="C57" s="14">
        <v>1921.01561682132</v>
      </c>
      <c r="D57" s="14"/>
      <c r="E57" s="14"/>
      <c r="F57" s="14"/>
      <c r="G57" s="14">
        <v>5.43526783400234</v>
      </c>
      <c r="H57" s="0" t="s">
        <v>47</v>
      </c>
      <c r="I57" s="5">
        <v>38789</v>
      </c>
      <c r="K57" s="0" t="s">
        <v>78</v>
      </c>
    </row>
    <row r="58" outlineLevel="2">
      <c r="A58" s="12" t="s">
        <v>91</v>
      </c>
      <c r="B58" s="0" t="s">
        <v>77</v>
      </c>
      <c r="C58" s="14">
        <v>616.227675947855</v>
      </c>
      <c r="D58" s="14"/>
      <c r="E58" s="14"/>
      <c r="F58" s="14"/>
      <c r="G58" s="14">
        <v>0.379464284098726</v>
      </c>
      <c r="H58" s="0" t="s">
        <v>47</v>
      </c>
      <c r="I58" s="5">
        <v>38789</v>
      </c>
      <c r="K58" s="0" t="s">
        <v>78</v>
      </c>
    </row>
    <row r="59" outlineLevel="2">
      <c r="A59" s="12" t="s">
        <v>92</v>
      </c>
      <c r="B59" s="0" t="s">
        <v>77</v>
      </c>
      <c r="C59" s="14">
        <v>86.6964282023207</v>
      </c>
      <c r="D59" s="14"/>
      <c r="E59" s="14"/>
      <c r="F59" s="14"/>
      <c r="G59" s="14">
        <v>0.0892857139055826</v>
      </c>
      <c r="H59" s="0" t="s">
        <v>47</v>
      </c>
      <c r="I59" s="5">
        <v>38789</v>
      </c>
      <c r="K59" s="0" t="s">
        <v>80</v>
      </c>
    </row>
    <row r="60" outlineLevel="2">
      <c r="A60" s="12" t="s">
        <v>93</v>
      </c>
      <c r="B60" s="0" t="s">
        <v>77</v>
      </c>
      <c r="C60" s="14">
        <v>18.4151784930264</v>
      </c>
      <c r="D60" s="14"/>
      <c r="E60" s="14"/>
      <c r="F60" s="14"/>
      <c r="G60" s="14">
        <v>1.45089285096572</v>
      </c>
      <c r="H60" s="0" t="s">
        <v>47</v>
      </c>
      <c r="I60" s="5">
        <v>38789</v>
      </c>
      <c r="K60" s="0" t="s">
        <v>80</v>
      </c>
    </row>
    <row r="61" outlineLevel="2">
      <c r="A61" s="12" t="s">
        <v>94</v>
      </c>
      <c r="B61" s="0" t="s">
        <v>77</v>
      </c>
      <c r="C61" s="14">
        <v>620.859372356707</v>
      </c>
      <c r="D61" s="14"/>
      <c r="E61" s="14"/>
      <c r="F61" s="14"/>
      <c r="G61" s="14">
        <v>0.178571427811165</v>
      </c>
      <c r="H61" s="0" t="s">
        <v>47</v>
      </c>
      <c r="I61" s="5">
        <v>38789</v>
      </c>
      <c r="K61" s="0" t="s">
        <v>78</v>
      </c>
    </row>
    <row r="62" outlineLevel="2">
      <c r="A62" s="12" t="s">
        <v>95</v>
      </c>
      <c r="B62" s="0" t="s">
        <v>77</v>
      </c>
      <c r="C62" s="14">
        <v>1.70758927844427</v>
      </c>
      <c r="D62" s="14"/>
      <c r="E62" s="14"/>
      <c r="F62" s="14"/>
      <c r="G62" s="14">
        <v>0.915178567532222</v>
      </c>
      <c r="H62" s="0" t="s">
        <v>47</v>
      </c>
      <c r="I62" s="5">
        <v>38789</v>
      </c>
      <c r="K62" s="0" t="s">
        <v>80</v>
      </c>
    </row>
    <row r="63" outlineLevel="2">
      <c r="A63" s="12" t="s">
        <v>96</v>
      </c>
      <c r="B63" s="0" t="s">
        <v>77</v>
      </c>
      <c r="C63" s="14">
        <v>1012.02008497706</v>
      </c>
      <c r="D63" s="14"/>
      <c r="E63" s="14"/>
      <c r="F63" s="14"/>
      <c r="G63" s="14">
        <v>13.6941963702687</v>
      </c>
      <c r="H63" s="0" t="s">
        <v>47</v>
      </c>
      <c r="I63" s="5">
        <v>38789</v>
      </c>
      <c r="K63" s="0" t="s">
        <v>78</v>
      </c>
    </row>
    <row r="64" outlineLevel="2">
      <c r="A64" s="12" t="s">
        <v>97</v>
      </c>
      <c r="B64" s="0" t="s">
        <v>77</v>
      </c>
      <c r="C64" s="14">
        <v>159.765624319802</v>
      </c>
      <c r="D64" s="14"/>
      <c r="E64" s="14"/>
      <c r="F64" s="14"/>
      <c r="G64" s="14">
        <v>2.0535714198284</v>
      </c>
      <c r="H64" s="0" t="s">
        <v>47</v>
      </c>
      <c r="I64" s="5">
        <v>38789</v>
      </c>
      <c r="K64" s="0" t="s">
        <v>80</v>
      </c>
    </row>
    <row r="65" outlineLevel="2">
      <c r="A65" s="12" t="s">
        <v>98</v>
      </c>
      <c r="B65" s="0" t="s">
        <v>77</v>
      </c>
      <c r="C65" s="14">
        <v>1.57366070758589</v>
      </c>
      <c r="D65" s="14"/>
      <c r="E65" s="14"/>
      <c r="F65" s="14"/>
      <c r="G65" s="14">
        <v>1.36160713706014</v>
      </c>
      <c r="H65" s="0" t="s">
        <v>47</v>
      </c>
      <c r="I65" s="5">
        <v>38789</v>
      </c>
      <c r="K65" s="0" t="s">
        <v>82</v>
      </c>
    </row>
    <row r="66" outlineLevel="2">
      <c r="A66" s="12" t="s">
        <v>99</v>
      </c>
      <c r="B66" s="0" t="s">
        <v>77</v>
      </c>
      <c r="C66" s="14">
        <v>-0.189732142049363</v>
      </c>
      <c r="D66" s="14"/>
      <c r="E66" s="14"/>
      <c r="F66" s="14"/>
      <c r="G66" s="14">
        <v>2.94642855888423</v>
      </c>
      <c r="H66" s="0" t="s">
        <v>47</v>
      </c>
      <c r="I66" s="5">
        <v>38789</v>
      </c>
      <c r="K66" s="0" t="s">
        <v>80</v>
      </c>
    </row>
    <row r="67" outlineLevel="2">
      <c r="A67" s="12" t="s">
        <v>100</v>
      </c>
      <c r="B67" s="0" t="s">
        <v>77</v>
      </c>
      <c r="C67" s="14">
        <v>2694.63168495625</v>
      </c>
      <c r="D67" s="14"/>
      <c r="E67" s="14"/>
      <c r="F67" s="14"/>
      <c r="G67" s="14">
        <v>11.4174106656764</v>
      </c>
      <c r="H67" s="0" t="s">
        <v>47</v>
      </c>
      <c r="I67" s="5">
        <v>38789</v>
      </c>
      <c r="K67" s="0" t="s">
        <v>78</v>
      </c>
    </row>
    <row r="68" outlineLevel="2">
      <c r="A68" s="12" t="s">
        <v>101</v>
      </c>
      <c r="B68" s="0" t="s">
        <v>77</v>
      </c>
      <c r="C68" s="14">
        <v>1.59598213606229</v>
      </c>
      <c r="D68" s="14"/>
      <c r="E68" s="14"/>
      <c r="F68" s="14"/>
      <c r="G68" s="14">
        <v>0.870535710579431</v>
      </c>
      <c r="H68" s="0" t="s">
        <v>47</v>
      </c>
      <c r="I68" s="5">
        <v>38789</v>
      </c>
      <c r="K68" s="0" t="s">
        <v>82</v>
      </c>
    </row>
    <row r="69" outlineLevel="2">
      <c r="A69" s="12" t="s">
        <v>102</v>
      </c>
      <c r="B69" s="0" t="s">
        <v>77</v>
      </c>
      <c r="C69" s="14">
        <v>16.9531249278225</v>
      </c>
      <c r="D69" s="14"/>
      <c r="E69" s="14"/>
      <c r="F69" s="14"/>
      <c r="G69" s="14">
        <v>0.0334821427145935</v>
      </c>
      <c r="H69" s="0" t="s">
        <v>47</v>
      </c>
      <c r="I69" s="5">
        <v>38789</v>
      </c>
      <c r="K69" s="0" t="s">
        <v>82</v>
      </c>
    </row>
    <row r="70" outlineLevel="2">
      <c r="A70" s="12" t="s">
        <v>103</v>
      </c>
      <c r="B70" s="0" t="s">
        <v>77</v>
      </c>
      <c r="C70" s="14">
        <v>355.122766345217</v>
      </c>
      <c r="D70" s="14"/>
      <c r="E70" s="14"/>
      <c r="F70" s="14"/>
      <c r="G70" s="14">
        <v>0.133928570858374</v>
      </c>
      <c r="H70" s="0" t="s">
        <v>47</v>
      </c>
      <c r="I70" s="5">
        <v>38789</v>
      </c>
      <c r="K70" s="0" t="s">
        <v>78</v>
      </c>
    </row>
    <row r="71" outlineLevel="2">
      <c r="A71" s="12" t="s">
        <v>104</v>
      </c>
      <c r="B71" s="0" t="s">
        <v>77</v>
      </c>
      <c r="C71" s="14">
        <v>0.982142852961409</v>
      </c>
      <c r="D71" s="14"/>
      <c r="E71" s="14"/>
      <c r="F71" s="14"/>
      <c r="G71" s="14">
        <v>0.212053570525759</v>
      </c>
      <c r="H71" s="0" t="s">
        <v>47</v>
      </c>
      <c r="I71" s="5">
        <v>38789</v>
      </c>
      <c r="K71" s="0" t="s">
        <v>80</v>
      </c>
    </row>
    <row r="72" outlineLevel="2">
      <c r="A72" s="12" t="s">
        <v>105</v>
      </c>
      <c r="B72" s="0" t="s">
        <v>77</v>
      </c>
      <c r="C72" s="14">
        <v>170.926338558</v>
      </c>
      <c r="D72" s="14"/>
      <c r="E72" s="14"/>
      <c r="F72" s="14"/>
      <c r="G72" s="14">
        <v>0.212053570525759</v>
      </c>
      <c r="H72" s="0" t="s">
        <v>47</v>
      </c>
      <c r="I72" s="5">
        <v>38789</v>
      </c>
      <c r="K72" s="0" t="s">
        <v>80</v>
      </c>
    </row>
    <row r="73">
      <c r="I73" s="5"/>
    </row>
    <row r="74" s="1" customFormat="1"/>
  </sheetData>
  <mergeCells>
    <mergeCell ref="A9:A11"/>
    <mergeCell ref="C24:E24"/>
    <mergeCell ref="A24:A25"/>
    <mergeCell ref="B24:B25"/>
    <mergeCell ref="F24:F25"/>
    <mergeCell ref="G24:G25"/>
    <mergeCell ref="H24:H25"/>
    <mergeCell ref="I24:I25"/>
    <mergeCell ref="J24:J25"/>
    <mergeCell ref="K24:K25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</mergeCells>
  <dataValidations count="1">
    <dataValidation type="decimal" sqref="C28" errorStyle="stop" promptTitle="Enter moisture content" errorTitle="Invalid moisture content" prompt="Value should be between 0 and 100.&#10;Original value: 10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https://phyllis.nl/Biomass/View/3074</dc:description>
  <dcterms:created xsi:type="dcterms:W3CDTF">2026-03-19T07:33:21Z</dcterms:created>
  <dc:title>Phyllis2 #3074 Wood pellets brown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