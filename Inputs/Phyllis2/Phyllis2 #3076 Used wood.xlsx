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076 Used wood" sheetId="1" r:id="rId1"/>
  </sheets>
  <definedNames>
    <definedName name="w" localSheetId="0">IF(ISBLANK('Phyllis2 #3076 Used wood'!$C$19),#N/A,'Phyllis2 #3076 Used wood'!$C$19/100)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<sst xmlns="http://schemas.openxmlformats.org/spreadsheetml/2006/main" count="81" uniqueCount="81">
  <si>
    <t>Phyllis2</t>
  </si>
  <si>
    <t>https://phyllis.nl/Biomass/View/3076</t>
  </si>
  <si>
    <t>Used wood (#3076)</t>
  </si>
  <si>
    <t>ID-number</t>
  </si>
  <si>
    <t>#3076</t>
  </si>
  <si>
    <t>Material</t>
  </si>
  <si>
    <t>Used wood</t>
  </si>
  <si>
    <t>Classification</t>
  </si>
  <si>
    <t>CEN/TS 14961 classification &gt; Solid biofuels &gt; Woody biomass</t>
  </si>
  <si>
    <t>ECN Phyllis classification &gt; treated wood</t>
  </si>
  <si>
    <t>NTA 8003 classification &gt; [100] hout &gt; [150] verwerkt hout</t>
  </si>
  <si>
    <t>Country</t>
  </si>
  <si>
    <t>Finland</t>
  </si>
  <si>
    <t>Production date</t>
  </si>
  <si>
    <t>Submitter organisation</t>
  </si>
  <si>
    <t>ECN (Netherlands)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</si>
  <si>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</si>
  <si>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</si>
  <si>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</si>
  <si>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</si>
  <si>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</si>
  <si>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</si>
  <si>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</si>
  <si>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</si>
  <si>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</si>
  <si>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</si>
  <si>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</si>
  <si>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</si>
  <si>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</si>
  <si>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</si>
  <si>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</si>
  <si>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</si>
  <si>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</si>
  <si>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CEN/TS 14774-1,2,3</t>
  </si>
  <si>
    <t>Ash content at 550°C</t>
  </si>
  <si>
    <t>CEN/TS 14775</t>
  </si>
  <si>
    <t>Ultimate analysis (macroelements)</t>
  </si>
  <si>
    <t>Carbon</t>
  </si>
  <si>
    <t>CEN/TS 15104</t>
  </si>
  <si>
    <t>Hydrogen</t>
  </si>
  <si>
    <t>Nitrogen</t>
  </si>
  <si>
    <t>Sulphur</t>
  </si>
  <si>
    <t>wt% (dry)</t>
  </si>
  <si>
    <t>&lt; 0.02</t>
  </si>
  <si>
    <t>CEN/TS15289</t>
  </si>
  <si>
    <t>Total (with halides)</t>
  </si>
  <si>
    <t>Calculated</t>
  </si>
  <si>
    <t>Heating value</t>
  </si>
  <si>
    <t>Net calorific value (LHV)</t>
  </si>
  <si>
    <t>MJ/kg</t>
  </si>
  <si>
    <t>CEN/TS 14918</t>
  </si>
  <si>
    <t>Gross calorific value (HHV)</t>
  </si>
  <si>
    <t>Trace elements composition</t>
  </si>
  <si>
    <t>Cadmium (Cd)</t>
  </si>
  <si>
    <t>mg/kg (dry)</t>
  </si>
  <si>
    <t>CEN/TS 15290</t>
  </si>
  <si>
    <t>Cobalt (Co)</t>
  </si>
  <si>
    <t>&lt; 0.5</t>
  </si>
  <si>
    <t>Chromium (Cr)</t>
  </si>
  <si>
    <t>Copper (Cu)</t>
  </si>
  <si>
    <t>Mercury (Hg)</t>
  </si>
  <si>
    <t>&lt; 0.01</t>
  </si>
  <si>
    <t>SFS-EN 1483:1997</t>
  </si>
  <si>
    <t>Manganese (Mn)</t>
  </si>
  <si>
    <t>Nickel (Ni)</t>
  </si>
  <si>
    <t>Lead (Pb)</t>
  </si>
  <si>
    <t>Antimony (Sb)</t>
  </si>
  <si>
    <t>Thallium (Tl)</t>
  </si>
  <si>
    <t>Vanadium (V)</t>
  </si>
  <si>
    <t>Zinc (Zn)</t>
  </si>
  <si>
    <t>Ash melting behaviour</t>
  </si>
  <si>
    <t>European standard method</t>
  </si>
  <si>
    <t>DEF (deformation temperature)</t>
  </si>
  <si>
    <t>°C</t>
  </si>
  <si>
    <t>HE (hemispherical temperature)</t>
  </si>
  <si>
    <t>&gt; 1450</t>
  </si>
  <si>
    <t>FL (flow temperature)</t>
  </si>
  <si>
    <t>Special components</t>
  </si>
  <si>
    <t>Chlorine (Cl)</t>
  </si>
  <si>
    <t>wt% (daf)</t>
  </si>
  <si>
    <t>CEN/TS 15289</t>
  </si>
</sst>
</file>

<file path=xl/styles.xml><?xml version="1.0" encoding="utf-8"?>
<styleSheet xmlns="http://schemas.openxmlformats.org/spreadsheetml/2006/main">
  <numFmts count="4">
    <numFmt numFmtId="164" formatCode="yyyy-mm-dd"/>
    <numFmt numFmtId="165" formatCode="#,0.00"/>
    <numFmt numFmtId="166" formatCode="#,0.0"/>
    <numFmt numFmtId="167" formatCode="#,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076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50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8.8621006011963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8"/>
      <c r="B9" s="0" t="s">
        <v>10</v>
      </c>
    </row>
    <row r="10" outlineLevel="1">
      <c r="A10" s="7" t="s">
        <v>11</v>
      </c>
      <c r="B10" s="0" t="s">
        <v>12</v>
      </c>
    </row>
    <row r="11" outlineLevel="1">
      <c r="A11" s="7" t="s">
        <v>13</v>
      </c>
      <c r="B11" s="6">
        <v>39722</v>
      </c>
    </row>
    <row r="12" outlineLevel="1">
      <c r="A12" s="7" t="s">
        <v>14</v>
      </c>
      <c r="B12" s="0" t="s">
        <v>15</v>
      </c>
    </row>
    <row r="13">
      <c r="A13" s="7"/>
    </row>
    <row r="14" s="1" customFormat="1">
      <c r="A14" s="9" t="s">
        <v>16</v>
      </c>
    </row>
    <row r="15" s="1" customFormat="1">
      <c r="A15" s="10" t="s">
        <v>17</v>
      </c>
      <c r="B15" s="10" t="s">
        <v>18</v>
      </c>
      <c r="C15" s="10" t="s">
        <v>19</v>
      </c>
      <c r="D15" s="10"/>
      <c r="E15" s="10"/>
      <c r="F15" s="10" t="s">
        <v>20</v>
      </c>
      <c r="G15" s="10" t="s">
        <v>21</v>
      </c>
      <c r="H15" s="10" t="s">
        <v>22</v>
      </c>
      <c r="I15" s="10" t="s">
        <v>23</v>
      </c>
      <c r="J15" s="10" t="s">
        <v>24</v>
      </c>
      <c r="K15" s="10" t="s">
        <v>25</v>
      </c>
      <c r="L15" s="10"/>
    </row>
    <row r="16" s="1" customFormat="1">
      <c r="A16" s="10"/>
      <c r="B16" s="10"/>
      <c r="C16" s="10" t="s">
        <v>26</v>
      </c>
      <c r="D16" s="10" t="s">
        <v>27</v>
      </c>
      <c r="E16" s="10" t="s">
        <v>28</v>
      </c>
      <c r="F16" s="10"/>
      <c r="G16" s="10"/>
      <c r="H16" s="10"/>
      <c r="I16" s="10"/>
      <c r="J16" s="10"/>
      <c r="K16" s="10"/>
      <c r="L16" s="10"/>
    </row>
    <row r="17">
      <c r="A17" s="7" t="s">
        <v>29</v>
      </c>
      <c r="I17" s="5"/>
    </row>
    <row r="18" outlineLevel="1">
      <c r="A18" s="11" t="s">
        <v>30</v>
      </c>
      <c r="I18" s="5"/>
    </row>
    <row r="19" outlineLevel="2">
      <c r="A19" s="12" t="s">
        <v>31</v>
      </c>
      <c r="B19" s="0" t="s">
        <v>32</v>
      </c>
      <c r="C19" s="13">
        <v>1.4</v>
      </c>
      <c r="D19" s="13"/>
      <c r="E19" s="13"/>
      <c r="F19" s="13"/>
      <c r="G19" s="13"/>
      <c r="I19" s="5"/>
      <c r="J19" s="0" t="s">
        <v>33</v>
      </c>
    </row>
    <row r="20" outlineLevel="2">
      <c r="A20" s="12" t="s">
        <v>34</v>
      </c>
      <c r="B20" s="0" t="s">
        <v>32</v>
      </c>
      <c r="C20" s="13">
        <f>IFERROR(0.6*(1-w),"")</f>
        <v>0.5916</v>
      </c>
      <c r="D20" s="13">
        <v>0.6</v>
      </c>
      <c r="E20" s="13">
        <v/>
      </c>
      <c r="F20" s="13"/>
      <c r="G20" s="13"/>
      <c r="I20" s="5"/>
      <c r="J20" s="0" t="s">
        <v>35</v>
      </c>
    </row>
    <row r="21" outlineLevel="1">
      <c r="A21" s="11" t="s">
        <v>36</v>
      </c>
      <c r="I21" s="5"/>
    </row>
    <row r="22" outlineLevel="2">
      <c r="A22" s="12" t="s">
        <v>37</v>
      </c>
      <c r="B22" s="0" t="s">
        <v>32</v>
      </c>
      <c r="C22" s="13">
        <f>IFERROR(50.3*(1-w),"")</f>
        <v>49.5958</v>
      </c>
      <c r="D22" s="13">
        <v>50.3</v>
      </c>
      <c r="E22" s="13">
        <v>50.603621730382294</v>
      </c>
      <c r="F22" s="13"/>
      <c r="G22" s="13"/>
      <c r="I22" s="5"/>
      <c r="J22" s="0" t="s">
        <v>38</v>
      </c>
    </row>
    <row r="23" outlineLevel="2">
      <c r="A23" s="12" t="s">
        <v>39</v>
      </c>
      <c r="B23" s="0" t="s">
        <v>32</v>
      </c>
      <c r="C23" s="13">
        <f>IFERROR(6.2*(1-w),"")</f>
        <v>6.1132</v>
      </c>
      <c r="D23" s="13">
        <v>6.2</v>
      </c>
      <c r="E23" s="13">
        <v>6.2374245472837027</v>
      </c>
      <c r="F23" s="13"/>
      <c r="G23" s="13"/>
      <c r="I23" s="5"/>
      <c r="J23" s="0" t="s">
        <v>38</v>
      </c>
    </row>
    <row r="24" outlineLevel="2">
      <c r="A24" s="12" t="s">
        <v>40</v>
      </c>
      <c r="B24" s="0" t="s">
        <v>32</v>
      </c>
      <c r="C24" s="13">
        <f>IFERROR(0.55*(1-w),"")</f>
        <v>0.5423</v>
      </c>
      <c r="D24" s="13">
        <v>0.55</v>
      </c>
      <c r="E24" s="13">
        <v>0.55331991951710269</v>
      </c>
      <c r="F24" s="13"/>
      <c r="G24" s="13"/>
      <c r="I24" s="5"/>
      <c r="J24" s="0" t="s">
        <v>38</v>
      </c>
    </row>
    <row r="25" outlineLevel="2">
      <c r="A25" s="12" t="s">
        <v>41</v>
      </c>
      <c r="B25" s="0" t="s">
        <v>42</v>
      </c>
      <c r="C25" s="13" t="s">
        <v>43</v>
      </c>
      <c r="D25" s="13"/>
      <c r="E25" s="13"/>
      <c r="F25" s="13"/>
      <c r="G25" s="13"/>
      <c r="I25" s="5"/>
      <c r="J25" s="0" t="s">
        <v>44</v>
      </c>
    </row>
    <row r="26" outlineLevel="2">
      <c r="A26" s="12" t="s">
        <v>45</v>
      </c>
      <c r="B26" s="0" t="s">
        <v>32</v>
      </c>
      <c r="C26" s="13">
        <f>IFERROR(57.65*(1-w)+w*100,"")</f>
        <v>58.2429</v>
      </c>
      <c r="D26" s="13">
        <v>57.65</v>
      </c>
      <c r="E26" s="13">
        <v>57.394366197183096</v>
      </c>
      <c r="F26" s="13"/>
      <c r="G26" s="13"/>
      <c r="I26" s="5"/>
      <c r="J26" s="0" t="s">
        <v>46</v>
      </c>
    </row>
    <row r="27" outlineLevel="1">
      <c r="A27" s="11" t="s">
        <v>47</v>
      </c>
      <c r="I27" s="5"/>
    </row>
    <row r="28" outlineLevel="2">
      <c r="A28" s="12" t="s">
        <v>48</v>
      </c>
      <c r="B28" s="0" t="s">
        <v>49</v>
      </c>
      <c r="C28" s="13">
        <f>IFERROR(18.73*(1-w)-w*2.443,"")</f>
        <v>18.433578</v>
      </c>
      <c r="D28" s="13">
        <v>18.73</v>
      </c>
      <c r="E28" s="13">
        <v>18.843058350100605</v>
      </c>
      <c r="F28" s="13"/>
      <c r="G28" s="13"/>
      <c r="I28" s="5"/>
      <c r="J28" s="0" t="s">
        <v>50</v>
      </c>
    </row>
    <row r="29" outlineLevel="2">
      <c r="A29" s="12" t="s">
        <v>51</v>
      </c>
      <c r="B29" s="0" t="s">
        <v>49</v>
      </c>
      <c r="C29" s="13">
        <f>IFERROR(20.08*(1-w),"")</f>
        <v>19.798879999999997</v>
      </c>
      <c r="D29" s="13">
        <v>20.08</v>
      </c>
      <c r="E29" s="13">
        <v>20.201207243460765</v>
      </c>
      <c r="F29" s="13"/>
      <c r="G29" s="13"/>
      <c r="I29" s="5"/>
    </row>
    <row r="30" outlineLevel="1">
      <c r="A30" s="11" t="s">
        <v>52</v>
      </c>
      <c r="I30" s="5"/>
    </row>
    <row r="31" outlineLevel="2">
      <c r="A31" s="12" t="s">
        <v>53</v>
      </c>
      <c r="B31" s="0" t="s">
        <v>54</v>
      </c>
      <c r="C31" s="14">
        <v>0.08</v>
      </c>
      <c r="D31" s="14"/>
      <c r="E31" s="14"/>
      <c r="F31" s="14"/>
      <c r="G31" s="14"/>
      <c r="I31" s="5"/>
      <c r="J31" s="0" t="s">
        <v>55</v>
      </c>
    </row>
    <row r="32" outlineLevel="2">
      <c r="A32" s="12" t="s">
        <v>56</v>
      </c>
      <c r="B32" s="0" t="s">
        <v>54</v>
      </c>
      <c r="C32" s="14" t="s">
        <v>57</v>
      </c>
      <c r="D32" s="14"/>
      <c r="E32" s="14"/>
      <c r="F32" s="14"/>
      <c r="G32" s="14"/>
      <c r="I32" s="5"/>
      <c r="J32" s="0" t="s">
        <v>55</v>
      </c>
    </row>
    <row r="33" outlineLevel="2">
      <c r="A33" s="12" t="s">
        <v>58</v>
      </c>
      <c r="B33" s="0" t="s">
        <v>54</v>
      </c>
      <c r="C33" s="14">
        <v>3.2</v>
      </c>
      <c r="D33" s="14"/>
      <c r="E33" s="14"/>
      <c r="F33" s="14"/>
      <c r="G33" s="14"/>
      <c r="I33" s="5"/>
      <c r="J33" s="0" t="s">
        <v>55</v>
      </c>
    </row>
    <row r="34" outlineLevel="2">
      <c r="A34" s="12" t="s">
        <v>59</v>
      </c>
      <c r="B34" s="0" t="s">
        <v>54</v>
      </c>
      <c r="C34" s="14">
        <v>2.7</v>
      </c>
      <c r="D34" s="14"/>
      <c r="E34" s="14"/>
      <c r="F34" s="14"/>
      <c r="G34" s="14"/>
      <c r="I34" s="5"/>
      <c r="J34" s="0" t="s">
        <v>55</v>
      </c>
    </row>
    <row r="35" outlineLevel="2">
      <c r="A35" s="12" t="s">
        <v>60</v>
      </c>
      <c r="B35" s="0" t="s">
        <v>54</v>
      </c>
      <c r="C35" s="14" t="s">
        <v>61</v>
      </c>
      <c r="D35" s="14"/>
      <c r="E35" s="14"/>
      <c r="F35" s="14"/>
      <c r="G35" s="14"/>
      <c r="I35" s="5"/>
      <c r="J35" s="0" t="s">
        <v>62</v>
      </c>
    </row>
    <row r="36" outlineLevel="2">
      <c r="A36" s="12" t="s">
        <v>63</v>
      </c>
      <c r="B36" s="0" t="s">
        <v>54</v>
      </c>
      <c r="C36" s="14">
        <v>92</v>
      </c>
      <c r="D36" s="14"/>
      <c r="E36" s="14"/>
      <c r="F36" s="14"/>
      <c r="G36" s="14"/>
      <c r="I36" s="5"/>
      <c r="J36" s="0" t="s">
        <v>55</v>
      </c>
    </row>
    <row r="37" outlineLevel="2">
      <c r="A37" s="12" t="s">
        <v>64</v>
      </c>
      <c r="B37" s="0" t="s">
        <v>54</v>
      </c>
      <c r="C37" s="14">
        <v>1.6</v>
      </c>
      <c r="D37" s="14"/>
      <c r="E37" s="14"/>
      <c r="F37" s="14"/>
      <c r="G37" s="14"/>
      <c r="I37" s="5"/>
      <c r="J37" s="0" t="s">
        <v>55</v>
      </c>
    </row>
    <row r="38" outlineLevel="2">
      <c r="A38" s="12" t="s">
        <v>65</v>
      </c>
      <c r="B38" s="0" t="s">
        <v>54</v>
      </c>
      <c r="C38" s="14" t="s">
        <v>57</v>
      </c>
      <c r="D38" s="14"/>
      <c r="E38" s="14"/>
      <c r="F38" s="14"/>
      <c r="G38" s="14"/>
      <c r="I38" s="5"/>
      <c r="J38" s="0" t="s">
        <v>55</v>
      </c>
    </row>
    <row r="39" outlineLevel="2">
      <c r="A39" s="12" t="s">
        <v>66</v>
      </c>
      <c r="B39" s="0" t="s">
        <v>54</v>
      </c>
      <c r="C39" s="14" t="s">
        <v>57</v>
      </c>
      <c r="D39" s="14"/>
      <c r="E39" s="14"/>
      <c r="F39" s="14"/>
      <c r="G39" s="14"/>
      <c r="I39" s="5"/>
      <c r="J39" s="0" t="s">
        <v>55</v>
      </c>
    </row>
    <row r="40" outlineLevel="2">
      <c r="A40" s="12" t="s">
        <v>67</v>
      </c>
      <c r="B40" s="0" t="s">
        <v>54</v>
      </c>
      <c r="C40" s="14" t="s">
        <v>57</v>
      </c>
      <c r="D40" s="14"/>
      <c r="E40" s="14"/>
      <c r="F40" s="14"/>
      <c r="G40" s="14"/>
      <c r="I40" s="5"/>
      <c r="J40" s="0" t="s">
        <v>55</v>
      </c>
    </row>
    <row r="41" outlineLevel="2">
      <c r="A41" s="12" t="s">
        <v>68</v>
      </c>
      <c r="B41" s="0" t="s">
        <v>54</v>
      </c>
      <c r="C41" s="14" t="s">
        <v>57</v>
      </c>
      <c r="D41" s="14"/>
      <c r="E41" s="14"/>
      <c r="F41" s="14"/>
      <c r="G41" s="14"/>
      <c r="I41" s="5"/>
      <c r="J41" s="0" t="s">
        <v>55</v>
      </c>
    </row>
    <row r="42" outlineLevel="2">
      <c r="A42" s="12" t="s">
        <v>69</v>
      </c>
      <c r="B42" s="0" t="s">
        <v>54</v>
      </c>
      <c r="C42" s="14">
        <v>46</v>
      </c>
      <c r="D42" s="14"/>
      <c r="E42" s="14"/>
      <c r="F42" s="14"/>
      <c r="G42" s="14"/>
      <c r="I42" s="5"/>
      <c r="J42" s="0" t="s">
        <v>55</v>
      </c>
    </row>
    <row r="43" outlineLevel="1">
      <c r="A43" s="11" t="s">
        <v>70</v>
      </c>
      <c r="I43" s="5"/>
    </row>
    <row r="44" outlineLevel="2">
      <c r="A44" s="15" t="s">
        <v>71</v>
      </c>
      <c r="I44" s="5"/>
    </row>
    <row r="45" outlineLevel="3">
      <c r="A45" s="16" t="s">
        <v>72</v>
      </c>
      <c r="B45" s="0" t="s">
        <v>73</v>
      </c>
      <c r="C45" s="17">
        <v>1280</v>
      </c>
      <c r="D45" s="17"/>
      <c r="E45" s="17"/>
      <c r="F45" s="17"/>
      <c r="G45" s="17"/>
      <c r="I45" s="5"/>
    </row>
    <row r="46" outlineLevel="3">
      <c r="A46" s="16" t="s">
        <v>74</v>
      </c>
      <c r="B46" s="0" t="s">
        <v>73</v>
      </c>
      <c r="C46" s="17" t="s">
        <v>75</v>
      </c>
      <c r="D46" s="17"/>
      <c r="E46" s="17"/>
      <c r="F46" s="17"/>
      <c r="G46" s="17"/>
      <c r="I46" s="5"/>
    </row>
    <row r="47" outlineLevel="3">
      <c r="A47" s="16" t="s">
        <v>76</v>
      </c>
      <c r="B47" s="0" t="s">
        <v>73</v>
      </c>
      <c r="C47" s="17" t="s">
        <v>75</v>
      </c>
      <c r="D47" s="17"/>
      <c r="E47" s="17"/>
      <c r="F47" s="17"/>
      <c r="G47" s="17"/>
      <c r="I47" s="5"/>
    </row>
    <row r="48" outlineLevel="1">
      <c r="A48" s="11" t="s">
        <v>77</v>
      </c>
      <c r="I48" s="5"/>
    </row>
    <row r="49" outlineLevel="2">
      <c r="A49" s="12" t="s">
        <v>78</v>
      </c>
      <c r="B49" s="0" t="s">
        <v>79</v>
      </c>
      <c r="C49" s="13">
        <v>0.009</v>
      </c>
      <c r="D49" s="13"/>
      <c r="E49" s="13"/>
      <c r="F49" s="13"/>
      <c r="G49" s="13"/>
      <c r="I49" s="5"/>
      <c r="J49" s="0" t="s">
        <v>80</v>
      </c>
    </row>
    <row r="50">
      <c r="I50" s="5"/>
    </row>
    <row r="51" s="1" customFormat="1"/>
  </sheetData>
  <mergeCells>
    <mergeCell ref="A7:A9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25:E25"/>
    <mergeCell ref="C31:E31"/>
    <mergeCell ref="C32:E32"/>
    <mergeCell ref="C33:E33"/>
    <mergeCell ref="C34:E34"/>
    <mergeCell ref="C35:E35"/>
    <mergeCell ref="C36:E36"/>
    <mergeCell ref="C37:E37"/>
    <mergeCell ref="C38:E38"/>
    <mergeCell ref="C39:E39"/>
    <mergeCell ref="C40:E40"/>
    <mergeCell ref="C41:E41"/>
    <mergeCell ref="C42:E42"/>
    <mergeCell ref="C45:E45"/>
    <mergeCell ref="C46:E46"/>
    <mergeCell ref="C47:E47"/>
    <mergeCell ref="C49:E49"/>
  </mergeCells>
  <dataValidations count="1">
    <dataValidation type="decimal" sqref="C19" errorStyle="stop" promptTitle="Enter moisture content" errorTitle="Invalid moisture content" prompt="Value should be between 0 and 100.&#10;Original value: 1.4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https://phyllis.nl/Biomass/View/3076</dc:description>
  <dcterms:created xsi:type="dcterms:W3CDTF">2026-03-19T04:12:05Z</dcterms:created>
  <dc:title>Phyllis2 #3076 Used wood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