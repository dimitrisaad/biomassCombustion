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80 Coconut shell" sheetId="1" r:id="rId1"/>
  </sheets>
  <definedNames>
    <definedName name="w" localSheetId="0">IF(ISBLANK('Phyllis2 #3080 Coconut shell'!$C$19),#N/A,'Phyllis2 #3080 Coconut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<sst xmlns="http://schemas.openxmlformats.org/spreadsheetml/2006/main" count="50" uniqueCount="50">
  <si>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</si>
  <si>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https://phyllis.nl/Biomass/View/3080</t>
  </si>
  <si>
    <t>Coconut shell (#3080)</t>
  </si>
  <si>
    <t>ID-number</t>
  </si>
  <si>
    <t>#3080</t>
  </si>
  <si>
    <t>Material</t>
  </si>
  <si>
    <t>Coconut shell</t>
  </si>
  <si>
    <t>Classification</t>
  </si>
  <si>
    <t>CEN/TS 14961 classification &gt; Solid biofuels</t>
  </si>
  <si>
    <t>ECN Phyllis classification &gt; husk/shell/pit &gt; coconut &gt; coconut shell</t>
  </si>
  <si>
    <t>NTA 8003 classification &gt; [200] biomassa uit land- en tuinbouw &gt; [230] restproducten (doppen) &gt; [239] overige doppen</t>
  </si>
  <si>
    <t>Country</t>
  </si>
  <si>
    <t>Philippines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</si>
  <si>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</si>
  <si>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</si>
  <si>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</si>
  <si>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</si>
  <si>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</si>
  <si>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</si>
  <si>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</si>
  <si>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</si>
  <si>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</si>
  <si>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</si>
  <si>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</si>
  <si>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</si>
  <si>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</si>
  <si>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</si>
  <si>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</si>
  <si>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</si>
  <si>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</si>
  <si>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</si>
  <si>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</si>
  <si>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</si>
  <si>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</si>
  <si>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815°C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</si>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</sst>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8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39007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14.3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f>IFERROR(0.7*(1-w),"")</f>
        <v>0.5999</v>
      </c>
      <c r="D20" s="13">
        <v>0.7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32</v>
      </c>
      <c r="C22" s="13">
        <f>IFERROR(51.9*(1-w),"")</f>
        <v>44.4783</v>
      </c>
      <c r="D22" s="13">
        <v>51.9</v>
      </c>
      <c r="E22" s="13">
        <v>52.265861027190333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32</v>
      </c>
      <c r="C23" s="13">
        <f>IFERROR(5.8*(1-w),"")</f>
        <v>4.9706</v>
      </c>
      <c r="D23" s="13">
        <v>5.8</v>
      </c>
      <c r="E23" s="13">
        <v>5.8408862034239677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32</v>
      </c>
      <c r="C24" s="13">
        <f>IFERROR(0.16*(1-w),"")</f>
        <v>0.13712</v>
      </c>
      <c r="D24" s="13">
        <v>0.16</v>
      </c>
      <c r="E24" s="13">
        <v>0.16112789526686808</v>
      </c>
      <c r="F24" s="13"/>
      <c r="G24" s="13"/>
      <c r="I24" s="5"/>
      <c r="J24" s="0" t="s">
        <v>38</v>
      </c>
    </row>
    <row r="25" outlineLevel="2">
      <c r="A25" s="12" t="s">
        <v>41</v>
      </c>
      <c r="B25" s="0" t="s">
        <v>32</v>
      </c>
      <c r="C25" s="13">
        <f>IFERROR(0.02*(1-w),"")</f>
        <v>0.01714</v>
      </c>
      <c r="D25" s="13">
        <v>0.02</v>
      </c>
      <c r="E25" s="13">
        <v>0.02014098690835851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32</v>
      </c>
      <c r="C26" s="13">
        <f>IFERROR(58.58*(1-w)+w*100,"")</f>
        <v>64.50306</v>
      </c>
      <c r="D26" s="13">
        <v>58.58</v>
      </c>
      <c r="E26" s="13">
        <v>58.288016112789521</v>
      </c>
      <c r="F26" s="13"/>
      <c r="G26" s="13"/>
      <c r="I26" s="5"/>
      <c r="J26" s="0" t="s">
        <v>44</v>
      </c>
    </row>
    <row r="27" outlineLevel="1">
      <c r="A27" s="11" t="s">
        <v>45</v>
      </c>
      <c r="I27" s="5"/>
    </row>
    <row r="28" outlineLevel="2">
      <c r="A28" s="12" t="s">
        <v>46</v>
      </c>
      <c r="B28" s="0" t="s">
        <v>47</v>
      </c>
      <c r="C28" s="13">
        <f>IFERROR(19.32*(1-w)-w*2.443,"")</f>
        <v>16.207891</v>
      </c>
      <c r="D28" s="13">
        <v>19.32</v>
      </c>
      <c r="E28" s="13">
        <v>19.456193353474319</v>
      </c>
      <c r="F28" s="13"/>
      <c r="G28" s="13"/>
      <c r="I28" s="5"/>
      <c r="J28" s="0" t="s">
        <v>48</v>
      </c>
    </row>
    <row r="29" outlineLevel="2">
      <c r="A29" s="12" t="s">
        <v>49</v>
      </c>
      <c r="B29" s="0" t="s">
        <v>47</v>
      </c>
      <c r="C29" s="13">
        <f>IFERROR(20.59*(1-w),"")</f>
        <v>17.64563</v>
      </c>
      <c r="D29" s="13">
        <v>20.59</v>
      </c>
      <c r="E29" s="13">
        <v>20.735146022155085</v>
      </c>
      <c r="F29" s="13"/>
      <c r="G29" s="13"/>
      <c r="I29" s="5"/>
    </row>
    <row r="30">
      <c r="I30" s="5"/>
    </row>
    <row r="31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4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https://phyllis.nl/Biomass/View/3080</dc:description>
  <dcterms:created xsi:type="dcterms:W3CDTF">2026-03-17T05:40:50Z</dcterms:created>
  <dc:title>Phyllis2 #3080 Coconut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