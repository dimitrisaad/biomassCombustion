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88 Reed canary gras" sheetId="1" r:id="rId1"/>
  </sheets>
  <definedNames>
    <definedName name="w" localSheetId="0">IF(ISBLANK('Phyllis2 #3088 Reed canary gras'!$C$24),#N/A,'Phyllis2 #3088 Reed canary gras'!$C$24/100)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<sst xmlns="http://schemas.openxmlformats.org/spreadsheetml/2006/main" count="69" uniqueCount="69">
  <si>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</si>
  <si>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https://phyllis.nl/Biomass/View/3088</t>
  </si>
  <si>
    <t>Reed canary grass (#3088)</t>
  </si>
  <si>
    <t>ID-number</t>
  </si>
  <si>
    <t>#3088</t>
  </si>
  <si>
    <t>Material</t>
  </si>
  <si>
    <t>Reed canary grass</t>
  </si>
  <si>
    <t>Alternative name</t>
  </si>
  <si>
    <t>Latin name</t>
  </si>
  <si>
    <t>Phalaris arundinacea L.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</si>
  <si>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</si>
  <si>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</si>
  <si>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 canary grass</t>
  </si>
  <si>
    <t>NTA 8003 classification &gt; [200] biomassa uit land- en tuinbouw &gt; [210] gras &gt; [219] overig gras</t>
  </si>
  <si>
    <t>Sample date</t>
  </si>
  <si>
    <t>Country</t>
  </si>
  <si>
    <t>Finland</t>
  </si>
  <si>
    <t>Production date</t>
  </si>
  <si>
    <t>Submitter</t>
  </si>
  <si>
    <t>ENAS Oy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</si>
  <si>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</si>
  <si>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</si>
  <si>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</si>
  <si>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</si>
  <si>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</si>
  <si>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</si>
  <si>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</si>
  <si>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</si>
  <si>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</si>
  <si>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</si>
  <si>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</si>
  <si>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</si>
  <si>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</si>
  <si>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</si>
  <si>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</si>
  <si>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</si>
  <si>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</si>
  <si>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</si>
  <si>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</si>
  <si>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</si>
  <si>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</si>
  <si>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</si>
  <si>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</si>
  <si>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</si>
  <si>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</si>
  <si>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</si>
  <si>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</si>
  <si>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</si>
  <si>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</si>
  <si>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</si>
  <si>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</si>
  <si>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</si>
  <si>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</si>
  <si>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</si>
  <si>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</si>
  <si>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</si>
  <si>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</si>
  <si>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</si>
  <si>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</si>
  <si>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</si>
  <si>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</si>
  <si>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Ash melting behaviour</t>
  </si>
  <si>
    <t>European standard method</t>
  </si>
  <si>
    <t>SH (shrinkage temperature)</t>
  </si>
  <si>
    <t>°C</t>
  </si>
  <si>
    <t>DEF (deformation temperature)</t>
  </si>
  <si>
    <t>&gt; 1450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</si>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</sst>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7" t="s">
        <v>8</v>
      </c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8"/>
      <c r="B10" s="0" t="s">
        <v>12</v>
      </c>
    </row>
    <row r="11" outlineLevel="1">
      <c r="A11" s="8"/>
      <c r="B11" s="0" t="s">
        <v>13</v>
      </c>
    </row>
    <row r="12" outlineLevel="1">
      <c r="A12" s="7" t="s">
        <v>14</v>
      </c>
      <c r="B12" s="6">
        <v>39303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6">
        <v>39303</v>
      </c>
    </row>
    <row r="15" outlineLevel="1">
      <c r="A15" s="7" t="s">
        <v>18</v>
      </c>
      <c r="B15" s="0" t="s">
        <v>19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6">
        <v>39506</v>
      </c>
    </row>
    <row r="18">
      <c r="A18" s="7"/>
    </row>
    <row r="19" s="1" customFormat="1">
      <c r="A19" s="9" t="s">
        <v>23</v>
      </c>
    </row>
    <row r="20" s="1" customFormat="1">
      <c r="A20" s="10" t="s">
        <v>24</v>
      </c>
      <c r="B20" s="10" t="s">
        <v>25</v>
      </c>
      <c r="C20" s="10" t="s">
        <v>26</v>
      </c>
      <c r="D20" s="10"/>
      <c r="E20" s="10"/>
      <c r="F20" s="10" t="s">
        <v>27</v>
      </c>
      <c r="G20" s="10" t="s">
        <v>28</v>
      </c>
      <c r="H20" s="10" t="s">
        <v>29</v>
      </c>
      <c r="I20" s="10" t="s">
        <v>30</v>
      </c>
      <c r="J20" s="10" t="s">
        <v>31</v>
      </c>
      <c r="K20" s="10" t="s">
        <v>32</v>
      </c>
      <c r="L20" s="10"/>
    </row>
    <row r="21" s="1" customFormat="1">
      <c r="A21" s="10"/>
      <c r="B21" s="10"/>
      <c r="C21" s="10" t="s">
        <v>33</v>
      </c>
      <c r="D21" s="10" t="s">
        <v>34</v>
      </c>
      <c r="E21" s="10" t="s">
        <v>35</v>
      </c>
      <c r="F21" s="10"/>
      <c r="G21" s="10"/>
      <c r="H21" s="10"/>
      <c r="I21" s="10"/>
      <c r="J21" s="10"/>
      <c r="K21" s="10"/>
      <c r="L21" s="10"/>
    </row>
    <row r="22">
      <c r="A22" s="7" t="s">
        <v>36</v>
      </c>
      <c r="I22" s="5"/>
    </row>
    <row r="23" outlineLevel="1">
      <c r="A23" s="11" t="s">
        <v>37</v>
      </c>
      <c r="I23" s="5"/>
    </row>
    <row r="24" outlineLevel="2">
      <c r="A24" s="12" t="s">
        <v>38</v>
      </c>
      <c r="B24" s="0" t="s">
        <v>39</v>
      </c>
      <c r="C24" s="13">
        <v>13.6</v>
      </c>
      <c r="D24" s="13"/>
      <c r="E24" s="13"/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39</v>
      </c>
      <c r="C25" s="13">
        <f>IFERROR(2.6*(1-w),"")</f>
        <v>2.2464</v>
      </c>
      <c r="D25" s="13">
        <v>2.6</v>
      </c>
      <c r="E25" s="13">
        <v/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39</v>
      </c>
      <c r="C27" s="13">
        <f>IFERROR(48*(1-w),"")</f>
        <v>41.472</v>
      </c>
      <c r="D27" s="13">
        <v>48</v>
      </c>
      <c r="E27" s="13">
        <v>49.281314168377826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39</v>
      </c>
      <c r="C28" s="13">
        <f>IFERROR(6.2*(1-w),"")</f>
        <v>5.3568</v>
      </c>
      <c r="D28" s="13">
        <v>6.2</v>
      </c>
      <c r="E28" s="13">
        <v>6.3655030800821359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39</v>
      </c>
      <c r="C29" s="13">
        <f>IFERROR(0.39*(1-w),"")</f>
        <v>0.33696</v>
      </c>
      <c r="D29" s="13">
        <v>0.39</v>
      </c>
      <c r="E29" s="13">
        <v>0.40041067761806987</v>
      </c>
      <c r="F29" s="13"/>
      <c r="G29" s="13"/>
      <c r="I29" s="5"/>
      <c r="J29" s="0" t="s">
        <v>45</v>
      </c>
    </row>
    <row r="30" outlineLevel="2">
      <c r="A30" s="12" t="s">
        <v>48</v>
      </c>
      <c r="B30" s="0" t="s">
        <v>39</v>
      </c>
      <c r="C30" s="13">
        <f>IFERROR(0.04*(1-w),"")</f>
        <v>0.03456</v>
      </c>
      <c r="D30" s="13">
        <v>0.04</v>
      </c>
      <c r="E30" s="13">
        <v>0.041067761806981525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39</v>
      </c>
      <c r="C31" s="13">
        <f>IFERROR(57.2300013*(1-w)+w*100,"")</f>
        <v>63.046721123200008</v>
      </c>
      <c r="D31" s="13">
        <v>57.230001300000005</v>
      </c>
      <c r="E31" s="13">
        <v>56.088297022587277</v>
      </c>
      <c r="F31" s="13"/>
      <c r="G31" s="13"/>
      <c r="I31" s="5"/>
      <c r="J31" s="0" t="s">
        <v>51</v>
      </c>
    </row>
    <row r="32" outlineLevel="1">
      <c r="A32" s="11" t="s">
        <v>52</v>
      </c>
      <c r="I32" s="5"/>
    </row>
    <row r="33" outlineLevel="2">
      <c r="A33" s="12" t="s">
        <v>53</v>
      </c>
      <c r="B33" s="0" t="s">
        <v>54</v>
      </c>
      <c r="C33" s="14">
        <f>IFERROR(0.013*(1-w),"")</f>
        <v>0.011231999999999999</v>
      </c>
      <c r="D33" s="14">
        <v>0.013</v>
      </c>
      <c r="E33" s="14">
        <v>0.013347022587268994</v>
      </c>
      <c r="F33" s="14"/>
      <c r="G33" s="14"/>
      <c r="I33" s="5"/>
      <c r="J33" s="0" t="s">
        <v>55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IFERROR(17.66*(1-w)-w*2.443,"")</f>
        <v>14.925992</v>
      </c>
      <c r="D35" s="13">
        <v>17.66</v>
      </c>
      <c r="E35" s="13">
        <v>18.131416837782343</v>
      </c>
      <c r="F35" s="13"/>
      <c r="G35" s="13"/>
      <c r="I35" s="5"/>
      <c r="J35" s="0" t="s">
        <v>59</v>
      </c>
    </row>
    <row r="36" outlineLevel="2">
      <c r="A36" s="12" t="s">
        <v>60</v>
      </c>
      <c r="B36" s="0" t="s">
        <v>58</v>
      </c>
      <c r="C36" s="13">
        <f>IFERROR(19.01*(1-w),"")</f>
        <v>16.42464</v>
      </c>
      <c r="D36" s="13">
        <v>19.01</v>
      </c>
      <c r="E36" s="13">
        <v>19.517453798767971</v>
      </c>
      <c r="F36" s="13"/>
      <c r="G36" s="13"/>
      <c r="I36" s="5"/>
    </row>
    <row r="37" outlineLevel="1">
      <c r="A37" s="11" t="s">
        <v>61</v>
      </c>
      <c r="I37" s="5"/>
    </row>
    <row r="38" outlineLevel="2">
      <c r="A38" s="15" t="s">
        <v>62</v>
      </c>
      <c r="I38" s="5"/>
    </row>
    <row r="39" outlineLevel="3">
      <c r="A39" s="16" t="s">
        <v>63</v>
      </c>
      <c r="B39" s="0" t="s">
        <v>64</v>
      </c>
      <c r="C39" s="17">
        <v>1430</v>
      </c>
      <c r="D39" s="17"/>
      <c r="E39" s="17"/>
      <c r="F39" s="17"/>
      <c r="G39" s="17"/>
      <c r="I39" s="5"/>
    </row>
    <row r="40" outlineLevel="3">
      <c r="A40" s="16" t="s">
        <v>65</v>
      </c>
      <c r="B40" s="0" t="s">
        <v>64</v>
      </c>
      <c r="C40" s="17" t="s">
        <v>66</v>
      </c>
      <c r="D40" s="17"/>
      <c r="E40" s="17"/>
      <c r="F40" s="17"/>
      <c r="G40" s="17"/>
      <c r="I40" s="5"/>
    </row>
    <row r="41" outlineLevel="3">
      <c r="A41" s="16" t="s">
        <v>67</v>
      </c>
      <c r="B41" s="0" t="s">
        <v>64</v>
      </c>
      <c r="C41" s="17" t="s">
        <v>66</v>
      </c>
      <c r="D41" s="17"/>
      <c r="E41" s="17"/>
      <c r="F41" s="17"/>
      <c r="G41" s="17"/>
      <c r="I41" s="5"/>
    </row>
    <row r="42" outlineLevel="3">
      <c r="A42" s="16" t="s">
        <v>68</v>
      </c>
      <c r="B42" s="0" t="s">
        <v>64</v>
      </c>
      <c r="C42" s="17" t="s">
        <v>66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9:E39"/>
    <mergeCell ref="C40:E40"/>
    <mergeCell ref="C41:E41"/>
    <mergeCell ref="C42:E42"/>
  </mergeCells>
  <dataValidations count="1">
    <dataValidation type="decimal" sqref="C24" errorStyle="stop" promptTitle="Enter moisture content" errorTitle="Invalid moisture content" prompt="Value should be between 0 and 100.&#10;Original value: 13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https://phyllis.nl/Biomass/View/3088</dc:description>
  <dcterms:created xsi:type="dcterms:W3CDTF">2026-03-04T04:37:29Z</dcterms:created>
  <dc:title>Phyllis2 #3088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