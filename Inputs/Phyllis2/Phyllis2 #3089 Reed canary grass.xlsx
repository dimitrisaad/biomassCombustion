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89 Reed canary gras" sheetId="1" r:id="rId1"/>
  </sheets>
  <definedNames>
    <definedName name="w" localSheetId="0">IF(ISBLANK('Phyllis2 #3089 Reed canary gras'!$C$22),#N/A,'Phyllis2 #3089 Reed canary gras'!$C$22/100)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<sst xmlns="http://schemas.openxmlformats.org/spreadsheetml/2006/main" count="54" uniqueCount="54">
  <si>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</si>
  <si>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https://phyllis.nl/Biomass/View/3089</t>
  </si>
  <si>
    <t>Reed canary grass (#3089)</t>
  </si>
  <si>
    <t>ID-number</t>
  </si>
  <si>
    <t>#3089</t>
  </si>
  <si>
    <t>Material</t>
  </si>
  <si>
    <t>Reed canary grass</t>
  </si>
  <si>
    <t>Alternative name</t>
  </si>
  <si>
    <t>Latin name</t>
  </si>
  <si>
    <t>Phalaris arundinacea L.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</si>
  <si>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</si>
  <si>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</si>
  <si>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 canary grass</t>
  </si>
  <si>
    <t>NTA 8003 classification &gt; [200] biomassa uit land- en tuinbouw &gt; [210] gras &gt; [219] overig gras</t>
  </si>
  <si>
    <t>Sample date</t>
  </si>
  <si>
    <t>Sample location</t>
  </si>
  <si>
    <t>Finland</t>
  </si>
  <si>
    <t>Country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</si>
  <si>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</si>
  <si>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</si>
  <si>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</si>
  <si>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</si>
  <si>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</si>
  <si>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</si>
  <si>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</si>
  <si>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</si>
  <si>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</si>
  <si>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</si>
  <si>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</si>
  <si>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</si>
  <si>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</si>
  <si>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</si>
  <si>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</si>
  <si>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</si>
  <si>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</si>
  <si>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</si>
  <si>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</si>
  <si>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</si>
  <si>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</si>
  <si>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</si>
  <si>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</si>
  <si>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</si>
  <si>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</si>
  <si>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</si>
  <si>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</si>
  <si>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</si>
  <si>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ASTM D 4239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</si>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</sst>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39398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16</v>
      </c>
    </row>
    <row r="15" outlineLevel="1">
      <c r="A15" s="7" t="s">
        <v>18</v>
      </c>
      <c r="B15" s="0" t="s">
        <v>19</v>
      </c>
    </row>
    <row r="16">
      <c r="A16" s="7"/>
    </row>
    <row r="17" s="1" customFormat="1">
      <c r="A17" s="9" t="s">
        <v>20</v>
      </c>
    </row>
    <row r="18" s="1" customFormat="1">
      <c r="A18" s="10" t="s">
        <v>21</v>
      </c>
      <c r="B18" s="10" t="s">
        <v>22</v>
      </c>
      <c r="C18" s="10" t="s">
        <v>23</v>
      </c>
      <c r="D18" s="10"/>
      <c r="E18" s="10"/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29</v>
      </c>
      <c r="L18" s="10"/>
    </row>
    <row r="19" s="1" customFormat="1">
      <c r="A19" s="10"/>
      <c r="B19" s="10"/>
      <c r="C19" s="10" t="s">
        <v>30</v>
      </c>
      <c r="D19" s="10" t="s">
        <v>31</v>
      </c>
      <c r="E19" s="10" t="s">
        <v>32</v>
      </c>
      <c r="F19" s="10"/>
      <c r="G19" s="10"/>
      <c r="H19" s="10"/>
      <c r="I19" s="10"/>
      <c r="J19" s="10"/>
      <c r="K19" s="10"/>
      <c r="L19" s="10"/>
    </row>
    <row r="20">
      <c r="A20" s="7" t="s">
        <v>33</v>
      </c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36</v>
      </c>
      <c r="C22" s="13">
        <v/>
      </c>
      <c r="D22" s="13"/>
      <c r="E22" s="13"/>
      <c r="F22" s="13"/>
      <c r="G22" s="13"/>
      <c r="I22" s="5"/>
    </row>
    <row r="23" outlineLevel="2">
      <c r="A23" s="12" t="s">
        <v>37</v>
      </c>
      <c r="B23" s="0" t="s">
        <v>38</v>
      </c>
      <c r="C23" s="13">
        <f>IFERROR(4.9*(1-w),"")</f>
        <v/>
      </c>
      <c r="D23" s="13">
        <v>4.9</v>
      </c>
      <c r="E23" s="13">
        <v/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38</v>
      </c>
      <c r="C25" s="13">
        <f>IFERROR(47.2*(1-w),"")</f>
        <v/>
      </c>
      <c r="D25" s="13">
        <v>47.2</v>
      </c>
      <c r="E25" s="13">
        <v>49.631966351209257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38</v>
      </c>
      <c r="C26" s="13">
        <f>IFERROR(5.8*(1-w),"")</f>
        <v/>
      </c>
      <c r="D26" s="13">
        <v>5.8</v>
      </c>
      <c r="E26" s="13">
        <v>6.0988433228180865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38</v>
      </c>
      <c r="C27" s="13">
        <f>IFERROR(0.63*(1-w),"")</f>
        <v/>
      </c>
      <c r="D27" s="13">
        <v>0.63</v>
      </c>
      <c r="E27" s="13">
        <v>0.66246056782334384</v>
      </c>
      <c r="F27" s="13"/>
      <c r="G27" s="13"/>
      <c r="I27" s="5"/>
      <c r="J27" s="0" t="s">
        <v>42</v>
      </c>
    </row>
    <row r="28" outlineLevel="2">
      <c r="A28" s="12" t="s">
        <v>45</v>
      </c>
      <c r="B28" s="0" t="s">
        <v>38</v>
      </c>
      <c r="C28" s="13">
        <f>IFERROR(0.07*(1-w),"")</f>
        <v/>
      </c>
      <c r="D28" s="13">
        <v>0.07</v>
      </c>
      <c r="E28" s="13">
        <v>0.073606729758149331</v>
      </c>
      <c r="F28" s="13"/>
      <c r="G28" s="13"/>
      <c r="I28" s="5"/>
      <c r="J28" s="0" t="s">
        <v>46</v>
      </c>
    </row>
    <row r="29" outlineLevel="2">
      <c r="A29" s="12" t="s">
        <v>47</v>
      </c>
      <c r="B29" s="0" t="s">
        <v>38</v>
      </c>
      <c r="C29" s="13">
        <f>IFERROR(58.6*(1-w)+w*100,"")</f>
        <v/>
      </c>
      <c r="D29" s="13">
        <v>58.6</v>
      </c>
      <c r="E29" s="13">
        <v>56.466876971608841</v>
      </c>
      <c r="F29" s="13"/>
      <c r="G29" s="13"/>
      <c r="I29" s="5"/>
      <c r="J29" s="0" t="s">
        <v>48</v>
      </c>
    </row>
    <row r="30" outlineLevel="1">
      <c r="A30" s="11" t="s">
        <v>49</v>
      </c>
      <c r="I30" s="5"/>
    </row>
    <row r="31" outlineLevel="2">
      <c r="A31" s="12" t="s">
        <v>50</v>
      </c>
      <c r="B31" s="0" t="s">
        <v>51</v>
      </c>
      <c r="C31" s="13">
        <f>IFERROR(17.52*(1-w)-w*2.443,"")</f>
        <v/>
      </c>
      <c r="D31" s="13">
        <v>17.52</v>
      </c>
      <c r="E31" s="13">
        <v>18.422712933753942</v>
      </c>
      <c r="F31" s="13"/>
      <c r="G31" s="13"/>
      <c r="I31" s="5"/>
      <c r="J31" s="0" t="s">
        <v>52</v>
      </c>
    </row>
    <row r="32" outlineLevel="2">
      <c r="A32" s="12" t="s">
        <v>53</v>
      </c>
      <c r="B32" s="0" t="s">
        <v>51</v>
      </c>
      <c r="C32" s="13">
        <f>IFERROR(18.781*(1-w),"")</f>
        <v/>
      </c>
      <c r="D32" s="13">
        <v>18.781</v>
      </c>
      <c r="E32" s="13">
        <v>19.748685594111461</v>
      </c>
      <c r="F32" s="13"/>
      <c r="G32" s="13"/>
      <c r="I32" s="5"/>
    </row>
    <row r="33">
      <c r="I33" s="5"/>
    </row>
    <row r="34" s="1" customFormat="1"/>
  </sheetData>
  <mergeCells>
    <mergeCell ref="A9:A11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</mergeCells>
  <dataValidations count="1">
    <dataValidation type="decimal" sqref="C22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https://phyllis.nl/Biomass/View/3089</dc:description>
  <dcterms:created xsi:type="dcterms:W3CDTF">2026-03-04T04:37:34Z</dcterms:created>
  <dc:title>Phyllis2 #3089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