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090 Reed canary gras" sheetId="1" r:id="rId1"/>
  </sheets>
  <definedNames>
    <definedName name="w" localSheetId="0">IF(ISBLANK('Phyllis2 #3090 Reed canary gras'!$C$22),#N/A,'Phyllis2 #3090 Reed canary gras'!$C$22/100)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9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9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9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<sst xmlns="http://schemas.openxmlformats.org/spreadsheetml/2006/main" count="56" uniqueCount="56">
  <si>
    <t>Phyllis2</t>
  </si>
  <si>
    <t>https://phyllis.nl/Biomass/View/3090</t>
  </si>
  <si>
    <t>Reed canary grass (#3090)</t>
  </si>
  <si>
    <t>ID-number</t>
  </si>
  <si>
    <t>#3090</t>
  </si>
  <si>
    <t>Material</t>
  </si>
  <si>
    <t>Reed canary grass</t>
  </si>
  <si>
    <t>Alternative name</t>
  </si>
  <si>
    <t>Latin name</t>
  </si>
  <si>
    <t>Phalaris arundinacea L.</t>
  </si>
  <si>
    <t>Classification</t>
  </si>
  <si>
    <t>CEN/TS 14961 classification &gt; Solid biofuels &gt; Herbaceous biomass &gt; Agriculture and Horticulture herb &gt; Grasses &gt; Whole plant</t>
  </si>
  <si>
    <t>ECN Phyllis classification &gt; grass/plant &gt; reed &gt; reed canary grass</t>
  </si>
  <si>
    <t>NTA 8003 classification &gt; [200] biomassa uit land- en tuinbouw &gt; [210] gras &gt; [219] overig gras</t>
  </si>
  <si>
    <t>Sample date</t>
  </si>
  <si>
    <t>Sample location</t>
  </si>
  <si>
    <t>Finland</t>
  </si>
  <si>
    <t>Country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</si>
  <si>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</si>
  <si>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</si>
  <si>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</si>
  <si>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</si>
  <si>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</si>
  <si>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</si>
  <si>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</si>
  <si>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</si>
  <si>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</si>
  <si>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</si>
  <si>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</si>
  <si>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</si>
  <si>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</si>
  <si>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</si>
  <si>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</si>
  <si>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</si>
  <si>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</si>
  <si>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</si>
  <si>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</si>
  <si>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</si>
  <si>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</si>
  <si>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CEN/TS 14775</t>
  </si>
  <si>
    <t>Ultimate analysis (macroelements)</t>
  </si>
  <si>
    <t>Carbon</t>
  </si>
  <si>
    <t>CEN/TS 15104</t>
  </si>
  <si>
    <t>Hydrogen</t>
  </si>
  <si>
    <t>Oxygen</t>
  </si>
  <si>
    <t>Nitrogen</t>
  </si>
  <si>
    <t>Sulphur</t>
  </si>
  <si>
    <t>ASTM D 4239</t>
  </si>
  <si>
    <t>Total (with halides)</t>
  </si>
  <si>
    <t>Calculated</t>
  </si>
  <si>
    <t>Heating value</t>
  </si>
  <si>
    <t>Net calorific value (LHV)</t>
  </si>
  <si>
    <t>MJ/kg</t>
  </si>
  <si>
    <t>CEN/TS 14918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</si>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</sst>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09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6</v>
      </c>
    </row>
    <row r="8" outlineLevel="1">
      <c r="A8" s="7" t="s">
        <v>8</v>
      </c>
      <c r="B8" s="0" t="s">
        <v>9</v>
      </c>
    </row>
    <row r="9" outlineLevel="1">
      <c r="A9" s="8" t="s">
        <v>10</v>
      </c>
      <c r="B9" s="0" t="s">
        <v>11</v>
      </c>
    </row>
    <row r="10" outlineLevel="1">
      <c r="A10" s="8"/>
      <c r="B10" s="0" t="s">
        <v>12</v>
      </c>
    </row>
    <row r="11" outlineLevel="1">
      <c r="A11" s="8"/>
      <c r="B11" s="0" t="s">
        <v>13</v>
      </c>
    </row>
    <row r="12" outlineLevel="1">
      <c r="A12" s="7" t="s">
        <v>14</v>
      </c>
      <c r="B12" s="6">
        <v>39385</v>
      </c>
    </row>
    <row r="13" outlineLevel="1">
      <c r="A13" s="7" t="s">
        <v>15</v>
      </c>
      <c r="B13" s="0" t="s">
        <v>16</v>
      </c>
    </row>
    <row r="14" outlineLevel="1">
      <c r="A14" s="7" t="s">
        <v>17</v>
      </c>
      <c r="B14" s="0" t="s">
        <v>16</v>
      </c>
    </row>
    <row r="15" outlineLevel="1">
      <c r="A15" s="7" t="s">
        <v>18</v>
      </c>
      <c r="B15" s="0" t="s">
        <v>19</v>
      </c>
    </row>
    <row r="16">
      <c r="A16" s="7"/>
    </row>
    <row r="17" s="1" customFormat="1">
      <c r="A17" s="9" t="s">
        <v>20</v>
      </c>
    </row>
    <row r="18" s="1" customFormat="1">
      <c r="A18" s="10" t="s">
        <v>21</v>
      </c>
      <c r="B18" s="10" t="s">
        <v>22</v>
      </c>
      <c r="C18" s="10" t="s">
        <v>23</v>
      </c>
      <c r="D18" s="10"/>
      <c r="E18" s="10"/>
      <c r="F18" s="10" t="s">
        <v>24</v>
      </c>
      <c r="G18" s="10" t="s">
        <v>25</v>
      </c>
      <c r="H18" s="10" t="s">
        <v>26</v>
      </c>
      <c r="I18" s="10" t="s">
        <v>27</v>
      </c>
      <c r="J18" s="10" t="s">
        <v>28</v>
      </c>
      <c r="K18" s="10" t="s">
        <v>29</v>
      </c>
      <c r="L18" s="10"/>
    </row>
    <row r="19" s="1" customFormat="1">
      <c r="A19" s="10"/>
      <c r="B19" s="10"/>
      <c r="C19" s="10" t="s">
        <v>30</v>
      </c>
      <c r="D19" s="10" t="s">
        <v>31</v>
      </c>
      <c r="E19" s="10" t="s">
        <v>32</v>
      </c>
      <c r="F19" s="10"/>
      <c r="G19" s="10"/>
      <c r="H19" s="10"/>
      <c r="I19" s="10"/>
      <c r="J19" s="10"/>
      <c r="K19" s="10"/>
      <c r="L19" s="10"/>
    </row>
    <row r="20">
      <c r="A20" s="7" t="s">
        <v>33</v>
      </c>
      <c r="I20" s="5"/>
    </row>
    <row r="21" outlineLevel="1">
      <c r="A21" s="11" t="s">
        <v>34</v>
      </c>
      <c r="I21" s="5"/>
    </row>
    <row r="22" outlineLevel="2">
      <c r="A22" s="12" t="s">
        <v>35</v>
      </c>
      <c r="B22" s="0" t="s">
        <v>36</v>
      </c>
      <c r="C22" s="13">
        <v/>
      </c>
      <c r="D22" s="13"/>
      <c r="E22" s="13"/>
      <c r="F22" s="13"/>
      <c r="G22" s="13"/>
      <c r="I22" s="5"/>
    </row>
    <row r="23" outlineLevel="2">
      <c r="A23" s="12" t="s">
        <v>37</v>
      </c>
      <c r="B23" s="0" t="s">
        <v>38</v>
      </c>
      <c r="C23" s="13">
        <f>IFERROR(3.6*(1-w),"")</f>
        <v/>
      </c>
      <c r="D23" s="13">
        <v>3.6</v>
      </c>
      <c r="E23" s="13">
        <v/>
      </c>
      <c r="F23" s="13"/>
      <c r="G23" s="13"/>
      <c r="I23" s="5"/>
      <c r="J23" s="0" t="s">
        <v>39</v>
      </c>
    </row>
    <row r="24" outlineLevel="1">
      <c r="A24" s="11" t="s">
        <v>40</v>
      </c>
      <c r="I24" s="5"/>
    </row>
    <row r="25" outlineLevel="2">
      <c r="A25" s="12" t="s">
        <v>41</v>
      </c>
      <c r="B25" s="0" t="s">
        <v>38</v>
      </c>
      <c r="C25" s="13">
        <f>IFERROR(48*(1-w),"")</f>
        <v/>
      </c>
      <c r="D25" s="13">
        <v>48</v>
      </c>
      <c r="E25" s="13">
        <v>49.792531120331951</v>
      </c>
      <c r="F25" s="13"/>
      <c r="G25" s="13"/>
      <c r="I25" s="5"/>
      <c r="J25" s="0" t="s">
        <v>42</v>
      </c>
    </row>
    <row r="26" outlineLevel="2">
      <c r="A26" s="12" t="s">
        <v>43</v>
      </c>
      <c r="B26" s="0" t="s">
        <v>38</v>
      </c>
      <c r="C26" s="13">
        <f>IFERROR(6*(1-w),"")</f>
        <v/>
      </c>
      <c r="D26" s="13">
        <v>6</v>
      </c>
      <c r="E26" s="13">
        <v>6.2240663900414939</v>
      </c>
      <c r="F26" s="13"/>
      <c r="G26" s="13"/>
      <c r="I26" s="5"/>
      <c r="J26" s="0" t="s">
        <v>42</v>
      </c>
    </row>
    <row r="27" outlineLevel="2">
      <c r="A27" s="12" t="s">
        <v>44</v>
      </c>
      <c r="B27" s="0" t="s">
        <v>38</v>
      </c>
      <c r="C27" s="13">
        <f>IFERROR(41.4*(1-w),"")</f>
        <v/>
      </c>
      <c r="D27" s="13">
        <v>41.4</v>
      </c>
      <c r="E27" s="13">
        <v>42.946058091286304</v>
      </c>
      <c r="F27" s="13"/>
      <c r="G27" s="13"/>
      <c r="I27" s="5"/>
    </row>
    <row r="28" outlineLevel="2">
      <c r="A28" s="12" t="s">
        <v>45</v>
      </c>
      <c r="B28" s="0" t="s">
        <v>38</v>
      </c>
      <c r="C28" s="13">
        <f>IFERROR(0.69*(1-w),"")</f>
        <v/>
      </c>
      <c r="D28" s="13">
        <v>0.69</v>
      </c>
      <c r="E28" s="13">
        <v>0.71576763485477179</v>
      </c>
      <c r="F28" s="13"/>
      <c r="G28" s="13"/>
      <c r="I28" s="5"/>
      <c r="J28" s="0" t="s">
        <v>42</v>
      </c>
    </row>
    <row r="29" outlineLevel="2">
      <c r="A29" s="12" t="s">
        <v>46</v>
      </c>
      <c r="B29" s="0" t="s">
        <v>38</v>
      </c>
      <c r="C29" s="13">
        <f>IFERROR(0.09*(1-w),"")</f>
        <v/>
      </c>
      <c r="D29" s="13">
        <v>0.09</v>
      </c>
      <c r="E29" s="13">
        <v>0.093360995850622408</v>
      </c>
      <c r="F29" s="13"/>
      <c r="G29" s="13"/>
      <c r="I29" s="5"/>
      <c r="J29" s="0" t="s">
        <v>47</v>
      </c>
    </row>
    <row r="30" outlineLevel="2">
      <c r="A30" s="12" t="s">
        <v>48</v>
      </c>
      <c r="B30" s="0" t="s">
        <v>38</v>
      </c>
      <c r="C30" s="13">
        <f>IFERROR(99.78*(1-w)+w*100,"")</f>
        <v/>
      </c>
      <c r="D30" s="13">
        <v>99.78</v>
      </c>
      <c r="E30" s="13">
        <v>99.77178423236515</v>
      </c>
      <c r="F30" s="13"/>
      <c r="G30" s="13"/>
      <c r="I30" s="5"/>
      <c r="J30" s="0" t="s">
        <v>49</v>
      </c>
    </row>
    <row r="31" outlineLevel="1">
      <c r="A31" s="11" t="s">
        <v>50</v>
      </c>
      <c r="I31" s="5"/>
    </row>
    <row r="32" outlineLevel="2">
      <c r="A32" s="12" t="s">
        <v>51</v>
      </c>
      <c r="B32" s="0" t="s">
        <v>52</v>
      </c>
      <c r="C32" s="13">
        <f>IFERROR(17.71*(1-w)-w*2.443,"")</f>
        <v/>
      </c>
      <c r="D32" s="13">
        <v>17.71</v>
      </c>
      <c r="E32" s="13">
        <v>18.37136929460581</v>
      </c>
      <c r="F32" s="13"/>
      <c r="G32" s="13"/>
      <c r="I32" s="5"/>
      <c r="J32" s="0" t="s">
        <v>53</v>
      </c>
    </row>
    <row r="33" outlineLevel="2">
      <c r="A33" s="12" t="s">
        <v>54</v>
      </c>
      <c r="B33" s="0" t="s">
        <v>52</v>
      </c>
      <c r="C33" s="13">
        <f>IFERROR(19.02*(1-w),"")</f>
        <v/>
      </c>
      <c r="D33" s="13">
        <v>19.02</v>
      </c>
      <c r="E33" s="13">
        <v>19.730290456431536</v>
      </c>
      <c r="F33" s="13"/>
      <c r="G33" s="13"/>
      <c r="I33" s="5"/>
    </row>
    <row r="34" outlineLevel="2">
      <c r="A34" s="12" t="s">
        <v>55</v>
      </c>
      <c r="B34" s="0" t="s">
        <v>52</v>
      </c>
      <c r="C34" s="13">
        <f>IFERROR(19.20227688*(1-w),"")</f>
        <v/>
      </c>
      <c r="D34" s="13">
        <v>19.20227688</v>
      </c>
      <c r="E34" s="13">
        <v>19.919374356846472</v>
      </c>
      <c r="F34" s="13"/>
      <c r="G34" s="13"/>
      <c r="I34" s="5"/>
      <c r="J34" s="0" t="s">
        <v>49</v>
      </c>
    </row>
    <row r="35">
      <c r="I35" s="5"/>
    </row>
    <row r="36" s="1" customFormat="1"/>
  </sheetData>
  <mergeCells>
    <mergeCell ref="A9:A11"/>
    <mergeCell ref="C18:E18"/>
    <mergeCell ref="A18:A19"/>
    <mergeCell ref="B18:B19"/>
    <mergeCell ref="F18:F19"/>
    <mergeCell ref="G18:G19"/>
    <mergeCell ref="H18:H19"/>
    <mergeCell ref="I18:I19"/>
    <mergeCell ref="J18:J19"/>
    <mergeCell ref="K18:K19"/>
  </mergeCells>
  <dataValidations count="1">
    <dataValidation type="decimal" sqref="C22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https://phyllis.nl/Biomass/View/3090</dc:description>
  <dcterms:created xsi:type="dcterms:W3CDTF">2026-03-04T04:37:56Z</dcterms:created>
  <dc:title>Phyllis2 #3090 Reed canary 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