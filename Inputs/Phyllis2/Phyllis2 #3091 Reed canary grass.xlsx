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91 Reed canary gras" sheetId="1" r:id="rId1"/>
  </sheets>
  <definedNames>
    <definedName name="w" localSheetId="0">IF(ISBLANK('Phyllis2 #3091 Reed canary gras'!$C$22),#N/A,'Phyllis2 #3091 Reed canary gras'!$C$22/100)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<sst xmlns="http://schemas.openxmlformats.org/spreadsheetml/2006/main" count="56" uniqueCount="56">
  <si>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</si>
  <si>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https://phyllis.nl/Biomass/View/3091</t>
  </si>
  <si>
    <t>Reed canary grass (#3091)</t>
  </si>
  <si>
    <t>ID-number</t>
  </si>
  <si>
    <t>#3091</t>
  </si>
  <si>
    <t>Material</t>
  </si>
  <si>
    <t>Reed canary grass</t>
  </si>
  <si>
    <t>Alternative name</t>
  </si>
  <si>
    <t>Latin name</t>
  </si>
  <si>
    <t>Phalaris arundinacea L.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</si>
  <si>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</si>
  <si>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</si>
  <si>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 canary grass</t>
  </si>
  <si>
    <t>NTA 8003 classification &gt; [200] biomassa uit land- en tuinbouw &gt; [210] gras &gt; [219] overig gras</t>
  </si>
  <si>
    <t>Sample date</t>
  </si>
  <si>
    <t>Sample location</t>
  </si>
  <si>
    <t>Finland</t>
  </si>
  <si>
    <t>Country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</si>
  <si>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</si>
  <si>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</si>
  <si>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</si>
  <si>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</si>
  <si>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</si>
  <si>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</si>
  <si>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</si>
  <si>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</si>
  <si>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</si>
  <si>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</si>
  <si>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</si>
  <si>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</si>
  <si>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</si>
  <si>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</si>
  <si>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</si>
  <si>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</si>
  <si>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</si>
  <si>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</si>
  <si>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</si>
  <si>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</si>
  <si>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</si>
  <si>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CEN/TS 14775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</si>
  <si>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</si>
  <si>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</si>
  <si>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</si>
  <si>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</si>
  <si>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</si>
  <si>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</si>
  <si>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</si>
  <si>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ASTM D 4239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</si>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</sst>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39370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16</v>
      </c>
    </row>
    <row r="15" outlineLevel="1">
      <c r="A15" s="7" t="s">
        <v>18</v>
      </c>
      <c r="B15" s="0" t="s">
        <v>19</v>
      </c>
    </row>
    <row r="16">
      <c r="A16" s="7"/>
    </row>
    <row r="17" s="1" customFormat="1">
      <c r="A17" s="9" t="s">
        <v>20</v>
      </c>
    </row>
    <row r="18" s="1" customFormat="1">
      <c r="A18" s="10" t="s">
        <v>21</v>
      </c>
      <c r="B18" s="10" t="s">
        <v>22</v>
      </c>
      <c r="C18" s="10" t="s">
        <v>23</v>
      </c>
      <c r="D18" s="10"/>
      <c r="E18" s="10"/>
      <c r="F18" s="10" t="s">
        <v>24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29</v>
      </c>
      <c r="L18" s="10"/>
    </row>
    <row r="19" s="1" customFormat="1">
      <c r="A19" s="10"/>
      <c r="B19" s="10"/>
      <c r="C19" s="10" t="s">
        <v>30</v>
      </c>
      <c r="D19" s="10" t="s">
        <v>31</v>
      </c>
      <c r="E19" s="10" t="s">
        <v>32</v>
      </c>
      <c r="F19" s="10"/>
      <c r="G19" s="10"/>
      <c r="H19" s="10"/>
      <c r="I19" s="10"/>
      <c r="J19" s="10"/>
      <c r="K19" s="10"/>
      <c r="L19" s="10"/>
    </row>
    <row r="20">
      <c r="A20" s="7" t="s">
        <v>33</v>
      </c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36</v>
      </c>
      <c r="C22" s="13">
        <v/>
      </c>
      <c r="D22" s="13"/>
      <c r="E22" s="13"/>
      <c r="F22" s="13"/>
      <c r="G22" s="13"/>
      <c r="I22" s="5"/>
    </row>
    <row r="23" outlineLevel="2">
      <c r="A23" s="12" t="s">
        <v>37</v>
      </c>
      <c r="B23" s="0" t="s">
        <v>38</v>
      </c>
      <c r="C23" s="13">
        <f>IFERROR(2.2*(1-w),"")</f>
        <v/>
      </c>
      <c r="D23" s="13">
        <v>2.2</v>
      </c>
      <c r="E23" s="13">
        <v/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38</v>
      </c>
      <c r="C25" s="13">
        <f>IFERROR(48.5*(1-w),"")</f>
        <v/>
      </c>
      <c r="D25" s="13">
        <v>48.5</v>
      </c>
      <c r="E25" s="13">
        <v>49.591002044989779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38</v>
      </c>
      <c r="C26" s="13">
        <f>IFERROR(6.2*(1-w),"")</f>
        <v/>
      </c>
      <c r="D26" s="13">
        <v>6.2</v>
      </c>
      <c r="E26" s="13">
        <v>6.3394683026584868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38</v>
      </c>
      <c r="C27" s="13">
        <f>IFERROR(42.4*(1-w),"")</f>
        <v/>
      </c>
      <c r="D27" s="13">
        <v>42.4</v>
      </c>
      <c r="E27" s="13">
        <v>43.353783231083845</v>
      </c>
      <c r="F27" s="13"/>
      <c r="G27" s="13"/>
      <c r="I27" s="5"/>
    </row>
    <row r="28" outlineLevel="2">
      <c r="A28" s="12" t="s">
        <v>45</v>
      </c>
      <c r="B28" s="0" t="s">
        <v>38</v>
      </c>
      <c r="C28" s="13">
        <f>IFERROR(0.41*(1-w),"")</f>
        <v/>
      </c>
      <c r="D28" s="13">
        <v>0.41</v>
      </c>
      <c r="E28" s="13">
        <v>0.41922290388548056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38</v>
      </c>
      <c r="C29" s="13">
        <f>IFERROR(0.07*(1-w),"")</f>
        <v/>
      </c>
      <c r="D29" s="13">
        <v>0.07</v>
      </c>
      <c r="E29" s="13">
        <v>0.071574642126789378</v>
      </c>
      <c r="F29" s="13"/>
      <c r="G29" s="13"/>
      <c r="I29" s="5"/>
      <c r="J29" s="0" t="s">
        <v>47</v>
      </c>
    </row>
    <row r="30" outlineLevel="2">
      <c r="A30" s="12" t="s">
        <v>48</v>
      </c>
      <c r="B30" s="0" t="s">
        <v>38</v>
      </c>
      <c r="C30" s="13">
        <f>IFERROR(99.78*(1-w)+w*100,"")</f>
        <v/>
      </c>
      <c r="D30" s="13">
        <v>99.779999999999987</v>
      </c>
      <c r="E30" s="13">
        <v>99.775051124744365</v>
      </c>
      <c r="F30" s="13"/>
      <c r="G30" s="13"/>
      <c r="I30" s="5"/>
      <c r="J30" s="0" t="s">
        <v>49</v>
      </c>
    </row>
    <row r="31" outlineLevel="1">
      <c r="A31" s="11" t="s">
        <v>50</v>
      </c>
      <c r="I31" s="5"/>
    </row>
    <row r="32" outlineLevel="2">
      <c r="A32" s="12" t="s">
        <v>51</v>
      </c>
      <c r="B32" s="0" t="s">
        <v>52</v>
      </c>
      <c r="C32" s="13">
        <f>IFERROR(17.82*(1-w)-w*2.443,"")</f>
        <v/>
      </c>
      <c r="D32" s="13">
        <v>17.82</v>
      </c>
      <c r="E32" s="13">
        <v>18.220858895705522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52</v>
      </c>
      <c r="C33" s="13">
        <f>IFERROR(19.166*(1-w),"")</f>
        <v/>
      </c>
      <c r="D33" s="13">
        <v>19.166</v>
      </c>
      <c r="E33" s="13">
        <v>19.597137014314928</v>
      </c>
      <c r="F33" s="13"/>
      <c r="G33" s="13"/>
      <c r="I33" s="5"/>
    </row>
    <row r="34" outlineLevel="2">
      <c r="A34" s="12" t="s">
        <v>55</v>
      </c>
      <c r="B34" s="0" t="s">
        <v>52</v>
      </c>
      <c r="C34" s="13">
        <f>IFERROR(19.56958252*(1-w),"")</f>
        <v/>
      </c>
      <c r="D34" s="13">
        <v>19.56958252</v>
      </c>
      <c r="E34" s="13">
        <v>20.009798077709611</v>
      </c>
      <c r="F34" s="13"/>
      <c r="G34" s="13"/>
      <c r="I34" s="5"/>
      <c r="J34" s="0" t="s">
        <v>49</v>
      </c>
    </row>
    <row r="35">
      <c r="I35" s="5"/>
    </row>
    <row r="36" s="1" customFormat="1"/>
  </sheetData>
  <mergeCells>
    <mergeCell ref="A9:A11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</mergeCells>
  <dataValidations count="1">
    <dataValidation type="decimal" sqref="C22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https://phyllis.nl/Biomass/View/3091</dc:description>
  <dcterms:created xsi:type="dcterms:W3CDTF">2026-03-04T04:37:59Z</dcterms:created>
  <dc:title>Phyllis2 #3091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