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92 Reed Canary Gras" sheetId="1" r:id="rId1"/>
  </sheets>
  <definedNames>
    <definedName name="w" localSheetId="0">IF(ISBLANK('Phyllis2 #3092 Reed Canary Gras'!$C$20),#N/A,'Phyllis2 #3092 Reed Canary Gras'!$C$20/100)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<sst xmlns="http://schemas.openxmlformats.org/spreadsheetml/2006/main" count="63" uniqueCount="63">
  <si>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</si>
  <si>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https://phyllis.nl/Biomass/View/3092</t>
  </si>
  <si>
    <t>Reed Canary Grass (#3092)</t>
  </si>
  <si>
    <t>ID-number</t>
  </si>
  <si>
    <t>#3092</t>
  </si>
  <si>
    <t>Material</t>
  </si>
  <si>
    <t>Reed Canary Grass</t>
  </si>
  <si>
    <t>Latin name</t>
  </si>
  <si>
    <t>Phalaris arundinacea L.</t>
  </si>
  <si>
    <t>Classification</t>
  </si>
  <si>
    <t>CEN/TS 14961 classification &gt; Solid biofuels &gt; Herbaceous biomass &gt; Agriculture and Horticulture herb</t>
  </si>
  <si>
    <t>ECN Phyllis classification &gt; grass/plant &gt; reed &gt; reed canary grass</t>
  </si>
  <si>
    <t>NTA 8003 classification &gt; [200] biomassa uit land- en tuinbouw &gt; [210] gras &gt; [219] overig gras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</si>
  <si>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</si>
  <si>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</si>
  <si>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</si>
  <si>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</si>
  <si>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</si>
  <si>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</si>
  <si>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</si>
  <si>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</si>
  <si>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</si>
  <si>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</si>
  <si>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</si>
  <si>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</si>
  <si>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</si>
  <si>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</si>
  <si>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</si>
  <si>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</si>
  <si>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</si>
  <si>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</si>
  <si>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</si>
  <si>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</si>
  <si>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</si>
  <si>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</si>
  <si>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</si>
  <si>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</si>
  <si>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</si>
  <si>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</si>
  <si>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</si>
  <si>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</si>
  <si>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</si>
  <si>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</si>
  <si>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</si>
  <si>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</si>
  <si>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</si>
  <si>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</si>
  <si>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</si>
  <si>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</si>
  <si>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</si>
  <si>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</si>
  <si>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</si>
  <si>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</si>
  <si>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</si>
  <si>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</si>
  <si>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</si>
  <si>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</si>
  <si>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</si>
  <si>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</si>
  <si>
    <t>Special components</t>
  </si>
  <si>
    <t>Chlorine (Cl)</t>
  </si>
  <si>
    <t>wt% (daf)</t>
  </si>
  <si>
    <t>CEN/TS 15289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</si>
</sst>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39745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IFERROR(1.4*(1-w),"")</f>
        <v/>
      </c>
      <c r="D21" s="13">
        <v>1.4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36</v>
      </c>
      <c r="C23" s="13">
        <f>IFERROR(48.9*(1-w),"")</f>
        <v/>
      </c>
      <c r="D23" s="13">
        <v>48.9</v>
      </c>
      <c r="E23" s="13">
        <v>49.594320486815413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36</v>
      </c>
      <c r="C24" s="13">
        <f>IFERROR(6.1*(1-w),"")</f>
        <v/>
      </c>
      <c r="D24" s="13">
        <v>6.1</v>
      </c>
      <c r="E24" s="13">
        <v>6.186612576064908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36</v>
      </c>
      <c r="C25" s="13">
        <f>IFERROR(0.14*(1-w),"")</f>
        <v/>
      </c>
      <c r="D25" s="13">
        <v>0.14</v>
      </c>
      <c r="E25" s="13">
        <v>0.14198782961460449</v>
      </c>
      <c r="F25" s="13"/>
      <c r="G25" s="13"/>
      <c r="I25" s="5"/>
      <c r="J25" s="0" t="s">
        <v>40</v>
      </c>
    </row>
    <row r="26" outlineLevel="2">
      <c r="A26" s="12" t="s">
        <v>43</v>
      </c>
      <c r="B26" s="0" t="s">
        <v>36</v>
      </c>
      <c r="C26" s="13">
        <f>IFERROR(0.06*(1-w),"")</f>
        <v/>
      </c>
      <c r="D26" s="13">
        <v>0.06</v>
      </c>
      <c r="E26" s="13">
        <v>0.060851926977687626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36</v>
      </c>
      <c r="C27" s="13">
        <f>IFERROR(56.6*(1-w)+w*100,"")</f>
        <v/>
      </c>
      <c r="D27" s="13">
        <v>56.6</v>
      </c>
      <c r="E27" s="13">
        <v>55.98377281947262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3">
        <f>IFERROR(18.12*(1-w)-w*2.443,"")</f>
        <v/>
      </c>
      <c r="D29" s="13">
        <v>18.12</v>
      </c>
      <c r="E29" s="13">
        <v>18.377281947261665</v>
      </c>
      <c r="F29" s="13"/>
      <c r="G29" s="13"/>
      <c r="I29" s="5"/>
      <c r="J29" s="0" t="s">
        <v>50</v>
      </c>
    </row>
    <row r="30" outlineLevel="2">
      <c r="A30" s="12" t="s">
        <v>51</v>
      </c>
      <c r="B30" s="0" t="s">
        <v>49</v>
      </c>
      <c r="C30" s="13">
        <f>IFERROR(19.45*(1-w),"")</f>
        <v/>
      </c>
      <c r="D30" s="13">
        <v>19.45</v>
      </c>
      <c r="E30" s="13">
        <v>19.726166328600407</v>
      </c>
      <c r="F30" s="13"/>
      <c r="G30" s="13"/>
      <c r="I30" s="5"/>
    </row>
    <row r="31" outlineLevel="1">
      <c r="A31" s="11" t="s">
        <v>52</v>
      </c>
      <c r="I31" s="5"/>
    </row>
    <row r="32" outlineLevel="2">
      <c r="A32" s="14" t="s">
        <v>53</v>
      </c>
      <c r="I32" s="5"/>
    </row>
    <row r="33" outlineLevel="3">
      <c r="A33" s="15" t="s">
        <v>54</v>
      </c>
      <c r="B33" s="0" t="s">
        <v>55</v>
      </c>
      <c r="C33" s="16">
        <v>1130</v>
      </c>
      <c r="D33" s="16"/>
      <c r="E33" s="16"/>
      <c r="F33" s="16"/>
      <c r="G33" s="16"/>
      <c r="I33" s="5"/>
    </row>
    <row r="34" outlineLevel="3">
      <c r="A34" s="15" t="s">
        <v>56</v>
      </c>
      <c r="B34" s="0" t="s">
        <v>55</v>
      </c>
      <c r="C34" s="16">
        <v>1150</v>
      </c>
      <c r="D34" s="16"/>
      <c r="E34" s="16"/>
      <c r="F34" s="16"/>
      <c r="G34" s="16"/>
      <c r="I34" s="5"/>
    </row>
    <row r="35" outlineLevel="3">
      <c r="A35" s="15" t="s">
        <v>57</v>
      </c>
      <c r="B35" s="0" t="s">
        <v>55</v>
      </c>
      <c r="C35" s="16">
        <v>1160</v>
      </c>
      <c r="D35" s="16"/>
      <c r="E35" s="16"/>
      <c r="F35" s="16"/>
      <c r="G35" s="16"/>
      <c r="I35" s="5"/>
    </row>
    <row r="36" outlineLevel="3">
      <c r="A36" s="15" t="s">
        <v>58</v>
      </c>
      <c r="B36" s="0" t="s">
        <v>55</v>
      </c>
      <c r="C36" s="16">
        <v>1170</v>
      </c>
      <c r="D36" s="16"/>
      <c r="E36" s="16"/>
      <c r="F36" s="16"/>
      <c r="G36" s="16"/>
      <c r="I36" s="5"/>
    </row>
    <row r="37" outlineLevel="1">
      <c r="A37" s="11" t="s">
        <v>59</v>
      </c>
      <c r="I37" s="5"/>
    </row>
    <row r="38" outlineLevel="2">
      <c r="A38" s="12" t="s">
        <v>60</v>
      </c>
      <c r="B38" s="0" t="s">
        <v>61</v>
      </c>
      <c r="C38" s="13">
        <v>0.15</v>
      </c>
      <c r="D38" s="13"/>
      <c r="E38" s="13"/>
      <c r="F38" s="13"/>
      <c r="G38" s="13"/>
      <c r="I38" s="5"/>
      <c r="J38" s="0" t="s">
        <v>62</v>
      </c>
    </row>
    <row r="39">
      <c r="I39" s="5"/>
    </row>
    <row r="40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3:E33"/>
    <mergeCell ref="C34:E34"/>
    <mergeCell ref="C35:E35"/>
    <mergeCell ref="C36:E36"/>
    <mergeCell ref="C38:E38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https://phyllis.nl/Biomass/View/3092</dc:description>
  <dcterms:created xsi:type="dcterms:W3CDTF">2026-03-04T04:37:42Z</dcterms:created>
  <dc:title>Phyllis2 #3092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