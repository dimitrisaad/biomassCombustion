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93 Reed Canary Gras" sheetId="1" r:id="rId1"/>
  </sheets>
  <definedNames>
    <definedName name="w" localSheetId="0">IF(ISBLANK('Phyllis2 #3093 Reed Canary Gras'!$C$20),#N/A,'Phyllis2 #3093 Reed Canary Gras'!$C$20/100)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<sst xmlns="http://schemas.openxmlformats.org/spreadsheetml/2006/main" count="63" uniqueCount="63">
  <si>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</si>
  <si>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https://phyllis.nl/Biomass/View/3093</t>
  </si>
  <si>
    <t>Reed Canary Grass (#3093)</t>
  </si>
  <si>
    <t>ID-number</t>
  </si>
  <si>
    <t>#3093</t>
  </si>
  <si>
    <t>Material</t>
  </si>
  <si>
    <t>Reed Canary Grass</t>
  </si>
  <si>
    <t>Latin name</t>
  </si>
  <si>
    <t>Phalaris arundinacea L.</t>
  </si>
  <si>
    <t>Classification</t>
  </si>
  <si>
    <t>CEN/TS 14961 classification &gt; Solid biofuels &gt; Herbaceous biomass &gt; Agriculture and Horticulture herb</t>
  </si>
  <si>
    <t>ECN Phyllis classification &gt; grass/plant &gt; reed &gt; reed canary grass</t>
  </si>
  <si>
    <t>NTA 8003 classification &gt; [200] biomassa uit land- en tuinbouw &gt; [210] gras &gt; [219] overig gras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</si>
  <si>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</si>
  <si>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</si>
  <si>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</si>
  <si>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</si>
  <si>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</si>
  <si>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</si>
  <si>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</si>
  <si>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</si>
  <si>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</si>
  <si>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</si>
  <si>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</si>
  <si>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</si>
  <si>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</si>
  <si>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</si>
  <si>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</si>
  <si>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</si>
  <si>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</si>
  <si>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</si>
  <si>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</si>
  <si>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</si>
  <si>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</si>
  <si>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</si>
  <si>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</si>
  <si>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</si>
  <si>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</si>
  <si>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</si>
  <si>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</si>
  <si>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</si>
  <si>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</si>
  <si>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</si>
  <si>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</si>
  <si>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</si>
  <si>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</si>
  <si>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</si>
  <si>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</si>
  <si>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</si>
  <si>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</si>
  <si>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</si>
  <si>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</si>
  <si>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</si>
  <si>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</si>
  <si>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</si>
  <si>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</si>
  <si>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</si>
  <si>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</si>
  <si>
    <t>&gt; 1450</t>
  </si>
  <si>
    <t>Special components</t>
  </si>
  <si>
    <t>Chlorine (Cl)</t>
  </si>
  <si>
    <t>wt% (daf)</t>
  </si>
  <si>
    <t>CEN/TS 15289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</si>
</sst>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39742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IFERROR(3.5*(1-w),"")</f>
        <v/>
      </c>
      <c r="D21" s="13">
        <v>3.5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IFERROR(47.5*(1-w),"")</f>
        <v/>
      </c>
      <c r="D23" s="13">
        <v>47.5</v>
      </c>
      <c r="E23" s="13">
        <v>49.222797927461144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IFERROR(5.9*(1-w),"")</f>
        <v/>
      </c>
      <c r="D24" s="13">
        <v>5.9</v>
      </c>
      <c r="E24" s="13">
        <v>6.1139896373057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IFERROR(0.35*(1-w),"")</f>
        <v/>
      </c>
      <c r="D25" s="13">
        <v>0.35</v>
      </c>
      <c r="E25" s="13">
        <v>0.36269430051813473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36</v>
      </c>
      <c r="C26" s="13">
        <f>IFERROR(0.04*(1-w),"")</f>
        <v/>
      </c>
      <c r="D26" s="13">
        <v>0.04</v>
      </c>
      <c r="E26" s="13">
        <v>0.04145077720207254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36</v>
      </c>
      <c r="C27" s="13">
        <f>IFERROR(57.29*(1-w)+w*100,"")</f>
        <v/>
      </c>
      <c r="D27" s="13">
        <v>57.29</v>
      </c>
      <c r="E27" s="13">
        <v>55.740932642487046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IFERROR(17.53*(1-w)-w*2.443,"")</f>
        <v/>
      </c>
      <c r="D29" s="13">
        <v>17.53</v>
      </c>
      <c r="E29" s="13">
        <v>18.165803108808291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IFERROR(18.82*(1-w),"")</f>
        <v/>
      </c>
      <c r="D30" s="13">
        <v>18.82</v>
      </c>
      <c r="E30" s="13">
        <v>19.502590673575131</v>
      </c>
      <c r="F30" s="13"/>
      <c r="G30" s="13"/>
      <c r="I30" s="5"/>
    </row>
    <row r="31" outlineLevel="1">
      <c r="A31" s="11" t="s">
        <v>52</v>
      </c>
      <c r="I31" s="5"/>
    </row>
    <row r="32" outlineLevel="2">
      <c r="A32" s="14" t="s">
        <v>53</v>
      </c>
      <c r="I32" s="5"/>
    </row>
    <row r="33" outlineLevel="3">
      <c r="A33" s="15" t="s">
        <v>54</v>
      </c>
      <c r="B33" s="0" t="s">
        <v>55</v>
      </c>
      <c r="C33" s="16">
        <v>990</v>
      </c>
      <c r="D33" s="16"/>
      <c r="E33" s="16"/>
      <c r="F33" s="16"/>
      <c r="G33" s="16"/>
      <c r="I33" s="5"/>
    </row>
    <row r="34" outlineLevel="3">
      <c r="A34" s="15" t="s">
        <v>56</v>
      </c>
      <c r="B34" s="0" t="s">
        <v>55</v>
      </c>
      <c r="C34" s="16">
        <v>1140</v>
      </c>
      <c r="D34" s="16"/>
      <c r="E34" s="16"/>
      <c r="F34" s="16"/>
      <c r="G34" s="16"/>
      <c r="I34" s="5"/>
    </row>
    <row r="35" outlineLevel="3">
      <c r="A35" s="15" t="s">
        <v>57</v>
      </c>
      <c r="B35" s="0" t="s">
        <v>55</v>
      </c>
      <c r="C35" s="16" t="s">
        <v>58</v>
      </c>
      <c r="D35" s="16"/>
      <c r="E35" s="16"/>
      <c r="F35" s="16"/>
      <c r="G35" s="16"/>
      <c r="I35" s="5"/>
    </row>
    <row r="36" outlineLevel="1">
      <c r="A36" s="11" t="s">
        <v>59</v>
      </c>
      <c r="I36" s="5"/>
    </row>
    <row r="37" outlineLevel="2">
      <c r="A37" s="12" t="s">
        <v>60</v>
      </c>
      <c r="B37" s="0" t="s">
        <v>61</v>
      </c>
      <c r="C37" s="13">
        <v>0.15</v>
      </c>
      <c r="D37" s="13"/>
      <c r="E37" s="13"/>
      <c r="F37" s="13"/>
      <c r="G37" s="13"/>
      <c r="I37" s="5"/>
      <c r="J37" s="0" t="s">
        <v>62</v>
      </c>
    </row>
    <row r="38">
      <c r="I38" s="5"/>
    </row>
    <row r="39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3:E33"/>
    <mergeCell ref="C34:E34"/>
    <mergeCell ref="C35:E35"/>
    <mergeCell ref="C37:E37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https://phyllis.nl/Biomass/View/3093</dc:description>
  <dcterms:created xsi:type="dcterms:W3CDTF">2026-03-04T04:37:45Z</dcterms:created>
  <dc:title>Phyllis2 #3093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