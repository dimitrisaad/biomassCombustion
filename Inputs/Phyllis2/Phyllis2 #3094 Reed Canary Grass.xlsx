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94 Reed Canary Gras" sheetId="1" r:id="rId1"/>
  </sheets>
  <definedNames>
    <definedName name="w" localSheetId="0">IF(ISBLANK('Phyllis2 #3094 Reed Canary Gras'!$C$21),#N/A,'Phyllis2 #3094 Reed Canary Gras'!$C$21/100)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<sst xmlns="http://schemas.openxmlformats.org/spreadsheetml/2006/main" count="63" uniqueCount="63">
  <si>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</si>
  <si>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https://phyllis.nl/Biomass/View/3094</t>
  </si>
  <si>
    <t>Reed Canary Grass (#3094)</t>
  </si>
  <si>
    <t>ID-number</t>
  </si>
  <si>
    <t>#3094</t>
  </si>
  <si>
    <t>Material</t>
  </si>
  <si>
    <t>Reed Canary Grass</t>
  </si>
  <si>
    <t>Alternative name</t>
  </si>
  <si>
    <t>Briquette</t>
  </si>
  <si>
    <t>Latin name</t>
  </si>
  <si>
    <t>Phalaris arundinacea L.</t>
  </si>
  <si>
    <t>Classification</t>
  </si>
  <si>
    <t>CEN/TS 14961 classification &gt; Solid biofuels &gt; Herbaceous biomass &gt; Agriculture and Horticulture herb</t>
  </si>
  <si>
    <t>ECN Phyllis classification &gt; grass/plant &gt; reed &gt; reed canary grass</t>
  </si>
  <si>
    <t>NTA 8003 classification &gt; [200] biomassa uit land- en tuinbouw &gt; [210] gras &gt; [219] overig gras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</si>
  <si>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</si>
  <si>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</si>
  <si>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</si>
  <si>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</si>
  <si>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</si>
  <si>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</si>
  <si>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</si>
  <si>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</si>
  <si>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</si>
  <si>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</si>
  <si>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</si>
  <si>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</si>
  <si>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</si>
  <si>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</si>
  <si>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</si>
  <si>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</si>
  <si>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</si>
  <si>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</si>
  <si>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</si>
  <si>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</si>
  <si>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</si>
  <si>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</si>
  <si>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</si>
  <si>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</si>
  <si>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</si>
  <si>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Ultimate analysis (macroelements)</t>
  </si>
  <si>
    <t>Carbon</t>
  </si>
  <si>
    <t>CEN/TS 15104</t>
  </si>
  <si>
    <t>Hydrogen</t>
  </si>
  <si>
    <t>Nitrogen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</si>
  <si>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</si>
  <si>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</si>
  <si>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</si>
  <si>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</si>
  <si>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</si>
  <si>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</si>
  <si>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</si>
  <si>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Ash melting behaviour</t>
  </si>
  <si>
    <t>European standard method</t>
  </si>
  <si>
    <t>DEF (deformation temperature)</t>
  </si>
  <si>
    <t>°C</t>
  </si>
  <si>
    <t>HE (hemispherical temperature)</t>
  </si>
  <si>
    <t>&gt; 1450</t>
  </si>
  <si>
    <t>FL (flow temperature)</t>
  </si>
  <si>
    <t>Special components</t>
  </si>
  <si>
    <t>Chlorine (Cl)</t>
  </si>
  <si>
    <t>wt% (daf)</t>
  </si>
  <si>
    <t>CEN/TS 15289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</si>
</sst>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39706</v>
      </c>
    </row>
    <row r="14" outlineLevel="1">
      <c r="A14" s="7" t="s">
        <v>18</v>
      </c>
      <c r="B14" s="0" t="s">
        <v>19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11.7</v>
      </c>
      <c r="D21" s="13"/>
      <c r="E21" s="13"/>
      <c r="F21" s="13"/>
      <c r="G21" s="13"/>
      <c r="I21" s="5"/>
      <c r="J21" s="0" t="s">
        <v>37</v>
      </c>
    </row>
    <row r="22" outlineLevel="2">
      <c r="A22" s="12" t="s">
        <v>38</v>
      </c>
      <c r="B22" s="0" t="s">
        <v>36</v>
      </c>
      <c r="C22" s="13">
        <f>IFERROR(3.2*(1-w),"")</f>
        <v>2.8256</v>
      </c>
      <c r="D22" s="13">
        <v>3.2</v>
      </c>
      <c r="E22" s="13">
        <v/>
      </c>
      <c r="F22" s="13"/>
      <c r="G22" s="13"/>
      <c r="I22" s="5"/>
      <c r="J22" s="0" t="s">
        <v>39</v>
      </c>
    </row>
    <row r="23" outlineLevel="1">
      <c r="A23" s="11" t="s">
        <v>40</v>
      </c>
      <c r="I23" s="5"/>
    </row>
    <row r="24" outlineLevel="2">
      <c r="A24" s="12" t="s">
        <v>41</v>
      </c>
      <c r="B24" s="0" t="s">
        <v>36</v>
      </c>
      <c r="C24" s="13">
        <f>IFERROR(48.1*(1-w),"")</f>
        <v>42.472300000000004</v>
      </c>
      <c r="D24" s="13">
        <v>48.1</v>
      </c>
      <c r="E24" s="13">
        <v>49.6900826446281</v>
      </c>
      <c r="F24" s="13"/>
      <c r="G24" s="13"/>
      <c r="I24" s="5"/>
      <c r="J24" s="0" t="s">
        <v>42</v>
      </c>
    </row>
    <row r="25" outlineLevel="2">
      <c r="A25" s="12" t="s">
        <v>43</v>
      </c>
      <c r="B25" s="0" t="s">
        <v>36</v>
      </c>
      <c r="C25" s="13">
        <f>IFERROR(6*(1-w),"")</f>
        <v>5.298</v>
      </c>
      <c r="D25" s="13">
        <v>6</v>
      </c>
      <c r="E25" s="13">
        <v>6.1983471074380168</v>
      </c>
      <c r="F25" s="13"/>
      <c r="G25" s="13"/>
      <c r="I25" s="5"/>
      <c r="J25" s="0" t="s">
        <v>42</v>
      </c>
    </row>
    <row r="26" outlineLevel="2">
      <c r="A26" s="12" t="s">
        <v>44</v>
      </c>
      <c r="B26" s="0" t="s">
        <v>36</v>
      </c>
      <c r="C26" s="13">
        <f>IFERROR(0.71*(1-w),"")</f>
        <v>0.62693</v>
      </c>
      <c r="D26" s="13">
        <v>0.71</v>
      </c>
      <c r="E26" s="13">
        <v>0.73347107438016523</v>
      </c>
      <c r="F26" s="13"/>
      <c r="G26" s="13"/>
      <c r="I26" s="5"/>
      <c r="J26" s="0" t="s">
        <v>42</v>
      </c>
    </row>
    <row r="27" outlineLevel="2">
      <c r="A27" s="12" t="s">
        <v>45</v>
      </c>
      <c r="B27" s="0" t="s">
        <v>36</v>
      </c>
      <c r="C27" s="13">
        <f>IFERROR(58.01*(1-w)+w*100,"")</f>
        <v>62.922830000000005</v>
      </c>
      <c r="D27" s="13">
        <v>58.010000000000005</v>
      </c>
      <c r="E27" s="13">
        <v>56.621900826446286</v>
      </c>
      <c r="F27" s="13"/>
      <c r="G27" s="13"/>
      <c r="I27" s="5"/>
      <c r="J27" s="0" t="s">
        <v>46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49</v>
      </c>
      <c r="C29" s="13">
        <f>IFERROR(17.78*(1-w)-w*2.443,"")</f>
        <v>15.413909</v>
      </c>
      <c r="D29" s="13">
        <v>17.78</v>
      </c>
      <c r="E29" s="13">
        <v>18.367768595041323</v>
      </c>
      <c r="F29" s="13"/>
      <c r="G29" s="13"/>
      <c r="I29" s="5"/>
      <c r="J29" s="0" t="s">
        <v>50</v>
      </c>
    </row>
    <row r="30" outlineLevel="2">
      <c r="A30" s="12" t="s">
        <v>51</v>
      </c>
      <c r="B30" s="0" t="s">
        <v>49</v>
      </c>
      <c r="C30" s="13">
        <f>IFERROR(19.09*(1-w),"")</f>
        <v>16.85647</v>
      </c>
      <c r="D30" s="13">
        <v>19.09</v>
      </c>
      <c r="E30" s="13">
        <v>19.721074380165291</v>
      </c>
      <c r="F30" s="13"/>
      <c r="G30" s="13"/>
      <c r="I30" s="5"/>
    </row>
    <row r="31" outlineLevel="1">
      <c r="A31" s="11" t="s">
        <v>52</v>
      </c>
      <c r="I31" s="5"/>
    </row>
    <row r="32" outlineLevel="2">
      <c r="A32" s="14" t="s">
        <v>53</v>
      </c>
      <c r="I32" s="5"/>
    </row>
    <row r="33" outlineLevel="3">
      <c r="A33" s="15" t="s">
        <v>54</v>
      </c>
      <c r="B33" s="0" t="s">
        <v>55</v>
      </c>
      <c r="C33" s="16">
        <v>1370</v>
      </c>
      <c r="D33" s="16"/>
      <c r="E33" s="16"/>
      <c r="F33" s="16"/>
      <c r="G33" s="16"/>
      <c r="I33" s="5"/>
    </row>
    <row r="34" outlineLevel="3">
      <c r="A34" s="15" t="s">
        <v>56</v>
      </c>
      <c r="B34" s="0" t="s">
        <v>55</v>
      </c>
      <c r="C34" s="16" t="s">
        <v>57</v>
      </c>
      <c r="D34" s="16"/>
      <c r="E34" s="16"/>
      <c r="F34" s="16"/>
      <c r="G34" s="16"/>
      <c r="I34" s="5"/>
    </row>
    <row r="35" outlineLevel="3">
      <c r="A35" s="15" t="s">
        <v>58</v>
      </c>
      <c r="B35" s="0" t="s">
        <v>55</v>
      </c>
      <c r="C35" s="16" t="s">
        <v>57</v>
      </c>
      <c r="D35" s="16"/>
      <c r="E35" s="16"/>
      <c r="F35" s="16"/>
      <c r="G35" s="16"/>
      <c r="I35" s="5"/>
    </row>
    <row r="36" outlineLevel="1">
      <c r="A36" s="11" t="s">
        <v>59</v>
      </c>
      <c r="I36" s="5"/>
    </row>
    <row r="37" outlineLevel="2">
      <c r="A37" s="12" t="s">
        <v>60</v>
      </c>
      <c r="B37" s="0" t="s">
        <v>61</v>
      </c>
      <c r="C37" s="13">
        <v>0.15</v>
      </c>
      <c r="D37" s="13"/>
      <c r="E37" s="13"/>
      <c r="F37" s="13"/>
      <c r="G37" s="13"/>
      <c r="I37" s="5"/>
      <c r="J37" s="0" t="s">
        <v>62</v>
      </c>
    </row>
    <row r="38">
      <c r="I38" s="5"/>
    </row>
    <row r="39" s="1" customFormat="1"/>
  </sheetData>
  <mergeCells>
    <mergeCell ref="A9:A11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3:E33"/>
    <mergeCell ref="C34:E34"/>
    <mergeCell ref="C35:E35"/>
    <mergeCell ref="C37:E37"/>
  </mergeCells>
  <dataValidations count="1">
    <dataValidation type="decimal" sqref="C21" errorStyle="stop" promptTitle="Enter moisture content" errorTitle="Invalid moisture content" prompt="Value should be between 0 and 100.&#10;Original value: 11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https://phyllis.nl/Biomass/View/3094</dc:description>
  <dcterms:created xsi:type="dcterms:W3CDTF">2026-03-04T04:38:07Z</dcterms:created>
  <dc:title>Phyllis2 #3094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