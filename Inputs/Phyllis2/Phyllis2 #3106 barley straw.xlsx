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06 barley straw" sheetId="1" r:id="rId1"/>
  </sheets>
  <definedNames>
    <definedName name="w" localSheetId="0">IF(ISBLANK('Phyllis2 #3106 barley straw'!$C$20),#N/A,'Phyllis2 #3106 barley straw'!$C$20/100)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<sst xmlns="http://schemas.openxmlformats.org/spreadsheetml/2006/main" count="56" uniqueCount="56">
  <si>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</si>
  <si>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https://phyllis.nl/Biomass/View/3106</t>
  </si>
  <si>
    <t>barley straw (#3106)</t>
  </si>
  <si>
    <t>ID-number</t>
  </si>
  <si>
    <t>#3106</t>
  </si>
  <si>
    <t>Material</t>
  </si>
  <si>
    <t>barley straw</t>
  </si>
  <si>
    <t>Alternative name</t>
  </si>
  <si>
    <t>Barley straw</t>
  </si>
  <si>
    <t>Classification</t>
  </si>
  <si>
    <t>CEN/TS 14961 classification &gt; Solid biofuels &gt; Herbaceous biomass &gt; Agriculture and Horticulture herb &gt; Grasses &gt; Straw parts</t>
  </si>
  <si>
    <t>ECN Phyllis classification &gt; straw (stalk/cob/ear) &gt; barley</t>
  </si>
  <si>
    <t>NTA 8003 classification &gt; [200] biomassa uit land- en tuinbouw &gt; [220] stro &gt; [222] gerstestro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</si>
  <si>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</si>
  <si>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</si>
  <si>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</si>
  <si>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</si>
  <si>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</si>
  <si>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</si>
  <si>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</si>
  <si>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</si>
  <si>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</si>
  <si>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</si>
  <si>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</si>
  <si>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</si>
  <si>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</si>
  <si>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</si>
  <si>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</si>
  <si>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</si>
  <si>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</si>
  <si>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</si>
  <si>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</si>
  <si>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</si>
  <si>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</si>
  <si>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</si>
  <si>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</si>
  <si>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</si>
  <si>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CEN/TS 14775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</si>
  <si>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</si>
  <si>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</si>
  <si>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</si>
  <si>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</si>
  <si>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</si>
  <si>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</si>
  <si>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</si>
  <si>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</si>
  <si>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</si>
  <si>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</si>
  <si>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</si>
  <si>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</si>
  <si>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</si>
  <si>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</si>
  <si>
    <t>Special components</t>
  </si>
  <si>
    <t>Chlorine (Cl)</t>
  </si>
  <si>
    <t>wt% (daf)</t>
  </si>
  <si>
    <t>CEN/TS 15289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</si>
</sst>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39692</v>
      </c>
    </row>
    <row r="13" outlineLevel="1">
      <c r="A13" s="7" t="s">
        <v>16</v>
      </c>
      <c r="B13" s="0" t="s">
        <v>17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/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36</v>
      </c>
      <c r="C21" s="13">
        <f>IFERROR(5.9*(1-w),"")</f>
        <v/>
      </c>
      <c r="D21" s="13">
        <v>5.9</v>
      </c>
      <c r="E21" s="13">
        <v/>
      </c>
      <c r="F21" s="13"/>
      <c r="G21" s="13"/>
      <c r="I21" s="5"/>
      <c r="J21" s="0" t="s">
        <v>37</v>
      </c>
    </row>
    <row r="22" outlineLevel="1">
      <c r="A22" s="11" t="s">
        <v>38</v>
      </c>
      <c r="I22" s="5"/>
    </row>
    <row r="23" outlineLevel="2">
      <c r="A23" s="12" t="s">
        <v>39</v>
      </c>
      <c r="B23" s="0" t="s">
        <v>36</v>
      </c>
      <c r="C23" s="13">
        <f>IFERROR(45.9*(1-w),"")</f>
        <v/>
      </c>
      <c r="D23" s="13">
        <v>45.9</v>
      </c>
      <c r="E23" s="13">
        <v>48.777895855472906</v>
      </c>
      <c r="F23" s="13"/>
      <c r="G23" s="13"/>
      <c r="I23" s="5"/>
      <c r="J23" s="0" t="s">
        <v>40</v>
      </c>
    </row>
    <row r="24" outlineLevel="2">
      <c r="A24" s="12" t="s">
        <v>41</v>
      </c>
      <c r="B24" s="0" t="s">
        <v>36</v>
      </c>
      <c r="C24" s="13">
        <f>IFERROR(5.7*(1-w),"")</f>
        <v/>
      </c>
      <c r="D24" s="13">
        <v>5.7</v>
      </c>
      <c r="E24" s="13">
        <v>6.0573857598299687</v>
      </c>
      <c r="F24" s="13"/>
      <c r="G24" s="13"/>
      <c r="I24" s="5"/>
      <c r="J24" s="0" t="s">
        <v>40</v>
      </c>
    </row>
    <row r="25" outlineLevel="2">
      <c r="A25" s="12" t="s">
        <v>42</v>
      </c>
      <c r="B25" s="0" t="s">
        <v>36</v>
      </c>
      <c r="C25" s="13">
        <f>IFERROR(0.99*(1-w),"")</f>
        <v/>
      </c>
      <c r="D25" s="13">
        <v>0.99</v>
      </c>
      <c r="E25" s="13">
        <v>1.0520722635494155</v>
      </c>
      <c r="F25" s="13"/>
      <c r="G25" s="13"/>
      <c r="I25" s="5"/>
      <c r="J25" s="0" t="s">
        <v>40</v>
      </c>
    </row>
    <row r="26" outlineLevel="2">
      <c r="A26" s="12" t="s">
        <v>43</v>
      </c>
      <c r="B26" s="0" t="s">
        <v>36</v>
      </c>
      <c r="C26" s="13">
        <f>IFERROR(0.13*(1-w),"")</f>
        <v/>
      </c>
      <c r="D26" s="13">
        <v>0.13</v>
      </c>
      <c r="E26" s="13">
        <v>0.13815090329436772</v>
      </c>
      <c r="F26" s="13"/>
      <c r="G26" s="13"/>
      <c r="I26" s="5"/>
      <c r="J26" s="0" t="s">
        <v>44</v>
      </c>
    </row>
    <row r="27" outlineLevel="2">
      <c r="A27" s="12" t="s">
        <v>45</v>
      </c>
      <c r="B27" s="0" t="s">
        <v>36</v>
      </c>
      <c r="C27" s="13">
        <f>IFERROR(58.62*(1-w)+w*100,"")</f>
        <v/>
      </c>
      <c r="D27" s="13">
        <v>58.620000000000005</v>
      </c>
      <c r="E27" s="13">
        <v>56.025504782146662</v>
      </c>
      <c r="F27" s="13"/>
      <c r="G27" s="13"/>
      <c r="I27" s="5"/>
      <c r="J27" s="0" t="s">
        <v>46</v>
      </c>
    </row>
    <row r="28" outlineLevel="1">
      <c r="A28" s="11" t="s">
        <v>47</v>
      </c>
      <c r="I28" s="5"/>
    </row>
    <row r="29" outlineLevel="2">
      <c r="A29" s="12" t="s">
        <v>48</v>
      </c>
      <c r="B29" s="0" t="s">
        <v>49</v>
      </c>
      <c r="C29" s="13">
        <f>IFERROR(17.3*(1-w)-w*2.443,"")</f>
        <v/>
      </c>
      <c r="D29" s="13">
        <v>17.3</v>
      </c>
      <c r="E29" s="13">
        <v>18.384697130712009</v>
      </c>
      <c r="F29" s="13"/>
      <c r="G29" s="13"/>
      <c r="I29" s="5"/>
      <c r="J29" s="0" t="s">
        <v>50</v>
      </c>
    </row>
    <row r="30" outlineLevel="2">
      <c r="A30" s="12" t="s">
        <v>51</v>
      </c>
      <c r="B30" s="0" t="s">
        <v>49</v>
      </c>
      <c r="C30" s="13">
        <f>IFERROR(18.55*(1-w),"")</f>
        <v/>
      </c>
      <c r="D30" s="13">
        <v>18.55</v>
      </c>
      <c r="E30" s="13">
        <v>19.713071200850163</v>
      </c>
      <c r="F30" s="13"/>
      <c r="G30" s="13"/>
      <c r="I30" s="5"/>
    </row>
    <row r="31" outlineLevel="1">
      <c r="A31" s="11" t="s">
        <v>52</v>
      </c>
      <c r="I31" s="5"/>
    </row>
    <row r="32" outlineLevel="2">
      <c r="A32" s="12" t="s">
        <v>53</v>
      </c>
      <c r="B32" s="0" t="s">
        <v>54</v>
      </c>
      <c r="C32" s="13">
        <v>0.51</v>
      </c>
      <c r="D32" s="13"/>
      <c r="E32" s="13"/>
      <c r="F32" s="13"/>
      <c r="G32" s="13"/>
      <c r="I32" s="5"/>
      <c r="J32" s="0" t="s">
        <v>55</v>
      </c>
    </row>
    <row r="33">
      <c r="I33" s="5"/>
    </row>
    <row r="34" s="1" customFormat="1"/>
  </sheetData>
  <mergeCells>
    <mergeCell ref="A8:A10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2:E32"/>
  </mergeCells>
  <dataValidations count="1">
    <dataValidation type="decimal" sqref="C20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https://phyllis.nl/Biomass/View/3106</dc:description>
  <dcterms:created xsi:type="dcterms:W3CDTF">2026-03-17T06:04:44Z</dcterms:created>
  <dc:title>Phyllis2 #3106 barley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