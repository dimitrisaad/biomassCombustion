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07 Straw" sheetId="1" r:id="rId1"/>
  </sheets>
  <definedNames>
    <definedName name="w" localSheetId="0">IF(ISBLANK('Phyllis2 #3107 Straw'!$C$20),#N/A,'Phyllis2 #3107 Straw'!$C$20/100)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<sst xmlns="http://schemas.openxmlformats.org/spreadsheetml/2006/main" count="64" uniqueCount="64">
  <si>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</si>
  <si>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https://phyllis.nl/Biomass/View/3107</t>
  </si>
  <si>
    <t>Straw (#3107)</t>
  </si>
  <si>
    <t>ID-number</t>
  </si>
  <si>
    <t>#3107</t>
  </si>
  <si>
    <t>Material</t>
  </si>
  <si>
    <t>Straw</t>
  </si>
  <si>
    <t>Alternative name</t>
  </si>
  <si>
    <t>Straw pellet</t>
  </si>
  <si>
    <t>Classification</t>
  </si>
  <si>
    <t>CEN/TS 14961 classification &gt; Solid biofuels &gt; Herbaceous biomass &gt; Agriculture and Horticulture herb &gt; Grasses &gt; Straw parts</t>
  </si>
  <si>
    <t>ECN Phyllis classification &gt; straw (stalk/cob/ear)</t>
  </si>
  <si>
    <t>NTA 8003 classification &gt; [200] biomassa uit land- en tuinbouw &gt; [220] stro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</si>
  <si>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</si>
  <si>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</si>
  <si>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</si>
  <si>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</si>
  <si>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</si>
  <si>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</si>
  <si>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</si>
  <si>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</si>
  <si>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</si>
  <si>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</si>
  <si>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</si>
  <si>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</si>
  <si>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</si>
  <si>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</si>
  <si>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</si>
  <si>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</si>
  <si>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</si>
  <si>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</si>
  <si>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</si>
  <si>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</si>
  <si>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</si>
  <si>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</si>
  <si>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</si>
  <si>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</si>
  <si>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</si>
  <si>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</si>
  <si>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</si>
  <si>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</si>
  <si>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</si>
  <si>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</si>
  <si>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</si>
  <si>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</si>
  <si>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</si>
  <si>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</si>
  <si>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</si>
  <si>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</si>
  <si>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</si>
  <si>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</si>
  <si>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</si>
  <si>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</si>
  <si>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Chromium (Cr)</t>
  </si>
  <si>
    <t>mg/kg (dry)</t>
  </si>
  <si>
    <t>CEN/TS 15290</t>
  </si>
  <si>
    <t>Copper (Cu)</t>
  </si>
  <si>
    <t>Manganese (Mn)</t>
  </si>
  <si>
    <t>Nickel (Ni)</t>
  </si>
  <si>
    <t>Zinc (Zn)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</si>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</sst>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39708</v>
      </c>
    </row>
    <row r="13" outlineLevel="1">
      <c r="A13" s="7" t="s">
        <v>16</v>
      </c>
      <c r="B13" s="0" t="s">
        <v>17</v>
      </c>
    </row>
    <row r="14">
      <c r="A14" s="7"/>
    </row>
    <row r="15" s="1" customFormat="1">
      <c r="A15" s="9" t="s">
        <v>18</v>
      </c>
    </row>
    <row r="16" s="1" customFormat="1">
      <c r="A16" s="10" t="s">
        <v>19</v>
      </c>
      <c r="B16" s="10" t="s">
        <v>20</v>
      </c>
      <c r="C16" s="10" t="s">
        <v>21</v>
      </c>
      <c r="D16" s="10"/>
      <c r="E16" s="10"/>
      <c r="F16" s="10" t="s">
        <v>22</v>
      </c>
      <c r="G16" s="10" t="s">
        <v>23</v>
      </c>
      <c r="H16" s="10" t="s">
        <v>24</v>
      </c>
      <c r="I16" s="10" t="s">
        <v>25</v>
      </c>
      <c r="J16" s="10" t="s">
        <v>26</v>
      </c>
      <c r="K16" s="10" t="s">
        <v>27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10</v>
      </c>
      <c r="D20" s="13"/>
      <c r="E20" s="13"/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34</v>
      </c>
      <c r="C21" s="13">
        <f>IFERROR(7.2*(1-w),"")</f>
        <v>6.48</v>
      </c>
      <c r="D21" s="13">
        <v>7.2</v>
      </c>
      <c r="E21" s="13">
        <v/>
      </c>
      <c r="F21" s="13"/>
      <c r="G21" s="13"/>
      <c r="I21" s="5"/>
      <c r="J21" s="0" t="s">
        <v>37</v>
      </c>
    </row>
    <row r="22" outlineLevel="1">
      <c r="A22" s="11" t="s">
        <v>38</v>
      </c>
      <c r="I22" s="5"/>
    </row>
    <row r="23" outlineLevel="2">
      <c r="A23" s="12" t="s">
        <v>39</v>
      </c>
      <c r="B23" s="0" t="s">
        <v>34</v>
      </c>
      <c r="C23" s="13">
        <f>IFERROR(46*(1-w),"")</f>
        <v>41.4</v>
      </c>
      <c r="D23" s="13">
        <v>46</v>
      </c>
      <c r="E23" s="13">
        <v>49.568965517241381</v>
      </c>
      <c r="F23" s="13"/>
      <c r="G23" s="13"/>
      <c r="I23" s="5"/>
      <c r="J23" s="0" t="s">
        <v>40</v>
      </c>
    </row>
    <row r="24" outlineLevel="2">
      <c r="A24" s="12" t="s">
        <v>41</v>
      </c>
      <c r="B24" s="0" t="s">
        <v>34</v>
      </c>
      <c r="C24" s="13">
        <f>IFERROR(5.9*(1-w),"")</f>
        <v>5.3100000000000005</v>
      </c>
      <c r="D24" s="13">
        <v>5.9</v>
      </c>
      <c r="E24" s="13">
        <v>6.3577586206896557</v>
      </c>
      <c r="F24" s="13"/>
      <c r="G24" s="13"/>
      <c r="I24" s="5"/>
      <c r="J24" s="0" t="s">
        <v>40</v>
      </c>
    </row>
    <row r="25" outlineLevel="2">
      <c r="A25" s="12" t="s">
        <v>42</v>
      </c>
      <c r="B25" s="0" t="s">
        <v>34</v>
      </c>
      <c r="C25" s="13">
        <f>IFERROR(1.56*(1-w),"")</f>
        <v>1.4040000000000001</v>
      </c>
      <c r="D25" s="13">
        <v>1.56</v>
      </c>
      <c r="E25" s="13">
        <v>1.6810344827586208</v>
      </c>
      <c r="F25" s="13"/>
      <c r="G25" s="13"/>
      <c r="I25" s="5"/>
      <c r="J25" s="0" t="s">
        <v>40</v>
      </c>
    </row>
    <row r="26" outlineLevel="2">
      <c r="A26" s="12" t="s">
        <v>43</v>
      </c>
      <c r="B26" s="0" t="s">
        <v>34</v>
      </c>
      <c r="C26" s="13">
        <f>IFERROR(0.18*(1-w),"")</f>
        <v>0.162</v>
      </c>
      <c r="D26" s="13">
        <v>0.18</v>
      </c>
      <c r="E26" s="13">
        <v>0.19396551724137931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IFERROR(60.84*(1-w)+w*100,"")</f>
        <v>64.756</v>
      </c>
      <c r="D27" s="13">
        <v>60.84</v>
      </c>
      <c r="E27" s="13">
        <v>57.801724137931039</v>
      </c>
      <c r="F27" s="13"/>
      <c r="G27" s="13"/>
      <c r="I27" s="5"/>
      <c r="J27" s="0" t="s">
        <v>46</v>
      </c>
    </row>
    <row r="28" outlineLevel="1">
      <c r="A28" s="11" t="s">
        <v>47</v>
      </c>
      <c r="I28" s="5"/>
    </row>
    <row r="29" outlineLevel="2">
      <c r="A29" s="12" t="s">
        <v>48</v>
      </c>
      <c r="B29" s="0" t="s">
        <v>49</v>
      </c>
      <c r="C29" s="13">
        <f>IFERROR(17.28*(1-w)-w*2.443,"")</f>
        <v>15.3077</v>
      </c>
      <c r="D29" s="13">
        <v>17.28</v>
      </c>
      <c r="E29" s="13">
        <v>18.620689655172416</v>
      </c>
      <c r="F29" s="13"/>
      <c r="G29" s="13"/>
      <c r="I29" s="5"/>
      <c r="J29" s="0" t="s">
        <v>50</v>
      </c>
    </row>
    <row r="30" outlineLevel="2">
      <c r="A30" s="12" t="s">
        <v>51</v>
      </c>
      <c r="B30" s="0" t="s">
        <v>49</v>
      </c>
      <c r="C30" s="13">
        <f>IFERROR(18.57*(1-w),"")</f>
        <v>16.713</v>
      </c>
      <c r="D30" s="13">
        <v>18.57</v>
      </c>
      <c r="E30" s="13">
        <v>20.010775862068968</v>
      </c>
      <c r="F30" s="13"/>
      <c r="G30" s="13"/>
      <c r="I30" s="5"/>
    </row>
    <row r="31" outlineLevel="1">
      <c r="A31" s="11" t="s">
        <v>52</v>
      </c>
      <c r="I31" s="5"/>
    </row>
    <row r="32" outlineLevel="2">
      <c r="A32" s="12" t="s">
        <v>53</v>
      </c>
      <c r="B32" s="0" t="s">
        <v>54</v>
      </c>
      <c r="C32" s="14">
        <v>5.5</v>
      </c>
      <c r="D32" s="14"/>
      <c r="E32" s="14"/>
      <c r="F32" s="14"/>
      <c r="G32" s="14"/>
      <c r="I32" s="5"/>
      <c r="J32" s="0" t="s">
        <v>55</v>
      </c>
    </row>
    <row r="33" outlineLevel="2">
      <c r="A33" s="12" t="s">
        <v>56</v>
      </c>
      <c r="B33" s="0" t="s">
        <v>54</v>
      </c>
      <c r="C33" s="14">
        <v>34</v>
      </c>
      <c r="D33" s="14"/>
      <c r="E33" s="14"/>
      <c r="F33" s="14"/>
      <c r="G33" s="14"/>
      <c r="I33" s="5"/>
      <c r="J33" s="0" t="s">
        <v>55</v>
      </c>
    </row>
    <row r="34" outlineLevel="2">
      <c r="A34" s="12" t="s">
        <v>57</v>
      </c>
      <c r="B34" s="0" t="s">
        <v>54</v>
      </c>
      <c r="C34" s="14">
        <v>42</v>
      </c>
      <c r="D34" s="14"/>
      <c r="E34" s="14"/>
      <c r="F34" s="14"/>
      <c r="G34" s="14"/>
      <c r="I34" s="5"/>
      <c r="J34" s="0" t="s">
        <v>55</v>
      </c>
    </row>
    <row r="35" outlineLevel="2">
      <c r="A35" s="12" t="s">
        <v>58</v>
      </c>
      <c r="B35" s="0" t="s">
        <v>54</v>
      </c>
      <c r="C35" s="14">
        <v>3</v>
      </c>
      <c r="D35" s="14"/>
      <c r="E35" s="14"/>
      <c r="F35" s="14"/>
      <c r="G35" s="14"/>
      <c r="I35" s="5"/>
      <c r="J35" s="0" t="s">
        <v>55</v>
      </c>
    </row>
    <row r="36" outlineLevel="2">
      <c r="A36" s="12" t="s">
        <v>59</v>
      </c>
      <c r="B36" s="0" t="s">
        <v>54</v>
      </c>
      <c r="C36" s="14">
        <v>62</v>
      </c>
      <c r="D36" s="14"/>
      <c r="E36" s="14"/>
      <c r="F36" s="14"/>
      <c r="G36" s="14"/>
      <c r="I36" s="5"/>
      <c r="J36" s="0" t="s">
        <v>55</v>
      </c>
    </row>
    <row r="37" outlineLevel="1">
      <c r="A37" s="11" t="s">
        <v>60</v>
      </c>
      <c r="I37" s="5"/>
    </row>
    <row r="38" outlineLevel="2">
      <c r="A38" s="12" t="s">
        <v>61</v>
      </c>
      <c r="B38" s="0" t="s">
        <v>62</v>
      </c>
      <c r="C38" s="13">
        <v>0.37</v>
      </c>
      <c r="D38" s="13"/>
      <c r="E38" s="13"/>
      <c r="F38" s="13"/>
      <c r="G38" s="13"/>
      <c r="I38" s="5"/>
      <c r="J38" s="0" t="s">
        <v>63</v>
      </c>
    </row>
    <row r="39">
      <c r="I39" s="5"/>
    </row>
    <row r="40" s="1" customFormat="1"/>
  </sheetData>
  <mergeCells>
    <mergeCell ref="A8:A10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2:E32"/>
    <mergeCell ref="C33:E33"/>
    <mergeCell ref="C34:E34"/>
    <mergeCell ref="C35:E35"/>
    <mergeCell ref="C36:E36"/>
    <mergeCell ref="C38:E38"/>
  </mergeCells>
  <dataValidations count="1">
    <dataValidation type="decimal" sqref="C20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https://phyllis.nl/Biomass/View/3107</dc:description>
  <dcterms:created xsi:type="dcterms:W3CDTF">2026-03-17T06:18:56Z</dcterms:created>
  <dc:title>Phyllis2 #3107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