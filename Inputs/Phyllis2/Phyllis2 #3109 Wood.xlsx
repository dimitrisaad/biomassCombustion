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09 Wood" sheetId="1" r:id="rId1"/>
  </sheets>
  <definedNames>
    <definedName name="w" localSheetId="0">IF(ISBLANK('Phyllis2 #3109 Wood'!$C$24),#N/A,'Phyllis2 #3109 Wood'!$C$24/100)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<sst xmlns="http://schemas.openxmlformats.org/spreadsheetml/2006/main" count="79" uniqueCount="79">
  <si>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</si>
  <si>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https://phyllis.nl/Biomass/View/3109</t>
  </si>
  <si>
    <t>Wood (#3109)</t>
  </si>
  <si>
    <t>ID-number</t>
  </si>
  <si>
    <t>#3109</t>
  </si>
  <si>
    <t>Material</t>
  </si>
  <si>
    <t>Wood</t>
  </si>
  <si>
    <t>Alternative name</t>
  </si>
  <si>
    <t>Description</t>
  </si>
  <si>
    <t>Wood chips</t>
  </si>
  <si>
    <t>Classification</t>
  </si>
  <si>
    <t>CEN/TS 14961 classification &gt; Solid biofuels &gt; Woody biomass &gt; Used wood</t>
  </si>
  <si>
    <t>ECN Phyllis classification &gt; treated wood</t>
  </si>
  <si>
    <t>NTA 8003 classification &gt; [100] hout &gt; [110] vers hout &gt; [119] overig vers hout</t>
  </si>
  <si>
    <t>Sample date</t>
  </si>
  <si>
    <t>Country</t>
  </si>
  <si>
    <t>Finland</t>
  </si>
  <si>
    <t>Production date</t>
  </si>
  <si>
    <t>Submitter</t>
  </si>
  <si>
    <t>ENAS Oy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</si>
  <si>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</si>
  <si>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</si>
  <si>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</si>
  <si>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</si>
  <si>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</si>
  <si>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</si>
  <si>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</si>
  <si>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</si>
  <si>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</si>
  <si>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</si>
  <si>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</si>
  <si>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</si>
  <si>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</si>
  <si>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</si>
  <si>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</si>
  <si>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</si>
  <si>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</si>
  <si>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</si>
  <si>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</si>
  <si>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</si>
  <si>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</si>
  <si>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</si>
  <si>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</si>
  <si>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</si>
  <si>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</si>
  <si>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</si>
  <si>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</si>
  <si>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</si>
  <si>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</si>
  <si>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wt% (dry)</t>
  </si>
  <si>
    <t>&lt; 0.02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</si>
  <si>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</si>
  <si>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</si>
  <si>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</si>
  <si>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</si>
  <si>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</si>
  <si>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</si>
  <si>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</si>
  <si>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</si>
  <si>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</si>
  <si>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</si>
  <si>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</si>
  <si>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</si>
  <si>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</si>
  <si>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</si>
  <si>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</si>
  <si>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&lt; 0.2</t>
  </si>
  <si>
    <t>CEN/TS 15290</t>
  </si>
  <si>
    <t>Cadmium (Cd)</t>
  </si>
  <si>
    <t>Cobalt (Co)</t>
  </si>
  <si>
    <t>Chromium (Cr)</t>
  </si>
  <si>
    <t>Copper (Cu)</t>
  </si>
  <si>
    <t>Potassium (K)</t>
  </si>
  <si>
    <t>Manganese (Mn)</t>
  </si>
  <si>
    <t>Sodium (Na)</t>
  </si>
  <si>
    <t>Nickel (Ni)</t>
  </si>
  <si>
    <t>Lead (Pb)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</si>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</sst>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38728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6">
        <v>38728</v>
      </c>
    </row>
    <row r="15" outlineLevel="1">
      <c r="A15" s="7" t="s">
        <v>18</v>
      </c>
      <c r="B15" s="0" t="s">
        <v>19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6">
        <v>39506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32</v>
      </c>
      <c r="L20" s="10"/>
    </row>
    <row r="21" s="1" customFormat="1">
      <c r="A21" s="10"/>
      <c r="B21" s="10"/>
      <c r="C21" s="10" t="s">
        <v>33</v>
      </c>
      <c r="D21" s="10" t="s">
        <v>34</v>
      </c>
      <c r="E21" s="10" t="s">
        <v>35</v>
      </c>
      <c r="F21" s="10"/>
      <c r="G21" s="10"/>
      <c r="H21" s="10"/>
      <c r="I21" s="10"/>
      <c r="J21" s="10"/>
      <c r="K21" s="10"/>
      <c r="L21" s="10"/>
    </row>
    <row r="22">
      <c r="A22" s="7" t="s">
        <v>36</v>
      </c>
      <c r="I22" s="5"/>
    </row>
    <row r="23" outlineLevel="1">
      <c r="A23" s="11" t="s">
        <v>37</v>
      </c>
      <c r="I23" s="5"/>
    </row>
    <row r="24" outlineLevel="2">
      <c r="A24" s="12" t="s">
        <v>38</v>
      </c>
      <c r="B24" s="0" t="s">
        <v>39</v>
      </c>
      <c r="C24" s="13">
        <v>29.2</v>
      </c>
      <c r="D24" s="13"/>
      <c r="E24" s="13"/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39</v>
      </c>
      <c r="C25" s="13">
        <f>IFERROR(1.7*(1-w),"")</f>
        <v>1.2036</v>
      </c>
      <c r="D25" s="13">
        <v>1.7</v>
      </c>
      <c r="E25" s="13">
        <v/>
      </c>
      <c r="F25" s="13"/>
      <c r="G25" s="13"/>
      <c r="I25" s="5"/>
      <c r="K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39</v>
      </c>
      <c r="C27" s="13">
        <f>IFERROR(49.9*(1-w),"")</f>
        <v>35.3292</v>
      </c>
      <c r="D27" s="13">
        <v>49.9</v>
      </c>
      <c r="E27" s="13">
        <v>50.762970498474061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39</v>
      </c>
      <c r="C28" s="13">
        <f>IFERROR(6*(1-w),"")</f>
        <v>4.2479999999999993</v>
      </c>
      <c r="D28" s="13">
        <v>6</v>
      </c>
      <c r="E28" s="13">
        <v>6.1037639877924725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39</v>
      </c>
      <c r="C29" s="13">
        <f>IFERROR(0.19*(1-w),"")</f>
        <v>0.13452</v>
      </c>
      <c r="D29" s="13">
        <v>0.19</v>
      </c>
      <c r="E29" s="13">
        <v>0.19328585961342828</v>
      </c>
      <c r="F29" s="13"/>
      <c r="G29" s="13"/>
      <c r="I29" s="5"/>
      <c r="J29" s="0" t="s">
        <v>45</v>
      </c>
    </row>
    <row r="30" outlineLevel="2">
      <c r="A30" s="12" t="s">
        <v>48</v>
      </c>
      <c r="B30" s="0" t="s">
        <v>49</v>
      </c>
      <c r="C30" s="13" t="s">
        <v>50</v>
      </c>
      <c r="D30" s="13"/>
      <c r="E30" s="13"/>
      <c r="F30" s="13"/>
      <c r="G30" s="13"/>
      <c r="I30" s="5"/>
      <c r="J30" s="0" t="s">
        <v>51</v>
      </c>
    </row>
    <row r="31" outlineLevel="2">
      <c r="A31" s="12" t="s">
        <v>52</v>
      </c>
      <c r="B31" s="0" t="s">
        <v>39</v>
      </c>
      <c r="C31" s="13">
        <f>IFERROR(57.7900011*(1-w)+w*100,"")</f>
        <v>70.1153207788</v>
      </c>
      <c r="D31" s="13">
        <v>57.7900011</v>
      </c>
      <c r="E31" s="13">
        <v>57.06002146490335</v>
      </c>
      <c r="F31" s="13"/>
      <c r="G31" s="13"/>
      <c r="I31" s="5"/>
      <c r="J31" s="0" t="s">
        <v>53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4">
        <f>IFERROR(0.011*(1-w),"")</f>
        <v>0.0077879999999999989</v>
      </c>
      <c r="D33" s="14">
        <v>0.011</v>
      </c>
      <c r="E33" s="14">
        <v>0.011190233977619531</v>
      </c>
      <c r="F33" s="14"/>
      <c r="G33" s="14"/>
      <c r="I33" s="5"/>
      <c r="J33" s="0" t="s">
        <v>57</v>
      </c>
    </row>
    <row r="34" outlineLevel="1">
      <c r="A34" s="11" t="s">
        <v>58</v>
      </c>
      <c r="I34" s="5"/>
    </row>
    <row r="35" outlineLevel="2">
      <c r="A35" s="12" t="s">
        <v>59</v>
      </c>
      <c r="B35" s="0" t="s">
        <v>60</v>
      </c>
      <c r="C35" s="13">
        <f>IFERROR(18.7*(1-w)-w*2.443,"")</f>
        <v>12.526244</v>
      </c>
      <c r="D35" s="13">
        <v>18.7</v>
      </c>
      <c r="E35" s="13">
        <v>19.023397761953206</v>
      </c>
      <c r="F35" s="13"/>
      <c r="G35" s="13"/>
      <c r="I35" s="5"/>
      <c r="J35" s="0" t="s">
        <v>61</v>
      </c>
    </row>
    <row r="36" outlineLevel="2">
      <c r="A36" s="12" t="s">
        <v>62</v>
      </c>
      <c r="B36" s="0" t="s">
        <v>60</v>
      </c>
      <c r="C36" s="13">
        <f>IFERROR(20.01*(1-w),"")</f>
        <v>14.16708</v>
      </c>
      <c r="D36" s="13">
        <v>20.01</v>
      </c>
      <c r="E36" s="13">
        <v>20.356052899287896</v>
      </c>
      <c r="F36" s="13"/>
      <c r="G36" s="13"/>
      <c r="I36" s="5"/>
    </row>
    <row r="37" outlineLevel="1">
      <c r="A37" s="11" t="s">
        <v>63</v>
      </c>
      <c r="I37" s="5"/>
    </row>
    <row r="38" outlineLevel="2">
      <c r="A38" s="12" t="s">
        <v>64</v>
      </c>
      <c r="B38" s="0" t="s">
        <v>65</v>
      </c>
      <c r="C38" s="14" t="s">
        <v>66</v>
      </c>
      <c r="D38" s="14"/>
      <c r="E38" s="14"/>
      <c r="F38" s="14"/>
      <c r="G38" s="14"/>
      <c r="I38" s="5"/>
      <c r="K38" s="0" t="s">
        <v>67</v>
      </c>
    </row>
    <row r="39" outlineLevel="2">
      <c r="A39" s="12" t="s">
        <v>68</v>
      </c>
      <c r="B39" s="0" t="s">
        <v>65</v>
      </c>
      <c r="C39" s="14">
        <v>0.08</v>
      </c>
      <c r="D39" s="14"/>
      <c r="E39" s="14"/>
      <c r="F39" s="14"/>
      <c r="G39" s="14"/>
      <c r="I39" s="5"/>
      <c r="K39" s="0" t="s">
        <v>67</v>
      </c>
    </row>
    <row r="40" outlineLevel="2">
      <c r="A40" s="12" t="s">
        <v>69</v>
      </c>
      <c r="B40" s="0" t="s">
        <v>65</v>
      </c>
      <c r="C40" s="14">
        <v>0.25</v>
      </c>
      <c r="D40" s="14"/>
      <c r="E40" s="14"/>
      <c r="F40" s="14"/>
      <c r="G40" s="14"/>
      <c r="I40" s="5"/>
      <c r="K40" s="0" t="s">
        <v>67</v>
      </c>
    </row>
    <row r="41" outlineLevel="2">
      <c r="A41" s="12" t="s">
        <v>70</v>
      </c>
      <c r="B41" s="0" t="s">
        <v>65</v>
      </c>
      <c r="C41" s="14">
        <v>19</v>
      </c>
      <c r="D41" s="14"/>
      <c r="E41" s="14"/>
      <c r="F41" s="14"/>
      <c r="G41" s="14"/>
      <c r="I41" s="5"/>
      <c r="K41" s="0" t="s">
        <v>67</v>
      </c>
    </row>
    <row r="42" outlineLevel="2">
      <c r="A42" s="12" t="s">
        <v>71</v>
      </c>
      <c r="B42" s="0" t="s">
        <v>65</v>
      </c>
      <c r="C42" s="14">
        <v>2.4</v>
      </c>
      <c r="D42" s="14"/>
      <c r="E42" s="14"/>
      <c r="F42" s="14"/>
      <c r="G42" s="14"/>
      <c r="I42" s="5"/>
      <c r="K42" s="0" t="s">
        <v>67</v>
      </c>
    </row>
    <row r="43" outlineLevel="2">
      <c r="A43" s="12" t="s">
        <v>72</v>
      </c>
      <c r="B43" s="0" t="s">
        <v>65</v>
      </c>
      <c r="C43" s="14">
        <v>1500</v>
      </c>
      <c r="D43" s="14"/>
      <c r="E43" s="14"/>
      <c r="F43" s="14"/>
      <c r="G43" s="14"/>
      <c r="I43" s="5"/>
    </row>
    <row r="44" outlineLevel="2">
      <c r="A44" s="12" t="s">
        <v>73</v>
      </c>
      <c r="B44" s="0" t="s">
        <v>65</v>
      </c>
      <c r="C44" s="14">
        <v>78</v>
      </c>
      <c r="D44" s="14"/>
      <c r="E44" s="14"/>
      <c r="F44" s="14"/>
      <c r="G44" s="14"/>
      <c r="I44" s="5"/>
      <c r="K44" s="0" t="s">
        <v>67</v>
      </c>
    </row>
    <row r="45" outlineLevel="2">
      <c r="A45" s="12" t="s">
        <v>74</v>
      </c>
      <c r="B45" s="0" t="s">
        <v>65</v>
      </c>
      <c r="C45" s="14">
        <v>410</v>
      </c>
      <c r="D45" s="14"/>
      <c r="E45" s="14"/>
      <c r="F45" s="14"/>
      <c r="G45" s="14"/>
      <c r="I45" s="5"/>
    </row>
    <row r="46" outlineLevel="2">
      <c r="A46" s="12" t="s">
        <v>75</v>
      </c>
      <c r="B46" s="0" t="s">
        <v>65</v>
      </c>
      <c r="C46" s="14">
        <v>6.7</v>
      </c>
      <c r="D46" s="14"/>
      <c r="E46" s="14"/>
      <c r="F46" s="14"/>
      <c r="G46" s="14"/>
      <c r="I46" s="5"/>
      <c r="K46" s="0" t="s">
        <v>67</v>
      </c>
    </row>
    <row r="47" outlineLevel="2">
      <c r="A47" s="12" t="s">
        <v>76</v>
      </c>
      <c r="B47" s="0" t="s">
        <v>65</v>
      </c>
      <c r="C47" s="14">
        <v>0.69</v>
      </c>
      <c r="D47" s="14"/>
      <c r="E47" s="14"/>
      <c r="F47" s="14"/>
      <c r="G47" s="14"/>
      <c r="I47" s="5"/>
      <c r="K47" s="0" t="s">
        <v>67</v>
      </c>
    </row>
    <row r="48" outlineLevel="2">
      <c r="A48" s="12" t="s">
        <v>77</v>
      </c>
      <c r="B48" s="0" t="s">
        <v>65</v>
      </c>
      <c r="C48" s="14">
        <v>1.3</v>
      </c>
      <c r="D48" s="14"/>
      <c r="E48" s="14"/>
      <c r="F48" s="14"/>
      <c r="G48" s="14"/>
      <c r="I48" s="5"/>
      <c r="K48" s="0" t="s">
        <v>67</v>
      </c>
    </row>
    <row r="49" outlineLevel="2">
      <c r="A49" s="12" t="s">
        <v>78</v>
      </c>
      <c r="B49" s="0" t="s">
        <v>65</v>
      </c>
      <c r="C49" s="14">
        <v>14</v>
      </c>
      <c r="D49" s="14"/>
      <c r="E49" s="14"/>
      <c r="F49" s="14"/>
      <c r="G49" s="14"/>
      <c r="I49" s="5"/>
      <c r="K49" s="0" t="s">
        <v>67</v>
      </c>
    </row>
    <row r="50">
      <c r="I50" s="5"/>
    </row>
    <row r="51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0:E30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4" errorStyle="stop" promptTitle="Enter moisture content" errorTitle="Invalid moisture content" prompt="Value should be between 0 and 100.&#10;Original value: 29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https://phyllis.nl/Biomass/View/3109</dc:description>
  <dcterms:created xsi:type="dcterms:W3CDTF">2026-03-19T04:12:17Z</dcterms:created>
  <dc:title>Phyllis2 #3109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