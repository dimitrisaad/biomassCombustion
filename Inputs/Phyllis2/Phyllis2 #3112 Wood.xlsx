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12 Wood" sheetId="1" r:id="rId1"/>
  </sheets>
  <definedNames>
    <definedName name="w" localSheetId="0">IF(ISBLANK('Phyllis2 #3112 Wood'!$C$21),#N/A,'Phyllis2 #3112 Wood'!$C$21/100)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<sst xmlns="http://schemas.openxmlformats.org/spreadsheetml/2006/main" count="59" uniqueCount="59">
  <si>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</si>
  <si>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https://phyllis.nl/Biomass/View/3112</t>
  </si>
  <si>
    <t>Wood (#3112)</t>
  </si>
  <si>
    <t>ID-number</t>
  </si>
  <si>
    <t>#3112</t>
  </si>
  <si>
    <t>Material</t>
  </si>
  <si>
    <t>Wood</t>
  </si>
  <si>
    <t>Alternative name</t>
  </si>
  <si>
    <t>Wood pellet</t>
  </si>
  <si>
    <t>Classification</t>
  </si>
  <si>
    <t>CEN/TS 14961 classification &gt; Solid biofuels &gt; Woody biomass &gt; Wood processing industry &gt; Chemically untreated wood residues</t>
  </si>
  <si>
    <t>ECN Phyllis classification &gt; treated wood</t>
  </si>
  <si>
    <t>NTA 8003 classification &gt; [100] hout &gt; [110] vers hout &gt; [119] overig vers hout</t>
  </si>
  <si>
    <t>Sample date</t>
  </si>
  <si>
    <t>Sample location</t>
  </si>
  <si>
    <t>Finland</t>
  </si>
  <si>
    <t>Country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</si>
  <si>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</si>
  <si>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</si>
  <si>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</si>
  <si>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</si>
  <si>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</si>
  <si>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</si>
  <si>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</si>
  <si>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</si>
  <si>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</si>
  <si>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</si>
  <si>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</si>
  <si>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</si>
  <si>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</si>
  <si>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</si>
  <si>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</si>
  <si>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</si>
  <si>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</si>
  <si>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</si>
  <si>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</si>
  <si>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</si>
  <si>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815°C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</si>
  <si>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</si>
  <si>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</si>
  <si>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</si>
  <si>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</si>
  <si>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</si>
  <si>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</si>
  <si>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</si>
  <si>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wt% (dry)</t>
  </si>
  <si>
    <t>&lt; 0.02</t>
  </si>
  <si>
    <t>ASTM D 4239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</si>
  <si>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</si>
  <si>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</si>
  <si>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</si>
  <si>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</si>
  <si>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</si>
  <si>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</si>
  <si>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</si>
  <si>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Physical Properties</t>
  </si>
  <si>
    <t>Commonly used properties</t>
  </si>
  <si>
    <t>Mechanic durability</t>
  </si>
  <si>
    <t>CEN/TS 15210-1,2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</si>
</sst>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39553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15</v>
      </c>
    </row>
    <row r="14" outlineLevel="1">
      <c r="A14" s="7" t="s">
        <v>17</v>
      </c>
      <c r="B14" s="0" t="s">
        <v>18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28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6.6</v>
      </c>
      <c r="D21" s="13"/>
      <c r="E21" s="13"/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35</v>
      </c>
      <c r="C22" s="13">
        <f>IFERROR(0.7*(1-w),"")</f>
        <v>0.65379999999999994</v>
      </c>
      <c r="D22" s="13">
        <v>0.7</v>
      </c>
      <c r="E22" s="13">
        <v/>
      </c>
      <c r="F22" s="13"/>
      <c r="G22" s="13"/>
      <c r="I22" s="5"/>
      <c r="J22" s="0" t="s">
        <v>38</v>
      </c>
    </row>
    <row r="23" outlineLevel="1">
      <c r="A23" s="11" t="s">
        <v>39</v>
      </c>
      <c r="I23" s="5"/>
    </row>
    <row r="24" outlineLevel="2">
      <c r="A24" s="12" t="s">
        <v>40</v>
      </c>
      <c r="B24" s="0" t="s">
        <v>35</v>
      </c>
      <c r="C24" s="13">
        <f>IFERROR(50.3*(1-w),"")</f>
        <v>46.980199999999996</v>
      </c>
      <c r="D24" s="13">
        <v>50.3</v>
      </c>
      <c r="E24" s="13">
        <v>50.654582074521649</v>
      </c>
      <c r="F24" s="13"/>
      <c r="G24" s="13"/>
      <c r="I24" s="5"/>
      <c r="J24" s="0" t="s">
        <v>41</v>
      </c>
    </row>
    <row r="25" outlineLevel="2">
      <c r="A25" s="12" t="s">
        <v>42</v>
      </c>
      <c r="B25" s="0" t="s">
        <v>35</v>
      </c>
      <c r="C25" s="13">
        <f>IFERROR(6.1*(1-w),"")</f>
        <v>5.6973999999999991</v>
      </c>
      <c r="D25" s="13">
        <v>6.1</v>
      </c>
      <c r="E25" s="13">
        <v>6.143001007049345</v>
      </c>
      <c r="F25" s="13"/>
      <c r="G25" s="13"/>
      <c r="I25" s="5"/>
      <c r="J25" s="0" t="s">
        <v>41</v>
      </c>
    </row>
    <row r="26" outlineLevel="2">
      <c r="A26" s="12" t="s">
        <v>43</v>
      </c>
      <c r="B26" s="0" t="s">
        <v>35</v>
      </c>
      <c r="C26" s="13">
        <f>IFERROR(0.28*(1-w),"")</f>
        <v>0.26152000000000003</v>
      </c>
      <c r="D26" s="13">
        <v>0.28</v>
      </c>
      <c r="E26" s="13">
        <v>0.28197381671701915</v>
      </c>
      <c r="F26" s="13"/>
      <c r="G26" s="13"/>
      <c r="I26" s="5"/>
      <c r="J26" s="0" t="s">
        <v>41</v>
      </c>
    </row>
    <row r="27" outlineLevel="2">
      <c r="A27" s="12" t="s">
        <v>44</v>
      </c>
      <c r="B27" s="0" t="s">
        <v>45</v>
      </c>
      <c r="C27" s="13" t="s">
        <v>46</v>
      </c>
      <c r="D27" s="13"/>
      <c r="E27" s="13"/>
      <c r="F27" s="13"/>
      <c r="G27" s="13"/>
      <c r="I27" s="5"/>
      <c r="J27" s="0" t="s">
        <v>47</v>
      </c>
    </row>
    <row r="28" outlineLevel="2">
      <c r="A28" s="12" t="s">
        <v>48</v>
      </c>
      <c r="B28" s="0" t="s">
        <v>35</v>
      </c>
      <c r="C28" s="13">
        <f>IFERROR(57.38*(1-w)+w*100,"")</f>
        <v>60.19292</v>
      </c>
      <c r="D28" s="13">
        <v>57.38</v>
      </c>
      <c r="E28" s="13">
        <v>57.079556898288018</v>
      </c>
      <c r="F28" s="13"/>
      <c r="G28" s="13"/>
      <c r="I28" s="5"/>
      <c r="J28" s="0" t="s">
        <v>49</v>
      </c>
    </row>
    <row r="29" outlineLevel="1">
      <c r="A29" s="11" t="s">
        <v>50</v>
      </c>
      <c r="I29" s="5"/>
    </row>
    <row r="30" outlineLevel="2">
      <c r="A30" s="12" t="s">
        <v>51</v>
      </c>
      <c r="B30" s="0" t="s">
        <v>52</v>
      </c>
      <c r="C30" s="13">
        <f>IFERROR(18.88*(1-w)-w*2.443,"")</f>
        <v>17.472681999999995</v>
      </c>
      <c r="D30" s="13">
        <v>18.88</v>
      </c>
      <c r="E30" s="13">
        <v>19.013091641490433</v>
      </c>
      <c r="F30" s="13"/>
      <c r="G30" s="13"/>
      <c r="I30" s="5"/>
      <c r="J30" s="0" t="s">
        <v>53</v>
      </c>
    </row>
    <row r="31" outlineLevel="2">
      <c r="A31" s="12" t="s">
        <v>54</v>
      </c>
      <c r="B31" s="0" t="s">
        <v>52</v>
      </c>
      <c r="C31" s="13">
        <f>IFERROR(20.21*(1-w),"")</f>
        <v>18.87614</v>
      </c>
      <c r="D31" s="13">
        <v>20.21</v>
      </c>
      <c r="E31" s="13">
        <v>20.352467270896273</v>
      </c>
      <c r="F31" s="13"/>
      <c r="G31" s="13"/>
      <c r="I31" s="5"/>
    </row>
    <row r="32">
      <c r="A32" s="7" t="s">
        <v>55</v>
      </c>
      <c r="I32" s="5"/>
    </row>
    <row r="33" outlineLevel="1">
      <c r="A33" s="11" t="s">
        <v>56</v>
      </c>
      <c r="I33" s="5"/>
    </row>
    <row r="34" outlineLevel="2">
      <c r="A34" s="12" t="s">
        <v>57</v>
      </c>
      <c r="B34" s="0" t="s">
        <v>35</v>
      </c>
      <c r="C34" s="13">
        <v>97.4</v>
      </c>
      <c r="D34" s="13"/>
      <c r="E34" s="13"/>
      <c r="F34" s="13"/>
      <c r="G34" s="13"/>
      <c r="I34" s="5"/>
      <c r="J34" s="0" t="s">
        <v>58</v>
      </c>
    </row>
    <row r="35">
      <c r="I35" s="5"/>
    </row>
    <row r="36" s="1" customFormat="1"/>
  </sheetData>
  <mergeCells>
    <mergeCell ref="A8:A10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27:E27"/>
    <mergeCell ref="C34:E34"/>
  </mergeCells>
  <dataValidations count="1">
    <dataValidation type="decimal" sqref="C21" errorStyle="stop" promptTitle="Enter moisture content" errorTitle="Invalid moisture content" prompt="Value should be between 0 and 100.&#10;Original value: 6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https://phyllis.nl/Biomass/View/3112</dc:description>
  <dcterms:created xsi:type="dcterms:W3CDTF">2026-03-19T04:12:28Z</dcterms:created>
  <dc:title>Phyllis2 #3112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