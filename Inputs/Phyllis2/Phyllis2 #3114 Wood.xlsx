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4 Wood" sheetId="1" r:id="rId1"/>
  </sheets>
  <definedNames>
    <definedName name="w" localSheetId="0">IF(ISBLANK('Phyllis2 #3114 Wood'!$C$21),#N/A,'Phyllis2 #3114 Wood'!$C$21/100)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<sst xmlns="http://schemas.openxmlformats.org/spreadsheetml/2006/main" count="55" uniqueCount="55">
  <si>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</si>
  <si>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https://phyllis.nl/Biomass/View/3114</t>
  </si>
  <si>
    <t>Wood (#3114)</t>
  </si>
  <si>
    <t>ID-number</t>
  </si>
  <si>
    <t>#3114</t>
  </si>
  <si>
    <t>Material</t>
  </si>
  <si>
    <t>Wood</t>
  </si>
  <si>
    <t>Alternative name</t>
  </si>
  <si>
    <t>Wood pellet</t>
  </si>
  <si>
    <t>Classification</t>
  </si>
  <si>
    <t>CEN/TS 14961 classification &gt; Solid biofuels &gt; Woody biomass &gt; Wood processing industry &gt; Chemically untreated wood residues</t>
  </si>
  <si>
    <t>ECN Phyllis classification &gt; treated wood</t>
  </si>
  <si>
    <t>NTA 8003 classification &gt; [100] hout &gt; [110] vers hout &gt; [119] overig vers hout</t>
  </si>
  <si>
    <t>Sample date</t>
  </si>
  <si>
    <t>Sample location</t>
  </si>
  <si>
    <t>Finland</t>
  </si>
  <si>
    <t>Country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</si>
  <si>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</si>
  <si>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</si>
  <si>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</si>
  <si>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</si>
  <si>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</si>
  <si>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</si>
  <si>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</si>
  <si>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</si>
  <si>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</si>
  <si>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</si>
  <si>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</si>
  <si>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</si>
  <si>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</si>
  <si>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</si>
  <si>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</si>
  <si>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</si>
  <si>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</si>
  <si>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</si>
  <si>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</si>
  <si>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</si>
  <si>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</si>
  <si>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</si>
  <si>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</si>
  <si>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</si>
  <si>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</si>
  <si>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</si>
  <si>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</si>
  <si>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</si>
  <si>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</si>
  <si>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</si>
  <si>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</si>
  <si>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</si>
  <si>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</si>
  <si>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</si>
  <si>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</si>
  <si>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Commonly used properties</t>
  </si>
  <si>
    <t>Mechanic durability</t>
  </si>
  <si>
    <t>CEN/TS 15210-1,2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</si>
</sst>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39638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15</v>
      </c>
    </row>
    <row r="14" outlineLevel="1">
      <c r="A14" s="7" t="s">
        <v>17</v>
      </c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7.8</v>
      </c>
      <c r="D21" s="13"/>
      <c r="E21" s="13"/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IFERROR(0.3*(1-w),"")</f>
        <v>0.2766</v>
      </c>
      <c r="D22" s="13">
        <v>0.3</v>
      </c>
      <c r="E22" s="13">
        <v/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IFERROR(51*(1-w),"")</f>
        <v>47.022000000000006</v>
      </c>
      <c r="D24" s="13">
        <v>51</v>
      </c>
      <c r="E24" s="13">
        <v>51.153460381143432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IFERROR(6.3*(1-w),"")</f>
        <v>5.8086</v>
      </c>
      <c r="D25" s="13">
        <v>6.3</v>
      </c>
      <c r="E25" s="13">
        <v>6.3189568706118351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IFERROR(0.15*(1-w),"")</f>
        <v>0.1383</v>
      </c>
      <c r="D26" s="13">
        <v>0.15</v>
      </c>
      <c r="E26" s="13">
        <v>0.15045135406218654</v>
      </c>
      <c r="F26" s="13"/>
      <c r="G26" s="13"/>
      <c r="I26" s="5"/>
      <c r="J26" s="0" t="s">
        <v>41</v>
      </c>
    </row>
    <row r="27" outlineLevel="2">
      <c r="A27" s="12" t="s">
        <v>44</v>
      </c>
      <c r="B27" s="0" t="s">
        <v>35</v>
      </c>
      <c r="C27" s="13">
        <f>IFERROR(57.75*(1-w)+w*100,"")</f>
        <v>61.04549999999999</v>
      </c>
      <c r="D27" s="13">
        <v>57.749999999999993</v>
      </c>
      <c r="E27" s="13">
        <v>57.622868605817452</v>
      </c>
      <c r="F27" s="13"/>
      <c r="G27" s="13"/>
      <c r="I27" s="5"/>
      <c r="J27" s="0" t="s">
        <v>45</v>
      </c>
    </row>
    <row r="28" outlineLevel="1">
      <c r="A28" s="11" t="s">
        <v>46</v>
      </c>
      <c r="I28" s="5"/>
    </row>
    <row r="29" outlineLevel="2">
      <c r="A29" s="12" t="s">
        <v>47</v>
      </c>
      <c r="B29" s="0" t="s">
        <v>48</v>
      </c>
      <c r="C29" s="13">
        <f>IFERROR(19.05*(1-w)-w*2.443,"")</f>
        <v>17.373546</v>
      </c>
      <c r="D29" s="13">
        <v>19.05</v>
      </c>
      <c r="E29" s="13">
        <v>19.107321965897693</v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48</v>
      </c>
      <c r="C30" s="13">
        <f>IFERROR(20.42*(1-w),"")</f>
        <v>18.827240000000003</v>
      </c>
      <c r="D30" s="13">
        <v>20.42</v>
      </c>
      <c r="E30" s="13">
        <v>20.481444332998997</v>
      </c>
      <c r="F30" s="13"/>
      <c r="G30" s="13"/>
      <c r="I30" s="5"/>
    </row>
    <row r="31">
      <c r="A31" s="7" t="s">
        <v>51</v>
      </c>
      <c r="I31" s="5"/>
    </row>
    <row r="32" outlineLevel="1">
      <c r="A32" s="11" t="s">
        <v>52</v>
      </c>
      <c r="I32" s="5"/>
    </row>
    <row r="33" outlineLevel="2">
      <c r="A33" s="12" t="s">
        <v>53</v>
      </c>
      <c r="B33" s="0" t="s">
        <v>35</v>
      </c>
      <c r="C33" s="13">
        <v>96.5</v>
      </c>
      <c r="D33" s="13"/>
      <c r="E33" s="13"/>
      <c r="F33" s="13"/>
      <c r="G33" s="13"/>
      <c r="I33" s="5"/>
      <c r="J33" s="0" t="s">
        <v>54</v>
      </c>
    </row>
    <row r="34">
      <c r="I34" s="5"/>
    </row>
    <row r="35" s="1" customFormat="1"/>
  </sheetData>
  <mergeCells>
    <mergeCell ref="A8:A10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</mergeCells>
  <dataValidations count="1">
    <dataValidation type="decimal" sqref="C21" errorStyle="stop" promptTitle="Enter moisture content" errorTitle="Invalid moisture content" prompt="Value should be between 0 and 100.&#10;Original value: 7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https://phyllis.nl/Biomass/View/3114</dc:description>
  <dcterms:created xsi:type="dcterms:W3CDTF">2026-03-19T04:12:36Z</dcterms:created>
  <dc:title>Phyllis2 #3114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