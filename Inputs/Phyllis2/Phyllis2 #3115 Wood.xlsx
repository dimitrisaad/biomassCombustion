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5 Wood" sheetId="1" r:id="rId1"/>
  </sheets>
  <definedNames>
    <definedName name="w" localSheetId="0">IF(ISBLANK('Phyllis2 #3115 Wood'!$C$20),#N/A,'Phyllis2 #3115 Wood'!$C$20/100)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<sst xmlns="http://schemas.openxmlformats.org/spreadsheetml/2006/main" count="51" uniqueCount="51">
  <si>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</si>
  <si>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https://phyllis.nl/Biomass/View/3115</t>
  </si>
  <si>
    <t>Wood (#3115)</t>
  </si>
  <si>
    <t>ID-number</t>
  </si>
  <si>
    <t>#3115</t>
  </si>
  <si>
    <t>Material</t>
  </si>
  <si>
    <t>Wood</t>
  </si>
  <si>
    <t>Alternative name</t>
  </si>
  <si>
    <t>Classification</t>
  </si>
  <si>
    <t>CEN/TS 14961 classification &gt; Solid biofuels &gt; Woody biomass &gt; Forest and plantation wood &gt; Logging residues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</si>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</sst>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8" t="s">
        <v>8</v>
      </c>
      <c r="B8" s="0" t="s">
        <v>9</v>
      </c>
    </row>
    <row r="9" outlineLevel="1">
      <c r="A9" s="8"/>
      <c r="B9" s="0" t="s">
        <v>10</v>
      </c>
    </row>
    <row r="10" outlineLevel="1">
      <c r="A10" s="8"/>
      <c r="B10" s="0" t="s">
        <v>11</v>
      </c>
    </row>
    <row r="11" outlineLevel="1">
      <c r="A11" s="7" t="s">
        <v>12</v>
      </c>
      <c r="B11" s="0" t="s">
        <v>13</v>
      </c>
    </row>
    <row r="12" outlineLevel="1">
      <c r="A12" s="7" t="s">
        <v>14</v>
      </c>
      <c r="B12" s="6">
        <v>39630</v>
      </c>
    </row>
    <row r="13" outlineLevel="1">
      <c r="A13" s="7" t="s">
        <v>15</v>
      </c>
      <c r="B13" s="0" t="s">
        <v>16</v>
      </c>
    </row>
    <row r="14">
      <c r="A14" s="7"/>
    </row>
    <row r="15" s="1" customFormat="1">
      <c r="A15" s="9" t="s">
        <v>17</v>
      </c>
    </row>
    <row r="16" s="1" customFormat="1">
      <c r="A16" s="10" t="s">
        <v>18</v>
      </c>
      <c r="B16" s="10" t="s">
        <v>19</v>
      </c>
      <c r="C16" s="10" t="s">
        <v>20</v>
      </c>
      <c r="D16" s="10"/>
      <c r="E16" s="10"/>
      <c r="F16" s="10" t="s">
        <v>21</v>
      </c>
      <c r="G16" s="10" t="s">
        <v>22</v>
      </c>
      <c r="H16" s="10" t="s">
        <v>23</v>
      </c>
      <c r="I16" s="10" t="s">
        <v>24</v>
      </c>
      <c r="J16" s="10" t="s">
        <v>25</v>
      </c>
      <c r="K16" s="10" t="s">
        <v>26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35</v>
      </c>
      <c r="C21" s="13">
        <f>IFERROR(2.4*(1-w),"")</f>
        <v/>
      </c>
      <c r="D21" s="13">
        <v>2.4</v>
      </c>
      <c r="E21" s="13">
        <v/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35</v>
      </c>
      <c r="C23" s="13">
        <f>IFERROR(50.7*(1-w),"")</f>
        <v/>
      </c>
      <c r="D23" s="13">
        <v>50.7</v>
      </c>
      <c r="E23" s="13">
        <v>51.946721311475414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35</v>
      </c>
      <c r="C24" s="13">
        <f>IFERROR(6.1*(1-w),"")</f>
        <v/>
      </c>
      <c r="D24" s="13">
        <v>6.1</v>
      </c>
      <c r="E24" s="13">
        <v>6.25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35</v>
      </c>
      <c r="C25" s="13">
        <f>IFERROR(0.44*(1-w),"")</f>
        <v/>
      </c>
      <c r="D25" s="13">
        <v>0.44</v>
      </c>
      <c r="E25" s="13">
        <v>0.45081967213114754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35</v>
      </c>
      <c r="C26" s="13">
        <f>IFERROR(0.03*(1-w),"")</f>
        <v/>
      </c>
      <c r="D26" s="13">
        <v>0.03</v>
      </c>
      <c r="E26" s="13">
        <v>0.030737704918032786</v>
      </c>
      <c r="F26" s="13"/>
      <c r="G26" s="13"/>
      <c r="I26" s="5"/>
      <c r="J26" s="0" t="s">
        <v>43</v>
      </c>
    </row>
    <row r="27" outlineLevel="2">
      <c r="A27" s="12" t="s">
        <v>44</v>
      </c>
      <c r="B27" s="0" t="s">
        <v>35</v>
      </c>
      <c r="C27" s="13">
        <f>IFERROR(59.67*(1-w)+w*100,"")</f>
        <v/>
      </c>
      <c r="D27" s="13">
        <v>59.67</v>
      </c>
      <c r="E27" s="13">
        <v>58.678278688524593</v>
      </c>
      <c r="F27" s="13"/>
      <c r="G27" s="13"/>
      <c r="I27" s="5"/>
      <c r="J27" s="0" t="s">
        <v>45</v>
      </c>
    </row>
    <row r="28" outlineLevel="1">
      <c r="A28" s="11" t="s">
        <v>46</v>
      </c>
      <c r="I28" s="5"/>
    </row>
    <row r="29" outlineLevel="2">
      <c r="A29" s="12" t="s">
        <v>47</v>
      </c>
      <c r="B29" s="0" t="s">
        <v>48</v>
      </c>
      <c r="C29" s="13">
        <f>IFERROR(19.14*(1-w)-w*2.443,"")</f>
        <v/>
      </c>
      <c r="D29" s="13">
        <v>19.14</v>
      </c>
      <c r="E29" s="13">
        <v>19.610655737704921</v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48</v>
      </c>
      <c r="C30" s="13">
        <f>IFERROR(20.47*(1-w),"")</f>
        <v/>
      </c>
      <c r="D30" s="13">
        <v>20.47</v>
      </c>
      <c r="E30" s="13">
        <v>20.973360655737704</v>
      </c>
      <c r="F30" s="13"/>
      <c r="G30" s="13"/>
      <c r="I30" s="5"/>
    </row>
    <row r="31">
      <c r="I31" s="5"/>
    </row>
    <row r="32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https://phyllis.nl/Biomass/View/3115</dc:description>
  <dcterms:created xsi:type="dcterms:W3CDTF">2026-03-19T07:32:24Z</dcterms:created>
  <dc:title>Phyllis2 #3115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