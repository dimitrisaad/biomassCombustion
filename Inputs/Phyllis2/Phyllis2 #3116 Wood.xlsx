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16 Wood" sheetId="1" r:id="rId1"/>
  </sheets>
  <definedNames>
    <definedName name="w" localSheetId="0">IF(ISBLANK('Phyllis2 #3116 Wood'!$C$20),#N/A,'Phyllis2 #3116 Wood'!$C$20/100)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<sst xmlns="http://schemas.openxmlformats.org/spreadsheetml/2006/main" count="54" uniqueCount="54">
  <si>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</si>
  <si>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https://phyllis.nl/Biomass/View/3116</t>
  </si>
  <si>
    <t>Wood (#3116)</t>
  </si>
  <si>
    <t>ID-number</t>
  </si>
  <si>
    <t>#3116</t>
  </si>
  <si>
    <t>Material</t>
  </si>
  <si>
    <t>Wood</t>
  </si>
  <si>
    <t>Alternative name</t>
  </si>
  <si>
    <t>Sawdust</t>
  </si>
  <si>
    <t>Classification</t>
  </si>
  <si>
    <t>CEN/TS 14961 classification &gt; Solid biofuels &gt; Woody biomass &gt; Wood processing industry</t>
  </si>
  <si>
    <t>ECN Phyllis classification &gt; untreated wood</t>
  </si>
  <si>
    <t>NTA 8003 classification &gt; [100] hout &gt; [110] vers hout &gt; [119] overig vers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</si>
  <si>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</si>
  <si>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</si>
  <si>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</si>
  <si>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</si>
  <si>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</si>
  <si>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</si>
  <si>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</si>
  <si>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</si>
  <si>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</si>
  <si>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</si>
  <si>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</si>
  <si>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</si>
  <si>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</si>
  <si>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</si>
  <si>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</si>
  <si>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</si>
  <si>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</si>
  <si>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</si>
  <si>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</si>
  <si>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</si>
  <si>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</si>
  <si>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</si>
  <si>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</si>
  <si>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</si>
  <si>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</si>
  <si>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</si>
  <si>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</si>
  <si>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</si>
  <si>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</si>
  <si>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</si>
  <si>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</si>
  <si>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wt% (dry)</t>
  </si>
  <si>
    <t>&lt; 0.02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</si>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</sst>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39630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IFERROR(0.2*(1-w),"")</f>
        <v/>
      </c>
      <c r="D21" s="13">
        <v>0.2</v>
      </c>
      <c r="E21" s="13">
        <v/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36</v>
      </c>
      <c r="C23" s="13">
        <f>IFERROR(50.2*(1-w),"")</f>
        <v/>
      </c>
      <c r="D23" s="13">
        <v>50.2</v>
      </c>
      <c r="E23" s="13">
        <v>50.300601202404813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36</v>
      </c>
      <c r="C24" s="13">
        <f>IFERROR(6.3*(1-w),"")</f>
        <v/>
      </c>
      <c r="D24" s="13">
        <v>6.3</v>
      </c>
      <c r="E24" s="13">
        <v>6.3126252505010019</v>
      </c>
      <c r="F24" s="13"/>
      <c r="G24" s="13"/>
      <c r="I24" s="5"/>
      <c r="J24" s="0" t="s">
        <v>40</v>
      </c>
    </row>
    <row r="25" outlineLevel="2">
      <c r="A25" s="12" t="s">
        <v>42</v>
      </c>
      <c r="B25" s="0" t="s">
        <v>36</v>
      </c>
      <c r="C25" s="13">
        <f>IFERROR(0.14*(1-w),"")</f>
        <v/>
      </c>
      <c r="D25" s="13">
        <v>0.14</v>
      </c>
      <c r="E25" s="13">
        <v>0.14028056112224449</v>
      </c>
      <c r="F25" s="13"/>
      <c r="G25" s="13"/>
      <c r="I25" s="5"/>
      <c r="J25" s="0" t="s">
        <v>40</v>
      </c>
    </row>
    <row r="26" outlineLevel="2">
      <c r="A26" s="12" t="s">
        <v>43</v>
      </c>
      <c r="B26" s="0" t="s">
        <v>44</v>
      </c>
      <c r="C26" s="13" t="s">
        <v>45</v>
      </c>
      <c r="D26" s="13"/>
      <c r="E26" s="13"/>
      <c r="F26" s="13"/>
      <c r="G26" s="13"/>
      <c r="I26" s="5"/>
      <c r="J26" s="0" t="s">
        <v>46</v>
      </c>
    </row>
    <row r="27" outlineLevel="2">
      <c r="A27" s="12" t="s">
        <v>47</v>
      </c>
      <c r="B27" s="0" t="s">
        <v>36</v>
      </c>
      <c r="C27" s="13">
        <f>IFERROR(56.84*(1-w)+w*100,"")</f>
        <v/>
      </c>
      <c r="D27" s="13">
        <v>56.84</v>
      </c>
      <c r="E27" s="13">
        <v>56.75350701402806</v>
      </c>
      <c r="F27" s="13"/>
      <c r="G27" s="13"/>
      <c r="I27" s="5"/>
      <c r="J27" s="0" t="s">
        <v>48</v>
      </c>
    </row>
    <row r="28" outlineLevel="1">
      <c r="A28" s="11" t="s">
        <v>49</v>
      </c>
      <c r="I28" s="5"/>
    </row>
    <row r="29" outlineLevel="2">
      <c r="A29" s="12" t="s">
        <v>50</v>
      </c>
      <c r="B29" s="0" t="s">
        <v>51</v>
      </c>
      <c r="C29" s="13">
        <f>IFERROR(18.85*(1-w)-w*2.443,"")</f>
        <v/>
      </c>
      <c r="D29" s="13">
        <v>18.85</v>
      </c>
      <c r="E29" s="13">
        <v>18.887775551102205</v>
      </c>
      <c r="F29" s="13"/>
      <c r="G29" s="13"/>
      <c r="I29" s="5"/>
      <c r="J29" s="0" t="s">
        <v>52</v>
      </c>
    </row>
    <row r="30" outlineLevel="2">
      <c r="A30" s="12" t="s">
        <v>53</v>
      </c>
      <c r="B30" s="0" t="s">
        <v>51</v>
      </c>
      <c r="C30" s="13">
        <f>IFERROR(20.22*(1-w),"")</f>
        <v/>
      </c>
      <c r="D30" s="13">
        <v>20.22</v>
      </c>
      <c r="E30" s="13">
        <v>20.260521042084168</v>
      </c>
      <c r="F30" s="13"/>
      <c r="G30" s="13"/>
      <c r="I30" s="5"/>
    </row>
    <row r="31">
      <c r="I31" s="5"/>
    </row>
    <row r="32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26:E26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https://phyllis.nl/Biomass/View/3116</dc:description>
  <dcterms:created xsi:type="dcterms:W3CDTF">2026-03-19T07:32:27Z</dcterms:created>
  <dc:title>Phyllis2 #3116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