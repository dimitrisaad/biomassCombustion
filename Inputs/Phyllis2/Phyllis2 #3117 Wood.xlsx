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17 Wood" sheetId="1" r:id="rId1"/>
  </sheets>
  <definedNames>
    <definedName name="w" localSheetId="0">IF(ISBLANK('Phyllis2 #3117 Wood'!$C$20),#N/A,'Phyllis2 #3117 Wood'!$C$20/100)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<sst xmlns="http://schemas.openxmlformats.org/spreadsheetml/2006/main" count="52" uniqueCount="52">
  <si>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</si>
  <si>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https://phyllis.nl/Biomass/View/3117</t>
  </si>
  <si>
    <t>Wood (#3117)</t>
  </si>
  <si>
    <t>ID-number</t>
  </si>
  <si>
    <t>#3117</t>
  </si>
  <si>
    <t>Material</t>
  </si>
  <si>
    <t>Wood</t>
  </si>
  <si>
    <t>Description</t>
  </si>
  <si>
    <t>Crushed wood</t>
  </si>
  <si>
    <t>Classification</t>
  </si>
  <si>
    <t>CEN/TS 14961 classification &gt; Solid biofuels &gt; Woody biomass &gt; Used wood</t>
  </si>
  <si>
    <t>ECN Phyllis classification &gt; treated wood</t>
  </si>
  <si>
    <t>NTA 8003 classification &gt; [100] hout &gt; [110] vers hout &gt; [119] overig vers hout</t>
  </si>
  <si>
    <t>Country</t>
  </si>
  <si>
    <t>Finland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</si>
  <si>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</si>
  <si>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</si>
  <si>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</si>
  <si>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</si>
  <si>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</si>
  <si>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</si>
  <si>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</si>
  <si>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</si>
  <si>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</si>
  <si>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</si>
  <si>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</si>
  <si>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</si>
  <si>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</si>
  <si>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</si>
  <si>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</si>
  <si>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</si>
  <si>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</si>
  <si>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</si>
  <si>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</si>
  <si>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</si>
  <si>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815°C</t>
  </si>
  <si>
    <t>wt%</t>
  </si>
  <si>
    <t>ISO 1171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</si>
  <si>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</si>
  <si>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</si>
  <si>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</si>
  <si>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</si>
  <si>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</si>
  <si>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</si>
  <si>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</si>
  <si>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</si>
  <si>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Calculated</t>
  </si>
  <si>
    <t>Heating value</t>
  </si>
  <si>
    <t>Net calorific value (LHV)</t>
  </si>
  <si>
    <t>MJ/kg</t>
  </si>
  <si>
    <t>CEN/TS 14918</t>
  </si>
  <si>
    <t>Gross calorific value (HHV)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</si>
</sst>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1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6">
        <v>39630</v>
      </c>
    </row>
    <row r="13" outlineLevel="1">
      <c r="A13" s="7" t="s">
        <v>16</v>
      </c>
      <c r="B13" s="0" t="s">
        <v>17</v>
      </c>
    </row>
    <row r="14">
      <c r="A14" s="7"/>
    </row>
    <row r="15" s="1" customFormat="1">
      <c r="A15" s="9" t="s">
        <v>18</v>
      </c>
    </row>
    <row r="16" s="1" customFormat="1">
      <c r="A16" s="10" t="s">
        <v>19</v>
      </c>
      <c r="B16" s="10" t="s">
        <v>20</v>
      </c>
      <c r="C16" s="10" t="s">
        <v>21</v>
      </c>
      <c r="D16" s="10"/>
      <c r="E16" s="10"/>
      <c r="F16" s="10" t="s">
        <v>22</v>
      </c>
      <c r="G16" s="10" t="s">
        <v>23</v>
      </c>
      <c r="H16" s="10" t="s">
        <v>24</v>
      </c>
      <c r="I16" s="10" t="s">
        <v>25</v>
      </c>
      <c r="J16" s="10" t="s">
        <v>26</v>
      </c>
      <c r="K16" s="10" t="s">
        <v>27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/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36</v>
      </c>
      <c r="C21" s="13">
        <f>IFERROR(1.7*(1-w),"")</f>
        <v/>
      </c>
      <c r="D21" s="13">
        <v>1.7</v>
      </c>
      <c r="E21" s="13">
        <v/>
      </c>
      <c r="F21" s="13"/>
      <c r="G21" s="13"/>
      <c r="I21" s="5"/>
      <c r="J21" s="0" t="s">
        <v>37</v>
      </c>
    </row>
    <row r="22" outlineLevel="1">
      <c r="A22" s="11" t="s">
        <v>38</v>
      </c>
      <c r="I22" s="5"/>
    </row>
    <row r="23" outlineLevel="2">
      <c r="A23" s="12" t="s">
        <v>39</v>
      </c>
      <c r="B23" s="0" t="s">
        <v>36</v>
      </c>
      <c r="C23" s="13">
        <f>IFERROR(49.4*(1-w),"")</f>
        <v/>
      </c>
      <c r="D23" s="13">
        <v>49.4</v>
      </c>
      <c r="E23" s="13">
        <v>50.254323499491349</v>
      </c>
      <c r="F23" s="13"/>
      <c r="G23" s="13"/>
      <c r="I23" s="5"/>
      <c r="J23" s="0" t="s">
        <v>40</v>
      </c>
    </row>
    <row r="24" outlineLevel="2">
      <c r="A24" s="12" t="s">
        <v>41</v>
      </c>
      <c r="B24" s="0" t="s">
        <v>36</v>
      </c>
      <c r="C24" s="13">
        <f>IFERROR(6.2*(1-w),"")</f>
        <v/>
      </c>
      <c r="D24" s="13">
        <v>6.2</v>
      </c>
      <c r="E24" s="13">
        <v>6.3072227873855544</v>
      </c>
      <c r="F24" s="13"/>
      <c r="G24" s="13"/>
      <c r="I24" s="5"/>
      <c r="J24" s="0" t="s">
        <v>40</v>
      </c>
    </row>
    <row r="25" outlineLevel="2">
      <c r="A25" s="12" t="s">
        <v>42</v>
      </c>
      <c r="B25" s="0" t="s">
        <v>36</v>
      </c>
      <c r="C25" s="13">
        <f>IFERROR(0.64*(1-w),"")</f>
        <v/>
      </c>
      <c r="D25" s="13">
        <v>0.64</v>
      </c>
      <c r="E25" s="13">
        <v>0.65106815869786372</v>
      </c>
      <c r="F25" s="13"/>
      <c r="G25" s="13"/>
      <c r="I25" s="5"/>
      <c r="J25" s="0" t="s">
        <v>40</v>
      </c>
    </row>
    <row r="26" outlineLevel="2">
      <c r="A26" s="12" t="s">
        <v>43</v>
      </c>
      <c r="B26" s="0" t="s">
        <v>36</v>
      </c>
      <c r="C26" s="13">
        <f>IFERROR(0.03*(1-w),"")</f>
        <v/>
      </c>
      <c r="D26" s="13">
        <v>0.03</v>
      </c>
      <c r="E26" s="13">
        <v>0.030518819938962358</v>
      </c>
      <c r="F26" s="13"/>
      <c r="G26" s="13"/>
      <c r="I26" s="5"/>
      <c r="J26" s="0" t="s">
        <v>44</v>
      </c>
    </row>
    <row r="27" outlineLevel="2">
      <c r="A27" s="12" t="s">
        <v>45</v>
      </c>
      <c r="B27" s="0" t="s">
        <v>36</v>
      </c>
      <c r="C27" s="13">
        <f>IFERROR(57.97*(1-w)+w*100,"")</f>
        <v/>
      </c>
      <c r="D27" s="13">
        <v>57.970000000000006</v>
      </c>
      <c r="E27" s="13">
        <v>57.243133265513741</v>
      </c>
      <c r="F27" s="13"/>
      <c r="G27" s="13"/>
      <c r="I27" s="5"/>
      <c r="J27" s="0" t="s">
        <v>46</v>
      </c>
    </row>
    <row r="28" outlineLevel="1">
      <c r="A28" s="11" t="s">
        <v>47</v>
      </c>
      <c r="I28" s="5"/>
    </row>
    <row r="29" outlineLevel="2">
      <c r="A29" s="12" t="s">
        <v>48</v>
      </c>
      <c r="B29" s="0" t="s">
        <v>49</v>
      </c>
      <c r="C29" s="13">
        <f>IFERROR(18.57*(1-w)-w*2.443,"")</f>
        <v/>
      </c>
      <c r="D29" s="13">
        <v>18.57</v>
      </c>
      <c r="E29" s="13">
        <v>18.8911495422177</v>
      </c>
      <c r="F29" s="13"/>
      <c r="G29" s="13"/>
      <c r="I29" s="5"/>
      <c r="J29" s="0" t="s">
        <v>50</v>
      </c>
    </row>
    <row r="30" outlineLevel="2">
      <c r="A30" s="12" t="s">
        <v>51</v>
      </c>
      <c r="B30" s="0" t="s">
        <v>49</v>
      </c>
      <c r="C30" s="13">
        <f>IFERROR(19.92*(1-w),"")</f>
        <v/>
      </c>
      <c r="D30" s="13">
        <v>19.92</v>
      </c>
      <c r="E30" s="13">
        <v>20.26449643947101</v>
      </c>
      <c r="F30" s="13"/>
      <c r="G30" s="13"/>
      <c r="I30" s="5"/>
    </row>
    <row r="31">
      <c r="I31" s="5"/>
    </row>
    <row r="32" s="1" customFormat="1"/>
  </sheetData>
  <mergeCells>
    <mergeCell ref="A8:A10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https://phyllis.nl/Biomass/View/3117</dc:description>
  <dcterms:created xsi:type="dcterms:W3CDTF">2026-03-19T04:12:42Z</dcterms:created>
  <dc:title>Phyllis2 #3117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