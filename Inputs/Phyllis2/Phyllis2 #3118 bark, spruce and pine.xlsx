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3118 bark, spruce and" sheetId="1" r:id="rId1"/>
  </sheets>
  <definedNames>
    <definedName name="w" localSheetId="0">IF(ISBLANK('Phyllis2 #3118 bark, spruce and'!$C$20),#N/A,'Phyllis2 #3118 bark, spruce and'!$C$20/100)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7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7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7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<sst xmlns="http://schemas.openxmlformats.org/spreadsheetml/2006/main" count="52" uniqueCount="52">
  <si>
    <t>Phyllis2</t>
  </si>
  <si>
    <t>https://phyllis.nl/Biomass/View/3118</t>
  </si>
  <si>
    <t>bark, spruce and pine (#3118)</t>
  </si>
  <si>
    <t>ID-number</t>
  </si>
  <si>
    <t>#3118</t>
  </si>
  <si>
    <t>Material</t>
  </si>
  <si>
    <t>bark, spruce and pine</t>
  </si>
  <si>
    <t>Description</t>
  </si>
  <si>
    <t>Mixed bark (pine, spruce)</t>
  </si>
  <si>
    <t>Classification</t>
  </si>
  <si>
    <t>CEN/TS 14961 classification &gt; Solid biofuels &gt; Woody biomass &gt; Forest and plantation wood &gt; Bark</t>
  </si>
  <si>
    <t>ECN Phyllis classification &gt; untreated wood &gt; bark &gt; bark</t>
  </si>
  <si>
    <t>NTA 8003 classification &gt; [100] hout &gt; [110] vers hout &gt; [112] schors</t>
  </si>
  <si>
    <t>Country</t>
  </si>
  <si>
    <t>Finland</t>
  </si>
  <si>
    <t>Production date</t>
  </si>
  <si>
    <t>Submitter organisation</t>
  </si>
  <si>
    <t>ECN (Netherlands)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</si>
  <si>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</si>
  <si>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</si>
  <si>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</si>
  <si>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</si>
  <si>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</si>
  <si>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</si>
  <si>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</si>
  <si>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</si>
  <si>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</si>
  <si>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Remarks</t>
  </si>
  <si>
    <t>ar</t>
  </si>
  <si>
    <t>dry</t>
  </si>
  <si>
    <t>daf</t>
  </si>
  <si>
    <t>Main biomass properties</t>
  </si>
  <si>
    <t>Proximate analysis</t>
  </si>
  <si>
    <t>Moisture content</t>
  </si>
  <si>
    <t>wt% (ar)</t>
  </si>
  <si>
    <t>Ash content at 815°C</t>
  </si>
  <si>
    <t>wt%</t>
  </si>
  <si>
    <t>ISO 1171</t>
  </si>
  <si>
    <t>Ultimate analysis (macroelements)</t>
  </si>
  <si>
    <t>Carbon</t>
  </si>
  <si>
    <t>CEN/TS 15104</t>
  </si>
  <si>
    <t>Hydrogen</t>
  </si>
  <si>
    <t>Nitrogen</t>
  </si>
  <si>
    <t>Sulphur</t>
  </si>
  <si>
    <t>CEN/TS15289</t>
  </si>
  <si>
    <t>Total (with halides)</t>
  </si>
  <si>
    <t>Calculated</t>
  </si>
  <si>
    <t>Heating value</t>
  </si>
  <si>
    <t>Net calorific value (LHV)</t>
  </si>
  <si>
    <t>MJ/kg</t>
  </si>
  <si>
    <t>CEN/TS 14918</t>
  </si>
  <si>
    <t>Gross calorific value (HHV)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</si>
</sst>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#,0.00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4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164" applyNumberFormat="1" fontId="0" applyFont="1" xfId="0"/>
    <xf numFmtId="164" applyNumberFormat="1" fontId="0" applyFont="1" xfId="0">
      <alignment horizontal="left"/>
    </xf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5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3118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31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3.8439645767212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7" t="s">
        <v>3</v>
      </c>
      <c r="B5" s="0" t="s">
        <v>4</v>
      </c>
    </row>
    <row r="6" outlineLevel="1">
      <c r="A6" s="7" t="s">
        <v>5</v>
      </c>
      <c r="B6" s="0" t="s">
        <v>6</v>
      </c>
    </row>
    <row r="7" outlineLevel="1">
      <c r="A7" s="7" t="s">
        <v>7</v>
      </c>
      <c r="B7" s="0" t="s">
        <v>8</v>
      </c>
    </row>
    <row r="8" outlineLevel="1">
      <c r="A8" s="8" t="s">
        <v>9</v>
      </c>
      <c r="B8" s="0" t="s">
        <v>10</v>
      </c>
    </row>
    <row r="9" outlineLevel="1">
      <c r="A9" s="8"/>
      <c r="B9" s="0" t="s">
        <v>11</v>
      </c>
    </row>
    <row r="10" outlineLevel="1">
      <c r="A10" s="8"/>
      <c r="B10" s="0" t="s">
        <v>12</v>
      </c>
    </row>
    <row r="11" outlineLevel="1">
      <c r="A11" s="7" t="s">
        <v>13</v>
      </c>
      <c r="B11" s="0" t="s">
        <v>14</v>
      </c>
    </row>
    <row r="12" outlineLevel="1">
      <c r="A12" s="7" t="s">
        <v>15</v>
      </c>
      <c r="B12" s="6">
        <v>39522</v>
      </c>
    </row>
    <row r="13" outlineLevel="1">
      <c r="A13" s="7" t="s">
        <v>16</v>
      </c>
      <c r="B13" s="0" t="s">
        <v>17</v>
      </c>
    </row>
    <row r="14">
      <c r="A14" s="7"/>
    </row>
    <row r="15" s="1" customFormat="1">
      <c r="A15" s="9" t="s">
        <v>18</v>
      </c>
    </row>
    <row r="16" s="1" customFormat="1">
      <c r="A16" s="10" t="s">
        <v>19</v>
      </c>
      <c r="B16" s="10" t="s">
        <v>20</v>
      </c>
      <c r="C16" s="10" t="s">
        <v>21</v>
      </c>
      <c r="D16" s="10"/>
      <c r="E16" s="10"/>
      <c r="F16" s="10" t="s">
        <v>22</v>
      </c>
      <c r="G16" s="10" t="s">
        <v>23</v>
      </c>
      <c r="H16" s="10" t="s">
        <v>24</v>
      </c>
      <c r="I16" s="10" t="s">
        <v>25</v>
      </c>
      <c r="J16" s="10" t="s">
        <v>26</v>
      </c>
      <c r="K16" s="10" t="s">
        <v>27</v>
      </c>
      <c r="L16" s="10"/>
    </row>
    <row r="17" s="1" customFormat="1">
      <c r="A17" s="10"/>
      <c r="B17" s="10"/>
      <c r="C17" s="10" t="s">
        <v>28</v>
      </c>
      <c r="D17" s="10" t="s">
        <v>29</v>
      </c>
      <c r="E17" s="10" t="s">
        <v>30</v>
      </c>
      <c r="F17" s="10"/>
      <c r="G17" s="10"/>
      <c r="H17" s="10"/>
      <c r="I17" s="10"/>
      <c r="J17" s="10"/>
      <c r="K17" s="10"/>
      <c r="L17" s="10"/>
    </row>
    <row r="18">
      <c r="A18" s="7" t="s">
        <v>31</v>
      </c>
      <c r="I18" s="5"/>
    </row>
    <row r="19" outlineLevel="1">
      <c r="A19" s="11" t="s">
        <v>32</v>
      </c>
      <c r="I19" s="5"/>
    </row>
    <row r="20" outlineLevel="2">
      <c r="A20" s="12" t="s">
        <v>33</v>
      </c>
      <c r="B20" s="0" t="s">
        <v>34</v>
      </c>
      <c r="C20" s="13">
        <v/>
      </c>
      <c r="D20" s="13"/>
      <c r="E20" s="13"/>
      <c r="F20" s="13"/>
      <c r="G20" s="13"/>
      <c r="I20" s="5"/>
    </row>
    <row r="21" outlineLevel="2">
      <c r="A21" s="12" t="s">
        <v>35</v>
      </c>
      <c r="B21" s="0" t="s">
        <v>36</v>
      </c>
      <c r="C21" s="13">
        <f>IFERROR(2.8*(1-w),"")</f>
        <v/>
      </c>
      <c r="D21" s="13">
        <v>2.8</v>
      </c>
      <c r="E21" s="13">
        <v/>
      </c>
      <c r="F21" s="13"/>
      <c r="G21" s="13"/>
      <c r="I21" s="5"/>
      <c r="J21" s="0" t="s">
        <v>37</v>
      </c>
    </row>
    <row r="22" outlineLevel="1">
      <c r="A22" s="11" t="s">
        <v>38</v>
      </c>
      <c r="I22" s="5"/>
    </row>
    <row r="23" outlineLevel="2">
      <c r="A23" s="12" t="s">
        <v>39</v>
      </c>
      <c r="B23" s="0" t="s">
        <v>36</v>
      </c>
      <c r="C23" s="13">
        <f>IFERROR(50.3*(1-w),"")</f>
        <v/>
      </c>
      <c r="D23" s="13">
        <v>50.3</v>
      </c>
      <c r="E23" s="13">
        <v>51.748971193415635</v>
      </c>
      <c r="F23" s="13"/>
      <c r="G23" s="13"/>
      <c r="I23" s="5"/>
      <c r="J23" s="0" t="s">
        <v>40</v>
      </c>
    </row>
    <row r="24" outlineLevel="2">
      <c r="A24" s="12" t="s">
        <v>41</v>
      </c>
      <c r="B24" s="0" t="s">
        <v>36</v>
      </c>
      <c r="C24" s="13">
        <f>IFERROR(5.8*(1-w),"")</f>
        <v/>
      </c>
      <c r="D24" s="13">
        <v>5.8</v>
      </c>
      <c r="E24" s="13">
        <v>5.9670781893004117</v>
      </c>
      <c r="F24" s="13"/>
      <c r="G24" s="13"/>
      <c r="I24" s="5"/>
      <c r="J24" s="0" t="s">
        <v>40</v>
      </c>
    </row>
    <row r="25" outlineLevel="2">
      <c r="A25" s="12" t="s">
        <v>42</v>
      </c>
      <c r="B25" s="0" t="s">
        <v>36</v>
      </c>
      <c r="C25" s="13">
        <f>IFERROR(0.42*(1-w),"")</f>
        <v/>
      </c>
      <c r="D25" s="13">
        <v>0.42</v>
      </c>
      <c r="E25" s="13">
        <v>0.43209876543209874</v>
      </c>
      <c r="F25" s="13"/>
      <c r="G25" s="13"/>
      <c r="I25" s="5"/>
      <c r="J25" s="0" t="s">
        <v>40</v>
      </c>
    </row>
    <row r="26" outlineLevel="2">
      <c r="A26" s="12" t="s">
        <v>43</v>
      </c>
      <c r="B26" s="0" t="s">
        <v>36</v>
      </c>
      <c r="C26" s="13">
        <f>IFERROR(0.03*(1-w),"")</f>
        <v/>
      </c>
      <c r="D26" s="13">
        <v>0.03</v>
      </c>
      <c r="E26" s="13">
        <v>0.030864197530864196</v>
      </c>
      <c r="F26" s="13"/>
      <c r="G26" s="13"/>
      <c r="I26" s="5"/>
      <c r="J26" s="0" t="s">
        <v>44</v>
      </c>
    </row>
    <row r="27" outlineLevel="2">
      <c r="A27" s="12" t="s">
        <v>45</v>
      </c>
      <c r="B27" s="0" t="s">
        <v>36</v>
      </c>
      <c r="C27" s="13">
        <f>IFERROR(59.35*(1-w)+w*100,"")</f>
        <v/>
      </c>
      <c r="D27" s="13">
        <v>59.349999999999994</v>
      </c>
      <c r="E27" s="13">
        <v>58.179012345679013</v>
      </c>
      <c r="F27" s="13"/>
      <c r="G27" s="13"/>
      <c r="I27" s="5"/>
      <c r="J27" s="0" t="s">
        <v>46</v>
      </c>
    </row>
    <row r="28" outlineLevel="1">
      <c r="A28" s="11" t="s">
        <v>47</v>
      </c>
      <c r="I28" s="5"/>
    </row>
    <row r="29" outlineLevel="2">
      <c r="A29" s="12" t="s">
        <v>48</v>
      </c>
      <c r="B29" s="0" t="s">
        <v>49</v>
      </c>
      <c r="C29" s="13">
        <f>IFERROR(18.7*(1-w)-w*2.443,"")</f>
        <v/>
      </c>
      <c r="D29" s="13">
        <v>18.7</v>
      </c>
      <c r="E29" s="13">
        <v>19.238683127572017</v>
      </c>
      <c r="F29" s="13"/>
      <c r="G29" s="13"/>
      <c r="I29" s="5"/>
      <c r="J29" s="0" t="s">
        <v>50</v>
      </c>
    </row>
    <row r="30" outlineLevel="2">
      <c r="A30" s="12" t="s">
        <v>51</v>
      </c>
      <c r="B30" s="0" t="s">
        <v>49</v>
      </c>
      <c r="C30" s="13">
        <f>IFERROR(19.97*(1-w),"")</f>
        <v/>
      </c>
      <c r="D30" s="13">
        <v>19.97</v>
      </c>
      <c r="E30" s="13">
        <v>20.545267489711932</v>
      </c>
      <c r="F30" s="13"/>
      <c r="G30" s="13"/>
      <c r="I30" s="5"/>
    </row>
    <row r="31">
      <c r="I31" s="5"/>
    </row>
    <row r="32" s="1" customFormat="1"/>
  </sheetData>
  <mergeCells>
    <mergeCell ref="A8:A10"/>
    <mergeCell ref="C16:E16"/>
    <mergeCell ref="A16:A17"/>
    <mergeCell ref="B16:B17"/>
    <mergeCell ref="F16:F17"/>
    <mergeCell ref="G16:G17"/>
    <mergeCell ref="H16:H17"/>
    <mergeCell ref="I16:I17"/>
    <mergeCell ref="J16:J17"/>
    <mergeCell ref="K16:K17"/>
  </mergeCells>
  <dataValidations count="1">
    <dataValidation type="decimal" sqref="C20" errorStyle="stop" promptTitle="Enter moisture content" errorTitle="Invalid moisture content" prompt="Value should be between 0 and 100.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https://phyllis.nl/Biomass/View/3118</dc:description>
  <dcterms:created xsi:type="dcterms:W3CDTF">2026-03-19T04:15:03Z</dcterms:created>
  <dc:title>Phyllis2 #3118 bark, spruce and pine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