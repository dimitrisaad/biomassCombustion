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9 Wood, stumps" sheetId="1" r:id="rId1"/>
  </sheets>
  <definedNames>
    <definedName name="w" localSheetId="0">IF(ISBLANK('Phyllis2 #3119 Wood, stumps'!$C$20),#N/A,'Phyllis2 #3119 Wood, stumps'!$C$20/100)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<sst xmlns="http://schemas.openxmlformats.org/spreadsheetml/2006/main" count="52" uniqueCount="52">
  <si>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</si>
  <si>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https://phyllis.nl/Biomass/View/3119</t>
  </si>
  <si>
    <t>Wood, stumps (#3119)</t>
  </si>
  <si>
    <t>ID-number</t>
  </si>
  <si>
    <t>#3119</t>
  </si>
  <si>
    <t>Material</t>
  </si>
  <si>
    <t>Wood, stumps</t>
  </si>
  <si>
    <t>Description</t>
  </si>
  <si>
    <t>Crushed stumps</t>
  </si>
  <si>
    <t>Classification</t>
  </si>
  <si>
    <t>CEN/TS 14961 classification &gt; Solid biofuels &gt; Woody biomass &gt; Forest and plantation wood &gt; Stumps roots</t>
  </si>
  <si>
    <t>ECN Phyllis classification &gt; untreated wood</t>
  </si>
  <si>
    <t>NTA 8003 classification &gt; [100] hout &gt; [110] vers hout &gt; [130] naaldhout &gt; [131] naaldhout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</si>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</sst>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39522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IFERROR(12.1*(1-w),"")</f>
        <v/>
      </c>
      <c r="D21" s="13">
        <v>12.1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IFERROR(45.4*(1-w),"")</f>
        <v/>
      </c>
      <c r="D23" s="13">
        <v>45.4</v>
      </c>
      <c r="E23" s="13">
        <v>51.649601820250282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IFERROR(5.4*(1-w),"")</f>
        <v/>
      </c>
      <c r="D24" s="13">
        <v>5.4</v>
      </c>
      <c r="E24" s="13">
        <v>6.1433447098976117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IFERROR(0.23*(1-w),"")</f>
        <v/>
      </c>
      <c r="D25" s="13">
        <v>0.23</v>
      </c>
      <c r="E25" s="13">
        <v>0.2616609783845279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36</v>
      </c>
      <c r="C26" s="13">
        <f>IFERROR(0.02*(1-w),"")</f>
        <v/>
      </c>
      <c r="D26" s="13">
        <v>0.02</v>
      </c>
      <c r="E26" s="13">
        <v>0.022753128555176336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36</v>
      </c>
      <c r="C27" s="13">
        <f>IFERROR(63.15*(1-w)+w*100,"")</f>
        <v/>
      </c>
      <c r="D27" s="13">
        <v>63.15</v>
      </c>
      <c r="E27" s="13">
        <v>58.077360637087594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IFERROR(17.12*(1-w)-w*2.443,"")</f>
        <v/>
      </c>
      <c r="D29" s="13">
        <v>17.12</v>
      </c>
      <c r="E29" s="13">
        <v>19.476678043230944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IFERROR(18.29*(1-w),"")</f>
        <v/>
      </c>
      <c r="D30" s="13">
        <v>18.29</v>
      </c>
      <c r="E30" s="13">
        <v>20.807736063708759</v>
      </c>
      <c r="F30" s="13"/>
      <c r="G30" s="13"/>
      <c r="I30" s="5"/>
    </row>
    <row r="31">
      <c r="I31" s="5"/>
    </row>
    <row r="32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https://phyllis.nl/Biomass/View/3119</dc:description>
  <dcterms:created xsi:type="dcterms:W3CDTF">2026-03-19T07:33:40Z</dcterms:created>
  <dc:title>Phyllis2 #3119 Wood, stumps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