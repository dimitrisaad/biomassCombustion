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20 Eucalyptus" sheetId="1" r:id="rId1"/>
  </sheets>
  <definedNames>
    <definedName name="w" localSheetId="0">IF(ISBLANK('Phyllis2 #3120 Eucalyptus'!$C$19),#N/A,'Phyllis2 #3120 Eucalyptus'!$C$19/100)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<sst xmlns="http://schemas.openxmlformats.org/spreadsheetml/2006/main" count="52" uniqueCount="52">
  <si>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</si>
  <si>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https://phyllis.nl/Biomass/View/3120</t>
  </si>
  <si>
    <t>Eucalyptus (#3120)</t>
  </si>
  <si>
    <t>ID-number</t>
  </si>
  <si>
    <t>#3120</t>
  </si>
  <si>
    <t>Material</t>
  </si>
  <si>
    <t>Eucalyptus</t>
  </si>
  <si>
    <t>Classification</t>
  </si>
  <si>
    <t>CEN/TS 14961 classification &gt; Solid biofuels &gt; Woody biomass &gt; Forest and plantation wood</t>
  </si>
  <si>
    <t>ECN Phyllis classification &gt; untreated wood &gt; other hard wood &gt; wood, eucalyptus</t>
  </si>
  <si>
    <t>NTA 8003 classification &gt; [100] hout &gt; [110] vers hout &gt; [120] loofhout &gt; [125] hard loofhout</t>
  </si>
  <si>
    <t>Country</t>
  </si>
  <si>
    <t>Portugal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</si>
  <si>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</si>
  <si>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</si>
  <si>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</si>
  <si>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</si>
  <si>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</si>
  <si>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</si>
  <si>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</si>
  <si>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</si>
  <si>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</si>
  <si>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</si>
  <si>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</si>
  <si>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</si>
  <si>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</si>
  <si>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</si>
  <si>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</si>
  <si>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</si>
  <si>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</si>
  <si>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</si>
  <si>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</si>
  <si>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</si>
  <si>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</si>
  <si>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</si>
  <si>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</si>
  <si>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</si>
  <si>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</si>
  <si>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</si>
  <si>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</si>
  <si>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</si>
  <si>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</si>
  <si>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</si>
  <si>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</si>
  <si>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</si>
  <si>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</si>
  <si>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</si>
  <si>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</si>
  <si>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Net calorific value (LHV)</t>
  </si>
  <si>
    <t>MJ/kg</t>
  </si>
  <si>
    <t>CEN/TS 14918</t>
  </si>
  <si>
    <t>Gross calorific value (HHV)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</si>
</sst>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2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39062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9.8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IFERROR(0.8*(1-w),"")</f>
        <v>0.7216</v>
      </c>
      <c r="D20" s="13">
        <v>0.8</v>
      </c>
      <c r="E20" s="13">
        <v/>
      </c>
      <c r="F20" s="13"/>
      <c r="G20" s="13"/>
      <c r="I20" s="5"/>
      <c r="J20" s="0" t="s">
        <v>35</v>
      </c>
    </row>
    <row r="21" outlineLevel="2">
      <c r="A21" s="12" t="s">
        <v>36</v>
      </c>
      <c r="B21" s="0" t="s">
        <v>32</v>
      </c>
      <c r="C21" s="13">
        <f>IFERROR(86*(1-w),"")</f>
        <v>77.572</v>
      </c>
      <c r="D21" s="13">
        <v>86</v>
      </c>
      <c r="E21" s="13">
        <v>86.693548387096769</v>
      </c>
      <c r="F21" s="13"/>
      <c r="G21" s="13"/>
      <c r="I21" s="5"/>
    </row>
    <row r="22" outlineLevel="2">
      <c r="A22" s="12" t="s">
        <v>37</v>
      </c>
      <c r="B22" s="0" t="s">
        <v>32</v>
      </c>
      <c r="C22" s="13">
        <f>IFERROR(13.2*(1-w),"")</f>
        <v>11.906400000000003</v>
      </c>
      <c r="D22" s="13">
        <v>13.200000000000003</v>
      </c>
      <c r="E22" s="13">
        <v>13.30645161290323</v>
      </c>
      <c r="F22" s="13"/>
      <c r="G22" s="13"/>
      <c r="I22" s="5"/>
      <c r="J22" s="0" t="s">
        <v>38</v>
      </c>
    </row>
    <row r="23" outlineLevel="1">
      <c r="A23" s="11" t="s">
        <v>39</v>
      </c>
      <c r="I23" s="5"/>
    </row>
    <row r="24" outlineLevel="2">
      <c r="A24" s="12" t="s">
        <v>40</v>
      </c>
      <c r="B24" s="0" t="s">
        <v>32</v>
      </c>
      <c r="C24" s="13">
        <f>IFERROR(48.8*(1-w),"")</f>
        <v>44.0176</v>
      </c>
      <c r="D24" s="13">
        <v>48.8</v>
      </c>
      <c r="E24" s="13">
        <v>49.193548387096769</v>
      </c>
      <c r="F24" s="13"/>
      <c r="G24" s="13"/>
      <c r="I24" s="5"/>
      <c r="J24" s="0" t="s">
        <v>41</v>
      </c>
    </row>
    <row r="25" outlineLevel="2">
      <c r="A25" s="12" t="s">
        <v>42</v>
      </c>
      <c r="B25" s="0" t="s">
        <v>32</v>
      </c>
      <c r="C25" s="13">
        <f>IFERROR(6*(1-w),"")</f>
        <v>5.412</v>
      </c>
      <c r="D25" s="13">
        <v>6</v>
      </c>
      <c r="E25" s="13">
        <v>6.0483870967741939</v>
      </c>
      <c r="F25" s="13"/>
      <c r="G25" s="13"/>
      <c r="I25" s="5"/>
      <c r="J25" s="0" t="s">
        <v>41</v>
      </c>
    </row>
    <row r="26" outlineLevel="2">
      <c r="A26" s="12" t="s">
        <v>43</v>
      </c>
      <c r="B26" s="0" t="s">
        <v>32</v>
      </c>
      <c r="C26" s="13">
        <f>IFERROR(0.17*(1-w),"")</f>
        <v>0.15334</v>
      </c>
      <c r="D26" s="13">
        <v>0.17</v>
      </c>
      <c r="E26" s="13">
        <v>0.1713709677419355</v>
      </c>
      <c r="F26" s="13"/>
      <c r="G26" s="13"/>
      <c r="I26" s="5"/>
      <c r="J26" s="0" t="s">
        <v>41</v>
      </c>
    </row>
    <row r="27" outlineLevel="2">
      <c r="A27" s="12" t="s">
        <v>44</v>
      </c>
      <c r="B27" s="0" t="s">
        <v>32</v>
      </c>
      <c r="C27" s="13">
        <f>IFERROR(0.02*(1-w),"")</f>
        <v>0.01804</v>
      </c>
      <c r="D27" s="13">
        <v>0.02</v>
      </c>
      <c r="E27" s="13">
        <v>0.020161290322580645</v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32</v>
      </c>
      <c r="C28" s="13">
        <f>IFERROR(55.79*(1-w)+w*100,"")</f>
        <v>60.12258</v>
      </c>
      <c r="D28" s="13">
        <v>55.79</v>
      </c>
      <c r="E28" s="13">
        <v>55.433467741935488</v>
      </c>
      <c r="F28" s="13"/>
      <c r="G28" s="13"/>
      <c r="I28" s="5"/>
      <c r="J28" s="0" t="s">
        <v>38</v>
      </c>
    </row>
    <row r="29" outlineLevel="1">
      <c r="A29" s="11" t="s">
        <v>47</v>
      </c>
      <c r="I29" s="5"/>
    </row>
    <row r="30" outlineLevel="2">
      <c r="A30" s="12" t="s">
        <v>48</v>
      </c>
      <c r="B30" s="0" t="s">
        <v>49</v>
      </c>
      <c r="C30" s="13">
        <f>IFERROR(18.31*(1-w)-w*2.443,"")</f>
        <v>16.276206</v>
      </c>
      <c r="D30" s="13">
        <v>18.31</v>
      </c>
      <c r="E30" s="13">
        <v>18.45766129032258</v>
      </c>
      <c r="F30" s="13"/>
      <c r="G30" s="13"/>
      <c r="I30" s="5"/>
      <c r="J30" s="0" t="s">
        <v>50</v>
      </c>
    </row>
    <row r="31" outlineLevel="2">
      <c r="A31" s="12" t="s">
        <v>51</v>
      </c>
      <c r="B31" s="0" t="s">
        <v>49</v>
      </c>
      <c r="C31" s="13">
        <f>IFERROR(19.62*(1-w),"")</f>
        <v>17.69724</v>
      </c>
      <c r="D31" s="13">
        <v>19.62</v>
      </c>
      <c r="E31" s="13">
        <v>19.778225806451616</v>
      </c>
      <c r="F31" s="13"/>
      <c r="G31" s="13"/>
      <c r="I31" s="5"/>
    </row>
    <row r="32">
      <c r="I32" s="5"/>
    </row>
    <row r="33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&#10;Original value: 9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https://phyllis.nl/Biomass/View/3120</dc:description>
  <dcterms:created xsi:type="dcterms:W3CDTF">2026-03-19T07:13:47Z</dcterms:created>
  <dc:title>Phyllis2 #3120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