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21 Forest waste" sheetId="1" r:id="rId1"/>
  </sheets>
  <definedNames>
    <definedName name="w" localSheetId="0">IF(ISBLANK('Phyllis2 #3121 Forest waste'!$C$19),#N/A,'Phyllis2 #3121 Forest waste'!$C$19/100)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<sst xmlns="http://schemas.openxmlformats.org/spreadsheetml/2006/main" count="50" uniqueCount="50">
  <si>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</si>
  <si>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https://phyllis.nl/Biomass/View/3121</t>
  </si>
  <si>
    <t>Forest waste (#3121)</t>
  </si>
  <si>
    <t>ID-number</t>
  </si>
  <si>
    <t>#3121</t>
  </si>
  <si>
    <t>Material</t>
  </si>
  <si>
    <t>Forest waste</t>
  </si>
  <si>
    <t>Classification</t>
  </si>
  <si>
    <t>CEN/TS 14961 classification &gt; Solid biofuels &gt; Woody biomass &gt; Wood processing industry</t>
  </si>
  <si>
    <t>ECN Phyllis classification &gt; untreated wood</t>
  </si>
  <si>
    <t>NTA 8003 classification &gt; [100] hout &gt; [110] vers hout &gt; [114] dunningshout</t>
  </si>
  <si>
    <t>Country</t>
  </si>
  <si>
    <t>South Africa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</si>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</sst>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39315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56.8</v>
      </c>
      <c r="D19" s="13"/>
      <c r="E19" s="13"/>
      <c r="F19" s="13"/>
      <c r="G19" s="13"/>
      <c r="I19" s="5"/>
      <c r="J19" s="0" t="s">
        <v>33</v>
      </c>
    </row>
    <row r="20" outlineLevel="2">
      <c r="A20" s="12" t="s">
        <v>34</v>
      </c>
      <c r="B20" s="0" t="s">
        <v>32</v>
      </c>
      <c r="C20" s="13">
        <f>IFERROR(2.9*(1-w),"")</f>
        <v>1.2528000000000001</v>
      </c>
      <c r="D20" s="13">
        <v>2.9</v>
      </c>
      <c r="E20" s="13">
        <v/>
      </c>
      <c r="F20" s="13"/>
      <c r="G20" s="13"/>
      <c r="I20" s="5"/>
      <c r="J20" s="0" t="s">
        <v>35</v>
      </c>
    </row>
    <row r="21" outlineLevel="1">
      <c r="A21" s="11" t="s">
        <v>36</v>
      </c>
      <c r="I21" s="5"/>
    </row>
    <row r="22" outlineLevel="2">
      <c r="A22" s="12" t="s">
        <v>37</v>
      </c>
      <c r="B22" s="0" t="s">
        <v>32</v>
      </c>
      <c r="C22" s="13">
        <f>IFERROR(53.1*(1-w),"")</f>
        <v>22.939200000000003</v>
      </c>
      <c r="D22" s="13">
        <v>53.1</v>
      </c>
      <c r="E22" s="13">
        <v>54.685890834191561</v>
      </c>
      <c r="F22" s="13"/>
      <c r="G22" s="13"/>
      <c r="I22" s="5"/>
      <c r="J22" s="0" t="s">
        <v>38</v>
      </c>
    </row>
    <row r="23" outlineLevel="2">
      <c r="A23" s="12" t="s">
        <v>39</v>
      </c>
      <c r="B23" s="0" t="s">
        <v>32</v>
      </c>
      <c r="C23" s="13">
        <f>IFERROR(6.2*(1-w),"")</f>
        <v>2.6784000000000003</v>
      </c>
      <c r="D23" s="13">
        <v>6.2</v>
      </c>
      <c r="E23" s="13">
        <v>6.3851699279093719</v>
      </c>
      <c r="F23" s="13"/>
      <c r="G23" s="13"/>
      <c r="I23" s="5"/>
      <c r="J23" s="0" t="s">
        <v>38</v>
      </c>
    </row>
    <row r="24" outlineLevel="2">
      <c r="A24" s="12" t="s">
        <v>40</v>
      </c>
      <c r="B24" s="0" t="s">
        <v>32</v>
      </c>
      <c r="C24" s="13">
        <f>IFERROR(1.11*(1-w),"")</f>
        <v>0.47952000000000011</v>
      </c>
      <c r="D24" s="13">
        <v>1.11</v>
      </c>
      <c r="E24" s="13">
        <v>1.1431513903192587</v>
      </c>
      <c r="F24" s="13"/>
      <c r="G24" s="13"/>
      <c r="I24" s="5"/>
      <c r="J24" s="0" t="s">
        <v>38</v>
      </c>
    </row>
    <row r="25" outlineLevel="2">
      <c r="A25" s="12" t="s">
        <v>41</v>
      </c>
      <c r="B25" s="0" t="s">
        <v>32</v>
      </c>
      <c r="C25" s="13">
        <f>IFERROR(0.07*(1-w),"")</f>
        <v>0.030240000000000006</v>
      </c>
      <c r="D25" s="13">
        <v>0.07</v>
      </c>
      <c r="E25" s="13">
        <v>0.07209062821833162</v>
      </c>
      <c r="F25" s="13"/>
      <c r="G25" s="13"/>
      <c r="I25" s="5"/>
      <c r="J25" s="0" t="s">
        <v>42</v>
      </c>
    </row>
    <row r="26" outlineLevel="2">
      <c r="A26" s="12" t="s">
        <v>43</v>
      </c>
      <c r="B26" s="0" t="s">
        <v>32</v>
      </c>
      <c r="C26" s="13">
        <f>IFERROR(63.38*(1-w)+w*100,"")</f>
        <v>84.18016</v>
      </c>
      <c r="D26" s="13">
        <v>63.38</v>
      </c>
      <c r="E26" s="13">
        <v>62.286302780638522</v>
      </c>
      <c r="F26" s="13"/>
      <c r="G26" s="13"/>
      <c r="I26" s="5"/>
      <c r="J26" s="0" t="s">
        <v>44</v>
      </c>
    </row>
    <row r="27" outlineLevel="1">
      <c r="A27" s="11" t="s">
        <v>45</v>
      </c>
      <c r="I27" s="5"/>
    </row>
    <row r="28" outlineLevel="2">
      <c r="A28" s="12" t="s">
        <v>46</v>
      </c>
      <c r="B28" s="0" t="s">
        <v>47</v>
      </c>
      <c r="C28" s="13">
        <f>IFERROR(20.09*(1-w)-w*2.443,"")</f>
        <v>7.2912560000000015</v>
      </c>
      <c r="D28" s="13">
        <v>20.09</v>
      </c>
      <c r="E28" s="13">
        <v>20.690010298661175</v>
      </c>
      <c r="F28" s="13"/>
      <c r="G28" s="13"/>
      <c r="I28" s="5"/>
      <c r="J28" s="0" t="s">
        <v>48</v>
      </c>
    </row>
    <row r="29" outlineLevel="2">
      <c r="A29" s="12" t="s">
        <v>49</v>
      </c>
      <c r="B29" s="0" t="s">
        <v>47</v>
      </c>
      <c r="C29" s="13">
        <f>IFERROR(21.44*(1-w),"")</f>
        <v>9.262080000000001</v>
      </c>
      <c r="D29" s="13">
        <v>21.44</v>
      </c>
      <c r="E29" s="13">
        <v>22.080329557157572</v>
      </c>
      <c r="F29" s="13"/>
      <c r="G29" s="13"/>
      <c r="I29" s="5"/>
    </row>
    <row r="30">
      <c r="I30" s="5"/>
    </row>
    <row r="31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56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https://phyllis.nl/Biomass/View/3121</dc:description>
  <dcterms:created xsi:type="dcterms:W3CDTF">2026-03-19T07:31:42Z</dcterms:created>
  <dc:title>Phyllis2 #3121 Forest waste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