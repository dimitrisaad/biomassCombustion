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22 Energy willow" sheetId="1" r:id="rId1"/>
  </sheets>
  <definedNames>
    <definedName name="w" localSheetId="0">IF(ISBLANK('Phyllis2 #3122 Energy willow'!$C$19),#N/A,'Phyllis2 #3122 Energy willow'!$C$19/100)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<sst xmlns="http://schemas.openxmlformats.org/spreadsheetml/2006/main" count="50" uniqueCount="50">
  <si>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</si>
  <si>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https://phyllis.nl/Biomass/View/3122</t>
  </si>
  <si>
    <t>Energy willow (#3122)</t>
  </si>
  <si>
    <t>ID-number</t>
  </si>
  <si>
    <t>#3122</t>
  </si>
  <si>
    <t>Material</t>
  </si>
  <si>
    <t>Energy willow</t>
  </si>
  <si>
    <t>Classification</t>
  </si>
  <si>
    <t>CEN/TS 14961 classification &gt; Solid biofuels &gt; Woody biomass &gt; Forest and plantation wood</t>
  </si>
  <si>
    <t>ECN Phyllis classification &gt; untreated wood &gt; willow &gt; wood, willow</t>
  </si>
  <si>
    <t>NTA 8003 classification &gt; [100] hout &gt; [110] vers hout &gt; [120] loofhout &gt; [122] zacht loofhout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</si>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</sst>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2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39423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50.1</v>
      </c>
      <c r="D19" s="13"/>
      <c r="E19" s="13"/>
      <c r="F19" s="13"/>
      <c r="G19" s="13"/>
      <c r="I19" s="5"/>
      <c r="J19" s="0" t="s">
        <v>33</v>
      </c>
    </row>
    <row r="20" outlineLevel="2">
      <c r="A20" s="12" t="s">
        <v>34</v>
      </c>
      <c r="B20" s="0" t="s">
        <v>32</v>
      </c>
      <c r="C20" s="13">
        <f>IFERROR(1.8*(1-w),"")</f>
        <v>0.8982</v>
      </c>
      <c r="D20" s="13">
        <v>1.8</v>
      </c>
      <c r="E20" s="13">
        <v/>
      </c>
      <c r="F20" s="13"/>
      <c r="G20" s="13"/>
      <c r="I20" s="5"/>
      <c r="J20" s="0" t="s">
        <v>35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32</v>
      </c>
      <c r="C22" s="13">
        <f>IFERROR(49.8*(1-w),"")</f>
        <v>24.850199999999997</v>
      </c>
      <c r="D22" s="13">
        <v>49.8</v>
      </c>
      <c r="E22" s="13">
        <v>50.712830957230139</v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32</v>
      </c>
      <c r="C23" s="13">
        <f>IFERROR(6.1*(1-w),"")</f>
        <v>3.0439</v>
      </c>
      <c r="D23" s="13">
        <v>6.1</v>
      </c>
      <c r="E23" s="13">
        <v>6.2118126272912422</v>
      </c>
      <c r="F23" s="13"/>
      <c r="G23" s="13"/>
      <c r="I23" s="5"/>
      <c r="J23" s="0" t="s">
        <v>38</v>
      </c>
    </row>
    <row r="24" outlineLevel="2">
      <c r="A24" s="12" t="s">
        <v>40</v>
      </c>
      <c r="B24" s="0" t="s">
        <v>32</v>
      </c>
      <c r="C24" s="13">
        <f>IFERROR(0.71*(1-w),"")</f>
        <v>0.35429</v>
      </c>
      <c r="D24" s="13">
        <v>0.71</v>
      </c>
      <c r="E24" s="13">
        <v>0.72301425661914454</v>
      </c>
      <c r="F24" s="13"/>
      <c r="G24" s="13"/>
      <c r="I24" s="5"/>
      <c r="J24" s="0" t="s">
        <v>38</v>
      </c>
    </row>
    <row r="25" outlineLevel="2">
      <c r="A25" s="12" t="s">
        <v>41</v>
      </c>
      <c r="B25" s="0" t="s">
        <v>32</v>
      </c>
      <c r="C25" s="13">
        <f>IFERROR(0.05*(1-w),"")</f>
        <v>0.02495</v>
      </c>
      <c r="D25" s="13">
        <v>0.05</v>
      </c>
      <c r="E25" s="13">
        <v>0.050916496945010187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32</v>
      </c>
      <c r="C26" s="13">
        <f>IFERROR(58.46*(1-w)+w*100,"")</f>
        <v>79.27154</v>
      </c>
      <c r="D26" s="13">
        <v>58.459999999999994</v>
      </c>
      <c r="E26" s="13">
        <v>57.698574338085535</v>
      </c>
      <c r="F26" s="13"/>
      <c r="G26" s="13"/>
      <c r="I26" s="5"/>
      <c r="J26" s="0" t="s">
        <v>44</v>
      </c>
    </row>
    <row r="27" outlineLevel="1">
      <c r="A27" s="11" t="s">
        <v>45</v>
      </c>
      <c r="I27" s="5"/>
    </row>
    <row r="28" outlineLevel="2">
      <c r="A28" s="12" t="s">
        <v>46</v>
      </c>
      <c r="B28" s="0" t="s">
        <v>47</v>
      </c>
      <c r="C28" s="13">
        <f>IFERROR(18.42*(1-w)-w*2.443,"")</f>
        <v>7.967637</v>
      </c>
      <c r="D28" s="13">
        <v>18.42</v>
      </c>
      <c r="E28" s="13">
        <v>18.757637474541752</v>
      </c>
      <c r="F28" s="13"/>
      <c r="G28" s="13"/>
      <c r="I28" s="5"/>
      <c r="J28" s="0" t="s">
        <v>48</v>
      </c>
    </row>
    <row r="29" outlineLevel="2">
      <c r="A29" s="12" t="s">
        <v>49</v>
      </c>
      <c r="B29" s="0" t="s">
        <v>47</v>
      </c>
      <c r="C29" s="13">
        <f>IFERROR(19.75*(1-w),"")</f>
        <v>9.85525</v>
      </c>
      <c r="D29" s="13">
        <v>19.75</v>
      </c>
      <c r="E29" s="13">
        <v>20.112016293279023</v>
      </c>
      <c r="F29" s="13"/>
      <c r="G29" s="13"/>
      <c r="I29" s="5"/>
    </row>
    <row r="30">
      <c r="I30" s="5"/>
    </row>
    <row r="31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50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https://phyllis.nl/Biomass/View/3122</dc:description>
  <dcterms:created xsi:type="dcterms:W3CDTF">2026-03-19T07:26:48Z</dcterms:created>
  <dc:title>Phyllis2 #3122 Energy willow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