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3 Wood" sheetId="1" r:id="rId1"/>
  </sheets>
  <definedNames>
    <definedName name="w" localSheetId="0">IF(ISBLANK('Phyllis2 #3123 Wood'!$C$19),#N/A,'Phyllis2 #3123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<sst xmlns="http://schemas.openxmlformats.org/spreadsheetml/2006/main" count="52" uniqueCount="52">
  <si>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</si>
  <si>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https://phyllis.nl/Biomass/View/3123</t>
  </si>
  <si>
    <t>Wood (#3123)</t>
  </si>
  <si>
    <t>ID-number</t>
  </si>
  <si>
    <t>#3123</t>
  </si>
  <si>
    <t>Material</t>
  </si>
  <si>
    <t>Wood</t>
  </si>
  <si>
    <t>Classification</t>
  </si>
  <si>
    <t>CEN/TS 14961 classification &gt; Solid biofuels &gt; Woody biomass &gt; Wood processing industry</t>
  </si>
  <si>
    <t>ECN Phyllis classification &gt; untreated wood</t>
  </si>
  <si>
    <t>NTA 8003 classification &gt; [100] hout &gt; [110] vers hout &gt; [119] overig vers hout</t>
  </si>
  <si>
    <t>Country</t>
  </si>
  <si>
    <t>Germany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</si>
  <si>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</si>
  <si>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</si>
  <si>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</si>
  <si>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</si>
  <si>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</si>
  <si>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</si>
  <si>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</si>
  <si>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</si>
  <si>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</si>
  <si>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</si>
  <si>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</si>
  <si>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</si>
  <si>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</si>
  <si>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</si>
  <si>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</si>
  <si>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</si>
  <si>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</si>
  <si>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</si>
  <si>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</si>
  <si>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</si>
  <si>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</si>
  <si>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815°C</t>
  </si>
  <si>
    <t>ISO 1171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</si>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</sst>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39336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27.4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IFERROR(5.5*(1-w),"")</f>
        <v>3.993</v>
      </c>
      <c r="D20" s="13">
        <v>5.5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IFERROR(48.1*(1-w),"")</f>
        <v>34.9206</v>
      </c>
      <c r="D22" s="13">
        <v>48.1</v>
      </c>
      <c r="E22" s="13">
        <v>50.899470899470906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IFERROR(5.8*(1-w),"")</f>
        <v>4.2108</v>
      </c>
      <c r="D23" s="13">
        <v>5.8</v>
      </c>
      <c r="E23" s="13">
        <v>6.1375661375661377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IFERROR(40*(1-w),"")</f>
        <v>29.04</v>
      </c>
      <c r="D24" s="13">
        <v>40</v>
      </c>
      <c r="E24" s="13">
        <v>42.328042328042329</v>
      </c>
      <c r="F24" s="13"/>
      <c r="G24" s="13"/>
      <c r="I24" s="5"/>
    </row>
    <row r="25" outlineLevel="2">
      <c r="A25" s="12" t="s">
        <v>41</v>
      </c>
      <c r="B25" s="0" t="s">
        <v>32</v>
      </c>
      <c r="C25" s="13">
        <f>IFERROR(0.48*(1-w),"")</f>
        <v>0.34847999999999996</v>
      </c>
      <c r="D25" s="13">
        <v>0.48</v>
      </c>
      <c r="E25" s="13">
        <v>0.50793650793650791</v>
      </c>
      <c r="F25" s="13"/>
      <c r="G25" s="13"/>
      <c r="I25" s="5"/>
      <c r="J25" s="0" t="s">
        <v>38</v>
      </c>
    </row>
    <row r="26" outlineLevel="2">
      <c r="A26" s="12" t="s">
        <v>42</v>
      </c>
      <c r="B26" s="0" t="s">
        <v>32</v>
      </c>
      <c r="C26" s="13">
        <f>IFERROR(0.06*(1-w),"")</f>
        <v>0.043559999999999995</v>
      </c>
      <c r="D26" s="13">
        <v>0.06</v>
      </c>
      <c r="E26" s="13">
        <v>0.063492063492063489</v>
      </c>
      <c r="F26" s="13"/>
      <c r="G26" s="13"/>
      <c r="I26" s="5"/>
      <c r="J26" s="0" t="s">
        <v>43</v>
      </c>
    </row>
    <row r="27" outlineLevel="2">
      <c r="A27" s="12" t="s">
        <v>44</v>
      </c>
      <c r="B27" s="0" t="s">
        <v>32</v>
      </c>
      <c r="C27" s="13">
        <f>IFERROR(99.94*(1-w)+w*100,"")</f>
        <v>99.95644</v>
      </c>
      <c r="D27" s="13">
        <v>99.940000000000012</v>
      </c>
      <c r="E27" s="13">
        <v>99.936507936507951</v>
      </c>
      <c r="F27" s="13"/>
      <c r="G27" s="13"/>
      <c r="I27" s="5"/>
      <c r="J27" s="0" t="s">
        <v>45</v>
      </c>
    </row>
    <row r="28" outlineLevel="1">
      <c r="A28" s="11" t="s">
        <v>46</v>
      </c>
      <c r="I28" s="5"/>
    </row>
    <row r="29" outlineLevel="2">
      <c r="A29" s="12" t="s">
        <v>47</v>
      </c>
      <c r="B29" s="0" t="s">
        <v>48</v>
      </c>
      <c r="C29" s="13">
        <f>IFERROR(17.77*(1-w)-w*2.443,"")</f>
        <v>12.231637999999998</v>
      </c>
      <c r="D29" s="13">
        <v>17.77</v>
      </c>
      <c r="E29" s="13">
        <v>18.804232804232804</v>
      </c>
      <c r="F29" s="13"/>
      <c r="G29" s="13"/>
      <c r="I29" s="5"/>
      <c r="J29" s="0" t="s">
        <v>49</v>
      </c>
    </row>
    <row r="30" outlineLevel="2">
      <c r="A30" s="12" t="s">
        <v>50</v>
      </c>
      <c r="B30" s="0" t="s">
        <v>48</v>
      </c>
      <c r="C30" s="13">
        <f>IFERROR(19.04*(1-w),"")</f>
        <v>13.823039999999999</v>
      </c>
      <c r="D30" s="13">
        <v>19.04</v>
      </c>
      <c r="E30" s="13">
        <v>20.148148148148149</v>
      </c>
      <c r="F30" s="13"/>
      <c r="G30" s="13"/>
      <c r="I30" s="5"/>
    </row>
    <row r="31" outlineLevel="2">
      <c r="A31" s="12" t="s">
        <v>51</v>
      </c>
      <c r="B31" s="0" t="s">
        <v>48</v>
      </c>
      <c r="C31" s="13">
        <f>IFERROR(19.13669425*(1-w),"")</f>
        <v>13.8932400255</v>
      </c>
      <c r="D31" s="13">
        <v>19.13669425</v>
      </c>
      <c r="E31" s="13">
        <v>20.25047010582011</v>
      </c>
      <c r="F31" s="13"/>
      <c r="G31" s="13"/>
      <c r="I31" s="5"/>
      <c r="J31" s="0" t="s">
        <v>45</v>
      </c>
    </row>
    <row r="32">
      <c r="I32" s="5"/>
    </row>
    <row r="33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27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https://phyllis.nl/Biomass/View/3123</dc:description>
  <dcterms:created xsi:type="dcterms:W3CDTF">2026-03-19T07:32:30Z</dcterms:created>
  <dc:title>Phyllis2 #3123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