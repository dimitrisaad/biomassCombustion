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24 Spruce bark" sheetId="1" r:id="rId1"/>
  </sheets>
  <definedNames>
    <definedName name="w" localSheetId="0">IF(ISBLANK('Phyllis2 #3124 Spruce bark'!$C$19),#N/A,'Phyllis2 #3124 Spruce bark'!$C$19/100)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<sst xmlns="http://schemas.openxmlformats.org/spreadsheetml/2006/main" count="57" uniqueCount="57">
  <si>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</si>
  <si>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https://phyllis.nl/Biomass/View/3124</t>
  </si>
  <si>
    <t>Spruce bark (#3124)</t>
  </si>
  <si>
    <t>ID-number</t>
  </si>
  <si>
    <t>#3124</t>
  </si>
  <si>
    <t>Material</t>
  </si>
  <si>
    <t>Spruce bark</t>
  </si>
  <si>
    <t>Classification</t>
  </si>
  <si>
    <t>CEN/TS 14961 classification &gt; Solid biofuels &gt; Woody biomass &gt; Wood processing industry &gt; Chemically untreated wood residues &gt; Bark from industry operations</t>
  </si>
  <si>
    <t>ECN Phyllis classification &gt; untreated wood &gt; bark &gt; bark, spruce</t>
  </si>
  <si>
    <t>NTA 8003 classification &gt; [100] hout &gt; [110] vers hout &gt; [112] schors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</si>
  <si>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</si>
  <si>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</si>
  <si>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</si>
  <si>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</si>
  <si>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</si>
  <si>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</si>
  <si>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</si>
  <si>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</si>
  <si>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</si>
  <si>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</si>
  <si>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</si>
  <si>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</si>
  <si>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</si>
  <si>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</si>
  <si>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</si>
  <si>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</si>
  <si>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</si>
  <si>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</si>
  <si>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</si>
  <si>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</si>
  <si>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</si>
  <si>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</si>
  <si>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815°C</t>
  </si>
  <si>
    <t>wt%</t>
  </si>
  <si>
    <t>ISO 1171</t>
  </si>
  <si>
    <t>Ultimate analysis (macroelements)</t>
  </si>
  <si>
    <t>Carbon</t>
  </si>
  <si>
    <t>CEN/TS 15104</t>
  </si>
  <si>
    <t>Hydrogen</t>
  </si>
  <si>
    <t>Oxygen</t>
  </si>
  <si>
    <t>Nitrogen</t>
  </si>
  <si>
    <t>Sulphur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</si>
  <si>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</si>
  <si>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</si>
  <si>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</si>
  <si>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</si>
  <si>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</si>
  <si>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</si>
  <si>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</si>
  <si>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</si>
  <si>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</si>
  <si>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</si>
  <si>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Lead (Pb)</t>
  </si>
  <si>
    <t>mg/kg (dry)</t>
  </si>
  <si>
    <t>&lt; 10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</si>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</sst>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2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39234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IFERROR(2.5*(1-w),"")</f>
        <v/>
      </c>
      <c r="D20" s="13">
        <v>2.5</v>
      </c>
      <c r="E20" s="13">
        <v/>
      </c>
      <c r="F20" s="13"/>
      <c r="G20" s="13"/>
      <c r="I20" s="5"/>
      <c r="J20" s="0" t="s">
        <v>35</v>
      </c>
    </row>
    <row r="21" outlineLevel="1">
      <c r="A21" s="11" t="s">
        <v>36</v>
      </c>
      <c r="I21" s="5"/>
    </row>
    <row r="22" outlineLevel="2">
      <c r="A22" s="12" t="s">
        <v>37</v>
      </c>
      <c r="B22" s="0" t="s">
        <v>34</v>
      </c>
      <c r="C22" s="13">
        <f>IFERROR(50.1*(1-w),"")</f>
        <v/>
      </c>
      <c r="D22" s="13">
        <v>50.1</v>
      </c>
      <c r="E22" s="13">
        <v>51.384615384615387</v>
      </c>
      <c r="F22" s="13"/>
      <c r="G22" s="13"/>
      <c r="I22" s="5"/>
      <c r="J22" s="0" t="s">
        <v>38</v>
      </c>
    </row>
    <row r="23" outlineLevel="2">
      <c r="A23" s="12" t="s">
        <v>39</v>
      </c>
      <c r="B23" s="0" t="s">
        <v>34</v>
      </c>
      <c r="C23" s="13">
        <f>IFERROR(6.3*(1-w),"")</f>
        <v/>
      </c>
      <c r="D23" s="13">
        <v>6.3</v>
      </c>
      <c r="E23" s="13">
        <v>6.4615384615384617</v>
      </c>
      <c r="F23" s="13"/>
      <c r="G23" s="13"/>
      <c r="I23" s="5"/>
      <c r="J23" s="0" t="s">
        <v>38</v>
      </c>
    </row>
    <row r="24" outlineLevel="2">
      <c r="A24" s="12" t="s">
        <v>40</v>
      </c>
      <c r="B24" s="0" t="s">
        <v>34</v>
      </c>
      <c r="C24" s="13">
        <f>IFERROR(40.7*(1-w),"")</f>
        <v/>
      </c>
      <c r="D24" s="13">
        <v>40.7</v>
      </c>
      <c r="E24" s="13">
        <v>41.743589743589745</v>
      </c>
      <c r="F24" s="13"/>
      <c r="G24" s="13"/>
      <c r="I24" s="5"/>
    </row>
    <row r="25" outlineLevel="2">
      <c r="A25" s="12" t="s">
        <v>41</v>
      </c>
      <c r="B25" s="0" t="s">
        <v>34</v>
      </c>
      <c r="C25" s="13">
        <f>IFERROR(0.32*(1-w),"")</f>
        <v/>
      </c>
      <c r="D25" s="13">
        <v>0.32</v>
      </c>
      <c r="E25" s="13">
        <v>0.3282051282051282</v>
      </c>
      <c r="F25" s="13"/>
      <c r="G25" s="13"/>
      <c r="I25" s="5"/>
      <c r="J25" s="0" t="s">
        <v>38</v>
      </c>
    </row>
    <row r="26" outlineLevel="2">
      <c r="A26" s="12" t="s">
        <v>42</v>
      </c>
      <c r="B26" s="0" t="s">
        <v>34</v>
      </c>
      <c r="C26" s="13">
        <f>IFERROR(0.02*(1-w),"")</f>
        <v/>
      </c>
      <c r="D26" s="13">
        <v>0.02</v>
      </c>
      <c r="E26" s="13">
        <v>0.020512820512820513</v>
      </c>
      <c r="F26" s="13"/>
      <c r="G26" s="13"/>
      <c r="I26" s="5"/>
      <c r="J26" s="0" t="s">
        <v>43</v>
      </c>
    </row>
    <row r="27" outlineLevel="2">
      <c r="A27" s="12" t="s">
        <v>44</v>
      </c>
      <c r="B27" s="0" t="s">
        <v>34</v>
      </c>
      <c r="C27" s="13">
        <f>IFERROR(99.94*(1-w)+w*100,"")</f>
        <v/>
      </c>
      <c r="D27" s="13">
        <v>99.939999999999984</v>
      </c>
      <c r="E27" s="13">
        <v>99.938461538461524</v>
      </c>
      <c r="F27" s="13"/>
      <c r="G27" s="13"/>
      <c r="I27" s="5"/>
      <c r="J27" s="0" t="s">
        <v>45</v>
      </c>
    </row>
    <row r="28" outlineLevel="1">
      <c r="A28" s="11" t="s">
        <v>46</v>
      </c>
      <c r="I28" s="5"/>
    </row>
    <row r="29" outlineLevel="2">
      <c r="A29" s="12" t="s">
        <v>47</v>
      </c>
      <c r="B29" s="0" t="s">
        <v>48</v>
      </c>
      <c r="C29" s="13">
        <f>IFERROR(18.65*(1-w)-w*2.443,"")</f>
        <v/>
      </c>
      <c r="D29" s="13">
        <v>18.65</v>
      </c>
      <c r="E29" s="13">
        <v>19.128205128205128</v>
      </c>
      <c r="F29" s="13"/>
      <c r="G29" s="13"/>
      <c r="I29" s="5"/>
      <c r="J29" s="0" t="s">
        <v>49</v>
      </c>
    </row>
    <row r="30" outlineLevel="2">
      <c r="A30" s="12" t="s">
        <v>50</v>
      </c>
      <c r="B30" s="0" t="s">
        <v>48</v>
      </c>
      <c r="C30" s="13">
        <f>IFERROR(19.89*(1-w),"")</f>
        <v/>
      </c>
      <c r="D30" s="13">
        <v>19.89</v>
      </c>
      <c r="E30" s="13">
        <v>20.400000000000002</v>
      </c>
      <c r="F30" s="13"/>
      <c r="G30" s="13"/>
      <c r="I30" s="5"/>
    </row>
    <row r="31" outlineLevel="2">
      <c r="A31" s="12" t="s">
        <v>51</v>
      </c>
      <c r="B31" s="0" t="s">
        <v>48</v>
      </c>
      <c r="C31" s="13">
        <f>IFERROR(20.45437825*(1-w),"")</f>
        <v/>
      </c>
      <c r="D31" s="13">
        <v>20.45437825</v>
      </c>
      <c r="E31" s="13">
        <v>20.978849487179488</v>
      </c>
      <c r="F31" s="13"/>
      <c r="G31" s="13"/>
      <c r="I31" s="5"/>
      <c r="J31" s="0" t="s">
        <v>45</v>
      </c>
    </row>
    <row r="32" outlineLevel="1">
      <c r="A32" s="11" t="s">
        <v>52</v>
      </c>
      <c r="I32" s="5"/>
    </row>
    <row r="33" outlineLevel="2">
      <c r="A33" s="12" t="s">
        <v>53</v>
      </c>
      <c r="B33" s="0" t="s">
        <v>54</v>
      </c>
      <c r="C33" s="14" t="s">
        <v>55</v>
      </c>
      <c r="D33" s="14"/>
      <c r="E33" s="14"/>
      <c r="F33" s="14"/>
      <c r="G33" s="14"/>
      <c r="I33" s="5"/>
    </row>
    <row r="34" outlineLevel="2">
      <c r="A34" s="12" t="s">
        <v>56</v>
      </c>
      <c r="B34" s="0" t="s">
        <v>54</v>
      </c>
      <c r="C34" s="14">
        <v>150</v>
      </c>
      <c r="D34" s="14"/>
      <c r="E34" s="14"/>
      <c r="F34" s="14"/>
      <c r="G34" s="14"/>
      <c r="I34" s="5"/>
    </row>
    <row r="35">
      <c r="I35" s="5"/>
    </row>
    <row r="36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3:E33"/>
    <mergeCell ref="C34:E34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https://phyllis.nl/Biomass/View/3124</dc:description>
  <dcterms:created xsi:type="dcterms:W3CDTF">2026-03-19T04:16:28Z</dcterms:created>
  <dc:title>Phyllis2 #3124 Spruce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