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26 Woodchips" sheetId="1" r:id="rId1"/>
  </sheets>
  <definedNames>
    <definedName name="w" localSheetId="0">IF(ISBLANK('Phyllis2 #3126 Woodchips'!$C$23),#N/A,'Phyllis2 #3126 Woodchips'!$C$23/100)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<sst xmlns="http://schemas.openxmlformats.org/spreadsheetml/2006/main" count="69" uniqueCount="69">
  <si>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</si>
  <si>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https://phyllis.nl/Biomass/View/3126</t>
  </si>
  <si>
    <t>Woodchips (#3126)</t>
  </si>
  <si>
    <t>ID-number</t>
  </si>
  <si>
    <t>#3126</t>
  </si>
  <si>
    <t>Material</t>
  </si>
  <si>
    <t>Woodchips</t>
  </si>
  <si>
    <t>Alternative name</t>
  </si>
  <si>
    <t>Description</t>
  </si>
  <si>
    <t>Woodchips with bark</t>
  </si>
  <si>
    <t>Classification</t>
  </si>
  <si>
    <t>CEN/TS 14961 classification &gt; Solid biofuels &gt; Woody biomass &gt; Forest and plantation wood</t>
  </si>
  <si>
    <t>ECN Phyllis classification &gt; untreated wood</t>
  </si>
  <si>
    <t>NTA 8003 classification &gt; [100] hout &gt; [110] vers hout &gt; [119] overig vers hout</t>
  </si>
  <si>
    <t>Sample lot size</t>
  </si>
  <si>
    <t>60kg</t>
  </si>
  <si>
    <t>Country</t>
  </si>
  <si>
    <t>Germany</t>
  </si>
  <si>
    <t>Submitter</t>
  </si>
  <si>
    <t>ofi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</si>
  <si>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</si>
  <si>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</si>
  <si>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</si>
  <si>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</si>
  <si>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</si>
  <si>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</si>
  <si>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</si>
  <si>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</si>
  <si>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</si>
  <si>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</si>
  <si>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</si>
  <si>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</si>
  <si>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</si>
  <si>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</si>
  <si>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</si>
  <si>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</si>
  <si>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</si>
  <si>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</si>
  <si>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</si>
  <si>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</si>
  <si>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</si>
  <si>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</si>
  <si>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</si>
  <si>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Ultimate analysis (macroelements)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</si>
  <si>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</si>
  <si>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</si>
  <si>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</si>
  <si>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</si>
  <si>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</si>
  <si>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</si>
  <si>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</si>
  <si>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</si>
  <si>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</si>
  <si>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Gross calorific value (HHV)</t>
  </si>
  <si>
    <t>MJ/kg</t>
  </si>
  <si>
    <t>CEN/TS 14918</t>
  </si>
  <si>
    <t>Trace elements composition</t>
  </si>
  <si>
    <t>Aluminium (Al)</t>
  </si>
  <si>
    <t>mg/kg (dry)</t>
  </si>
  <si>
    <t>CEN/TS 15290</t>
  </si>
  <si>
    <t>Calcium (Ca)</t>
  </si>
  <si>
    <t>Iron (Fe)</t>
  </si>
  <si>
    <t>Potassium (K)</t>
  </si>
  <si>
    <t>-</t>
  </si>
  <si>
    <t>Magnesium (Mg)</t>
  </si>
  <si>
    <t>Sodium (Na)</t>
  </si>
  <si>
    <t>Phosphorus (P)</t>
  </si>
  <si>
    <t>Silicon (Si)</t>
  </si>
  <si>
    <t>Titanium (Ti)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</si>
</sst>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39507</v>
      </c>
    </row>
    <row r="17">
      <c r="A17" s="7"/>
    </row>
    <row r="18" s="1" customFormat="1">
      <c r="A18" s="9" t="s">
        <v>23</v>
      </c>
    </row>
    <row r="19" s="1" customFormat="1">
      <c r="A19" s="10" t="s">
        <v>24</v>
      </c>
      <c r="B19" s="10" t="s">
        <v>25</v>
      </c>
      <c r="C19" s="10" t="s">
        <v>26</v>
      </c>
      <c r="D19" s="10"/>
      <c r="E19" s="10"/>
      <c r="F19" s="10" t="s">
        <v>27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32</v>
      </c>
      <c r="L19" s="10"/>
    </row>
    <row r="20" s="1" customFormat="1">
      <c r="A20" s="10"/>
      <c r="B20" s="10"/>
      <c r="C20" s="10" t="s">
        <v>33</v>
      </c>
      <c r="D20" s="10" t="s">
        <v>34</v>
      </c>
      <c r="E20" s="10" t="s">
        <v>35</v>
      </c>
      <c r="F20" s="10"/>
      <c r="G20" s="10"/>
      <c r="H20" s="10"/>
      <c r="I20" s="10"/>
      <c r="J20" s="10"/>
      <c r="K20" s="10"/>
      <c r="L20" s="10"/>
    </row>
    <row r="21">
      <c r="A21" s="7" t="s">
        <v>36</v>
      </c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39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40</v>
      </c>
      <c r="B24" s="0" t="s">
        <v>41</v>
      </c>
      <c r="C24" s="13">
        <f>IFERROR(0.590776388164256*(1-w),"")</f>
        <v/>
      </c>
      <c r="D24" s="13">
        <v>0.590776388164256</v>
      </c>
      <c r="E24" s="13">
        <v/>
      </c>
      <c r="F24" s="13"/>
      <c r="G24" s="13"/>
      <c r="I24" s="5"/>
      <c r="J24" s="0" t="s">
        <v>42</v>
      </c>
      <c r="K24" s="0" t="s">
        <v>42</v>
      </c>
    </row>
    <row r="25" outlineLevel="1">
      <c r="A25" s="11" t="s">
        <v>43</v>
      </c>
      <c r="I25" s="5"/>
    </row>
    <row r="26" outlineLevel="2">
      <c r="A26" s="12" t="s">
        <v>44</v>
      </c>
      <c r="B26" s="0" t="s">
        <v>41</v>
      </c>
      <c r="C26" s="13">
        <f>IFERROR(0.0086031935483871*(1-w),"")</f>
        <v/>
      </c>
      <c r="D26" s="13">
        <v>0.0086031935483871</v>
      </c>
      <c r="E26" s="13">
        <v>0.0086543212347981735</v>
      </c>
      <c r="F26" s="13"/>
      <c r="G26" s="13"/>
      <c r="I26" s="5"/>
      <c r="J26" s="0" t="s">
        <v>45</v>
      </c>
      <c r="K26" s="0" t="s">
        <v>45</v>
      </c>
    </row>
    <row r="27" outlineLevel="2">
      <c r="A27" s="12" t="s">
        <v>46</v>
      </c>
      <c r="B27" s="0" t="s">
        <v>41</v>
      </c>
      <c r="C27" s="13">
        <f>IFERROR(0.604779581712643*(1-w)+w*100,"")</f>
        <v/>
      </c>
      <c r="D27" s="13">
        <v>0.60477958171264312</v>
      </c>
      <c r="E27" s="13">
        <v>0.014086412748846628</v>
      </c>
      <c r="F27" s="13"/>
      <c r="G27" s="13"/>
      <c r="I27" s="5"/>
      <c r="J27" s="0" t="s">
        <v>47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50</v>
      </c>
      <c r="C29" s="14">
        <f>IFERROR(54*(1-w),"")</f>
        <v/>
      </c>
      <c r="D29" s="14">
        <v>54</v>
      </c>
      <c r="E29" s="14">
        <v>54.320915140484729</v>
      </c>
      <c r="F29" s="14"/>
      <c r="G29" s="14"/>
      <c r="I29" s="5"/>
      <c r="J29" s="0" t="s">
        <v>51</v>
      </c>
      <c r="K29" s="0" t="s">
        <v>51</v>
      </c>
    </row>
    <row r="30" outlineLevel="1">
      <c r="A30" s="11" t="s">
        <v>52</v>
      </c>
      <c r="I30" s="5"/>
    </row>
    <row r="31" outlineLevel="2">
      <c r="A31" s="12" t="s">
        <v>53</v>
      </c>
      <c r="B31" s="0" t="s">
        <v>54</v>
      </c>
      <c r="C31" s="13">
        <f>IFERROR(19.5376191272875*(1-w),"")</f>
        <v/>
      </c>
      <c r="D31" s="13">
        <v>19.5376191272875</v>
      </c>
      <c r="E31" s="13">
        <v>19.653728715935102</v>
      </c>
      <c r="F31" s="13"/>
      <c r="G31" s="13"/>
      <c r="I31" s="5"/>
      <c r="K31" s="0" t="s">
        <v>55</v>
      </c>
    </row>
    <row r="32" outlineLevel="1">
      <c r="A32" s="11" t="s">
        <v>56</v>
      </c>
      <c r="I32" s="5"/>
    </row>
    <row r="33" outlineLevel="2">
      <c r="A33" s="12" t="s">
        <v>57</v>
      </c>
      <c r="B33" s="0" t="s">
        <v>58</v>
      </c>
      <c r="C33" s="14">
        <v>49.9739229359118</v>
      </c>
      <c r="D33" s="14"/>
      <c r="E33" s="14"/>
      <c r="F33" s="14"/>
      <c r="G33" s="14"/>
      <c r="I33" s="5"/>
      <c r="K33" s="0" t="s">
        <v>59</v>
      </c>
    </row>
    <row r="34" outlineLevel="2">
      <c r="A34" s="12" t="s">
        <v>60</v>
      </c>
      <c r="B34" s="0" t="s">
        <v>58</v>
      </c>
      <c r="C34" s="14">
        <v>1432.06130992165</v>
      </c>
      <c r="D34" s="14"/>
      <c r="E34" s="14"/>
      <c r="F34" s="14"/>
      <c r="G34" s="14"/>
      <c r="I34" s="5"/>
      <c r="K34" s="0" t="s">
        <v>59</v>
      </c>
    </row>
    <row r="35" outlineLevel="2">
      <c r="A35" s="12" t="s">
        <v>61</v>
      </c>
      <c r="B35" s="0" t="s">
        <v>58</v>
      </c>
      <c r="C35" s="14">
        <v>48.9418066178722</v>
      </c>
      <c r="D35" s="14"/>
      <c r="E35" s="14"/>
      <c r="F35" s="14"/>
      <c r="G35" s="14"/>
      <c r="I35" s="5"/>
      <c r="K35" s="0" t="s">
        <v>59</v>
      </c>
    </row>
    <row r="36" outlineLevel="2">
      <c r="A36" s="12" t="s">
        <v>62</v>
      </c>
      <c r="B36" s="0" t="s">
        <v>58</v>
      </c>
      <c r="C36" s="14" t="s">
        <v>63</v>
      </c>
      <c r="D36" s="14"/>
      <c r="E36" s="14"/>
      <c r="F36" s="14"/>
      <c r="G36" s="14"/>
      <c r="I36" s="5"/>
    </row>
    <row r="37" outlineLevel="2">
      <c r="A37" s="12" t="s">
        <v>64</v>
      </c>
      <c r="B37" s="0" t="s">
        <v>58</v>
      </c>
      <c r="C37" s="14">
        <v>182.380422922221</v>
      </c>
      <c r="D37" s="14"/>
      <c r="E37" s="14"/>
      <c r="F37" s="14"/>
      <c r="G37" s="14"/>
      <c r="I37" s="5"/>
      <c r="K37" s="0" t="s">
        <v>59</v>
      </c>
    </row>
    <row r="38" outlineLevel="2">
      <c r="A38" s="12" t="s">
        <v>65</v>
      </c>
      <c r="B38" s="0" t="s">
        <v>58</v>
      </c>
      <c r="C38" s="14" t="s">
        <v>63</v>
      </c>
      <c r="D38" s="14"/>
      <c r="E38" s="14"/>
      <c r="F38" s="14"/>
      <c r="G38" s="14"/>
      <c r="I38" s="5"/>
    </row>
    <row r="39" outlineLevel="2">
      <c r="A39" s="12" t="s">
        <v>66</v>
      </c>
      <c r="B39" s="0" t="s">
        <v>58</v>
      </c>
      <c r="C39" s="14">
        <v>73.4629825614968</v>
      </c>
      <c r="D39" s="14"/>
      <c r="E39" s="14"/>
      <c r="F39" s="14"/>
      <c r="G39" s="14"/>
      <c r="I39" s="5"/>
      <c r="K39" s="0" t="s">
        <v>59</v>
      </c>
    </row>
    <row r="40" outlineLevel="2">
      <c r="A40" s="12" t="s">
        <v>67</v>
      </c>
      <c r="B40" s="0" t="s">
        <v>58</v>
      </c>
      <c r="C40" s="14">
        <v>609.461140979161</v>
      </c>
      <c r="D40" s="14"/>
      <c r="E40" s="14"/>
      <c r="F40" s="14"/>
      <c r="G40" s="14"/>
      <c r="I40" s="5"/>
      <c r="K40" s="0" t="s">
        <v>59</v>
      </c>
    </row>
    <row r="41" outlineLevel="2">
      <c r="A41" s="12" t="s">
        <v>68</v>
      </c>
      <c r="B41" s="0" t="s">
        <v>58</v>
      </c>
      <c r="C41" s="14">
        <v>5.6346599471269</v>
      </c>
      <c r="D41" s="14"/>
      <c r="E41" s="14"/>
      <c r="F41" s="14"/>
      <c r="G41" s="14"/>
      <c r="I41" s="5"/>
      <c r="K41" s="0" t="s">
        <v>59</v>
      </c>
    </row>
    <row r="42">
      <c r="I42" s="5"/>
    </row>
    <row r="43" s="1" customFormat="1"/>
  </sheetData>
  <mergeCells>
    <mergeCell ref="A9:A11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https://phyllis.nl/Biomass/View/3126</dc:description>
  <dcterms:created xsi:type="dcterms:W3CDTF">2026-03-19T07:34:13Z</dcterms:created>
  <dc:title>Phyllis2 #3126 Woodchips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