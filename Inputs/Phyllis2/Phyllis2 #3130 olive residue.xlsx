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30 olive residue" sheetId="1" r:id="rId1"/>
  </sheets>
  <definedNames>
    <definedName name="w" localSheetId="0">IF(ISBLANK('Phyllis2 #3130 olive residue'!$C$25),#N/A,'Phyllis2 #3130 olive residue'!$C$25/100)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<sst xmlns="http://schemas.openxmlformats.org/spreadsheetml/2006/main" count="70" uniqueCount="70">
  <si>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</si>
  <si>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https://phyllis.nl/Biomass/View/3130</t>
  </si>
  <si>
    <t>olive residue (#3130)</t>
  </si>
  <si>
    <t>ID-number</t>
  </si>
  <si>
    <t>#3130</t>
  </si>
  <si>
    <t>Material</t>
  </si>
  <si>
    <t>olive residue</t>
  </si>
  <si>
    <t>Alternative name</t>
  </si>
  <si>
    <t>orujillo</t>
  </si>
  <si>
    <t>Description</t>
  </si>
  <si>
    <t>Olive residues</t>
  </si>
  <si>
    <t>Classification</t>
  </si>
  <si>
    <t>CEN/TS 14961 classification &gt; Solid biofuels &gt; Fruit biomass &gt; Fruit processing industry &gt; Chemically untreated fruit residues &gt; Crude olive cake</t>
  </si>
  <si>
    <t>ECN Phyllis classification &gt; husk/shell/pit &gt; olive &gt; olive residue</t>
  </si>
  <si>
    <t>NTA 8003 classification &gt; [500] biomassa uit de industrie &gt; [520] schillen/vliezen/pitten &gt; [524] olijven</t>
  </si>
  <si>
    <t>Sample lot size</t>
  </si>
  <si>
    <t>60kg</t>
  </si>
  <si>
    <t>Country</t>
  </si>
  <si>
    <t>Spain</t>
  </si>
  <si>
    <t>Producer</t>
  </si>
  <si>
    <t>OFI, Austria</t>
  </si>
  <si>
    <t>Production date</t>
  </si>
  <si>
    <t>Submitter</t>
  </si>
  <si>
    <t>ofi</t>
  </si>
  <si>
    <t>Submitter organisation</t>
  </si>
  <si>
    <t>OFI (Austria)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</si>
  <si>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</si>
  <si>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</si>
  <si>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</si>
  <si>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</si>
  <si>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</si>
  <si>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</si>
  <si>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</si>
  <si>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</si>
  <si>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</si>
  <si>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</si>
  <si>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</si>
  <si>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</si>
  <si>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</si>
  <si>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</si>
  <si>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</si>
  <si>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</si>
  <si>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</si>
  <si>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</si>
  <si>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</si>
  <si>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</si>
  <si>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</si>
  <si>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</si>
  <si>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</si>
  <si>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</si>
  <si>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</si>
  <si>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</si>
  <si>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</si>
  <si>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</si>
  <si>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</si>
  <si>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</si>
  <si>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</si>
  <si>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Gross calorific value (HHV)</t>
  </si>
  <si>
    <t>MJ/kg</t>
  </si>
  <si>
    <t>CEN/TS 14918</t>
  </si>
  <si>
    <t>Trace elements composition</t>
  </si>
  <si>
    <t>Aluminium (Al)</t>
  </si>
  <si>
    <t>mg/kg (dry)</t>
  </si>
  <si>
    <t>CEN/TS 15290</t>
  </si>
  <si>
    <t>Calcium (Ca)</t>
  </si>
  <si>
    <t>Iron (Fe)</t>
  </si>
  <si>
    <t>Magnesium (Mg)</t>
  </si>
  <si>
    <t>Phosphorus (P)</t>
  </si>
  <si>
    <t>Silicon (Si)</t>
  </si>
  <si>
    <t>Titanium (Ti)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</si>
</sst>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37437</v>
      </c>
    </row>
    <row r="16" outlineLevel="1">
      <c r="A16" s="7" t="s">
        <v>22</v>
      </c>
      <c r="B16" s="0" t="s">
        <v>23</v>
      </c>
    </row>
    <row r="17" outlineLevel="1">
      <c r="A17" s="7" t="s">
        <v>24</v>
      </c>
      <c r="B17" s="0" t="s">
        <v>25</v>
      </c>
    </row>
    <row r="18" outlineLevel="1">
      <c r="A18" s="7" t="s">
        <v>26</v>
      </c>
      <c r="B18" s="6">
        <v>39507</v>
      </c>
    </row>
    <row r="19">
      <c r="A19" s="7"/>
    </row>
    <row r="20" s="1" customFormat="1">
      <c r="A20" s="9" t="s">
        <v>27</v>
      </c>
    </row>
    <row r="21" s="1" customFormat="1">
      <c r="A21" s="10" t="s">
        <v>28</v>
      </c>
      <c r="B21" s="10" t="s">
        <v>29</v>
      </c>
      <c r="C21" s="10" t="s">
        <v>30</v>
      </c>
      <c r="D21" s="10"/>
      <c r="E21" s="10"/>
      <c r="F21" s="10" t="s">
        <v>31</v>
      </c>
      <c r="G21" s="10" t="s">
        <v>32</v>
      </c>
      <c r="H21" s="10" t="s">
        <v>33</v>
      </c>
      <c r="I21" s="10" t="s">
        <v>34</v>
      </c>
      <c r="J21" s="10" t="s">
        <v>35</v>
      </c>
      <c r="K21" s="10" t="s">
        <v>36</v>
      </c>
      <c r="L21" s="10"/>
    </row>
    <row r="22" s="1" customFormat="1">
      <c r="A22" s="10"/>
      <c r="B22" s="10"/>
      <c r="C22" s="10" t="s">
        <v>37</v>
      </c>
      <c r="D22" s="10" t="s">
        <v>38</v>
      </c>
      <c r="E22" s="10" t="s">
        <v>39</v>
      </c>
      <c r="F22" s="10"/>
      <c r="G22" s="10"/>
      <c r="H22" s="10"/>
      <c r="I22" s="10"/>
      <c r="J22" s="10"/>
      <c r="K22" s="10"/>
      <c r="L22" s="10"/>
    </row>
    <row r="23">
      <c r="A23" s="7" t="s">
        <v>40</v>
      </c>
      <c r="I23" s="5"/>
    </row>
    <row r="24" outlineLevel="1">
      <c r="A24" s="11" t="s">
        <v>41</v>
      </c>
      <c r="I24" s="5"/>
    </row>
    <row r="25" outlineLevel="2">
      <c r="A25" s="12" t="s">
        <v>42</v>
      </c>
      <c r="B25" s="0" t="s">
        <v>43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44</v>
      </c>
      <c r="B26" s="0" t="s">
        <v>45</v>
      </c>
      <c r="C26" s="13">
        <f>IFERROR(10.8919341463247*(1-w),"")</f>
        <v/>
      </c>
      <c r="D26" s="13">
        <v>10.8919341463247</v>
      </c>
      <c r="E26" s="13">
        <v/>
      </c>
      <c r="F26" s="13"/>
      <c r="G26" s="13"/>
      <c r="I26" s="5"/>
      <c r="J26" s="0" t="s">
        <v>46</v>
      </c>
      <c r="K26" s="0" t="s">
        <v>46</v>
      </c>
    </row>
    <row r="27" outlineLevel="1">
      <c r="A27" s="11" t="s">
        <v>47</v>
      </c>
      <c r="I27" s="5"/>
    </row>
    <row r="28" outlineLevel="2">
      <c r="A28" s="12" t="s">
        <v>48</v>
      </c>
      <c r="B28" s="0" t="s">
        <v>45</v>
      </c>
      <c r="C28" s="13">
        <f>IFERROR(0.133537901190861*(1-w),"")</f>
        <v/>
      </c>
      <c r="D28" s="13">
        <v>0.133537901190861</v>
      </c>
      <c r="E28" s="13">
        <v>0.14986062138319117</v>
      </c>
      <c r="F28" s="13"/>
      <c r="G28" s="13"/>
      <c r="I28" s="5"/>
      <c r="J28" s="0" t="s">
        <v>49</v>
      </c>
      <c r="K28" s="0" t="s">
        <v>49</v>
      </c>
    </row>
    <row r="29" outlineLevel="2">
      <c r="A29" s="12" t="s">
        <v>50</v>
      </c>
      <c r="B29" s="0" t="s">
        <v>45</v>
      </c>
      <c r="C29" s="13">
        <f>IFERROR(11.2249720475156*(1-w)+w*100,"")</f>
        <v/>
      </c>
      <c r="D29" s="13">
        <v>11.224972047515562</v>
      </c>
      <c r="E29" s="13">
        <v>0.3737460778665585</v>
      </c>
      <c r="F29" s="13"/>
      <c r="G29" s="13"/>
      <c r="I29" s="5"/>
      <c r="J29" s="0" t="s">
        <v>51</v>
      </c>
    </row>
    <row r="30" outlineLevel="1">
      <c r="A30" s="11" t="s">
        <v>52</v>
      </c>
      <c r="I30" s="5"/>
    </row>
    <row r="31" outlineLevel="2">
      <c r="A31" s="12" t="s">
        <v>53</v>
      </c>
      <c r="B31" s="0" t="s">
        <v>54</v>
      </c>
      <c r="C31" s="14">
        <f>IFERROR(1995*(1-w),"")</f>
        <v/>
      </c>
      <c r="D31" s="14">
        <v>1995</v>
      </c>
      <c r="E31" s="14">
        <v>2238.8545648336676</v>
      </c>
      <c r="F31" s="14"/>
      <c r="G31" s="14"/>
      <c r="I31" s="5"/>
      <c r="J31" s="0" t="s">
        <v>55</v>
      </c>
      <c r="K31" s="0" t="s">
        <v>55</v>
      </c>
    </row>
    <row r="32" outlineLevel="1">
      <c r="A32" s="11" t="s">
        <v>56</v>
      </c>
      <c r="I32" s="5"/>
    </row>
    <row r="33" outlineLevel="2">
      <c r="A33" s="12" t="s">
        <v>57</v>
      </c>
      <c r="B33" s="0" t="s">
        <v>58</v>
      </c>
      <c r="C33" s="13">
        <f>IFERROR(19.4847956873145*(1-w),"")</f>
        <v/>
      </c>
      <c r="D33" s="13">
        <v>19.484795687314502</v>
      </c>
      <c r="E33" s="13">
        <v>21.866478079897458</v>
      </c>
      <c r="F33" s="13"/>
      <c r="G33" s="13"/>
      <c r="I33" s="5"/>
      <c r="K33" s="0" t="s">
        <v>59</v>
      </c>
    </row>
    <row r="34" outlineLevel="1">
      <c r="A34" s="11" t="s">
        <v>60</v>
      </c>
      <c r="I34" s="5"/>
    </row>
    <row r="35" outlineLevel="2">
      <c r="A35" s="12" t="s">
        <v>61</v>
      </c>
      <c r="B35" s="0" t="s">
        <v>62</v>
      </c>
      <c r="C35" s="14">
        <v>2350.20254987524</v>
      </c>
      <c r="D35" s="14"/>
      <c r="E35" s="14"/>
      <c r="F35" s="14"/>
      <c r="G35" s="14"/>
      <c r="I35" s="5"/>
      <c r="K35" s="0" t="s">
        <v>63</v>
      </c>
    </row>
    <row r="36" outlineLevel="2">
      <c r="A36" s="12" t="s">
        <v>64</v>
      </c>
      <c r="B36" s="0" t="s">
        <v>62</v>
      </c>
      <c r="C36" s="14">
        <v>14460.5023602833</v>
      </c>
      <c r="D36" s="14"/>
      <c r="E36" s="14"/>
      <c r="F36" s="14"/>
      <c r="G36" s="14"/>
      <c r="I36" s="5"/>
      <c r="K36" s="0" t="s">
        <v>63</v>
      </c>
    </row>
    <row r="37" outlineLevel="2">
      <c r="A37" s="12" t="s">
        <v>65</v>
      </c>
      <c r="B37" s="0" t="s">
        <v>62</v>
      </c>
      <c r="C37" s="14">
        <v>1560.853802576</v>
      </c>
      <c r="D37" s="14"/>
      <c r="E37" s="14"/>
      <c r="F37" s="14"/>
      <c r="G37" s="14"/>
      <c r="I37" s="5"/>
      <c r="K37" s="0" t="s">
        <v>63</v>
      </c>
    </row>
    <row r="38" outlineLevel="2">
      <c r="A38" s="12" t="s">
        <v>66</v>
      </c>
      <c r="B38" s="0" t="s">
        <v>62</v>
      </c>
      <c r="C38" s="14">
        <v>2847.33831020637</v>
      </c>
      <c r="D38" s="14"/>
      <c r="E38" s="14"/>
      <c r="F38" s="14"/>
      <c r="G38" s="14"/>
      <c r="I38" s="5"/>
      <c r="K38" s="0" t="s">
        <v>63</v>
      </c>
    </row>
    <row r="39" outlineLevel="2">
      <c r="A39" s="12" t="s">
        <v>67</v>
      </c>
      <c r="B39" s="0" t="s">
        <v>62</v>
      </c>
      <c r="C39" s="14">
        <v>1522.97578836445</v>
      </c>
      <c r="D39" s="14"/>
      <c r="E39" s="14"/>
      <c r="F39" s="14"/>
      <c r="G39" s="14"/>
      <c r="I39" s="5"/>
      <c r="K39" s="0" t="s">
        <v>63</v>
      </c>
    </row>
    <row r="40" outlineLevel="2">
      <c r="A40" s="12" t="s">
        <v>68</v>
      </c>
      <c r="B40" s="0" t="s">
        <v>62</v>
      </c>
      <c r="C40" s="14">
        <v>10858.7490293807</v>
      </c>
      <c r="D40" s="14"/>
      <c r="E40" s="14"/>
      <c r="F40" s="14"/>
      <c r="G40" s="14"/>
      <c r="I40" s="5"/>
      <c r="K40" s="0" t="s">
        <v>63</v>
      </c>
    </row>
    <row r="41" outlineLevel="2">
      <c r="A41" s="12" t="s">
        <v>69</v>
      </c>
      <c r="B41" s="0" t="s">
        <v>62</v>
      </c>
      <c r="C41" s="14">
        <v>129.776345670024</v>
      </c>
      <c r="D41" s="14"/>
      <c r="E41" s="14"/>
      <c r="F41" s="14"/>
      <c r="G41" s="14"/>
      <c r="I41" s="5"/>
      <c r="K41" s="0" t="s">
        <v>63</v>
      </c>
    </row>
    <row r="42">
      <c r="I42" s="5"/>
    </row>
    <row r="43" s="1" customFormat="1"/>
  </sheetData>
  <mergeCells>
    <mergeCell ref="A9:A11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https://phyllis.nl/Biomass/View/3130</dc:description>
  <dcterms:created xsi:type="dcterms:W3CDTF">2026-03-17T05:42:35Z</dcterms:created>
  <dc:title>Phyllis2 #3130 olive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