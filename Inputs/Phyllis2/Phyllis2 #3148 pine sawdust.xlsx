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48 pine sawdust" sheetId="1" r:id="rId1"/>
  </sheets>
  <definedNames>
    <definedName name="w" localSheetId="0">IF(ISBLANK('Phyllis2 #3148 pine sawdust'!$C$25),#N/A,'Phyllis2 #3148 pine sawdust'!$C$25/100)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2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2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2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<sst xmlns="http://schemas.openxmlformats.org/spreadsheetml/2006/main" count="64" uniqueCount="64">
  <si>
    <t>Phyllis2</t>
  </si>
  <si>
    <t>https://phyllis.nl/Biomass/View/3148</t>
  </si>
  <si>
    <t>pine sawdust (#3148)</t>
  </si>
  <si>
    <t>ID-number</t>
  </si>
  <si>
    <t>#3148</t>
  </si>
  <si>
    <t>Material</t>
  </si>
  <si>
    <t>pine sawdust</t>
  </si>
  <si>
    <t>Alternative name</t>
  </si>
  <si>
    <t>Pine</t>
  </si>
  <si>
    <t>Latin name</t>
  </si>
  <si>
    <t>Pinus sylvestris</t>
  </si>
  <si>
    <t>Description</t>
  </si>
  <si>
    <t>Sawdust</t>
  </si>
  <si>
    <t>Classification</t>
  </si>
  <si>
    <t>CEN/TS 14961 classification &gt; Solid biofuels &gt; Woody biomass &gt; Wood processing industry</t>
  </si>
  <si>
    <t>ECN Phyllis classification &gt; untreated wood &gt; fir/pine/spruce &gt; pine sawdust</t>
  </si>
  <si>
    <t>NTA 8003 classification &gt; [100] hout &gt; [110] vers hout &gt; [115] zaagsel</t>
  </si>
  <si>
    <t>Sample date</t>
  </si>
  <si>
    <t>Country</t>
  </si>
  <si>
    <t>Finland</t>
  </si>
  <si>
    <t>Production date</t>
  </si>
  <si>
    <t>Submitter</t>
  </si>
  <si>
    <t>VTT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</si>
  <si>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</si>
  <si>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</si>
  <si>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</si>
  <si>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</si>
  <si>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</si>
  <si>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</si>
  <si>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</si>
  <si>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</si>
  <si>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</si>
  <si>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</si>
  <si>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</si>
  <si>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</si>
  <si>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</si>
  <si>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</si>
  <si>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</si>
  <si>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</si>
  <si>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</si>
  <si>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</si>
  <si>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</si>
  <si>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</si>
  <si>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</si>
  <si>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</si>
  <si>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</si>
  <si>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</si>
  <si>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</si>
  <si>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</si>
  <si>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</si>
  <si>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</si>
  <si>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</si>
  <si>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</si>
  <si>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Total (with halides)</t>
  </si>
  <si>
    <t>Heating value</t>
  </si>
  <si>
    <t>Net calorific value (LHV)</t>
  </si>
  <si>
    <t>MJ/kg</t>
  </si>
  <si>
    <t>CEN/TS 14918</t>
  </si>
  <si>
    <t>Gross calorific value (HHV)</t>
  </si>
  <si>
    <t>Physical Properties</t>
  </si>
  <si>
    <t>Specific properties</t>
  </si>
  <si>
    <t>Shredding</t>
  </si>
  <si>
    <t>Shredded or Unshredded</t>
  </si>
  <si>
    <t>Shredded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</si>
</sst>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4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23.5006771087646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8" t="s">
        <v>13</v>
      </c>
      <c r="B10" s="0" t="s">
        <v>14</v>
      </c>
    </row>
    <row r="11" outlineLevel="1">
      <c r="A11" s="8"/>
      <c r="B11" s="0" t="s">
        <v>15</v>
      </c>
    </row>
    <row r="12" outlineLevel="1">
      <c r="A12" s="8"/>
      <c r="B12" s="0" t="s">
        <v>16</v>
      </c>
    </row>
    <row r="13" outlineLevel="1">
      <c r="A13" s="7" t="s">
        <v>17</v>
      </c>
      <c r="B13" s="6">
        <v>38959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6">
        <v>38959</v>
      </c>
    </row>
    <row r="16" outlineLevel="1">
      <c r="A16" s="7" t="s">
        <v>21</v>
      </c>
      <c r="B16" s="0" t="s">
        <v>22</v>
      </c>
    </row>
    <row r="17" outlineLevel="1">
      <c r="A17" s="7" t="s">
        <v>23</v>
      </c>
      <c r="B17" s="0" t="s">
        <v>24</v>
      </c>
    </row>
    <row r="18" outlineLevel="1">
      <c r="A18" s="7" t="s">
        <v>25</v>
      </c>
      <c r="B18" s="6">
        <v>39484</v>
      </c>
    </row>
    <row r="19">
      <c r="A19" s="7"/>
    </row>
    <row r="20" s="1" customFormat="1">
      <c r="A20" s="9" t="s">
        <v>26</v>
      </c>
    </row>
    <row r="21" s="1" customFormat="1">
      <c r="A21" s="10" t="s">
        <v>27</v>
      </c>
      <c r="B21" s="10" t="s">
        <v>28</v>
      </c>
      <c r="C21" s="10" t="s">
        <v>29</v>
      </c>
      <c r="D21" s="10"/>
      <c r="E21" s="10"/>
      <c r="F21" s="10" t="s">
        <v>30</v>
      </c>
      <c r="G21" s="10" t="s">
        <v>31</v>
      </c>
      <c r="H21" s="10" t="s">
        <v>32</v>
      </c>
      <c r="I21" s="10" t="s">
        <v>33</v>
      </c>
      <c r="J21" s="10" t="s">
        <v>34</v>
      </c>
      <c r="K21" s="10" t="s">
        <v>35</v>
      </c>
      <c r="L21" s="10"/>
    </row>
    <row r="22" s="1" customFormat="1">
      <c r="A22" s="10"/>
      <c r="B22" s="10"/>
      <c r="C22" s="10" t="s">
        <v>36</v>
      </c>
      <c r="D22" s="10" t="s">
        <v>37</v>
      </c>
      <c r="E22" s="10" t="s">
        <v>38</v>
      </c>
      <c r="F22" s="10"/>
      <c r="G22" s="10"/>
      <c r="H22" s="10"/>
      <c r="I22" s="10"/>
      <c r="J22" s="10"/>
      <c r="K22" s="10"/>
      <c r="L22" s="10"/>
    </row>
    <row r="23">
      <c r="A23" s="7" t="s">
        <v>39</v>
      </c>
      <c r="I23" s="5"/>
    </row>
    <row r="24" outlineLevel="1">
      <c r="A24" s="11" t="s">
        <v>40</v>
      </c>
      <c r="I24" s="5"/>
    </row>
    <row r="25" outlineLevel="2">
      <c r="A25" s="12" t="s">
        <v>41</v>
      </c>
      <c r="B25" s="0" t="s">
        <v>42</v>
      </c>
      <c r="C25" s="13">
        <v>10.9</v>
      </c>
      <c r="D25" s="13"/>
      <c r="E25" s="13"/>
      <c r="F25" s="13"/>
      <c r="G25" s="13"/>
      <c r="H25" s="0" t="s">
        <v>22</v>
      </c>
      <c r="I25" s="5">
        <v>38964</v>
      </c>
      <c r="J25" s="0" t="s">
        <v>43</v>
      </c>
    </row>
    <row r="26" outlineLevel="2">
      <c r="A26" s="12" t="s">
        <v>44</v>
      </c>
      <c r="B26" s="0" t="s">
        <v>42</v>
      </c>
      <c r="C26" s="13">
        <f>IFERROR(0.3*(1-w),"")</f>
        <v>0.2673</v>
      </c>
      <c r="D26" s="13">
        <v>0.3</v>
      </c>
      <c r="E26" s="13">
        <v/>
      </c>
      <c r="F26" s="13"/>
      <c r="G26" s="13"/>
      <c r="H26" s="0" t="s">
        <v>22</v>
      </c>
      <c r="I26" s="5">
        <v>38964</v>
      </c>
      <c r="J26" s="0" t="s">
        <v>45</v>
      </c>
    </row>
    <row r="27" outlineLevel="2">
      <c r="A27" s="12" t="s">
        <v>46</v>
      </c>
      <c r="B27" s="0" t="s">
        <v>42</v>
      </c>
      <c r="C27" s="13">
        <f>IFERROR(83.5*(1-w),"")</f>
        <v>74.3985</v>
      </c>
      <c r="D27" s="13">
        <v>83.5</v>
      </c>
      <c r="E27" s="13">
        <v>83.751253761283849</v>
      </c>
      <c r="F27" s="13"/>
      <c r="G27" s="13"/>
      <c r="H27" s="0" t="s">
        <v>22</v>
      </c>
      <c r="I27" s="5">
        <v>38964</v>
      </c>
    </row>
    <row r="28" outlineLevel="2">
      <c r="A28" s="12" t="s">
        <v>47</v>
      </c>
      <c r="B28" s="0" t="s">
        <v>42</v>
      </c>
      <c r="C28" s="13">
        <f>IFERROR(16.2*(1-w),"")</f>
        <v>14.434200000000002</v>
      </c>
      <c r="D28" s="13">
        <v>16.200000000000003</v>
      </c>
      <c r="E28" s="13">
        <v>16.248746238716151</v>
      </c>
      <c r="F28" s="13"/>
      <c r="G28" s="13"/>
      <c r="I28" s="5"/>
      <c r="J28" s="0" t="s">
        <v>48</v>
      </c>
    </row>
    <row r="29" outlineLevel="1">
      <c r="A29" s="11" t="s">
        <v>49</v>
      </c>
      <c r="I29" s="5"/>
    </row>
    <row r="30" outlineLevel="2">
      <c r="A30" s="12" t="s">
        <v>50</v>
      </c>
      <c r="B30" s="0" t="s">
        <v>42</v>
      </c>
      <c r="C30" s="13">
        <f>IFERROR(50.3*(1-w),"")</f>
        <v>44.817299999999996</v>
      </c>
      <c r="D30" s="13">
        <v>50.3</v>
      </c>
      <c r="E30" s="13">
        <v>50.45135406218656</v>
      </c>
      <c r="F30" s="13"/>
      <c r="G30" s="13"/>
      <c r="H30" s="0" t="s">
        <v>22</v>
      </c>
      <c r="I30" s="5">
        <v>38964</v>
      </c>
      <c r="J30" s="0" t="s">
        <v>51</v>
      </c>
    </row>
    <row r="31" outlineLevel="2">
      <c r="A31" s="12" t="s">
        <v>52</v>
      </c>
      <c r="B31" s="0" t="s">
        <v>42</v>
      </c>
      <c r="C31" s="13">
        <f>IFERROR(6.2*(1-w),"")</f>
        <v>5.5242</v>
      </c>
      <c r="D31" s="13">
        <v>6.2</v>
      </c>
      <c r="E31" s="13">
        <v>6.218655967903711</v>
      </c>
      <c r="F31" s="13"/>
      <c r="G31" s="13"/>
      <c r="H31" s="0" t="s">
        <v>22</v>
      </c>
      <c r="I31" s="5">
        <v>38964</v>
      </c>
      <c r="J31" s="0" t="s">
        <v>51</v>
      </c>
    </row>
    <row r="32" outlineLevel="2">
      <c r="A32" s="12" t="s">
        <v>53</v>
      </c>
      <c r="B32" s="0" t="s">
        <v>42</v>
      </c>
      <c r="C32" s="13">
        <f>IFERROR(56.8*(1-w)+w*100,"")</f>
        <v>61.508799999999994</v>
      </c>
      <c r="D32" s="13">
        <v>56.8</v>
      </c>
      <c r="E32" s="13">
        <v>56.670010030090268</v>
      </c>
      <c r="F32" s="13"/>
      <c r="G32" s="13"/>
      <c r="I32" s="5"/>
      <c r="J32" s="0" t="s">
        <v>48</v>
      </c>
    </row>
    <row r="33" outlineLevel="1">
      <c r="A33" s="11" t="s">
        <v>54</v>
      </c>
      <c r="I33" s="5"/>
    </row>
    <row r="34" outlineLevel="2">
      <c r="A34" s="12" t="s">
        <v>55</v>
      </c>
      <c r="B34" s="0" t="s">
        <v>56</v>
      </c>
      <c r="C34" s="13">
        <f>IFERROR(18.96*(1-w)-w*2.443,"")</f>
        <v>16.627073000000003</v>
      </c>
      <c r="D34" s="13">
        <v>18.96</v>
      </c>
      <c r="E34" s="13">
        <v>19.017051153460383</v>
      </c>
      <c r="F34" s="13"/>
      <c r="G34" s="13"/>
      <c r="H34" s="0" t="s">
        <v>22</v>
      </c>
      <c r="I34" s="5">
        <v>38964</v>
      </c>
      <c r="J34" s="0" t="s">
        <v>57</v>
      </c>
    </row>
    <row r="35" outlineLevel="2">
      <c r="A35" s="12" t="s">
        <v>58</v>
      </c>
      <c r="B35" s="0" t="s">
        <v>56</v>
      </c>
      <c r="C35" s="13">
        <f>IFERROR(20.32*(1-w),"")</f>
        <v>18.10512</v>
      </c>
      <c r="D35" s="13">
        <v>20.32</v>
      </c>
      <c r="E35" s="13">
        <v>20.381143430290873</v>
      </c>
      <c r="F35" s="13"/>
      <c r="G35" s="13"/>
      <c r="H35" s="0" t="s">
        <v>22</v>
      </c>
      <c r="I35" s="5">
        <v>38964</v>
      </c>
    </row>
    <row r="36">
      <c r="A36" s="7" t="s">
        <v>59</v>
      </c>
      <c r="I36" s="5"/>
    </row>
    <row r="37" outlineLevel="1">
      <c r="A37" s="11" t="s">
        <v>60</v>
      </c>
      <c r="I37" s="5"/>
    </row>
    <row r="38" outlineLevel="2">
      <c r="A38" s="12" t="s">
        <v>61</v>
      </c>
      <c r="B38" s="0" t="s">
        <v>62</v>
      </c>
      <c r="C38" s="13" t="s">
        <v>63</v>
      </c>
      <c r="D38" s="13"/>
      <c r="E38" s="13"/>
      <c r="F38" s="13"/>
      <c r="G38" s="13"/>
      <c r="I38" s="5"/>
    </row>
    <row r="39">
      <c r="I39" s="5"/>
    </row>
    <row r="40" s="1" customFormat="1"/>
  </sheetData>
  <mergeCells>
    <mergeCell ref="A10:A12"/>
    <mergeCell ref="C21:E21"/>
    <mergeCell ref="A21:A22"/>
    <mergeCell ref="B21:B22"/>
    <mergeCell ref="F21:F22"/>
    <mergeCell ref="G21:G22"/>
    <mergeCell ref="H21:H22"/>
    <mergeCell ref="I21:I22"/>
    <mergeCell ref="J21:J22"/>
    <mergeCell ref="K21:K22"/>
    <mergeCell ref="C38:E38"/>
  </mergeCells>
  <dataValidations count="1">
    <dataValidation type="decimal" sqref="C25" errorStyle="stop" promptTitle="Enter moisture content" errorTitle="Invalid moisture content" prompt="Value should be between 0 and 100.&#10;Original value: 10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https://phyllis.nl/Biomass/View/3148</dc:description>
  <dcterms:created xsi:type="dcterms:W3CDTF">2026-03-19T04:21:54Z</dcterms:created>
  <dc:title>Phyllis2 #3148 pine sawdust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