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50 pine sawdust" sheetId="1" r:id="rId1"/>
  </sheets>
  <definedNames>
    <definedName name="w" localSheetId="0">IF(ISBLANK('Phyllis2 #3150 pine sawdust'!$C$26),#N/A,'Phyllis2 #3150 pine sawdust'!$C$26/100)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<sst xmlns="http://schemas.openxmlformats.org/spreadsheetml/2006/main" count="66" uniqueCount="66">
  <si>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</si>
  <si>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https://phyllis.nl/Biomass/View/3150</t>
  </si>
  <si>
    <t>pine sawdust (#3150)</t>
  </si>
  <si>
    <t>ID-number</t>
  </si>
  <si>
    <t>#3150</t>
  </si>
  <si>
    <t>Material</t>
  </si>
  <si>
    <t>pine sawdust</t>
  </si>
  <si>
    <t>Alternative name</t>
  </si>
  <si>
    <t>Pine</t>
  </si>
  <si>
    <t>Latin name</t>
  </si>
  <si>
    <t>Pinus sylvestris</t>
  </si>
  <si>
    <t>Description</t>
  </si>
  <si>
    <t>Sawdust</t>
  </si>
  <si>
    <t>Classification</t>
  </si>
  <si>
    <t>CEN/TS 14961 classification &gt; Solid biofuels &gt; Woody biomass &gt; Wood processing industry</t>
  </si>
  <si>
    <t>ECN Phyllis classification &gt; untreated wood &gt; fir/pine/spruce &gt; pine sawdust</t>
  </si>
  <si>
    <t>NTA 8003 classification &gt; [100] hout &gt; [110] vers hout &gt; [115] zaagsel</t>
  </si>
  <si>
    <t>Sample date</t>
  </si>
  <si>
    <t>Sample location</t>
  </si>
  <si>
    <t>Pihlava</t>
  </si>
  <si>
    <t>Country</t>
  </si>
  <si>
    <t>Finland</t>
  </si>
  <si>
    <t>Production date</t>
  </si>
  <si>
    <t>Submitter</t>
  </si>
  <si>
    <t>VTT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</si>
  <si>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</si>
  <si>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</si>
  <si>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</si>
  <si>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</si>
  <si>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</si>
  <si>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</si>
  <si>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</si>
  <si>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</si>
  <si>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</si>
  <si>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</si>
  <si>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</si>
  <si>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</si>
  <si>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</si>
  <si>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</si>
  <si>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</si>
  <si>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</si>
  <si>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</si>
  <si>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</si>
  <si>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</si>
  <si>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</si>
  <si>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</si>
  <si>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</si>
  <si>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</si>
  <si>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</si>
  <si>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</si>
  <si>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</si>
  <si>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</si>
  <si>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</si>
  <si>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</si>
  <si>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</si>
  <si>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Total (with halides)</t>
  </si>
  <si>
    <t>Heating value</t>
  </si>
  <si>
    <t>Net calorific value (LHV)</t>
  </si>
  <si>
    <t>MJ/kg</t>
  </si>
  <si>
    <t>CEN/TS 14918</t>
  </si>
  <si>
    <t>Gross calorific value (HHV)</t>
  </si>
  <si>
    <t>Physical Properties</t>
  </si>
  <si>
    <t>Specific properties</t>
  </si>
  <si>
    <t>Shredding</t>
  </si>
  <si>
    <t>Shredded or Unshredded</t>
  </si>
  <si>
    <t>Shredded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</si>
</sst>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23.5006771087646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38961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38961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39484</v>
      </c>
    </row>
    <row r="20">
      <c r="A20" s="7"/>
    </row>
    <row r="21" s="1" customFormat="1">
      <c r="A21" s="9" t="s">
        <v>28</v>
      </c>
    </row>
    <row r="22" s="1" customFormat="1">
      <c r="A22" s="10" t="s">
        <v>29</v>
      </c>
      <c r="B22" s="10" t="s">
        <v>30</v>
      </c>
      <c r="C22" s="10" t="s">
        <v>31</v>
      </c>
      <c r="D22" s="10"/>
      <c r="E22" s="10"/>
      <c r="F22" s="10" t="s">
        <v>32</v>
      </c>
      <c r="G22" s="10" t="s">
        <v>33</v>
      </c>
      <c r="H22" s="10" t="s">
        <v>34</v>
      </c>
      <c r="I22" s="10" t="s">
        <v>35</v>
      </c>
      <c r="J22" s="10" t="s">
        <v>36</v>
      </c>
      <c r="K22" s="10" t="s">
        <v>37</v>
      </c>
      <c r="L22" s="10"/>
    </row>
    <row r="23" s="1" customFormat="1">
      <c r="A23" s="10"/>
      <c r="B23" s="10"/>
      <c r="C23" s="10" t="s">
        <v>38</v>
      </c>
      <c r="D23" s="10" t="s">
        <v>39</v>
      </c>
      <c r="E23" s="10" t="s">
        <v>40</v>
      </c>
      <c r="F23" s="10"/>
      <c r="G23" s="10"/>
      <c r="H23" s="10"/>
      <c r="I23" s="10"/>
      <c r="J23" s="10"/>
      <c r="K23" s="10"/>
      <c r="L23" s="10"/>
    </row>
    <row r="24">
      <c r="A24" s="7" t="s">
        <v>41</v>
      </c>
      <c r="I24" s="5"/>
    </row>
    <row r="25" outlineLevel="1">
      <c r="A25" s="11" t="s">
        <v>42</v>
      </c>
      <c r="I25" s="5"/>
    </row>
    <row r="26" outlineLevel="2">
      <c r="A26" s="12" t="s">
        <v>43</v>
      </c>
      <c r="B26" s="0" t="s">
        <v>44</v>
      </c>
      <c r="C26" s="13">
        <v>9.5</v>
      </c>
      <c r="D26" s="13"/>
      <c r="E26" s="13"/>
      <c r="F26" s="13"/>
      <c r="G26" s="13"/>
      <c r="H26" s="0" t="s">
        <v>24</v>
      </c>
      <c r="I26" s="5">
        <v>38964</v>
      </c>
      <c r="J26" s="0" t="s">
        <v>45</v>
      </c>
    </row>
    <row r="27" outlineLevel="2">
      <c r="A27" s="12" t="s">
        <v>46</v>
      </c>
      <c r="B27" s="0" t="s">
        <v>44</v>
      </c>
      <c r="C27" s="13">
        <f>IFERROR(0.1*(1-w),"")</f>
        <v>0.090500000000000011</v>
      </c>
      <c r="D27" s="13">
        <v>0.1</v>
      </c>
      <c r="E27" s="13">
        <v/>
      </c>
      <c r="F27" s="13"/>
      <c r="G27" s="13"/>
      <c r="H27" s="0" t="s">
        <v>24</v>
      </c>
      <c r="I27" s="5">
        <v>38964</v>
      </c>
      <c r="J27" s="0" t="s">
        <v>47</v>
      </c>
    </row>
    <row r="28" outlineLevel="2">
      <c r="A28" s="12" t="s">
        <v>48</v>
      </c>
      <c r="B28" s="0" t="s">
        <v>44</v>
      </c>
      <c r="C28" s="13">
        <f>IFERROR(84*(1-w),"")</f>
        <v>76.02</v>
      </c>
      <c r="D28" s="13">
        <v>84</v>
      </c>
      <c r="E28" s="13">
        <v>84.084084084084083</v>
      </c>
      <c r="F28" s="13"/>
      <c r="G28" s="13"/>
      <c r="H28" s="0" t="s">
        <v>24</v>
      </c>
      <c r="I28" s="5">
        <v>38964</v>
      </c>
    </row>
    <row r="29" outlineLevel="2">
      <c r="A29" s="12" t="s">
        <v>49</v>
      </c>
      <c r="B29" s="0" t="s">
        <v>44</v>
      </c>
      <c r="C29" s="13">
        <f>IFERROR(15.9*(1-w),"")</f>
        <v>14.389500000000005</v>
      </c>
      <c r="D29" s="13">
        <v>15.900000000000006</v>
      </c>
      <c r="E29" s="13">
        <v>15.915915915915921</v>
      </c>
      <c r="F29" s="13"/>
      <c r="G29" s="13"/>
      <c r="I29" s="5"/>
      <c r="J29" s="0" t="s">
        <v>50</v>
      </c>
    </row>
    <row r="30" outlineLevel="1">
      <c r="A30" s="11" t="s">
        <v>51</v>
      </c>
      <c r="I30" s="5"/>
    </row>
    <row r="31" outlineLevel="2">
      <c r="A31" s="12" t="s">
        <v>52</v>
      </c>
      <c r="B31" s="0" t="s">
        <v>44</v>
      </c>
      <c r="C31" s="13">
        <f>IFERROR(50.5*(1-w),"")</f>
        <v>45.7025</v>
      </c>
      <c r="D31" s="13">
        <v>50.5</v>
      </c>
      <c r="E31" s="13">
        <v>50.550550550550554</v>
      </c>
      <c r="F31" s="13"/>
      <c r="G31" s="13"/>
      <c r="H31" s="0" t="s">
        <v>24</v>
      </c>
      <c r="I31" s="5">
        <v>38964</v>
      </c>
      <c r="J31" s="0" t="s">
        <v>53</v>
      </c>
    </row>
    <row r="32" outlineLevel="2">
      <c r="A32" s="12" t="s">
        <v>54</v>
      </c>
      <c r="B32" s="0" t="s">
        <v>44</v>
      </c>
      <c r="C32" s="13">
        <f>IFERROR(6.4*(1-w),"")</f>
        <v>5.7920000000000007</v>
      </c>
      <c r="D32" s="13">
        <v>6.4</v>
      </c>
      <c r="E32" s="13">
        <v>6.4064064064064068</v>
      </c>
      <c r="F32" s="13"/>
      <c r="G32" s="13"/>
      <c r="H32" s="0" t="s">
        <v>24</v>
      </c>
      <c r="I32" s="5">
        <v>38964</v>
      </c>
      <c r="J32" s="0" t="s">
        <v>53</v>
      </c>
    </row>
    <row r="33" outlineLevel="2">
      <c r="A33" s="12" t="s">
        <v>55</v>
      </c>
      <c r="B33" s="0" t="s">
        <v>44</v>
      </c>
      <c r="C33" s="13">
        <f>IFERROR(57*(1-w)+w*100,"")</f>
        <v>61.085</v>
      </c>
      <c r="D33" s="13">
        <v>57</v>
      </c>
      <c r="E33" s="13">
        <v>56.956956956956958</v>
      </c>
      <c r="F33" s="13"/>
      <c r="G33" s="13"/>
      <c r="I33" s="5"/>
      <c r="J33" s="0" t="s">
        <v>50</v>
      </c>
    </row>
    <row r="34" outlineLevel="1">
      <c r="A34" s="11" t="s">
        <v>56</v>
      </c>
      <c r="I34" s="5"/>
    </row>
    <row r="35" outlineLevel="2">
      <c r="A35" s="12" t="s">
        <v>57</v>
      </c>
      <c r="B35" s="0" t="s">
        <v>58</v>
      </c>
      <c r="C35" s="13">
        <f>IFERROR(19.04*(1-w)-w*2.443,"")</f>
        <v>16.999115</v>
      </c>
      <c r="D35" s="13">
        <v>19.04</v>
      </c>
      <c r="E35" s="13">
        <v>19.059059059059059</v>
      </c>
      <c r="F35" s="13"/>
      <c r="G35" s="13"/>
      <c r="H35" s="0" t="s">
        <v>24</v>
      </c>
      <c r="I35" s="5">
        <v>38964</v>
      </c>
      <c r="J35" s="0" t="s">
        <v>59</v>
      </c>
    </row>
    <row r="36" outlineLevel="2">
      <c r="A36" s="12" t="s">
        <v>60</v>
      </c>
      <c r="B36" s="0" t="s">
        <v>58</v>
      </c>
      <c r="C36" s="13">
        <f>IFERROR(20.43*(1-w),"")</f>
        <v>18.48915</v>
      </c>
      <c r="D36" s="13">
        <v>20.43</v>
      </c>
      <c r="E36" s="13">
        <v>20.45045045045045</v>
      </c>
      <c r="F36" s="13"/>
      <c r="G36" s="13"/>
      <c r="H36" s="0" t="s">
        <v>24</v>
      </c>
      <c r="I36" s="5">
        <v>38964</v>
      </c>
    </row>
    <row r="37">
      <c r="A37" s="7" t="s">
        <v>61</v>
      </c>
      <c r="I37" s="5"/>
    </row>
    <row r="38" outlineLevel="1">
      <c r="A38" s="11" t="s">
        <v>62</v>
      </c>
      <c r="I38" s="5"/>
    </row>
    <row r="39" outlineLevel="2">
      <c r="A39" s="12" t="s">
        <v>63</v>
      </c>
      <c r="B39" s="0" t="s">
        <v>64</v>
      </c>
      <c r="C39" s="13" t="s">
        <v>65</v>
      </c>
      <c r="D39" s="13"/>
      <c r="E39" s="13"/>
      <c r="F39" s="13"/>
      <c r="G39" s="13"/>
      <c r="I39" s="5"/>
    </row>
    <row r="40">
      <c r="I40" s="5"/>
    </row>
    <row r="41" s="1" customFormat="1"/>
  </sheetData>
  <mergeCells>
    <mergeCell ref="A10:A12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9:E39"/>
  </mergeCells>
  <dataValidations count="1">
    <dataValidation type="decimal" sqref="C26" errorStyle="stop" promptTitle="Enter moisture content" errorTitle="Invalid moisture content" prompt="Value should be between 0 and 100.&#10;Original value: 9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https://phyllis.nl/Biomass/View/3150</dc:description>
  <dcterms:created xsi:type="dcterms:W3CDTF">2026-03-19T04:21:59Z</dcterms:created>
  <dc:title>Phyllis2 #3150 pine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