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52 Demolition wood" sheetId="1" r:id="rId1"/>
  </sheets>
  <definedNames>
    <definedName name="w" localSheetId="0">IF(ISBLANK('Phyllis2 #3152 Demolition wood'!$C$22),#N/A,'Phyllis2 #3152 Demolition wood'!$C$22/100)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<sst xmlns="http://schemas.openxmlformats.org/spreadsheetml/2006/main" count="61" uniqueCount="61">
  <si>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</si>
  <si>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https://phyllis.nl/Biomass/View/3152</t>
  </si>
  <si>
    <t>Demolition wood (#3152)</t>
  </si>
  <si>
    <t>ID-number</t>
  </si>
  <si>
    <t>#3152</t>
  </si>
  <si>
    <t>Material</t>
  </si>
  <si>
    <t>Demolition wood</t>
  </si>
  <si>
    <t>Classification</t>
  </si>
  <si>
    <t>CEN/TS 14961 classification &gt; Solid biofuels &gt; Woody biomass &gt; Used wood &gt; Chemically untreated wood</t>
  </si>
  <si>
    <t>ECN Phyllis classification &gt; treated wood &gt; demolition wood</t>
  </si>
  <si>
    <t>NTA 8003 classification &gt; [100] hout &gt; [150] verwerkt hout &gt; [160] onbehandeld (A-hout)</t>
  </si>
  <si>
    <t>Sample date</t>
  </si>
  <si>
    <t>Country</t>
  </si>
  <si>
    <t>Finland</t>
  </si>
  <si>
    <t>Production date</t>
  </si>
  <si>
    <t>Submitter</t>
  </si>
  <si>
    <t>VTT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</si>
  <si>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</si>
  <si>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</si>
  <si>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</si>
  <si>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</si>
  <si>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</si>
  <si>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</si>
  <si>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</si>
  <si>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</si>
  <si>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</si>
  <si>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</si>
  <si>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</si>
  <si>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</si>
  <si>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</si>
  <si>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</si>
  <si>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</si>
  <si>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</si>
  <si>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</si>
  <si>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</si>
  <si>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</si>
  <si>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</si>
  <si>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</si>
  <si>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</si>
  <si>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</si>
  <si>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</si>
  <si>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</si>
  <si>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</si>
  <si>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</si>
  <si>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</si>
  <si>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</si>
  <si>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</si>
  <si>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</si>
  <si>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</si>
  <si>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</si>
  <si>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</si>
  <si>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</si>
  <si>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Net calorific value (LHV)</t>
  </si>
  <si>
    <t>MJ/kg</t>
  </si>
  <si>
    <t>CEN/TS 14918</t>
  </si>
  <si>
    <t>Gross calorific value (HHV)</t>
  </si>
  <si>
    <t>Physical Properties</t>
  </si>
  <si>
    <t>Specific properties</t>
  </si>
  <si>
    <t>Shredding</t>
  </si>
  <si>
    <t>Shredded or Unshredded</t>
  </si>
  <si>
    <t>Shredded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</si>
</sst>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5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23.5006771087646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6">
        <v>39401</v>
      </c>
    </row>
    <row r="11" outlineLevel="1">
      <c r="A11" s="7" t="s">
        <v>12</v>
      </c>
      <c r="B11" s="0" t="s">
        <v>13</v>
      </c>
    </row>
    <row r="12" outlineLevel="1">
      <c r="A12" s="7" t="s">
        <v>14</v>
      </c>
      <c r="B12" s="6">
        <v>39401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6">
        <v>39484</v>
      </c>
    </row>
    <row r="16">
      <c r="A16" s="7"/>
    </row>
    <row r="17" s="1" customFormat="1">
      <c r="A17" s="9" t="s">
        <v>20</v>
      </c>
    </row>
    <row r="18" s="1" customFormat="1">
      <c r="A18" s="10" t="s">
        <v>21</v>
      </c>
      <c r="B18" s="10" t="s">
        <v>22</v>
      </c>
      <c r="C18" s="10" t="s">
        <v>23</v>
      </c>
      <c r="D18" s="10"/>
      <c r="E18" s="10"/>
      <c r="F18" s="10" t="s">
        <v>24</v>
      </c>
      <c r="G18" s="10" t="s">
        <v>25</v>
      </c>
      <c r="H18" s="10" t="s">
        <v>26</v>
      </c>
      <c r="I18" s="10" t="s">
        <v>27</v>
      </c>
      <c r="J18" s="10" t="s">
        <v>28</v>
      </c>
      <c r="K18" s="10" t="s">
        <v>29</v>
      </c>
      <c r="L18" s="10"/>
    </row>
    <row r="19" s="1" customFormat="1">
      <c r="A19" s="10"/>
      <c r="B19" s="10"/>
      <c r="C19" s="10" t="s">
        <v>30</v>
      </c>
      <c r="D19" s="10" t="s">
        <v>31</v>
      </c>
      <c r="E19" s="10" t="s">
        <v>32</v>
      </c>
      <c r="F19" s="10"/>
      <c r="G19" s="10"/>
      <c r="H19" s="10"/>
      <c r="I19" s="10"/>
      <c r="J19" s="10"/>
      <c r="K19" s="10"/>
      <c r="L19" s="10"/>
    </row>
    <row r="20">
      <c r="A20" s="7" t="s">
        <v>33</v>
      </c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36</v>
      </c>
      <c r="C22" s="13">
        <v>16.7</v>
      </c>
      <c r="D22" s="13"/>
      <c r="E22" s="13"/>
      <c r="F22" s="13"/>
      <c r="G22" s="13"/>
      <c r="H22" s="0" t="s">
        <v>16</v>
      </c>
      <c r="I22" s="5">
        <v>39408</v>
      </c>
      <c r="J22" s="0" t="s">
        <v>37</v>
      </c>
    </row>
    <row r="23" outlineLevel="2">
      <c r="A23" s="12" t="s">
        <v>38</v>
      </c>
      <c r="B23" s="0" t="s">
        <v>36</v>
      </c>
      <c r="C23" s="13">
        <f>IFERROR(2.6*(1-w),"")</f>
        <v>2.1658</v>
      </c>
      <c r="D23" s="13">
        <v>2.6</v>
      </c>
      <c r="E23" s="13">
        <v/>
      </c>
      <c r="F23" s="13"/>
      <c r="G23" s="13"/>
      <c r="H23" s="0" t="s">
        <v>16</v>
      </c>
      <c r="I23" s="5">
        <v>39408</v>
      </c>
      <c r="J23" s="0" t="s">
        <v>39</v>
      </c>
    </row>
    <row r="24" outlineLevel="2">
      <c r="A24" s="12" t="s">
        <v>40</v>
      </c>
      <c r="B24" s="0" t="s">
        <v>36</v>
      </c>
      <c r="C24" s="13">
        <f>IFERROR(79.1*(1-w),"")</f>
        <v>65.8903</v>
      </c>
      <c r="D24" s="13">
        <v>79.1</v>
      </c>
      <c r="E24" s="13">
        <v>81.21149897330595</v>
      </c>
      <c r="F24" s="13"/>
      <c r="G24" s="13"/>
      <c r="H24" s="0" t="s">
        <v>16</v>
      </c>
      <c r="I24" s="5">
        <v>39408</v>
      </c>
    </row>
    <row r="25" outlineLevel="2">
      <c r="A25" s="12" t="s">
        <v>41</v>
      </c>
      <c r="B25" s="0" t="s">
        <v>36</v>
      </c>
      <c r="C25" s="13">
        <f>IFERROR(18.3*(1-w),"")</f>
        <v>15.243900000000009</v>
      </c>
      <c r="D25" s="13">
        <v>18.300000000000011</v>
      </c>
      <c r="E25" s="13">
        <v>18.788501026694057</v>
      </c>
      <c r="F25" s="13"/>
      <c r="G25" s="13"/>
      <c r="I25" s="5"/>
      <c r="J25" s="0" t="s">
        <v>42</v>
      </c>
    </row>
    <row r="26" outlineLevel="1">
      <c r="A26" s="11" t="s">
        <v>43</v>
      </c>
      <c r="I26" s="5"/>
    </row>
    <row r="27" outlineLevel="2">
      <c r="A27" s="12" t="s">
        <v>44</v>
      </c>
      <c r="B27" s="0" t="s">
        <v>36</v>
      </c>
      <c r="C27" s="13">
        <f>IFERROR(49.6*(1-w),"")</f>
        <v>41.3168</v>
      </c>
      <c r="D27" s="13">
        <v>49.6</v>
      </c>
      <c r="E27" s="13">
        <v>50.924024640657088</v>
      </c>
      <c r="F27" s="13"/>
      <c r="G27" s="13"/>
      <c r="H27" s="0" t="s">
        <v>16</v>
      </c>
      <c r="I27" s="5">
        <v>39408</v>
      </c>
      <c r="J27" s="0" t="s">
        <v>45</v>
      </c>
    </row>
    <row r="28" outlineLevel="2">
      <c r="A28" s="12" t="s">
        <v>46</v>
      </c>
      <c r="B28" s="0" t="s">
        <v>36</v>
      </c>
      <c r="C28" s="13">
        <f>IFERROR(5.8*(1-w),"")</f>
        <v>4.8313999999999995</v>
      </c>
      <c r="D28" s="13">
        <v>5.8</v>
      </c>
      <c r="E28" s="13">
        <v>5.95482546201232</v>
      </c>
      <c r="F28" s="13"/>
      <c r="G28" s="13"/>
      <c r="H28" s="0" t="s">
        <v>16</v>
      </c>
      <c r="I28" s="5">
        <v>39408</v>
      </c>
      <c r="J28" s="0" t="s">
        <v>45</v>
      </c>
    </row>
    <row r="29" outlineLevel="2">
      <c r="A29" s="12" t="s">
        <v>47</v>
      </c>
      <c r="B29" s="0" t="s">
        <v>36</v>
      </c>
      <c r="C29" s="13">
        <f>IFERROR(0.8*(1-w),"")</f>
        <v>0.6664</v>
      </c>
      <c r="D29" s="13">
        <v>0.8</v>
      </c>
      <c r="E29" s="13">
        <v>0.82135523613963046</v>
      </c>
      <c r="F29" s="13"/>
      <c r="G29" s="13"/>
      <c r="I29" s="5"/>
      <c r="J29" s="0" t="s">
        <v>45</v>
      </c>
    </row>
    <row r="30" outlineLevel="2">
      <c r="A30" s="12" t="s">
        <v>48</v>
      </c>
      <c r="B30" s="0" t="s">
        <v>36</v>
      </c>
      <c r="C30" s="13">
        <f>IFERROR(0.04*(1-w),"")</f>
        <v>0.03332</v>
      </c>
      <c r="D30" s="13">
        <v>0.04</v>
      </c>
      <c r="E30" s="13">
        <v>0.041067761806981525</v>
      </c>
      <c r="F30" s="13"/>
      <c r="G30" s="13"/>
      <c r="I30" s="5"/>
      <c r="J30" s="0" t="s">
        <v>49</v>
      </c>
    </row>
    <row r="31" outlineLevel="2">
      <c r="A31" s="12" t="s">
        <v>50</v>
      </c>
      <c r="B31" s="0" t="s">
        <v>36</v>
      </c>
      <c r="C31" s="13">
        <f>IFERROR(58.84*(1-w)+w*100,"")</f>
        <v>65.71372</v>
      </c>
      <c r="D31" s="13">
        <v>58.839999999999996</v>
      </c>
      <c r="E31" s="13">
        <v>57.741273100616013</v>
      </c>
      <c r="F31" s="13"/>
      <c r="G31" s="13"/>
      <c r="I31" s="5"/>
      <c r="J31" s="0" t="s">
        <v>42</v>
      </c>
    </row>
    <row r="32" outlineLevel="1">
      <c r="A32" s="11" t="s">
        <v>51</v>
      </c>
      <c r="I32" s="5"/>
    </row>
    <row r="33" outlineLevel="2">
      <c r="A33" s="12" t="s">
        <v>52</v>
      </c>
      <c r="B33" s="0" t="s">
        <v>53</v>
      </c>
      <c r="C33" s="13">
        <f>IFERROR(18.64*(1-w)-w*2.443,"")</f>
        <v>15.119139</v>
      </c>
      <c r="D33" s="13">
        <v>18.64</v>
      </c>
      <c r="E33" s="13">
        <v>19.137577002053391</v>
      </c>
      <c r="F33" s="13"/>
      <c r="G33" s="13"/>
      <c r="H33" s="0" t="s">
        <v>16</v>
      </c>
      <c r="I33" s="5">
        <v>39408</v>
      </c>
      <c r="J33" s="0" t="s">
        <v>54</v>
      </c>
    </row>
    <row r="34" outlineLevel="2">
      <c r="A34" s="12" t="s">
        <v>55</v>
      </c>
      <c r="B34" s="0" t="s">
        <v>53</v>
      </c>
      <c r="C34" s="13">
        <f>IFERROR(19.91*(1-w),"")</f>
        <v>16.58503</v>
      </c>
      <c r="D34" s="13">
        <v>19.91</v>
      </c>
      <c r="E34" s="13">
        <v>20.441478439425051</v>
      </c>
      <c r="F34" s="13"/>
      <c r="G34" s="13"/>
      <c r="H34" s="0" t="s">
        <v>16</v>
      </c>
      <c r="I34" s="5">
        <v>39408</v>
      </c>
    </row>
    <row r="35">
      <c r="A35" s="7" t="s">
        <v>56</v>
      </c>
      <c r="I35" s="5"/>
    </row>
    <row r="36" outlineLevel="1">
      <c r="A36" s="11" t="s">
        <v>57</v>
      </c>
      <c r="I36" s="5"/>
    </row>
    <row r="37" outlineLevel="2">
      <c r="A37" s="12" t="s">
        <v>58</v>
      </c>
      <c r="B37" s="0" t="s">
        <v>59</v>
      </c>
      <c r="C37" s="13" t="s">
        <v>60</v>
      </c>
      <c r="D37" s="13"/>
      <c r="E37" s="13"/>
      <c r="F37" s="13"/>
      <c r="G37" s="13"/>
      <c r="I37" s="5"/>
    </row>
    <row r="38">
      <c r="I38" s="5"/>
    </row>
    <row r="39" s="1" customFormat="1"/>
  </sheetData>
  <mergeCells>
    <mergeCell ref="A7:A9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37:E37"/>
  </mergeCells>
  <dataValidations count="1">
    <dataValidation type="decimal" sqref="C22" errorStyle="stop" promptTitle="Enter moisture content" errorTitle="Invalid moisture content" prompt="Value should be between 0 and 100.&#10;Original value: 16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https://phyllis.nl/Biomass/View/3152</dc:description>
  <dcterms:created xsi:type="dcterms:W3CDTF">2026-03-19T04:03:02Z</dcterms:created>
  <dc:title>Phyllis2 #3152 Demolition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