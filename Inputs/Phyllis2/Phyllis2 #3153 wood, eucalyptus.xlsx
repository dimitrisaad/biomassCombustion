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3 wood, eucalyptus" sheetId="1" r:id="rId1"/>
  </sheets>
  <definedNames>
    <definedName name="w" localSheetId="0">IF(ISBLANK('Phyllis2 #3153 wood, eucalyptus'!$C$23),#N/A,'Phyllis2 #3153 wood, eucalyptus'!$C$23/100)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<sst xmlns="http://schemas.openxmlformats.org/spreadsheetml/2006/main" count="61" uniqueCount="61">
  <si>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</si>
  <si>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https://phyllis.nl/Biomass/View/3153</t>
  </si>
  <si>
    <t>wood, eucalyptus (#3153)</t>
  </si>
  <si>
    <t>ID-number</t>
  </si>
  <si>
    <t>#3153</t>
  </si>
  <si>
    <t>Material</t>
  </si>
  <si>
    <t>wood, eucalyptus</t>
  </si>
  <si>
    <t>Alternative name</t>
  </si>
  <si>
    <t>Eucalyptus</t>
  </si>
  <si>
    <t>Classification</t>
  </si>
  <si>
    <t>CEN/TS 14961 classification &gt; Solid biofuels &gt; Woody biomass &gt; Forest and plantation wood &gt; Whole trees without roots &gt; Deciduous</t>
  </si>
  <si>
    <t>ECN Phyllis classification &gt; untreated wood &gt; other hard wood &gt; wood, eucalyptus</t>
  </si>
  <si>
    <t>NTA 8003 classification &gt; [100] hout &gt; [110] vers hout &gt; [120] loofhout &gt; [125] hard loofhout</t>
  </si>
  <si>
    <t>Sample date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</si>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</sst>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39023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39023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39484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7.6</v>
      </c>
      <c r="D23" s="13"/>
      <c r="E23" s="13"/>
      <c r="F23" s="13"/>
      <c r="G23" s="13"/>
      <c r="H23" s="0" t="s">
        <v>18</v>
      </c>
      <c r="I23" s="5">
        <v>39408</v>
      </c>
      <c r="J23" s="0" t="s">
        <v>39</v>
      </c>
    </row>
    <row r="24" outlineLevel="2">
      <c r="A24" s="12" t="s">
        <v>40</v>
      </c>
      <c r="B24" s="0" t="s">
        <v>38</v>
      </c>
      <c r="C24" s="13">
        <f>IFERROR(0.4*(1-w),"")</f>
        <v>0.36960000000000004</v>
      </c>
      <c r="D24" s="13">
        <v>0.4</v>
      </c>
      <c r="E24" s="13">
        <v/>
      </c>
      <c r="F24" s="13"/>
      <c r="G24" s="13"/>
      <c r="H24" s="0" t="s">
        <v>18</v>
      </c>
      <c r="I24" s="5">
        <v>39408</v>
      </c>
      <c r="J24" s="0" t="s">
        <v>41</v>
      </c>
    </row>
    <row r="25" outlineLevel="2">
      <c r="A25" s="12" t="s">
        <v>42</v>
      </c>
      <c r="B25" s="0" t="s">
        <v>38</v>
      </c>
      <c r="C25" s="13">
        <f>IFERROR(83.3*(1-w),"")</f>
        <v>76.9692</v>
      </c>
      <c r="D25" s="13">
        <v>83.3</v>
      </c>
      <c r="E25" s="13">
        <v>83.634538152610446</v>
      </c>
      <c r="F25" s="13"/>
      <c r="G25" s="13"/>
      <c r="H25" s="0" t="s">
        <v>18</v>
      </c>
      <c r="I25" s="5">
        <v>39408</v>
      </c>
    </row>
    <row r="26" outlineLevel="2">
      <c r="A26" s="12" t="s">
        <v>43</v>
      </c>
      <c r="B26" s="0" t="s">
        <v>38</v>
      </c>
      <c r="C26" s="13">
        <f>IFERROR(16.3*(1-w),"")</f>
        <v>15.061199999999998</v>
      </c>
      <c r="D26" s="13">
        <v>16.299999999999997</v>
      </c>
      <c r="E26" s="13">
        <v>16.365461847389554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38</v>
      </c>
      <c r="C28" s="13">
        <f>IFERROR(50.1*(1-w),"")</f>
        <v>46.2924</v>
      </c>
      <c r="D28" s="13">
        <v>50.1</v>
      </c>
      <c r="E28" s="13">
        <v>50.30120481927711</v>
      </c>
      <c r="F28" s="13"/>
      <c r="G28" s="13"/>
      <c r="H28" s="0" t="s">
        <v>18</v>
      </c>
      <c r="I28" s="5">
        <v>39408</v>
      </c>
      <c r="J28" s="0" t="s">
        <v>47</v>
      </c>
    </row>
    <row r="29" outlineLevel="2">
      <c r="A29" s="12" t="s">
        <v>48</v>
      </c>
      <c r="B29" s="0" t="s">
        <v>38</v>
      </c>
      <c r="C29" s="13">
        <f>IFERROR(6*(1-w),"")</f>
        <v>5.5440000000000005</v>
      </c>
      <c r="D29" s="13">
        <v>6</v>
      </c>
      <c r="E29" s="13">
        <v>6.024096385542169</v>
      </c>
      <c r="F29" s="13"/>
      <c r="G29" s="13"/>
      <c r="H29" s="0" t="s">
        <v>18</v>
      </c>
      <c r="I29" s="5">
        <v>39408</v>
      </c>
      <c r="J29" s="0" t="s">
        <v>47</v>
      </c>
    </row>
    <row r="30" outlineLevel="2">
      <c r="A30" s="12" t="s">
        <v>49</v>
      </c>
      <c r="B30" s="0" t="s">
        <v>38</v>
      </c>
      <c r="C30" s="13">
        <f>IFERROR(0.1*(1-w),"")</f>
        <v>0.09240000000000001</v>
      </c>
      <c r="D30" s="13">
        <v>0.1</v>
      </c>
      <c r="E30" s="13">
        <v>0.10040160642570281</v>
      </c>
      <c r="F30" s="13"/>
      <c r="G30" s="13"/>
      <c r="I30" s="5"/>
      <c r="J30" s="0" t="s">
        <v>47</v>
      </c>
    </row>
    <row r="31" outlineLevel="2">
      <c r="A31" s="12" t="s">
        <v>50</v>
      </c>
      <c r="B31" s="0" t="s">
        <v>38</v>
      </c>
      <c r="C31" s="13">
        <f>IFERROR(56.6*(1-w)+w*100,"")</f>
        <v>59.8984</v>
      </c>
      <c r="D31" s="13">
        <v>56.6</v>
      </c>
      <c r="E31" s="13">
        <v>56.425702811244982</v>
      </c>
      <c r="F31" s="13"/>
      <c r="G31" s="13"/>
      <c r="I31" s="5"/>
      <c r="J31" s="0" t="s">
        <v>44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3">
        <f>IFERROR(18.58*(1-w)-w*2.443,"")</f>
        <v>16.982252</v>
      </c>
      <c r="D33" s="13">
        <v>18.58</v>
      </c>
      <c r="E33" s="13">
        <v>18.654618473895582</v>
      </c>
      <c r="F33" s="13"/>
      <c r="G33" s="13"/>
      <c r="H33" s="0" t="s">
        <v>18</v>
      </c>
      <c r="I33" s="5">
        <v>39408</v>
      </c>
      <c r="J33" s="0" t="s">
        <v>54</v>
      </c>
    </row>
    <row r="34" outlineLevel="2">
      <c r="A34" s="12" t="s">
        <v>55</v>
      </c>
      <c r="B34" s="0" t="s">
        <v>53</v>
      </c>
      <c r="C34" s="13">
        <f>IFERROR(19.89*(1-w),"")</f>
        <v>18.37836</v>
      </c>
      <c r="D34" s="13">
        <v>19.89</v>
      </c>
      <c r="E34" s="13">
        <v>19.96987951807229</v>
      </c>
      <c r="F34" s="13"/>
      <c r="G34" s="13"/>
      <c r="H34" s="0" t="s">
        <v>18</v>
      </c>
      <c r="I34" s="5">
        <v>39408</v>
      </c>
    </row>
    <row r="35">
      <c r="A35" s="7" t="s">
        <v>56</v>
      </c>
      <c r="I35" s="5"/>
    </row>
    <row r="36" outlineLevel="1">
      <c r="A36" s="11" t="s">
        <v>57</v>
      </c>
      <c r="I36" s="5"/>
    </row>
    <row r="37" outlineLevel="2">
      <c r="A37" s="12" t="s">
        <v>58</v>
      </c>
      <c r="B37" s="0" t="s">
        <v>59</v>
      </c>
      <c r="C37" s="13" t="s">
        <v>60</v>
      </c>
      <c r="D37" s="13"/>
      <c r="E37" s="13"/>
      <c r="F37" s="13"/>
      <c r="G37" s="13"/>
      <c r="I37" s="5"/>
    </row>
    <row r="38">
      <c r="I38" s="5"/>
    </row>
    <row r="39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7:E37"/>
  </mergeCells>
  <dataValidations count="1">
    <dataValidation type="decimal" sqref="C23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https://phyllis.nl/Biomass/View/3153</dc:description>
  <dcterms:created xsi:type="dcterms:W3CDTF">2026-03-19T07:14:36Z</dcterms:created>
  <dc:title>Phyllis2 #3153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