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58 Bark, Spruce" sheetId="1" r:id="rId1"/>
  </sheets>
  <definedNames>
    <definedName name="w" localSheetId="0">IF(ISBLANK('Phyllis2 #3158 Bark, Spruce'!$C$27),#N/A,'Phyllis2 #3158 Bark, Spruce'!$C$27/100)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<sst xmlns="http://schemas.openxmlformats.org/spreadsheetml/2006/main" count="103" uniqueCount="103">
  <si>
    <t>Phyllis2</t>
  </si>
  <si>
    <t>https://phyllis.nl/Biomass/View/3158</t>
  </si>
  <si>
    <t>Bark, Spruce (#3158)</t>
  </si>
  <si>
    <t>ID-number</t>
  </si>
  <si>
    <t>#3158</t>
  </si>
  <si>
    <t>Material</t>
  </si>
  <si>
    <t>Bark, Spruce</t>
  </si>
  <si>
    <t>Alternative name</t>
  </si>
  <si>
    <t>Pine</t>
  </si>
  <si>
    <t>Description</t>
  </si>
  <si>
    <t>Spruce</t>
  </si>
  <si>
    <t>Classification</t>
  </si>
  <si>
    <t>CEN/TS 14961 classification &gt; Solid biofuels &gt; Woody biomass &gt; Forest and plantation wood &gt; Whole trees without roots &gt; Coniferous</t>
  </si>
  <si>
    <t>ECN Phyllis classification &gt; untreated wood &gt; bark &gt; bark, spruce</t>
  </si>
  <si>
    <t>NTA 8003 classification &gt; [100] hout &gt; [110] vers hout &gt; [112] schors</t>
  </si>
  <si>
    <t>Sample date</t>
  </si>
  <si>
    <t>Sample location</t>
  </si>
  <si>
    <t>Finland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</si>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</sst>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5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7.6507911682129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35065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17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39692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26</v>
      </c>
      <c r="L23" s="10"/>
    </row>
    <row r="24" s="1" customFormat="1">
      <c r="A24" s="10"/>
      <c r="B24" s="10"/>
      <c r="C24" s="10" t="s">
        <v>39</v>
      </c>
      <c r="D24" s="10" t="s">
        <v>40</v>
      </c>
      <c r="E24" s="10" t="s">
        <v>41</v>
      </c>
      <c r="F24" s="10"/>
      <c r="G24" s="10"/>
      <c r="H24" s="10"/>
      <c r="I24" s="10"/>
      <c r="J24" s="10"/>
      <c r="K24" s="10"/>
      <c r="L24" s="10"/>
    </row>
    <row r="25">
      <c r="A25" s="7" t="s">
        <v>42</v>
      </c>
      <c r="I25" s="5"/>
    </row>
    <row r="26" outlineLevel="1">
      <c r="A26" s="11" t="s">
        <v>43</v>
      </c>
      <c r="I26" s="5"/>
    </row>
    <row r="27" outlineLevel="2">
      <c r="A27" s="12" t="s">
        <v>44</v>
      </c>
      <c r="B27" s="0" t="s">
        <v>45</v>
      </c>
      <c r="C27" s="13">
        <v>5.25</v>
      </c>
      <c r="D27" s="13"/>
      <c r="E27" s="13"/>
      <c r="F27" s="13"/>
      <c r="G27" s="13"/>
      <c r="I27" s="5"/>
    </row>
    <row r="28" outlineLevel="2">
      <c r="A28" s="12" t="s">
        <v>46</v>
      </c>
      <c r="B28" s="0" t="s">
        <v>45</v>
      </c>
      <c r="C28" s="13">
        <f>IFERROR(2.34*(1-w),"")</f>
        <v>2.2171499999999997</v>
      </c>
      <c r="D28" s="13">
        <v>2.34</v>
      </c>
      <c r="E28" s="13">
        <v/>
      </c>
      <c r="F28" s="13"/>
      <c r="G28" s="13"/>
      <c r="I28" s="5"/>
      <c r="J28" s="0" t="s">
        <v>47</v>
      </c>
    </row>
    <row r="29" outlineLevel="2">
      <c r="A29" s="12" t="s">
        <v>48</v>
      </c>
      <c r="B29" s="0" t="s">
        <v>45</v>
      </c>
      <c r="C29" s="13">
        <f>IFERROR(75.2*(1-w),"")</f>
        <v>71.25200000000001</v>
      </c>
      <c r="D29" s="13">
        <v>75.2</v>
      </c>
      <c r="E29" s="13">
        <v>77.001843129223843</v>
      </c>
      <c r="F29" s="13"/>
      <c r="G29" s="13"/>
      <c r="I29" s="5"/>
    </row>
    <row r="30" outlineLevel="2">
      <c r="A30" s="12" t="s">
        <v>49</v>
      </c>
      <c r="B30" s="0" t="s">
        <v>45</v>
      </c>
      <c r="C30" s="13">
        <f>IFERROR(22.46*(1-w),"")</f>
        <v>21.280849999999994</v>
      </c>
      <c r="D30" s="13">
        <v>22.459999999999994</v>
      </c>
      <c r="E30" s="13">
        <v>22.998156870776157</v>
      </c>
      <c r="F30" s="13"/>
      <c r="G30" s="13"/>
      <c r="I30" s="5"/>
      <c r="J30" s="0" t="s">
        <v>50</v>
      </c>
    </row>
    <row r="31" outlineLevel="1">
      <c r="A31" s="11" t="s">
        <v>51</v>
      </c>
      <c r="I31" s="5"/>
    </row>
    <row r="32" outlineLevel="2">
      <c r="A32" s="12" t="s">
        <v>52</v>
      </c>
      <c r="B32" s="0" t="s">
        <v>45</v>
      </c>
      <c r="C32" s="13">
        <f>IFERROR(49.9*(1-w),"")</f>
        <v>47.28025</v>
      </c>
      <c r="D32" s="13">
        <v>49.9</v>
      </c>
      <c r="E32" s="13">
        <v>51.095637927503581</v>
      </c>
      <c r="F32" s="13"/>
      <c r="G32" s="13"/>
      <c r="I32" s="5"/>
      <c r="J32" s="0" t="s">
        <v>53</v>
      </c>
    </row>
    <row r="33" outlineLevel="2">
      <c r="A33" s="12" t="s">
        <v>54</v>
      </c>
      <c r="B33" s="0" t="s">
        <v>45</v>
      </c>
      <c r="C33" s="13">
        <f>IFERROR(5.9*(1-w),"")</f>
        <v>5.59025</v>
      </c>
      <c r="D33" s="13">
        <v>5.9</v>
      </c>
      <c r="E33" s="13">
        <v>6.04136801146836</v>
      </c>
      <c r="F33" s="13"/>
      <c r="G33" s="13"/>
      <c r="I33" s="5"/>
      <c r="J33" s="0" t="s">
        <v>53</v>
      </c>
    </row>
    <row r="34" outlineLevel="2">
      <c r="A34" s="12" t="s">
        <v>55</v>
      </c>
      <c r="B34" s="0" t="s">
        <v>45</v>
      </c>
      <c r="C34" s="13">
        <f>IFERROR(41.43*(1-w),"")</f>
        <v>39.254925</v>
      </c>
      <c r="D34" s="13">
        <v>41.43</v>
      </c>
      <c r="E34" s="13">
        <v>42.4226909686668</v>
      </c>
      <c r="F34" s="13"/>
      <c r="G34" s="13"/>
      <c r="I34" s="5"/>
      <c r="K34" s="0" t="s">
        <v>56</v>
      </c>
    </row>
    <row r="35" outlineLevel="2">
      <c r="A35" s="12" t="s">
        <v>57</v>
      </c>
      <c r="B35" s="0" t="s">
        <v>45</v>
      </c>
      <c r="C35" s="13">
        <f>IFERROR(0.4*(1-w),"")</f>
        <v>0.379</v>
      </c>
      <c r="D35" s="13">
        <v>0.4</v>
      </c>
      <c r="E35" s="13">
        <v>0.40958427196395658</v>
      </c>
      <c r="F35" s="13"/>
      <c r="G35" s="13"/>
      <c r="I35" s="5"/>
      <c r="J35" s="0" t="s">
        <v>53</v>
      </c>
    </row>
    <row r="36" outlineLevel="2">
      <c r="A36" s="12" t="s">
        <v>58</v>
      </c>
      <c r="B36" s="0" t="s">
        <v>45</v>
      </c>
      <c r="C36" s="13">
        <f>IFERROR(0.03*(1-w),"")</f>
        <v>0.028425</v>
      </c>
      <c r="D36" s="13">
        <v>0.03</v>
      </c>
      <c r="E36" s="13">
        <v>0.030718820397296741</v>
      </c>
      <c r="F36" s="13"/>
      <c r="G36" s="13"/>
      <c r="I36" s="5"/>
      <c r="J36" s="0" t="s">
        <v>59</v>
      </c>
    </row>
    <row r="37" outlineLevel="2">
      <c r="A37" s="12" t="s">
        <v>60</v>
      </c>
      <c r="B37" s="0" t="s">
        <v>45</v>
      </c>
      <c r="C37" s="13">
        <f>IFERROR(100.0279*(1-w)+w*100,"")</f>
        <v>100.02643525</v>
      </c>
      <c r="D37" s="13">
        <v>100.0279</v>
      </c>
      <c r="E37" s="13">
        <v>100.02856850296948</v>
      </c>
      <c r="F37" s="13"/>
      <c r="G37" s="13"/>
      <c r="I37" s="5"/>
      <c r="J37" s="0" t="s">
        <v>50</v>
      </c>
    </row>
    <row r="38" outlineLevel="1">
      <c r="A38" s="11" t="s">
        <v>61</v>
      </c>
      <c r="I38" s="5"/>
    </row>
    <row r="39" outlineLevel="2">
      <c r="A39" s="12" t="s">
        <v>62</v>
      </c>
      <c r="B39" s="0" t="s">
        <v>63</v>
      </c>
      <c r="C39" s="14">
        <f>IFERROR(279*(1-w),"")</f>
        <v>264.3525</v>
      </c>
      <c r="D39" s="14">
        <v>279</v>
      </c>
      <c r="E39" s="14">
        <v>285.68502969485974</v>
      </c>
      <c r="F39" s="14"/>
      <c r="G39" s="14"/>
      <c r="I39" s="5"/>
      <c r="K39" s="0" t="s">
        <v>64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3">
        <f>IFERROR(18.54*(1-w)-w*2.443,"")</f>
        <v>17.4383925</v>
      </c>
      <c r="D41" s="13">
        <v>18.54</v>
      </c>
      <c r="E41" s="13">
        <v>18.984231005529388</v>
      </c>
      <c r="F41" s="13"/>
      <c r="G41" s="13"/>
      <c r="I41" s="5"/>
      <c r="J41" s="0" t="s">
        <v>68</v>
      </c>
    </row>
    <row r="42" outlineLevel="2">
      <c r="A42" s="12" t="s">
        <v>69</v>
      </c>
      <c r="B42" s="0" t="s">
        <v>67</v>
      </c>
      <c r="C42" s="13">
        <f>IFERROR(19.83*(1-w),"")</f>
        <v>18.788925</v>
      </c>
      <c r="D42" s="13">
        <v>19.83</v>
      </c>
      <c r="E42" s="13">
        <v>20.305140282613145</v>
      </c>
      <c r="F42" s="13"/>
      <c r="G42" s="13"/>
      <c r="I42" s="5"/>
    </row>
    <row r="43" outlineLevel="2">
      <c r="A43" s="12" t="s">
        <v>70</v>
      </c>
      <c r="B43" s="0" t="s">
        <v>67</v>
      </c>
      <c r="C43" s="13">
        <f>IFERROR(19.7631937668*(1-w),"")</f>
        <v>18.725626094043</v>
      </c>
      <c r="D43" s="13">
        <v>19.7631937668</v>
      </c>
      <c r="E43" s="13">
        <v>20.236733326643456</v>
      </c>
      <c r="F43" s="13"/>
      <c r="G43" s="13"/>
      <c r="I43" s="5"/>
      <c r="J43" s="0" t="s">
        <v>50</v>
      </c>
    </row>
    <row r="44" outlineLevel="1">
      <c r="A44" s="11" t="s">
        <v>71</v>
      </c>
      <c r="I44" s="5"/>
    </row>
    <row r="45" outlineLevel="2">
      <c r="A45" s="12" t="s">
        <v>72</v>
      </c>
      <c r="B45" s="0" t="s">
        <v>73</v>
      </c>
      <c r="C45" s="14">
        <v>3003</v>
      </c>
      <c r="D45" s="14"/>
      <c r="E45" s="14"/>
      <c r="F45" s="14"/>
      <c r="G45" s="14"/>
      <c r="I45" s="5"/>
      <c r="K45" s="0" t="s">
        <v>64</v>
      </c>
    </row>
    <row r="46" outlineLevel="2">
      <c r="A46" s="12" t="s">
        <v>74</v>
      </c>
      <c r="B46" s="0" t="s">
        <v>73</v>
      </c>
      <c r="C46" s="14">
        <v>89</v>
      </c>
      <c r="D46" s="14"/>
      <c r="E46" s="14"/>
      <c r="F46" s="14"/>
      <c r="G46" s="14"/>
      <c r="I46" s="5"/>
      <c r="K46" s="0" t="s">
        <v>64</v>
      </c>
    </row>
    <row r="47" outlineLevel="1">
      <c r="A47" s="11" t="s">
        <v>75</v>
      </c>
      <c r="I47" s="5"/>
    </row>
    <row r="48" outlineLevel="2">
      <c r="A48" s="15" t="s">
        <v>76</v>
      </c>
      <c r="I48" s="5"/>
    </row>
    <row r="49" outlineLevel="3">
      <c r="A49" s="16" t="s">
        <v>77</v>
      </c>
      <c r="B49" s="0" t="s">
        <v>78</v>
      </c>
      <c r="C49" s="17">
        <v>1405</v>
      </c>
      <c r="D49" s="17"/>
      <c r="E49" s="17"/>
      <c r="F49" s="17"/>
      <c r="G49" s="17"/>
      <c r="I49" s="5"/>
      <c r="J49" s="0" t="s">
        <v>79</v>
      </c>
      <c r="K49" s="0" t="s">
        <v>80</v>
      </c>
    </row>
    <row r="50" outlineLevel="3">
      <c r="A50" s="16" t="s">
        <v>81</v>
      </c>
      <c r="B50" s="0" t="s">
        <v>78</v>
      </c>
      <c r="C50" s="17">
        <v>1550</v>
      </c>
      <c r="D50" s="17"/>
      <c r="E50" s="17"/>
      <c r="F50" s="17"/>
      <c r="G50" s="17"/>
      <c r="I50" s="5"/>
      <c r="J50" s="0" t="s">
        <v>79</v>
      </c>
      <c r="K50" s="0" t="s">
        <v>80</v>
      </c>
    </row>
    <row r="51" outlineLevel="3">
      <c r="A51" s="16" t="s">
        <v>82</v>
      </c>
      <c r="B51" s="0" t="s">
        <v>78</v>
      </c>
      <c r="C51" s="17">
        <v>1650</v>
      </c>
      <c r="D51" s="17"/>
      <c r="E51" s="17"/>
      <c r="F51" s="17"/>
      <c r="G51" s="17"/>
      <c r="I51" s="5"/>
      <c r="J51" s="0" t="s">
        <v>79</v>
      </c>
      <c r="K51" s="0" t="s">
        <v>80</v>
      </c>
    </row>
    <row r="52" outlineLevel="3">
      <c r="A52" s="16" t="s">
        <v>83</v>
      </c>
      <c r="B52" s="0" t="s">
        <v>78</v>
      </c>
      <c r="C52" s="17">
        <v>1650</v>
      </c>
      <c r="D52" s="17"/>
      <c r="E52" s="17"/>
      <c r="F52" s="17"/>
      <c r="G52" s="17"/>
      <c r="I52" s="5"/>
      <c r="J52" s="0" t="s">
        <v>79</v>
      </c>
      <c r="K52" s="0" t="s">
        <v>80</v>
      </c>
    </row>
    <row r="53" outlineLevel="2">
      <c r="A53" s="15" t="s">
        <v>84</v>
      </c>
      <c r="I53" s="5"/>
    </row>
    <row r="54" outlineLevel="3">
      <c r="A54" s="16" t="s">
        <v>77</v>
      </c>
      <c r="B54" s="0" t="s">
        <v>78</v>
      </c>
      <c r="C54" s="17">
        <v>1565</v>
      </c>
      <c r="D54" s="17"/>
      <c r="E54" s="17"/>
      <c r="F54" s="17"/>
      <c r="G54" s="17"/>
      <c r="I54" s="5"/>
      <c r="J54" s="0" t="s">
        <v>79</v>
      </c>
      <c r="K54" s="0" t="s">
        <v>80</v>
      </c>
    </row>
    <row r="55" outlineLevel="3">
      <c r="A55" s="16" t="s">
        <v>81</v>
      </c>
      <c r="B55" s="0" t="s">
        <v>78</v>
      </c>
      <c r="C55" s="17">
        <v>1580</v>
      </c>
      <c r="D55" s="17"/>
      <c r="E55" s="17"/>
      <c r="F55" s="17"/>
      <c r="G55" s="17"/>
      <c r="I55" s="5"/>
      <c r="J55" s="0" t="s">
        <v>79</v>
      </c>
      <c r="K55" s="0" t="s">
        <v>80</v>
      </c>
    </row>
    <row r="56" outlineLevel="3">
      <c r="A56" s="16" t="s">
        <v>82</v>
      </c>
      <c r="B56" s="0" t="s">
        <v>78</v>
      </c>
      <c r="C56" s="17">
        <v>1650</v>
      </c>
      <c r="D56" s="17"/>
      <c r="E56" s="17"/>
      <c r="F56" s="17"/>
      <c r="G56" s="17"/>
      <c r="I56" s="5"/>
      <c r="J56" s="0" t="s">
        <v>79</v>
      </c>
      <c r="K56" s="0" t="s">
        <v>80</v>
      </c>
    </row>
    <row r="57" outlineLevel="3">
      <c r="A57" s="16" t="s">
        <v>83</v>
      </c>
      <c r="B57" s="0" t="s">
        <v>78</v>
      </c>
      <c r="C57" s="17">
        <v>1650</v>
      </c>
      <c r="D57" s="17"/>
      <c r="E57" s="17"/>
      <c r="F57" s="17"/>
      <c r="G57" s="17"/>
      <c r="I57" s="5"/>
      <c r="J57" s="0" t="s">
        <v>79</v>
      </c>
      <c r="K57" s="0" t="s">
        <v>80</v>
      </c>
    </row>
    <row r="58">
      <c r="A58" s="7" t="s">
        <v>85</v>
      </c>
      <c r="I58" s="5"/>
    </row>
    <row r="59" outlineLevel="1">
      <c r="A59" s="11" t="s">
        <v>86</v>
      </c>
      <c r="I59" s="5"/>
    </row>
    <row r="60" outlineLevel="2">
      <c r="A60" s="12" t="s">
        <v>87</v>
      </c>
      <c r="B60" s="0" t="s">
        <v>88</v>
      </c>
      <c r="C60" s="17">
        <v>289</v>
      </c>
      <c r="D60" s="17"/>
      <c r="E60" s="17"/>
      <c r="F60" s="17"/>
      <c r="G60" s="17"/>
      <c r="I60" s="5"/>
      <c r="K60" s="0" t="s">
        <v>89</v>
      </c>
    </row>
    <row r="61">
      <c r="A61" s="7" t="s">
        <v>90</v>
      </c>
      <c r="I61" s="5"/>
    </row>
    <row r="62" outlineLevel="1">
      <c r="A62" s="11" t="s">
        <v>91</v>
      </c>
      <c r="I62" s="5"/>
    </row>
    <row r="63" outlineLevel="2">
      <c r="A63" s="12" t="s">
        <v>92</v>
      </c>
      <c r="B63" s="0" t="s">
        <v>93</v>
      </c>
      <c r="C63" s="13">
        <v>0.97</v>
      </c>
      <c r="D63" s="13"/>
      <c r="E63" s="13"/>
      <c r="F63" s="13"/>
      <c r="G63" s="13"/>
      <c r="I63" s="5"/>
    </row>
    <row r="64" outlineLevel="2">
      <c r="A64" s="12" t="s">
        <v>94</v>
      </c>
      <c r="B64" s="0" t="s">
        <v>93</v>
      </c>
      <c r="C64" s="13">
        <v>4.12</v>
      </c>
      <c r="D64" s="13"/>
      <c r="E64" s="13"/>
      <c r="F64" s="13"/>
      <c r="G64" s="13"/>
      <c r="I64" s="5"/>
    </row>
    <row r="65" outlineLevel="2">
      <c r="A65" s="12" t="s">
        <v>95</v>
      </c>
      <c r="B65" s="0" t="s">
        <v>93</v>
      </c>
      <c r="C65" s="13">
        <v>1.5</v>
      </c>
      <c r="D65" s="13"/>
      <c r="E65" s="13"/>
      <c r="F65" s="13"/>
      <c r="G65" s="13"/>
      <c r="I65" s="5"/>
    </row>
    <row r="66" outlineLevel="2">
      <c r="A66" s="12" t="s">
        <v>96</v>
      </c>
      <c r="B66" s="0" t="s">
        <v>93</v>
      </c>
      <c r="C66" s="13">
        <v>0.14</v>
      </c>
      <c r="D66" s="13"/>
      <c r="E66" s="13"/>
      <c r="F66" s="13"/>
      <c r="G66" s="13"/>
      <c r="I66" s="5"/>
    </row>
    <row r="67" outlineLevel="2">
      <c r="A67" s="12" t="s">
        <v>97</v>
      </c>
      <c r="B67" s="0" t="s">
        <v>93</v>
      </c>
      <c r="C67" s="13">
        <v>1.08</v>
      </c>
      <c r="D67" s="13"/>
      <c r="E67" s="13"/>
      <c r="F67" s="13"/>
      <c r="G67" s="13"/>
      <c r="I67" s="5"/>
    </row>
    <row r="68" outlineLevel="2">
      <c r="A68" s="12" t="s">
        <v>98</v>
      </c>
      <c r="B68" s="0" t="s">
        <v>93</v>
      </c>
      <c r="C68" s="13">
        <v>39.18</v>
      </c>
      <c r="D68" s="13"/>
      <c r="E68" s="13"/>
      <c r="F68" s="13"/>
      <c r="G68" s="13"/>
      <c r="I68" s="5"/>
    </row>
    <row r="69" outlineLevel="2">
      <c r="A69" s="12" t="s">
        <v>99</v>
      </c>
      <c r="B69" s="0" t="s">
        <v>93</v>
      </c>
      <c r="C69" s="13">
        <v>5.14</v>
      </c>
      <c r="D69" s="13"/>
      <c r="E69" s="13"/>
      <c r="F69" s="13"/>
      <c r="G69" s="13"/>
      <c r="I69" s="5"/>
    </row>
    <row r="70" outlineLevel="2">
      <c r="A70" s="12" t="s">
        <v>100</v>
      </c>
      <c r="B70" s="0" t="s">
        <v>93</v>
      </c>
      <c r="C70" s="13">
        <v>0.33</v>
      </c>
      <c r="D70" s="13"/>
      <c r="E70" s="13"/>
      <c r="F70" s="13"/>
      <c r="G70" s="13"/>
      <c r="I70" s="5"/>
    </row>
    <row r="71" outlineLevel="2">
      <c r="A71" s="12" t="s">
        <v>101</v>
      </c>
      <c r="B71" s="0" t="s">
        <v>93</v>
      </c>
      <c r="C71" s="13">
        <v>7.59</v>
      </c>
      <c r="D71" s="13"/>
      <c r="E71" s="13"/>
      <c r="F71" s="13"/>
      <c r="G71" s="13"/>
      <c r="I71" s="5"/>
    </row>
    <row r="72" outlineLevel="2">
      <c r="A72" s="12" t="s">
        <v>102</v>
      </c>
      <c r="B72" s="0" t="s">
        <v>93</v>
      </c>
      <c r="C72" s="13">
        <v>0.04</v>
      </c>
      <c r="D72" s="13"/>
      <c r="E72" s="13"/>
      <c r="F72" s="13"/>
      <c r="G72" s="13"/>
      <c r="I72" s="5"/>
    </row>
    <row r="73">
      <c r="I73" s="5"/>
    </row>
    <row r="74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5:E45"/>
    <mergeCell ref="C46:E46"/>
    <mergeCell ref="C49:E49"/>
    <mergeCell ref="C50:E50"/>
    <mergeCell ref="C51:E51"/>
    <mergeCell ref="C52:E52"/>
    <mergeCell ref="C54:E54"/>
    <mergeCell ref="C55:E55"/>
    <mergeCell ref="C56:E56"/>
    <mergeCell ref="C57:E57"/>
    <mergeCell ref="C60:E60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7" errorStyle="stop" promptTitle="Enter moisture content" errorTitle="Invalid moisture content" prompt="Value should be between 0 and 100.&#10;Original value: 5.2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https://phyllis.nl/Biomass/View/3158</dc:description>
  <dcterms:created xsi:type="dcterms:W3CDTF">2026-03-19T04:16:17Z</dcterms:created>
  <dc:title>Phyllis2 #3158 Bark,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