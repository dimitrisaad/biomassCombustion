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60 Pine Sawdust" sheetId="1" r:id="rId1"/>
  </sheets>
  <definedNames>
    <definedName name="w" localSheetId="0">IF(ISBLANK('Phyllis2 #3160 Pine Sawdust'!$C$27),#N/A,'Phyllis2 #3160 Pine Sawdust'!$C$27/100)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<sst xmlns="http://schemas.openxmlformats.org/spreadsheetml/2006/main" count="102" uniqueCount="102">
  <si>
    <t>Phyllis2</t>
  </si>
  <si>
    <t>https://phyllis.nl/Biomass/View/3160</t>
  </si>
  <si>
    <t>Pine Sawdust (#3160)</t>
  </si>
  <si>
    <t>ID-number</t>
  </si>
  <si>
    <t>#3160</t>
  </si>
  <si>
    <t>Material</t>
  </si>
  <si>
    <t>Pine Sawdust</t>
  </si>
  <si>
    <t>Alternative name</t>
  </si>
  <si>
    <t>Pine</t>
  </si>
  <si>
    <t>Description</t>
  </si>
  <si>
    <t>Sawdust from pine wood</t>
  </si>
  <si>
    <t>Classification</t>
  </si>
  <si>
    <t>CEN/TS 14961 classification &gt; Solid biofuels &gt; Woody biomass &gt; Forest and plantation wood &gt; Whole trees without roots &gt; Coniferous</t>
  </si>
  <si>
    <t>ECN Phyllis classification &gt; untreated wood &gt; fir/pine/spruce &gt; pine sawdust</t>
  </si>
  <si>
    <t>NTA 8003 classification &gt; [100] hout &gt; [110] vers hout &gt; [115] zaagsel</t>
  </si>
  <si>
    <t>Sample date</t>
  </si>
  <si>
    <t>Sample location</t>
  </si>
  <si>
    <t>Finland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</si>
  <si>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</si>
  <si>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</si>
  <si>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</si>
  <si>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</si>
  <si>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</si>
  <si>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</si>
  <si>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</si>
  <si>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</si>
  <si>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</si>
  <si>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ash data,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</si>
  <si>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</si>
  <si>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</si>
  <si>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</si>
  <si>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</si>
  <si>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</si>
  <si>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</si>
  <si>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</si>
  <si>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</si>
  <si>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</si>
  <si>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</si>
  <si>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</si>
  <si>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</si>
  <si>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</si>
  <si>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</si>
  <si>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</si>
  <si>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</si>
  <si>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</si>
  <si>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</si>
  <si>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</si>
  <si>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</si>
  <si>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</si>
  <si>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</si>
  <si>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</si>
  <si>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</si>
  <si>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</si>
  <si>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</si>
  <si>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</si>
  <si>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</si>
  <si>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difference</t>
  </si>
  <si>
    <t>Nitrogen</t>
  </si>
  <si>
    <t>Sulphur</t>
  </si>
  <si>
    <t>CEN/TS15289</t>
  </si>
  <si>
    <t>Total (with halides)</t>
  </si>
  <si>
    <t>Halides</t>
  </si>
  <si>
    <t>Chlorine (Cl)</t>
  </si>
  <si>
    <t>mg/kg (dry)</t>
  </si>
  <si>
    <t>below detection limit of neutron activation</t>
  </si>
  <si>
    <t>Heating value</t>
  </si>
  <si>
    <t>Net calorific value (LHV)</t>
  </si>
  <si>
    <t>MJ/kg</t>
  </si>
  <si>
    <t>CEN/TS 14918</t>
  </si>
  <si>
    <t>HHVMilne</t>
  </si>
  <si>
    <t>Trace elements composition</t>
  </si>
  <si>
    <t>Potassium (K)</t>
  </si>
  <si>
    <t>neutron activation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</si>
  <si>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</si>
  <si>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</si>
  <si>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</si>
  <si>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</si>
  <si>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</si>
  <si>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</si>
  <si>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Leco AF-600</t>
  </si>
  <si>
    <t>SOT (softening or spherical temperature)</t>
  </si>
  <si>
    <t>HT (hemispherical temperature)</t>
  </si>
  <si>
    <t>FT (fluid temperature)</t>
  </si>
  <si>
    <t>American standard method, measured in reducing conditions</t>
  </si>
  <si>
    <t>Physical Properties</t>
  </si>
  <si>
    <t>Commonly used properties</t>
  </si>
  <si>
    <t>Bulk density (ar)</t>
  </si>
  <si>
    <t>kg/m³ (ar)</t>
  </si>
  <si>
    <t>loose, not shaken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</si>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</sst>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6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39.1228828430176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35065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17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39692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26</v>
      </c>
      <c r="L23" s="10"/>
    </row>
    <row r="24" s="1" customFormat="1">
      <c r="A24" s="10"/>
      <c r="B24" s="10"/>
      <c r="C24" s="10" t="s">
        <v>39</v>
      </c>
      <c r="D24" s="10" t="s">
        <v>40</v>
      </c>
      <c r="E24" s="10" t="s">
        <v>41</v>
      </c>
      <c r="F24" s="10"/>
      <c r="G24" s="10"/>
      <c r="H24" s="10"/>
      <c r="I24" s="10"/>
      <c r="J24" s="10"/>
      <c r="K24" s="10"/>
      <c r="L24" s="10"/>
    </row>
    <row r="25">
      <c r="A25" s="7" t="s">
        <v>42</v>
      </c>
      <c r="I25" s="5"/>
    </row>
    <row r="26" outlineLevel="1">
      <c r="A26" s="11" t="s">
        <v>43</v>
      </c>
      <c r="I26" s="5"/>
    </row>
    <row r="27" outlineLevel="2">
      <c r="A27" s="12" t="s">
        <v>44</v>
      </c>
      <c r="B27" s="0" t="s">
        <v>45</v>
      </c>
      <c r="C27" s="13">
        <v>15.3</v>
      </c>
      <c r="D27" s="13"/>
      <c r="E27" s="13"/>
      <c r="F27" s="13"/>
      <c r="G27" s="13"/>
      <c r="I27" s="5"/>
    </row>
    <row r="28" outlineLevel="2">
      <c r="A28" s="12" t="s">
        <v>46</v>
      </c>
      <c r="B28" s="0" t="s">
        <v>45</v>
      </c>
      <c r="C28" s="13">
        <f>IFERROR(0.08*(1-w),"")</f>
        <v>0.06776</v>
      </c>
      <c r="D28" s="13">
        <v>0.08</v>
      </c>
      <c r="E28" s="13">
        <v/>
      </c>
      <c r="F28" s="13"/>
      <c r="G28" s="13"/>
      <c r="I28" s="5"/>
      <c r="J28" s="0" t="s">
        <v>47</v>
      </c>
    </row>
    <row r="29" outlineLevel="2">
      <c r="A29" s="12" t="s">
        <v>48</v>
      </c>
      <c r="B29" s="0" t="s">
        <v>45</v>
      </c>
      <c r="C29" s="13">
        <f>IFERROR(83.1*(1-w),"")</f>
        <v>70.3857</v>
      </c>
      <c r="D29" s="13">
        <v>83.1</v>
      </c>
      <c r="E29" s="13">
        <v>83.166533226581265</v>
      </c>
      <c r="F29" s="13"/>
      <c r="G29" s="13"/>
      <c r="I29" s="5"/>
    </row>
    <row r="30" outlineLevel="2">
      <c r="A30" s="12" t="s">
        <v>49</v>
      </c>
      <c r="B30" s="0" t="s">
        <v>45</v>
      </c>
      <c r="C30" s="13">
        <f>IFERROR(16.82*(1-w),"")</f>
        <v>14.246540000000007</v>
      </c>
      <c r="D30" s="13">
        <v>16.820000000000007</v>
      </c>
      <c r="E30" s="13">
        <v>16.833466773418742</v>
      </c>
      <c r="F30" s="13"/>
      <c r="G30" s="13"/>
      <c r="I30" s="5"/>
      <c r="J30" s="0" t="s">
        <v>50</v>
      </c>
    </row>
    <row r="31" outlineLevel="1">
      <c r="A31" s="11" t="s">
        <v>51</v>
      </c>
      <c r="I31" s="5"/>
    </row>
    <row r="32" outlineLevel="2">
      <c r="A32" s="12" t="s">
        <v>52</v>
      </c>
      <c r="B32" s="0" t="s">
        <v>45</v>
      </c>
      <c r="C32" s="13">
        <f>IFERROR(51*(1-w),"")</f>
        <v>43.196999999999996</v>
      </c>
      <c r="D32" s="13">
        <v>51</v>
      </c>
      <c r="E32" s="13">
        <v>51.040832666132907</v>
      </c>
      <c r="F32" s="13"/>
      <c r="G32" s="13"/>
      <c r="I32" s="5"/>
      <c r="J32" s="0" t="s">
        <v>53</v>
      </c>
    </row>
    <row r="33" outlineLevel="2">
      <c r="A33" s="12" t="s">
        <v>54</v>
      </c>
      <c r="B33" s="0" t="s">
        <v>45</v>
      </c>
      <c r="C33" s="13">
        <f>IFERROR(5.99*(1-w),"")</f>
        <v>5.07353</v>
      </c>
      <c r="D33" s="13">
        <v>5.99</v>
      </c>
      <c r="E33" s="13">
        <v>5.9947958366693355</v>
      </c>
      <c r="F33" s="13"/>
      <c r="G33" s="13"/>
      <c r="I33" s="5"/>
      <c r="J33" s="0" t="s">
        <v>53</v>
      </c>
    </row>
    <row r="34" outlineLevel="2">
      <c r="A34" s="12" t="s">
        <v>55</v>
      </c>
      <c r="B34" s="0" t="s">
        <v>45</v>
      </c>
      <c r="C34" s="13">
        <f>IFERROR(42.82*(1-w),"")</f>
        <v>36.26854</v>
      </c>
      <c r="D34" s="13">
        <v>42.82</v>
      </c>
      <c r="E34" s="13">
        <v>42.8542834267414</v>
      </c>
      <c r="F34" s="13"/>
      <c r="G34" s="13"/>
      <c r="I34" s="5"/>
      <c r="K34" s="0" t="s">
        <v>56</v>
      </c>
    </row>
    <row r="35" outlineLevel="2">
      <c r="A35" s="12" t="s">
        <v>57</v>
      </c>
      <c r="B35" s="0" t="s">
        <v>45</v>
      </c>
      <c r="C35" s="13">
        <f>IFERROR(0.08*(1-w),"")</f>
        <v>0.06776</v>
      </c>
      <c r="D35" s="13">
        <v>0.08</v>
      </c>
      <c r="E35" s="13">
        <v>0.080064051240992792</v>
      </c>
      <c r="F35" s="13"/>
      <c r="G35" s="13"/>
      <c r="I35" s="5"/>
      <c r="J35" s="0" t="s">
        <v>53</v>
      </c>
    </row>
    <row r="36" outlineLevel="2">
      <c r="A36" s="12" t="s">
        <v>58</v>
      </c>
      <c r="B36" s="0" t="s">
        <v>45</v>
      </c>
      <c r="C36" s="13">
        <f>IFERROR(0*(1-w),"")</f>
        <v>0</v>
      </c>
      <c r="D36" s="13">
        <v>0</v>
      </c>
      <c r="E36" s="13">
        <v>0</v>
      </c>
      <c r="F36" s="13"/>
      <c r="G36" s="13"/>
      <c r="I36" s="5"/>
      <c r="J36" s="0" t="s">
        <v>59</v>
      </c>
    </row>
    <row r="37" outlineLevel="2">
      <c r="A37" s="12" t="s">
        <v>60</v>
      </c>
      <c r="B37" s="0" t="s">
        <v>45</v>
      </c>
      <c r="C37" s="13">
        <f>IFERROR(99.97*(1-w)+w*100,"")</f>
        <v>99.974589999999992</v>
      </c>
      <c r="D37" s="13">
        <v>99.97</v>
      </c>
      <c r="E37" s="13">
        <v>99.969975980784625</v>
      </c>
      <c r="F37" s="13"/>
      <c r="G37" s="13"/>
      <c r="I37" s="5"/>
      <c r="J37" s="0" t="s">
        <v>50</v>
      </c>
    </row>
    <row r="38" outlineLevel="1">
      <c r="A38" s="11" t="s">
        <v>61</v>
      </c>
      <c r="I38" s="5"/>
    </row>
    <row r="39" outlineLevel="2">
      <c r="A39" s="12" t="s">
        <v>62</v>
      </c>
      <c r="B39" s="0" t="s">
        <v>63</v>
      </c>
      <c r="C39" s="14"/>
      <c r="D39" s="14"/>
      <c r="E39" s="14"/>
      <c r="F39" s="14"/>
      <c r="G39" s="14">
        <v>50</v>
      </c>
      <c r="I39" s="5"/>
      <c r="K39" s="0" t="s">
        <v>64</v>
      </c>
    </row>
    <row r="40" outlineLevel="1">
      <c r="A40" s="11" t="s">
        <v>65</v>
      </c>
      <c r="I40" s="5"/>
    </row>
    <row r="41" outlineLevel="2">
      <c r="A41" s="12" t="s">
        <v>66</v>
      </c>
      <c r="B41" s="0" t="s">
        <v>67</v>
      </c>
      <c r="C41" s="13">
        <f>IFERROR(19.03*(1-w)-w*2.443,"")</f>
        <v>15.744631</v>
      </c>
      <c r="D41" s="13">
        <v>19.03</v>
      </c>
      <c r="E41" s="13">
        <v>19.045236188951161</v>
      </c>
      <c r="F41" s="13"/>
      <c r="G41" s="13"/>
      <c r="I41" s="5"/>
      <c r="J41" s="0" t="s">
        <v>68</v>
      </c>
    </row>
    <row r="42" outlineLevel="2">
      <c r="A42" s="12" t="s">
        <v>69</v>
      </c>
      <c r="B42" s="0" t="s">
        <v>67</v>
      </c>
      <c r="C42" s="13">
        <f>IFERROR(20.1605569792*(1-w),"")</f>
        <v>17.0759917613824</v>
      </c>
      <c r="D42" s="13">
        <v>20.160556979200003</v>
      </c>
      <c r="E42" s="13">
        <v>20.1766983378703</v>
      </c>
      <c r="F42" s="13"/>
      <c r="G42" s="13"/>
      <c r="I42" s="5"/>
      <c r="J42" s="0" t="s">
        <v>50</v>
      </c>
    </row>
    <row r="43" outlineLevel="1">
      <c r="A43" s="11" t="s">
        <v>70</v>
      </c>
      <c r="I43" s="5"/>
    </row>
    <row r="44" outlineLevel="2">
      <c r="A44" s="12" t="s">
        <v>71</v>
      </c>
      <c r="B44" s="0" t="s">
        <v>63</v>
      </c>
      <c r="C44" s="14">
        <v>480</v>
      </c>
      <c r="D44" s="14"/>
      <c r="E44" s="14"/>
      <c r="F44" s="14"/>
      <c r="G44" s="14"/>
      <c r="I44" s="5"/>
      <c r="K44" s="0" t="s">
        <v>72</v>
      </c>
    </row>
    <row r="45" outlineLevel="2">
      <c r="A45" s="12" t="s">
        <v>73</v>
      </c>
      <c r="B45" s="0" t="s">
        <v>63</v>
      </c>
      <c r="C45" s="14">
        <v>20</v>
      </c>
      <c r="D45" s="14"/>
      <c r="E45" s="14"/>
      <c r="F45" s="14"/>
      <c r="G45" s="14"/>
      <c r="I45" s="5"/>
      <c r="K45" s="0" t="s">
        <v>72</v>
      </c>
    </row>
    <row r="46" outlineLevel="1">
      <c r="A46" s="11" t="s">
        <v>74</v>
      </c>
      <c r="I46" s="5"/>
    </row>
    <row r="47" outlineLevel="2">
      <c r="A47" s="15" t="s">
        <v>75</v>
      </c>
      <c r="I47" s="5"/>
    </row>
    <row r="48" outlineLevel="3">
      <c r="A48" s="16" t="s">
        <v>76</v>
      </c>
      <c r="B48" s="0" t="s">
        <v>77</v>
      </c>
      <c r="C48" s="17">
        <v>1150</v>
      </c>
      <c r="D48" s="17"/>
      <c r="E48" s="17"/>
      <c r="F48" s="17"/>
      <c r="G48" s="17"/>
      <c r="I48" s="5"/>
      <c r="J48" s="0" t="s">
        <v>78</v>
      </c>
      <c r="K48" s="0" t="s">
        <v>79</v>
      </c>
    </row>
    <row r="49" outlineLevel="3">
      <c r="A49" s="16" t="s">
        <v>80</v>
      </c>
      <c r="B49" s="0" t="s">
        <v>77</v>
      </c>
      <c r="C49" s="17">
        <v>1180</v>
      </c>
      <c r="D49" s="17"/>
      <c r="E49" s="17"/>
      <c r="F49" s="17"/>
      <c r="G49" s="17"/>
      <c r="I49" s="5"/>
      <c r="J49" s="0" t="s">
        <v>78</v>
      </c>
      <c r="K49" s="0" t="s">
        <v>79</v>
      </c>
    </row>
    <row r="50" outlineLevel="3">
      <c r="A50" s="16" t="s">
        <v>81</v>
      </c>
      <c r="B50" s="0" t="s">
        <v>77</v>
      </c>
      <c r="C50" s="17">
        <v>1200</v>
      </c>
      <c r="D50" s="17"/>
      <c r="E50" s="17"/>
      <c r="F50" s="17"/>
      <c r="G50" s="17"/>
      <c r="I50" s="5"/>
      <c r="J50" s="0" t="s">
        <v>78</v>
      </c>
      <c r="K50" s="0" t="s">
        <v>79</v>
      </c>
    </row>
    <row r="51" outlineLevel="3">
      <c r="A51" s="16" t="s">
        <v>82</v>
      </c>
      <c r="B51" s="0" t="s">
        <v>77</v>
      </c>
      <c r="C51" s="17">
        <v>1225</v>
      </c>
      <c r="D51" s="17"/>
      <c r="E51" s="17"/>
      <c r="F51" s="17"/>
      <c r="G51" s="17"/>
      <c r="I51" s="5"/>
      <c r="J51" s="0" t="s">
        <v>78</v>
      </c>
      <c r="K51" s="0" t="s">
        <v>79</v>
      </c>
    </row>
    <row r="52" outlineLevel="2">
      <c r="A52" s="15" t="s">
        <v>83</v>
      </c>
      <c r="I52" s="5"/>
    </row>
    <row r="53" outlineLevel="3">
      <c r="A53" s="16" t="s">
        <v>76</v>
      </c>
      <c r="B53" s="0" t="s">
        <v>77</v>
      </c>
      <c r="C53" s="17">
        <v>1135</v>
      </c>
      <c r="D53" s="17"/>
      <c r="E53" s="17"/>
      <c r="F53" s="17"/>
      <c r="G53" s="17"/>
      <c r="I53" s="5"/>
      <c r="J53" s="0" t="s">
        <v>78</v>
      </c>
      <c r="K53" s="0" t="s">
        <v>79</v>
      </c>
    </row>
    <row r="54" outlineLevel="3">
      <c r="A54" s="16" t="s">
        <v>80</v>
      </c>
      <c r="B54" s="0" t="s">
        <v>77</v>
      </c>
      <c r="C54" s="17">
        <v>1165</v>
      </c>
      <c r="D54" s="17"/>
      <c r="E54" s="17"/>
      <c r="F54" s="17"/>
      <c r="G54" s="17"/>
      <c r="I54" s="5"/>
      <c r="J54" s="0" t="s">
        <v>78</v>
      </c>
      <c r="K54" s="0" t="s">
        <v>79</v>
      </c>
    </row>
    <row r="55" outlineLevel="3">
      <c r="A55" s="16" t="s">
        <v>81</v>
      </c>
      <c r="B55" s="0" t="s">
        <v>77</v>
      </c>
      <c r="C55" s="17">
        <v>1185</v>
      </c>
      <c r="D55" s="17"/>
      <c r="E55" s="17"/>
      <c r="F55" s="17"/>
      <c r="G55" s="17"/>
      <c r="I55" s="5"/>
      <c r="J55" s="0" t="s">
        <v>78</v>
      </c>
      <c r="K55" s="0" t="s">
        <v>79</v>
      </c>
    </row>
    <row r="56" outlineLevel="3">
      <c r="A56" s="16" t="s">
        <v>82</v>
      </c>
      <c r="B56" s="0" t="s">
        <v>77</v>
      </c>
      <c r="C56" s="17">
        <v>1205</v>
      </c>
      <c r="D56" s="17"/>
      <c r="E56" s="17"/>
      <c r="F56" s="17"/>
      <c r="G56" s="17"/>
      <c r="I56" s="5"/>
      <c r="J56" s="0" t="s">
        <v>78</v>
      </c>
      <c r="K56" s="0" t="s">
        <v>79</v>
      </c>
    </row>
    <row r="57">
      <c r="A57" s="7" t="s">
        <v>84</v>
      </c>
      <c r="I57" s="5"/>
    </row>
    <row r="58" outlineLevel="1">
      <c r="A58" s="11" t="s">
        <v>85</v>
      </c>
      <c r="I58" s="5"/>
    </row>
    <row r="59" outlineLevel="2">
      <c r="A59" s="12" t="s">
        <v>86</v>
      </c>
      <c r="B59" s="0" t="s">
        <v>87</v>
      </c>
      <c r="C59" s="17">
        <v>177</v>
      </c>
      <c r="D59" s="17"/>
      <c r="E59" s="17"/>
      <c r="F59" s="17"/>
      <c r="G59" s="17"/>
      <c r="I59" s="5"/>
      <c r="K59" s="0" t="s">
        <v>88</v>
      </c>
    </row>
    <row r="60">
      <c r="A60" s="7" t="s">
        <v>89</v>
      </c>
      <c r="I60" s="5"/>
    </row>
    <row r="61" outlineLevel="1">
      <c r="A61" s="11" t="s">
        <v>90</v>
      </c>
      <c r="I61" s="5"/>
    </row>
    <row r="62" outlineLevel="2">
      <c r="A62" s="12" t="s">
        <v>91</v>
      </c>
      <c r="B62" s="0" t="s">
        <v>92</v>
      </c>
      <c r="C62" s="13">
        <v>1.95</v>
      </c>
      <c r="D62" s="13"/>
      <c r="E62" s="13"/>
      <c r="F62" s="13"/>
      <c r="G62" s="13"/>
      <c r="I62" s="5"/>
    </row>
    <row r="63" outlineLevel="2">
      <c r="A63" s="12" t="s">
        <v>93</v>
      </c>
      <c r="B63" s="0" t="s">
        <v>92</v>
      </c>
      <c r="C63" s="13">
        <v>5.25</v>
      </c>
      <c r="D63" s="13"/>
      <c r="E63" s="13"/>
      <c r="F63" s="13"/>
      <c r="G63" s="13"/>
      <c r="I63" s="5"/>
    </row>
    <row r="64" outlineLevel="2">
      <c r="A64" s="12" t="s">
        <v>94</v>
      </c>
      <c r="B64" s="0" t="s">
        <v>92</v>
      </c>
      <c r="C64" s="13">
        <v>8.34</v>
      </c>
      <c r="D64" s="13"/>
      <c r="E64" s="13"/>
      <c r="F64" s="13"/>
      <c r="G64" s="13"/>
      <c r="I64" s="5"/>
    </row>
    <row r="65" outlineLevel="2">
      <c r="A65" s="12" t="s">
        <v>95</v>
      </c>
      <c r="B65" s="0" t="s">
        <v>92</v>
      </c>
      <c r="C65" s="13">
        <v>1.84</v>
      </c>
      <c r="D65" s="13"/>
      <c r="E65" s="13"/>
      <c r="F65" s="13"/>
      <c r="G65" s="13"/>
      <c r="I65" s="5"/>
    </row>
    <row r="66" outlineLevel="2">
      <c r="A66" s="12" t="s">
        <v>96</v>
      </c>
      <c r="B66" s="0" t="s">
        <v>92</v>
      </c>
      <c r="C66" s="13">
        <v>2</v>
      </c>
      <c r="D66" s="13"/>
      <c r="E66" s="13"/>
      <c r="F66" s="13"/>
      <c r="G66" s="13"/>
      <c r="I66" s="5"/>
    </row>
    <row r="67" outlineLevel="2">
      <c r="A67" s="12" t="s">
        <v>97</v>
      </c>
      <c r="B67" s="0" t="s">
        <v>92</v>
      </c>
      <c r="C67" s="13">
        <v>41.84</v>
      </c>
      <c r="D67" s="13"/>
      <c r="E67" s="13"/>
      <c r="F67" s="13"/>
      <c r="G67" s="13"/>
      <c r="I67" s="5"/>
    </row>
    <row r="68" outlineLevel="2">
      <c r="A68" s="12" t="s">
        <v>98</v>
      </c>
      <c r="B68" s="0" t="s">
        <v>92</v>
      </c>
      <c r="C68" s="13">
        <v>11.81</v>
      </c>
      <c r="D68" s="13"/>
      <c r="E68" s="13"/>
      <c r="F68" s="13"/>
      <c r="G68" s="13"/>
      <c r="I68" s="5"/>
    </row>
    <row r="69" outlineLevel="2">
      <c r="A69" s="12" t="s">
        <v>99</v>
      </c>
      <c r="B69" s="0" t="s">
        <v>92</v>
      </c>
      <c r="C69" s="13">
        <v>0.24</v>
      </c>
      <c r="D69" s="13"/>
      <c r="E69" s="13"/>
      <c r="F69" s="13"/>
      <c r="G69" s="13"/>
      <c r="I69" s="5"/>
    </row>
    <row r="70" outlineLevel="2">
      <c r="A70" s="12" t="s">
        <v>100</v>
      </c>
      <c r="B70" s="0" t="s">
        <v>92</v>
      </c>
      <c r="C70" s="13">
        <v>12.29</v>
      </c>
      <c r="D70" s="13"/>
      <c r="E70" s="13"/>
      <c r="F70" s="13"/>
      <c r="G70" s="13"/>
      <c r="I70" s="5"/>
    </row>
    <row r="71" outlineLevel="2">
      <c r="A71" s="12" t="s">
        <v>101</v>
      </c>
      <c r="B71" s="0" t="s">
        <v>92</v>
      </c>
      <c r="C71" s="13">
        <v>0.12</v>
      </c>
      <c r="D71" s="13"/>
      <c r="E71" s="13"/>
      <c r="F71" s="13"/>
      <c r="G71" s="13"/>
      <c r="I71" s="5"/>
    </row>
    <row r="72">
      <c r="I72" s="5"/>
    </row>
    <row r="73" s="1" customFormat="1"/>
  </sheetData>
  <mergeCells>
    <mergeCell ref="A9:A11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39:E39"/>
    <mergeCell ref="C44:E44"/>
    <mergeCell ref="C45:E45"/>
    <mergeCell ref="C48:E48"/>
    <mergeCell ref="C49:E49"/>
    <mergeCell ref="C50:E50"/>
    <mergeCell ref="C51:E51"/>
    <mergeCell ref="C53:E53"/>
    <mergeCell ref="C54:E54"/>
    <mergeCell ref="C55:E55"/>
    <mergeCell ref="C56:E56"/>
    <mergeCell ref="C59:E59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</mergeCells>
  <dataValidations count="1">
    <dataValidation type="decimal" sqref="C27" errorStyle="stop" promptTitle="Enter moisture content" errorTitle="Invalid moisture content" prompt="Value should be between 0 and 100.&#10;Original value: 15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https://phyllis.nl/Biomass/View/3160</dc:description>
  <dcterms:created xsi:type="dcterms:W3CDTF">2026-03-19T04:22:01Z</dcterms:created>
  <dc:title>Phyllis2 #3160 Pine Sawdust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