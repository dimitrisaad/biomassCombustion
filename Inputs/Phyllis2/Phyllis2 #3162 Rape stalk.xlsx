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62 Rape stalk" sheetId="1" r:id="rId1"/>
  </sheets>
  <definedNames>
    <definedName name="w" localSheetId="0">IF(ISBLANK('Phyllis2 #3162 Rape stalk'!$C$27),#N/A,'Phyllis2 #3162 Rape stalk'!$C$27/100)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<sst xmlns="http://schemas.openxmlformats.org/spreadsheetml/2006/main" count="97" uniqueCount="97">
  <si>
    <t>Phyllis2</t>
  </si>
  <si>
    <t>https://phyllis.nl/Biomass/View/3162</t>
  </si>
  <si>
    <t>Rape stalk (#3162)</t>
  </si>
  <si>
    <t>ID-number</t>
  </si>
  <si>
    <t>#3162</t>
  </si>
  <si>
    <t>Material</t>
  </si>
  <si>
    <t>Rape stalk</t>
  </si>
  <si>
    <t>Alternative name</t>
  </si>
  <si>
    <t>Rape straw</t>
  </si>
  <si>
    <t>Description</t>
  </si>
  <si>
    <t>Classification</t>
  </si>
  <si>
    <t>CEN/TS 14961 classification &gt; Solid biofuels &gt; Herbaceous biomass &gt; Agriculture and Horticulture herb &gt; Oil seed crops &gt; Stalks and leaves</t>
  </si>
  <si>
    <t>ECN Phyllis classification &gt; straw (stalk/cob/ear) &gt; rape &gt; rape</t>
  </si>
  <si>
    <t>NTA 8003 classification &gt; [200] biomassa uit land- en tuinbouw &gt; [220] stro &gt; [229] overig stro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</si>
  <si>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</si>
  <si>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</si>
  <si>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</si>
  <si>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</si>
  <si>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</si>
  <si>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</si>
  <si>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</si>
  <si>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</si>
  <si>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</si>
  <si>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</si>
  <si>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</si>
  <si>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</si>
  <si>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</si>
  <si>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</si>
  <si>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</si>
  <si>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</si>
  <si>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</si>
  <si>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</si>
  <si>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</si>
  <si>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</si>
  <si>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</si>
  <si>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</si>
  <si>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</si>
  <si>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</si>
  <si>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</si>
  <si>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</si>
  <si>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</si>
  <si>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</si>
  <si>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</si>
  <si>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</si>
  <si>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</si>
  <si>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</si>
  <si>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</si>
  <si>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</si>
  <si>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</si>
  <si>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</si>
  <si>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</si>
  <si>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</si>
  <si>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</si>
  <si>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</si>
  <si>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</si>
  <si>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</si>
  <si>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</si>
  <si>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</si>
  <si>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</si>
  <si>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</si>
  <si>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</si>
  <si>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</si>
  <si>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</si>
  <si>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</si>
  <si>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</si>
  <si>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</si>
  <si>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</si>
  <si>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</si>
  <si>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</si>
  <si>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</si>
  <si>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</si>
  <si>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</si>
  <si>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</si>
  <si>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</si>
  <si>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</si>
  <si>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</si>
  <si>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Leo AF-600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</si>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</sst>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6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7.6507911682129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6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35065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16</v>
      </c>
    </row>
    <row r="16" outlineLevel="1">
      <c r="A16" s="7" t="s">
        <v>20</v>
      </c>
      <c r="B16" s="0" t="s">
        <v>21</v>
      </c>
    </row>
    <row r="17" outlineLevel="1">
      <c r="A17" s="7" t="s">
        <v>22</v>
      </c>
      <c r="B17" s="0" t="s">
        <v>23</v>
      </c>
    </row>
    <row r="18" outlineLevel="1">
      <c r="A18" s="7" t="s">
        <v>24</v>
      </c>
      <c r="B18" s="6">
        <v>39692</v>
      </c>
    </row>
    <row r="19" outlineLevel="1">
      <c r="A19" s="7" t="s">
        <v>25</v>
      </c>
      <c r="B19" s="0" t="s">
        <v>26</v>
      </c>
    </row>
    <row r="20" outlineLevel="1">
      <c r="A20" s="7" t="s">
        <v>27</v>
      </c>
      <c r="B20" s="0" t="s">
        <v>28</v>
      </c>
    </row>
    <row r="21">
      <c r="A21" s="7"/>
    </row>
    <row r="22" s="1" customFormat="1">
      <c r="A22" s="9" t="s">
        <v>29</v>
      </c>
    </row>
    <row r="23" s="1" customFormat="1">
      <c r="A23" s="10" t="s">
        <v>30</v>
      </c>
      <c r="B23" s="10" t="s">
        <v>31</v>
      </c>
      <c r="C23" s="10" t="s">
        <v>32</v>
      </c>
      <c r="D23" s="10"/>
      <c r="E23" s="10"/>
      <c r="F23" s="10" t="s">
        <v>33</v>
      </c>
      <c r="G23" s="10" t="s">
        <v>34</v>
      </c>
      <c r="H23" s="10" t="s">
        <v>35</v>
      </c>
      <c r="I23" s="10" t="s">
        <v>36</v>
      </c>
      <c r="J23" s="10" t="s">
        <v>37</v>
      </c>
      <c r="K23" s="10" t="s">
        <v>25</v>
      </c>
      <c r="L23" s="10"/>
    </row>
    <row r="24" s="1" customFormat="1">
      <c r="A24" s="10"/>
      <c r="B24" s="10"/>
      <c r="C24" s="10" t="s">
        <v>38</v>
      </c>
      <c r="D24" s="10" t="s">
        <v>39</v>
      </c>
      <c r="E24" s="10" t="s">
        <v>40</v>
      </c>
      <c r="F24" s="10"/>
      <c r="G24" s="10"/>
      <c r="H24" s="10"/>
      <c r="I24" s="10"/>
      <c r="J24" s="10"/>
      <c r="K24" s="10"/>
      <c r="L24" s="10"/>
    </row>
    <row r="25">
      <c r="A25" s="7" t="s">
        <v>41</v>
      </c>
      <c r="I25" s="5"/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v>8.35</v>
      </c>
      <c r="D27" s="13"/>
      <c r="E27" s="13"/>
      <c r="F27" s="13"/>
      <c r="G27" s="13"/>
      <c r="I27" s="5"/>
    </row>
    <row r="28" outlineLevel="2">
      <c r="A28" s="12" t="s">
        <v>45</v>
      </c>
      <c r="B28" s="0" t="s">
        <v>44</v>
      </c>
      <c r="C28" s="13">
        <f>IFERROR(2.86*(1-w),"")</f>
        <v>2.62119</v>
      </c>
      <c r="D28" s="13">
        <v>2.86</v>
      </c>
      <c r="E28" s="13">
        <v/>
      </c>
      <c r="F28" s="13"/>
      <c r="G28" s="13"/>
      <c r="I28" s="5"/>
      <c r="J28" s="0" t="s">
        <v>46</v>
      </c>
    </row>
    <row r="29" outlineLevel="2">
      <c r="A29" s="12" t="s">
        <v>47</v>
      </c>
      <c r="B29" s="0" t="s">
        <v>44</v>
      </c>
      <c r="C29" s="13">
        <f>IFERROR(79.2*(1-w),"")</f>
        <v>72.5868</v>
      </c>
      <c r="D29" s="13">
        <v>79.2</v>
      </c>
      <c r="E29" s="13">
        <v>81.531809759110558</v>
      </c>
      <c r="F29" s="13"/>
      <c r="G29" s="13"/>
      <c r="I29" s="5"/>
    </row>
    <row r="30" outlineLevel="2">
      <c r="A30" s="12" t="s">
        <v>48</v>
      </c>
      <c r="B30" s="0" t="s">
        <v>44</v>
      </c>
      <c r="C30" s="13">
        <f>IFERROR(17.94*(1-w),"")</f>
        <v>16.442009999999996</v>
      </c>
      <c r="D30" s="13">
        <v>17.939999999999998</v>
      </c>
      <c r="E30" s="13">
        <v>18.468190240889435</v>
      </c>
      <c r="F30" s="13"/>
      <c r="G30" s="13"/>
      <c r="I30" s="5"/>
      <c r="J30" s="0" t="s">
        <v>49</v>
      </c>
    </row>
    <row r="31" outlineLevel="1">
      <c r="A31" s="11" t="s">
        <v>50</v>
      </c>
      <c r="I31" s="5"/>
    </row>
    <row r="32" outlineLevel="2">
      <c r="A32" s="12" t="s">
        <v>51</v>
      </c>
      <c r="B32" s="0" t="s">
        <v>44</v>
      </c>
      <c r="C32" s="13">
        <f>IFERROR(48.1*(1-w),"")</f>
        <v>44.08365</v>
      </c>
      <c r="D32" s="13">
        <v>48.1</v>
      </c>
      <c r="E32" s="13">
        <v>49.516162240065881</v>
      </c>
      <c r="F32" s="13"/>
      <c r="G32" s="13"/>
      <c r="I32" s="5"/>
      <c r="J32" s="0" t="s">
        <v>52</v>
      </c>
    </row>
    <row r="33" outlineLevel="2">
      <c r="A33" s="12" t="s">
        <v>53</v>
      </c>
      <c r="B33" s="0" t="s">
        <v>44</v>
      </c>
      <c r="C33" s="13">
        <f>IFERROR(5.9*(1-w),"")</f>
        <v>5.40735</v>
      </c>
      <c r="D33" s="13">
        <v>5.9</v>
      </c>
      <c r="E33" s="13">
        <v>6.073708050236772</v>
      </c>
      <c r="F33" s="13"/>
      <c r="G33" s="13"/>
      <c r="I33" s="5"/>
      <c r="J33" s="0" t="s">
        <v>52</v>
      </c>
    </row>
    <row r="34" outlineLevel="2">
      <c r="A34" s="12" t="s">
        <v>54</v>
      </c>
      <c r="B34" s="0" t="s">
        <v>44</v>
      </c>
      <c r="C34" s="13">
        <f>IFERROR(0.08*(1-w),"")</f>
        <v>0.07332</v>
      </c>
      <c r="D34" s="13">
        <v>0.08</v>
      </c>
      <c r="E34" s="13">
        <v>0.082355363393040976</v>
      </c>
      <c r="F34" s="13"/>
      <c r="G34" s="13"/>
      <c r="I34" s="5"/>
      <c r="J34" s="0" t="s">
        <v>52</v>
      </c>
    </row>
    <row r="35" outlineLevel="2">
      <c r="A35" s="12" t="s">
        <v>55</v>
      </c>
      <c r="B35" s="0" t="s">
        <v>44</v>
      </c>
      <c r="C35" s="13">
        <f>IFERROR(0.21*(1-w),"")</f>
        <v>0.192465</v>
      </c>
      <c r="D35" s="13">
        <v>0.21</v>
      </c>
      <c r="E35" s="13">
        <v>0.21618282890673254</v>
      </c>
      <c r="F35" s="13"/>
      <c r="G35" s="13"/>
      <c r="I35" s="5"/>
      <c r="J35" s="0" t="s">
        <v>56</v>
      </c>
    </row>
    <row r="36" outlineLevel="2">
      <c r="A36" s="12" t="s">
        <v>57</v>
      </c>
      <c r="B36" s="0" t="s">
        <v>44</v>
      </c>
      <c r="C36" s="13">
        <f>IFERROR(57.2465*(1-w)+w*100,"")</f>
        <v>60.81641725</v>
      </c>
      <c r="D36" s="13">
        <v>57.2465</v>
      </c>
      <c r="E36" s="13">
        <v>55.987749639695281</v>
      </c>
      <c r="F36" s="13"/>
      <c r="G36" s="13"/>
      <c r="I36" s="5"/>
      <c r="J36" s="0" t="s">
        <v>49</v>
      </c>
    </row>
    <row r="37" outlineLevel="1">
      <c r="A37" s="11" t="s">
        <v>58</v>
      </c>
      <c r="I37" s="5"/>
    </row>
    <row r="38" outlineLevel="2">
      <c r="A38" s="12" t="s">
        <v>59</v>
      </c>
      <c r="B38" s="0" t="s">
        <v>60</v>
      </c>
      <c r="C38" s="14">
        <f>IFERROR(965*(1-w),"")</f>
        <v>884.4225</v>
      </c>
      <c r="D38" s="14">
        <v>965</v>
      </c>
      <c r="E38" s="14">
        <v>993.41157092855667</v>
      </c>
      <c r="F38" s="14"/>
      <c r="G38" s="14"/>
      <c r="I38" s="5"/>
      <c r="K38" s="0" t="s">
        <v>61</v>
      </c>
    </row>
    <row r="39" outlineLevel="1">
      <c r="A39" s="11" t="s">
        <v>62</v>
      </c>
      <c r="I39" s="5"/>
    </row>
    <row r="40" outlineLevel="2">
      <c r="A40" s="12" t="s">
        <v>63</v>
      </c>
      <c r="B40" s="0" t="s">
        <v>64</v>
      </c>
      <c r="C40" s="13">
        <f>IFERROR(18.04*(1-w)-w*2.443,"")</f>
        <v>16.329669499999998</v>
      </c>
      <c r="D40" s="13">
        <v>18.04</v>
      </c>
      <c r="E40" s="13">
        <v>18.571134445130738</v>
      </c>
      <c r="F40" s="13"/>
      <c r="G40" s="13"/>
      <c r="I40" s="5"/>
      <c r="J40" s="0" t="s">
        <v>65</v>
      </c>
    </row>
    <row r="41" outlineLevel="2">
      <c r="A41" s="12" t="s">
        <v>66</v>
      </c>
      <c r="B41" s="0" t="s">
        <v>64</v>
      </c>
      <c r="C41" s="13">
        <f>IFERROR(19.33*(1-w),"")</f>
        <v>17.715944999999998</v>
      </c>
      <c r="D41" s="13">
        <v>19.33</v>
      </c>
      <c r="E41" s="13">
        <v>19.899114679843521</v>
      </c>
      <c r="F41" s="13"/>
      <c r="G41" s="13"/>
      <c r="I41" s="5"/>
    </row>
    <row r="42" outlineLevel="1">
      <c r="A42" s="11" t="s">
        <v>67</v>
      </c>
      <c r="I42" s="5"/>
    </row>
    <row r="43" outlineLevel="2">
      <c r="A43" s="12" t="s">
        <v>68</v>
      </c>
      <c r="B43" s="0" t="s">
        <v>69</v>
      </c>
      <c r="C43" s="14">
        <v>5768</v>
      </c>
      <c r="D43" s="14"/>
      <c r="E43" s="14"/>
      <c r="F43" s="14"/>
      <c r="G43" s="14"/>
      <c r="I43" s="5"/>
      <c r="K43" s="0" t="s">
        <v>61</v>
      </c>
    </row>
    <row r="44" outlineLevel="2">
      <c r="A44" s="12" t="s">
        <v>70</v>
      </c>
      <c r="B44" s="0" t="s">
        <v>69</v>
      </c>
      <c r="C44" s="14">
        <v>166</v>
      </c>
      <c r="D44" s="14"/>
      <c r="E44" s="14"/>
      <c r="F44" s="14"/>
      <c r="G44" s="14"/>
      <c r="I44" s="5"/>
      <c r="K44" s="0" t="s">
        <v>61</v>
      </c>
    </row>
    <row r="45" outlineLevel="1">
      <c r="A45" s="11" t="s">
        <v>71</v>
      </c>
      <c r="I45" s="5"/>
    </row>
    <row r="46" outlineLevel="2">
      <c r="A46" s="15" t="s">
        <v>72</v>
      </c>
      <c r="I46" s="5"/>
    </row>
    <row r="47" outlineLevel="3">
      <c r="A47" s="16" t="s">
        <v>73</v>
      </c>
      <c r="B47" s="0" t="s">
        <v>74</v>
      </c>
      <c r="C47" s="17">
        <v>1500</v>
      </c>
      <c r="D47" s="17"/>
      <c r="E47" s="17"/>
      <c r="F47" s="17"/>
      <c r="G47" s="17"/>
      <c r="I47" s="5"/>
      <c r="J47" s="0" t="s">
        <v>75</v>
      </c>
      <c r="K47" s="0" t="s">
        <v>76</v>
      </c>
    </row>
    <row r="48" outlineLevel="3">
      <c r="A48" s="16" t="s">
        <v>77</v>
      </c>
      <c r="B48" s="0" t="s">
        <v>74</v>
      </c>
      <c r="C48" s="17">
        <v>1600</v>
      </c>
      <c r="D48" s="17"/>
      <c r="E48" s="17"/>
      <c r="F48" s="17"/>
      <c r="G48" s="17"/>
      <c r="I48" s="5"/>
      <c r="J48" s="0" t="s">
        <v>75</v>
      </c>
      <c r="K48" s="0" t="s">
        <v>76</v>
      </c>
    </row>
    <row r="49" outlineLevel="2">
      <c r="A49" s="15" t="s">
        <v>78</v>
      </c>
      <c r="I49" s="5"/>
    </row>
    <row r="50" outlineLevel="3">
      <c r="A50" s="16" t="s">
        <v>73</v>
      </c>
      <c r="B50" s="0" t="s">
        <v>74</v>
      </c>
      <c r="C50" s="17">
        <v>1610</v>
      </c>
      <c r="D50" s="17"/>
      <c r="E50" s="17"/>
      <c r="F50" s="17"/>
      <c r="G50" s="17"/>
      <c r="I50" s="5"/>
      <c r="J50" s="0" t="s">
        <v>75</v>
      </c>
      <c r="K50" s="0" t="s">
        <v>76</v>
      </c>
    </row>
    <row r="51" outlineLevel="3">
      <c r="A51" s="16" t="s">
        <v>77</v>
      </c>
      <c r="B51" s="0" t="s">
        <v>74</v>
      </c>
      <c r="C51" s="17">
        <v>1630</v>
      </c>
      <c r="D51" s="17"/>
      <c r="E51" s="17"/>
      <c r="F51" s="17"/>
      <c r="G51" s="17"/>
      <c r="I51" s="5"/>
      <c r="J51" s="0" t="s">
        <v>75</v>
      </c>
      <c r="K51" s="0" t="s">
        <v>76</v>
      </c>
    </row>
    <row r="52">
      <c r="A52" s="7" t="s">
        <v>79</v>
      </c>
      <c r="I52" s="5"/>
    </row>
    <row r="53" outlineLevel="1">
      <c r="A53" s="11" t="s">
        <v>80</v>
      </c>
      <c r="I53" s="5"/>
    </row>
    <row r="54" outlineLevel="2">
      <c r="A54" s="12" t="s">
        <v>81</v>
      </c>
      <c r="B54" s="0" t="s">
        <v>82</v>
      </c>
      <c r="C54" s="17">
        <v>110</v>
      </c>
      <c r="D54" s="17"/>
      <c r="E54" s="17"/>
      <c r="F54" s="17"/>
      <c r="G54" s="17"/>
      <c r="I54" s="5"/>
      <c r="K54" s="0" t="s">
        <v>83</v>
      </c>
    </row>
    <row r="55">
      <c r="A55" s="7" t="s">
        <v>84</v>
      </c>
      <c r="I55" s="5"/>
    </row>
    <row r="56" outlineLevel="1">
      <c r="A56" s="11" t="s">
        <v>85</v>
      </c>
      <c r="I56" s="5"/>
    </row>
    <row r="57" outlineLevel="2">
      <c r="A57" s="12" t="s">
        <v>86</v>
      </c>
      <c r="B57" s="0" t="s">
        <v>87</v>
      </c>
      <c r="C57" s="13">
        <v>10.74</v>
      </c>
      <c r="D57" s="13"/>
      <c r="E57" s="13"/>
      <c r="F57" s="13"/>
      <c r="G57" s="13"/>
      <c r="I57" s="5"/>
    </row>
    <row r="58" outlineLevel="2">
      <c r="A58" s="12" t="s">
        <v>88</v>
      </c>
      <c r="B58" s="0" t="s">
        <v>87</v>
      </c>
      <c r="C58" s="13">
        <v>8.94</v>
      </c>
      <c r="D58" s="13"/>
      <c r="E58" s="13"/>
      <c r="F58" s="13"/>
      <c r="G58" s="13"/>
      <c r="I58" s="5"/>
    </row>
    <row r="59" outlineLevel="2">
      <c r="A59" s="12" t="s">
        <v>89</v>
      </c>
      <c r="B59" s="0" t="s">
        <v>87</v>
      </c>
      <c r="C59" s="13">
        <v>3.21</v>
      </c>
      <c r="D59" s="13"/>
      <c r="E59" s="13"/>
      <c r="F59" s="13"/>
      <c r="G59" s="13"/>
      <c r="I59" s="5"/>
    </row>
    <row r="60" outlineLevel="2">
      <c r="A60" s="12" t="s">
        <v>90</v>
      </c>
      <c r="B60" s="0" t="s">
        <v>87</v>
      </c>
      <c r="C60" s="13">
        <v>0.94</v>
      </c>
      <c r="D60" s="13"/>
      <c r="E60" s="13"/>
      <c r="F60" s="13"/>
      <c r="G60" s="13"/>
      <c r="I60" s="5"/>
    </row>
    <row r="61" outlineLevel="2">
      <c r="A61" s="12" t="s">
        <v>91</v>
      </c>
      <c r="B61" s="0" t="s">
        <v>87</v>
      </c>
      <c r="C61" s="13">
        <v>0.47</v>
      </c>
      <c r="D61" s="13"/>
      <c r="E61" s="13"/>
      <c r="F61" s="13"/>
      <c r="G61" s="13"/>
      <c r="I61" s="5"/>
    </row>
    <row r="62" outlineLevel="2">
      <c r="A62" s="12" t="s">
        <v>92</v>
      </c>
      <c r="B62" s="0" t="s">
        <v>87</v>
      </c>
      <c r="C62" s="13">
        <v>29.38</v>
      </c>
      <c r="D62" s="13"/>
      <c r="E62" s="13"/>
      <c r="F62" s="13"/>
      <c r="G62" s="13"/>
      <c r="I62" s="5"/>
    </row>
    <row r="63" outlineLevel="2">
      <c r="A63" s="12" t="s">
        <v>93</v>
      </c>
      <c r="B63" s="0" t="s">
        <v>87</v>
      </c>
      <c r="C63" s="13">
        <v>0.63</v>
      </c>
      <c r="D63" s="13"/>
      <c r="E63" s="13"/>
      <c r="F63" s="13"/>
      <c r="G63" s="13"/>
      <c r="I63" s="5"/>
    </row>
    <row r="64" outlineLevel="2">
      <c r="A64" s="12" t="s">
        <v>94</v>
      </c>
      <c r="B64" s="0" t="s">
        <v>87</v>
      </c>
      <c r="C64" s="13">
        <v>0.35</v>
      </c>
      <c r="D64" s="13"/>
      <c r="E64" s="13"/>
      <c r="F64" s="13"/>
      <c r="G64" s="13"/>
      <c r="I64" s="5"/>
    </row>
    <row r="65" outlineLevel="2">
      <c r="A65" s="12" t="s">
        <v>95</v>
      </c>
      <c r="B65" s="0" t="s">
        <v>87</v>
      </c>
      <c r="C65" s="13">
        <v>16.86</v>
      </c>
      <c r="D65" s="13"/>
      <c r="E65" s="13"/>
      <c r="F65" s="13"/>
      <c r="G65" s="13"/>
      <c r="I65" s="5"/>
    </row>
    <row r="66" outlineLevel="2">
      <c r="A66" s="12" t="s">
        <v>96</v>
      </c>
      <c r="B66" s="0" t="s">
        <v>87</v>
      </c>
      <c r="C66" s="13">
        <v>0.07</v>
      </c>
      <c r="D66" s="13"/>
      <c r="E66" s="13"/>
      <c r="F66" s="13"/>
      <c r="G66" s="13"/>
      <c r="I66" s="5"/>
    </row>
    <row r="67">
      <c r="I67" s="5"/>
    </row>
    <row r="68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3:E43"/>
    <mergeCell ref="C44:E44"/>
    <mergeCell ref="C47:E47"/>
    <mergeCell ref="C48:E48"/>
    <mergeCell ref="C50:E50"/>
    <mergeCell ref="C51:E51"/>
    <mergeCell ref="C54:E54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</mergeCells>
  <dataValidations count="1">
    <dataValidation type="decimal" sqref="C27" errorStyle="stop" promptTitle="Enter moisture content" errorTitle="Invalid moisture content" prompt="Value should be between 0 and 100.&#10;Original value: 8.3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https://phyllis.nl/Biomass/View/3162</dc:description>
  <dcterms:created xsi:type="dcterms:W3CDTF">2026-03-17T06:09:10Z</dcterms:created>
  <dc:title>Phyllis2 #3162 Rape stalk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