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64 Flax shive" sheetId="1" r:id="rId1"/>
  </sheets>
  <definedNames>
    <definedName name="w" localSheetId="0">IF(ISBLANK('Phyllis2 #3164 Flax shive'!$C$27),#N/A,'Phyllis2 #3164 Flax shive'!$C$27/100)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<sst xmlns="http://schemas.openxmlformats.org/spreadsheetml/2006/main" count="81" uniqueCount="81">
  <si>
    <t>Phyllis2</t>
  </si>
  <si>
    <t>https://phyllis.nl/Biomass/View/3164</t>
  </si>
  <si>
    <t>Flax shive (#3164)</t>
  </si>
  <si>
    <t>ID-number</t>
  </si>
  <si>
    <t>#3164</t>
  </si>
  <si>
    <t>Material</t>
  </si>
  <si>
    <t>Flax shive</t>
  </si>
  <si>
    <t>Alternative name</t>
  </si>
  <si>
    <t>Flax fiber</t>
  </si>
  <si>
    <t>Description</t>
  </si>
  <si>
    <t>woody stalk of flax</t>
  </si>
  <si>
    <t>Classification</t>
  </si>
  <si>
    <t>CEN/TS 14961 classification &gt; Solid biofuels &gt; Herbaceous biomass &gt; Agriculture and Horticulture herb &gt; Oil seed crops &gt; Stalks and leaves</t>
  </si>
  <si>
    <t>ECN Phyllis classification &gt; grass/plant &gt; flax</t>
  </si>
  <si>
    <t>NTA 8003 classification &gt; [200] biomassa uit land- en tuinbouw &gt; [240] gewassen &gt; [249] overige gewassen</t>
  </si>
  <si>
    <t>Sample date</t>
  </si>
  <si>
    <t>Sample location</t>
  </si>
  <si>
    <t>Finland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</si>
  <si>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</si>
  <si>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</si>
  <si>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</si>
  <si>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</si>
  <si>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</si>
  <si>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</si>
  <si>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</si>
  <si>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</si>
  <si>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</si>
  <si>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some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</si>
  <si>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</si>
  <si>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</si>
  <si>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</si>
  <si>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</si>
  <si>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</si>
  <si>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</si>
  <si>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</si>
  <si>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</si>
  <si>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</si>
  <si>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</si>
  <si>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</si>
  <si>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</si>
  <si>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</si>
  <si>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</si>
  <si>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</si>
  <si>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</si>
  <si>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</si>
  <si>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</si>
  <si>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predried for storage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</si>
  <si>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</si>
  <si>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</si>
  <si>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</si>
  <si>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</si>
  <si>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</si>
  <si>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</si>
  <si>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</si>
  <si>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</si>
  <si>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</si>
  <si>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</si>
  <si>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</si>
  <si>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</si>
  <si>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</si>
  <si>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</si>
  <si>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</si>
  <si>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</si>
  <si>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</si>
  <si>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</si>
  <si>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</si>
  <si>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</si>
  <si>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</si>
  <si>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</si>
  <si>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</si>
  <si>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</si>
  <si>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</si>
  <si>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</si>
  <si>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</si>
  <si>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</si>
  <si>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</si>
  <si>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Physical Properties</t>
  </si>
  <si>
    <t>Commonly used properties</t>
  </si>
  <si>
    <t>Bulk density (ar)</t>
  </si>
  <si>
    <t>kg/m³ (ar)</t>
  </si>
  <si>
    <t>loose, not shaken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</si>
</sst>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6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9.0656890869141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35065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17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39696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26</v>
      </c>
      <c r="L23" s="10"/>
    </row>
    <row r="24" s="1" customFormat="1">
      <c r="A24" s="10"/>
      <c r="B24" s="10"/>
      <c r="C24" s="10" t="s">
        <v>39</v>
      </c>
      <c r="D24" s="10" t="s">
        <v>40</v>
      </c>
      <c r="E24" s="10" t="s">
        <v>41</v>
      </c>
      <c r="F24" s="10"/>
      <c r="G24" s="10"/>
      <c r="H24" s="10"/>
      <c r="I24" s="10"/>
      <c r="J24" s="10"/>
      <c r="K24" s="10"/>
      <c r="L24" s="10"/>
    </row>
    <row r="25">
      <c r="A25" s="7" t="s">
        <v>42</v>
      </c>
      <c r="I25" s="5"/>
    </row>
    <row r="26" outlineLevel="1">
      <c r="A26" s="11" t="s">
        <v>43</v>
      </c>
      <c r="I26" s="5"/>
    </row>
    <row r="27" outlineLevel="2">
      <c r="A27" s="12" t="s">
        <v>44</v>
      </c>
      <c r="B27" s="0" t="s">
        <v>45</v>
      </c>
      <c r="C27" s="13">
        <v>6.6</v>
      </c>
      <c r="D27" s="13"/>
      <c r="E27" s="13"/>
      <c r="F27" s="13"/>
      <c r="G27" s="13"/>
      <c r="I27" s="5"/>
      <c r="K27" s="0" t="s">
        <v>46</v>
      </c>
    </row>
    <row r="28" outlineLevel="2">
      <c r="A28" s="12" t="s">
        <v>47</v>
      </c>
      <c r="B28" s="0" t="s">
        <v>45</v>
      </c>
      <c r="C28" s="13">
        <f>IFERROR(1.81*(1-w),"")</f>
        <v>1.69054</v>
      </c>
      <c r="D28" s="13">
        <v>1.81</v>
      </c>
      <c r="E28" s="13">
        <v/>
      </c>
      <c r="F28" s="13"/>
      <c r="G28" s="13"/>
      <c r="I28" s="5"/>
      <c r="J28" s="0" t="s">
        <v>48</v>
      </c>
    </row>
    <row r="29" outlineLevel="2">
      <c r="A29" s="12" t="s">
        <v>49</v>
      </c>
      <c r="B29" s="0" t="s">
        <v>45</v>
      </c>
      <c r="C29" s="13">
        <f>IFERROR(78.6*(1-w),"")</f>
        <v>73.412399999999991</v>
      </c>
      <c r="D29" s="13">
        <v>78.6</v>
      </c>
      <c r="E29" s="13">
        <v>80.048884815154281</v>
      </c>
      <c r="F29" s="13"/>
      <c r="G29" s="13"/>
      <c r="I29" s="5"/>
    </row>
    <row r="30" outlineLevel="2">
      <c r="A30" s="12" t="s">
        <v>50</v>
      </c>
      <c r="B30" s="0" t="s">
        <v>45</v>
      </c>
      <c r="C30" s="13">
        <f>IFERROR(19.59*(1-w),"")</f>
        <v>18.297060000000002</v>
      </c>
      <c r="D30" s="13">
        <v>19.590000000000003</v>
      </c>
      <c r="E30" s="13">
        <v>19.951115184845712</v>
      </c>
      <c r="F30" s="13"/>
      <c r="G30" s="13"/>
      <c r="I30" s="5"/>
      <c r="J30" s="0" t="s">
        <v>51</v>
      </c>
    </row>
    <row r="31" outlineLevel="1">
      <c r="A31" s="11" t="s">
        <v>52</v>
      </c>
      <c r="I31" s="5"/>
    </row>
    <row r="32" outlineLevel="2">
      <c r="A32" s="12" t="s">
        <v>53</v>
      </c>
      <c r="B32" s="0" t="s">
        <v>45</v>
      </c>
      <c r="C32" s="13">
        <f>IFERROR(50.3*(1-w),"")</f>
        <v>46.980199999999996</v>
      </c>
      <c r="D32" s="13">
        <v>50.3</v>
      </c>
      <c r="E32" s="13">
        <v>51.227212547102553</v>
      </c>
      <c r="F32" s="13"/>
      <c r="G32" s="13"/>
      <c r="I32" s="5"/>
      <c r="J32" s="0" t="s">
        <v>54</v>
      </c>
    </row>
    <row r="33" outlineLevel="2">
      <c r="A33" s="12" t="s">
        <v>55</v>
      </c>
      <c r="B33" s="0" t="s">
        <v>45</v>
      </c>
      <c r="C33" s="13">
        <f>IFERROR(6.1*(1-w),"")</f>
        <v>5.6973999999999991</v>
      </c>
      <c r="D33" s="13">
        <v>6.1</v>
      </c>
      <c r="E33" s="13">
        <v>6.2124452591913633</v>
      </c>
      <c r="F33" s="13"/>
      <c r="G33" s="13"/>
      <c r="I33" s="5"/>
      <c r="J33" s="0" t="s">
        <v>54</v>
      </c>
    </row>
    <row r="34" outlineLevel="2">
      <c r="A34" s="12" t="s">
        <v>56</v>
      </c>
      <c r="B34" s="0" t="s">
        <v>45</v>
      </c>
      <c r="C34" s="13">
        <f>IFERROR(41.13*(1-w),"")</f>
        <v>38.41542</v>
      </c>
      <c r="D34" s="13">
        <v>41.13</v>
      </c>
      <c r="E34" s="13">
        <v>41.888175985334556</v>
      </c>
      <c r="F34" s="13"/>
      <c r="G34" s="13"/>
      <c r="I34" s="5"/>
      <c r="K34" s="0" t="s">
        <v>57</v>
      </c>
    </row>
    <row r="35" outlineLevel="2">
      <c r="A35" s="12" t="s">
        <v>58</v>
      </c>
      <c r="B35" s="0" t="s">
        <v>45</v>
      </c>
      <c r="C35" s="13">
        <f>IFERROR(0.6*(1-w),"")</f>
        <v>0.5603999999999999</v>
      </c>
      <c r="D35" s="13">
        <v>0.6</v>
      </c>
      <c r="E35" s="13">
        <v>0.6110601894286587</v>
      </c>
      <c r="F35" s="13"/>
      <c r="G35" s="13"/>
      <c r="I35" s="5"/>
      <c r="J35" s="0" t="s">
        <v>54</v>
      </c>
    </row>
    <row r="36" outlineLevel="2">
      <c r="A36" s="12" t="s">
        <v>59</v>
      </c>
      <c r="B36" s="0" t="s">
        <v>45</v>
      </c>
      <c r="C36" s="13">
        <f>IFERROR(0.07*(1-w),"")</f>
        <v>0.065380000000000008</v>
      </c>
      <c r="D36" s="13">
        <v>0.07</v>
      </c>
      <c r="E36" s="13">
        <v>0.071290355433343527</v>
      </c>
      <c r="F36" s="13"/>
      <c r="G36" s="13"/>
      <c r="I36" s="5"/>
      <c r="J36" s="0" t="s">
        <v>60</v>
      </c>
    </row>
    <row r="37" outlineLevel="2">
      <c r="A37" s="12" t="s">
        <v>61</v>
      </c>
      <c r="B37" s="0" t="s">
        <v>45</v>
      </c>
      <c r="C37" s="13">
        <f>IFERROR(100.0481*(1-w)+w*100,"")</f>
        <v>100.04492539999998</v>
      </c>
      <c r="D37" s="13">
        <v>100.04809999999999</v>
      </c>
      <c r="E37" s="13">
        <v>100.04898665851918</v>
      </c>
      <c r="F37" s="13"/>
      <c r="G37" s="13"/>
      <c r="I37" s="5"/>
      <c r="J37" s="0" t="s">
        <v>51</v>
      </c>
    </row>
    <row r="38" outlineLevel="1">
      <c r="A38" s="11" t="s">
        <v>62</v>
      </c>
      <c r="I38" s="5"/>
    </row>
    <row r="39" outlineLevel="2">
      <c r="A39" s="12" t="s">
        <v>63</v>
      </c>
      <c r="B39" s="0" t="s">
        <v>64</v>
      </c>
      <c r="C39" s="14">
        <f>IFERROR(381*(1-w),"")</f>
        <v>355.854</v>
      </c>
      <c r="D39" s="14">
        <v>381</v>
      </c>
      <c r="E39" s="14">
        <v>388.02322028719828</v>
      </c>
      <c r="F39" s="14"/>
      <c r="G39" s="14"/>
      <c r="I39" s="5"/>
      <c r="K39" s="0" t="s">
        <v>65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3">
        <f>IFERROR(18.86*(1-w)-w*2.443,"")</f>
        <v>17.454002</v>
      </c>
      <c r="D41" s="13">
        <v>18.86</v>
      </c>
      <c r="E41" s="13">
        <v>19.207658621040839</v>
      </c>
      <c r="F41" s="13"/>
      <c r="G41" s="13"/>
      <c r="I41" s="5"/>
      <c r="J41" s="0" t="s">
        <v>69</v>
      </c>
    </row>
    <row r="42" outlineLevel="2">
      <c r="A42" s="12" t="s">
        <v>70</v>
      </c>
      <c r="B42" s="0" t="s">
        <v>68</v>
      </c>
      <c r="C42" s="13">
        <f>IFERROR(20.19*(1-w),"")</f>
        <v>18.85746</v>
      </c>
      <c r="D42" s="13">
        <v>20.19</v>
      </c>
      <c r="E42" s="13">
        <v>20.562175374274368</v>
      </c>
      <c r="F42" s="13"/>
      <c r="G42" s="13"/>
      <c r="I42" s="5"/>
    </row>
    <row r="43" outlineLevel="2">
      <c r="A43" s="12" t="s">
        <v>71</v>
      </c>
      <c r="B43" s="0" t="s">
        <v>68</v>
      </c>
      <c r="C43" s="13">
        <f>IFERROR(20.1865102433*(1-w),"")</f>
        <v>18.8542005672422</v>
      </c>
      <c r="D43" s="13">
        <v>20.1865102433</v>
      </c>
      <c r="E43" s="13">
        <v>20.558621288624096</v>
      </c>
      <c r="F43" s="13"/>
      <c r="G43" s="13"/>
      <c r="I43" s="5"/>
      <c r="J43" s="0" t="s">
        <v>51</v>
      </c>
    </row>
    <row r="44" outlineLevel="1">
      <c r="A44" s="11" t="s">
        <v>72</v>
      </c>
      <c r="I44" s="5"/>
    </row>
    <row r="45" outlineLevel="2">
      <c r="A45" s="12" t="s">
        <v>73</v>
      </c>
      <c r="B45" s="0" t="s">
        <v>74</v>
      </c>
      <c r="C45" s="14">
        <v>3362</v>
      </c>
      <c r="D45" s="14"/>
      <c r="E45" s="14"/>
      <c r="F45" s="14"/>
      <c r="G45" s="14"/>
      <c r="I45" s="5"/>
      <c r="K45" s="0" t="s">
        <v>65</v>
      </c>
    </row>
    <row r="46" outlineLevel="2">
      <c r="A46" s="12" t="s">
        <v>75</v>
      </c>
      <c r="B46" s="0" t="s">
        <v>74</v>
      </c>
      <c r="C46" s="14">
        <v>87</v>
      </c>
      <c r="D46" s="14"/>
      <c r="E46" s="14"/>
      <c r="F46" s="14"/>
      <c r="G46" s="14"/>
      <c r="I46" s="5"/>
      <c r="K46" s="0" t="s">
        <v>65</v>
      </c>
    </row>
    <row r="47">
      <c r="A47" s="7" t="s">
        <v>76</v>
      </c>
      <c r="I47" s="5"/>
    </row>
    <row r="48" outlineLevel="1">
      <c r="A48" s="11" t="s">
        <v>77</v>
      </c>
      <c r="I48" s="5"/>
    </row>
    <row r="49" outlineLevel="2">
      <c r="A49" s="12" t="s">
        <v>78</v>
      </c>
      <c r="B49" s="0" t="s">
        <v>79</v>
      </c>
      <c r="C49" s="15">
        <v>114</v>
      </c>
      <c r="D49" s="15"/>
      <c r="E49" s="15"/>
      <c r="F49" s="15"/>
      <c r="G49" s="15"/>
      <c r="I49" s="5"/>
      <c r="K49" s="0" t="s">
        <v>80</v>
      </c>
    </row>
    <row r="50">
      <c r="I50" s="5"/>
    </row>
    <row r="51" s="1" customFormat="1"/>
  </sheetData>
  <mergeCells>
    <mergeCell ref="A9:A11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5:E45"/>
    <mergeCell ref="C46:E46"/>
    <mergeCell ref="C49:E49"/>
  </mergeCells>
  <dataValidations count="1">
    <dataValidation type="decimal" sqref="C27" errorStyle="stop" promptTitle="Enter moisture content" errorTitle="Invalid moisture content" prompt="Value should be between 0 and 100.&#10;Original value: 6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https://phyllis.nl/Biomass/View/3164</dc:description>
  <dcterms:created xsi:type="dcterms:W3CDTF">2026-03-04T04:02:39Z</dcterms:created>
  <dc:title>Phyllis2 #3164 Flax shive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