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68 Miscanthus" sheetId="1" r:id="rId1"/>
  </sheets>
  <definedNames>
    <definedName name="w" localSheetId="0">IF(ISBLANK('Phyllis2 #3168 Miscanthus'!$C$28),#N/A,'Phyllis2 #3168 Miscanthus'!$C$28/100)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<sst xmlns="http://schemas.openxmlformats.org/spreadsheetml/2006/main" count="104" uniqueCount="104">
  <si>
    <t>Phyllis2</t>
  </si>
  <si>
    <t>https://phyllis.nl/Biomass/View/3168</t>
  </si>
  <si>
    <t>Miscanthus (#3168)</t>
  </si>
  <si>
    <t>ID-number</t>
  </si>
  <si>
    <t>#3168</t>
  </si>
  <si>
    <t>Material</t>
  </si>
  <si>
    <t>Miscanthus</t>
  </si>
  <si>
    <t>Alternative name</t>
  </si>
  <si>
    <t>Latin name</t>
  </si>
  <si>
    <t>Miscanthus spp.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</si>
  <si>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</si>
  <si>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</si>
  <si>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miscanthus</t>
  </si>
  <si>
    <t>NTA 8003 classification &gt; [200] biomassa uit land- en tuinbouw &gt; [210] gras &gt; [212] olifantsgras/miscanthus</t>
  </si>
  <si>
    <t>Sample date</t>
  </si>
  <si>
    <t>Sample location</t>
  </si>
  <si>
    <t>Italy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</si>
  <si>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</si>
  <si>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</si>
  <si>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</si>
  <si>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</si>
  <si>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</si>
  <si>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</si>
  <si>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</si>
  <si>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</si>
  <si>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</si>
  <si>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http://en.wikipedia.org/wiki/Miscanthus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</si>
  <si>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</si>
  <si>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</si>
  <si>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</si>
  <si>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</si>
  <si>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</si>
  <si>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</si>
  <si>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</si>
  <si>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</si>
  <si>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</si>
  <si>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</si>
  <si>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</si>
  <si>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</si>
  <si>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</si>
  <si>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</si>
  <si>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</si>
  <si>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</si>
  <si>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</si>
  <si>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</si>
  <si>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</si>
  <si>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predried for storage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</si>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</sst>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9.0656890869141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35065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16</v>
      </c>
    </row>
    <row r="16" outlineLevel="1">
      <c r="A16" s="7" t="s">
        <v>20</v>
      </c>
      <c r="B16" s="0" t="s">
        <v>21</v>
      </c>
    </row>
    <row r="17" outlineLevel="1">
      <c r="A17" s="7" t="s">
        <v>22</v>
      </c>
      <c r="B17" s="0" t="s">
        <v>23</v>
      </c>
    </row>
    <row r="18" outlineLevel="1">
      <c r="A18" s="7" t="s">
        <v>24</v>
      </c>
      <c r="B18" s="6">
        <v>39696</v>
      </c>
    </row>
    <row r="19" outlineLevel="1">
      <c r="A19" s="7" t="s">
        <v>25</v>
      </c>
      <c r="B19" s="0" t="s">
        <v>26</v>
      </c>
    </row>
    <row r="20" outlineLevel="1">
      <c r="A20" s="7"/>
      <c r="B20" s="0" t="s">
        <v>27</v>
      </c>
    </row>
    <row r="21" outlineLevel="1">
      <c r="A21" s="7" t="s">
        <v>28</v>
      </c>
      <c r="B21" s="0" t="s">
        <v>29</v>
      </c>
    </row>
    <row r="22">
      <c r="A22" s="7"/>
    </row>
    <row r="23" s="1" customFormat="1">
      <c r="A23" s="9" t="s">
        <v>30</v>
      </c>
    </row>
    <row r="24" s="1" customFormat="1">
      <c r="A24" s="10" t="s">
        <v>31</v>
      </c>
      <c r="B24" s="10" t="s">
        <v>32</v>
      </c>
      <c r="C24" s="10" t="s">
        <v>33</v>
      </c>
      <c r="D24" s="10"/>
      <c r="E24" s="10"/>
      <c r="F24" s="10" t="s">
        <v>34</v>
      </c>
      <c r="G24" s="10" t="s">
        <v>35</v>
      </c>
      <c r="H24" s="10" t="s">
        <v>36</v>
      </c>
      <c r="I24" s="10" t="s">
        <v>37</v>
      </c>
      <c r="J24" s="10" t="s">
        <v>38</v>
      </c>
      <c r="K24" s="10" t="s">
        <v>25</v>
      </c>
      <c r="L24" s="10"/>
    </row>
    <row r="25" s="1" customFormat="1">
      <c r="A25" s="10"/>
      <c r="B25" s="10"/>
      <c r="C25" s="10" t="s">
        <v>39</v>
      </c>
      <c r="D25" s="10" t="s">
        <v>40</v>
      </c>
      <c r="E25" s="10" t="s">
        <v>41</v>
      </c>
      <c r="F25" s="10"/>
      <c r="G25" s="10"/>
      <c r="H25" s="10"/>
      <c r="I25" s="10"/>
      <c r="J25" s="10"/>
      <c r="K25" s="10"/>
      <c r="L25" s="10"/>
    </row>
    <row r="26">
      <c r="A26" s="7" t="s">
        <v>42</v>
      </c>
      <c r="I26" s="5"/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v>5.74</v>
      </c>
      <c r="D28" s="13"/>
      <c r="E28" s="13"/>
      <c r="F28" s="13"/>
      <c r="G28" s="13"/>
      <c r="I28" s="5"/>
      <c r="K28" s="0" t="s">
        <v>46</v>
      </c>
    </row>
    <row r="29" outlineLevel="2">
      <c r="A29" s="12" t="s">
        <v>47</v>
      </c>
      <c r="B29" s="0" t="s">
        <v>45</v>
      </c>
      <c r="C29" s="13">
        <f>IFERROR(3.31*(1-w),"")</f>
        <v>3.120006</v>
      </c>
      <c r="D29" s="13">
        <v>3.31</v>
      </c>
      <c r="E29" s="13">
        <v/>
      </c>
      <c r="F29" s="13"/>
      <c r="G29" s="13"/>
      <c r="I29" s="5"/>
      <c r="J29" s="0" t="s">
        <v>48</v>
      </c>
    </row>
    <row r="30" outlineLevel="2">
      <c r="A30" s="12" t="s">
        <v>49</v>
      </c>
      <c r="B30" s="0" t="s">
        <v>45</v>
      </c>
      <c r="C30" s="13">
        <f>IFERROR(78.5*(1-w),"")</f>
        <v>73.9941</v>
      </c>
      <c r="D30" s="13">
        <v>78.5</v>
      </c>
      <c r="E30" s="13">
        <v>81.18729961733375</v>
      </c>
      <c r="F30" s="13"/>
      <c r="G30" s="13"/>
      <c r="I30" s="5"/>
    </row>
    <row r="31" outlineLevel="2">
      <c r="A31" s="12" t="s">
        <v>50</v>
      </c>
      <c r="B31" s="0" t="s">
        <v>45</v>
      </c>
      <c r="C31" s="13">
        <f>IFERROR(18.19*(1-w),"")</f>
        <v>17.145894</v>
      </c>
      <c r="D31" s="13">
        <v>18.189999999999998</v>
      </c>
      <c r="E31" s="13">
        <v>18.81270038266625</v>
      </c>
      <c r="F31" s="13"/>
      <c r="G31" s="13"/>
      <c r="I31" s="5"/>
      <c r="J31" s="0" t="s">
        <v>51</v>
      </c>
    </row>
    <row r="32" outlineLevel="1">
      <c r="A32" s="11" t="s">
        <v>52</v>
      </c>
      <c r="I32" s="5"/>
    </row>
    <row r="33" outlineLevel="2">
      <c r="A33" s="12" t="s">
        <v>53</v>
      </c>
      <c r="B33" s="0" t="s">
        <v>45</v>
      </c>
      <c r="C33" s="13">
        <f>IFERROR(47.1*(1-w),"")</f>
        <v>44.39646</v>
      </c>
      <c r="D33" s="13">
        <v>47.1</v>
      </c>
      <c r="E33" s="13">
        <v>48.712379770400254</v>
      </c>
      <c r="F33" s="13"/>
      <c r="G33" s="13"/>
      <c r="I33" s="5"/>
      <c r="J33" s="0" t="s">
        <v>54</v>
      </c>
    </row>
    <row r="34" outlineLevel="2">
      <c r="A34" s="12" t="s">
        <v>55</v>
      </c>
      <c r="B34" s="0" t="s">
        <v>45</v>
      </c>
      <c r="C34" s="13">
        <f>IFERROR(6*(1-w),"")</f>
        <v>5.6556</v>
      </c>
      <c r="D34" s="13">
        <v>6</v>
      </c>
      <c r="E34" s="13">
        <v>6.2053986968662738</v>
      </c>
      <c r="F34" s="13"/>
      <c r="G34" s="13"/>
      <c r="I34" s="5"/>
      <c r="J34" s="0" t="s">
        <v>54</v>
      </c>
    </row>
    <row r="35" outlineLevel="2">
      <c r="A35" s="12" t="s">
        <v>56</v>
      </c>
      <c r="B35" s="0" t="s">
        <v>45</v>
      </c>
      <c r="C35" s="13">
        <f>IFERROR(41.64*(1-w),"")</f>
        <v>39.249864</v>
      </c>
      <c r="D35" s="13">
        <v>41.64</v>
      </c>
      <c r="E35" s="13">
        <v>43.065466956251939</v>
      </c>
      <c r="F35" s="13"/>
      <c r="G35" s="13"/>
      <c r="I35" s="5"/>
      <c r="K35" s="0" t="s">
        <v>57</v>
      </c>
    </row>
    <row r="36" outlineLevel="2">
      <c r="A36" s="12" t="s">
        <v>58</v>
      </c>
      <c r="B36" s="0" t="s">
        <v>45</v>
      </c>
      <c r="C36" s="13">
        <f>IFERROR(0.6*(1-w),"")</f>
        <v>0.56556</v>
      </c>
      <c r="D36" s="13">
        <v>0.6</v>
      </c>
      <c r="E36" s="13">
        <v>0.62053986968662733</v>
      </c>
      <c r="F36" s="13"/>
      <c r="G36" s="13"/>
      <c r="I36" s="5"/>
      <c r="J36" s="0" t="s">
        <v>54</v>
      </c>
    </row>
    <row r="37" outlineLevel="2">
      <c r="A37" s="12" t="s">
        <v>59</v>
      </c>
      <c r="B37" s="0" t="s">
        <v>45</v>
      </c>
      <c r="C37" s="13">
        <f>IFERROR(0.55*(1-w),"")</f>
        <v>0.51843000000000006</v>
      </c>
      <c r="D37" s="13">
        <v>0.55</v>
      </c>
      <c r="E37" s="13">
        <v>0.56882821387940852</v>
      </c>
      <c r="F37" s="13"/>
      <c r="G37" s="13"/>
      <c r="I37" s="5"/>
      <c r="J37" s="0" t="s">
        <v>60</v>
      </c>
    </row>
    <row r="38" outlineLevel="2">
      <c r="A38" s="12" t="s">
        <v>61</v>
      </c>
      <c r="B38" s="0" t="s">
        <v>45</v>
      </c>
      <c r="C38" s="13">
        <f>IFERROR(99.5266*(1-w)+w*100,"")</f>
        <v>99.553773159999992</v>
      </c>
      <c r="D38" s="13">
        <v>99.5266</v>
      </c>
      <c r="E38" s="13">
        <v>99.510394042817254</v>
      </c>
      <c r="F38" s="13"/>
      <c r="G38" s="13"/>
      <c r="I38" s="5"/>
      <c r="J38" s="0" t="s">
        <v>51</v>
      </c>
    </row>
    <row r="39" outlineLevel="1">
      <c r="A39" s="11" t="s">
        <v>62</v>
      </c>
      <c r="I39" s="5"/>
    </row>
    <row r="40" outlineLevel="2">
      <c r="A40" s="12" t="s">
        <v>63</v>
      </c>
      <c r="B40" s="0" t="s">
        <v>64</v>
      </c>
      <c r="C40" s="14">
        <f>IFERROR(3266*(1-w),"")</f>
        <v>3078.5316</v>
      </c>
      <c r="D40" s="14">
        <v>3266</v>
      </c>
      <c r="E40" s="14">
        <v>3377.8053573275415</v>
      </c>
      <c r="F40" s="14"/>
      <c r="G40" s="14"/>
      <c r="I40" s="5"/>
      <c r="K40" s="0" t="s">
        <v>65</v>
      </c>
    </row>
    <row r="41" outlineLevel="1">
      <c r="A41" s="11" t="s">
        <v>66</v>
      </c>
      <c r="I41" s="5"/>
    </row>
    <row r="42" outlineLevel="2">
      <c r="A42" s="12" t="s">
        <v>67</v>
      </c>
      <c r="B42" s="0" t="s">
        <v>68</v>
      </c>
      <c r="C42" s="13">
        <f>IFERROR(17.72*(1-w)-w*2.443,"")</f>
        <v>16.5626438</v>
      </c>
      <c r="D42" s="13">
        <v>17.72</v>
      </c>
      <c r="E42" s="13">
        <v>18.326610818078393</v>
      </c>
      <c r="F42" s="13"/>
      <c r="G42" s="13"/>
      <c r="I42" s="5"/>
      <c r="J42" s="0" t="s">
        <v>69</v>
      </c>
    </row>
    <row r="43" outlineLevel="2">
      <c r="A43" s="12" t="s">
        <v>70</v>
      </c>
      <c r="B43" s="0" t="s">
        <v>68</v>
      </c>
      <c r="C43" s="13">
        <f>IFERROR(19.03*(1-w),"")</f>
        <v>17.937678000000002</v>
      </c>
      <c r="D43" s="13">
        <v>19.03</v>
      </c>
      <c r="E43" s="13">
        <v>19.681456200227533</v>
      </c>
      <c r="F43" s="13"/>
      <c r="G43" s="13"/>
      <c r="I43" s="5"/>
    </row>
    <row r="44" outlineLevel="2">
      <c r="A44" s="12" t="s">
        <v>71</v>
      </c>
      <c r="B44" s="0" t="s">
        <v>68</v>
      </c>
      <c r="C44" s="13">
        <f>IFERROR(18.9130632833*(1-w),"")</f>
        <v>17.827453450838583</v>
      </c>
      <c r="D44" s="13">
        <v>18.9130632833</v>
      </c>
      <c r="E44" s="13">
        <v>19.5605163753232</v>
      </c>
      <c r="F44" s="13"/>
      <c r="G44" s="13"/>
      <c r="I44" s="5"/>
      <c r="J44" s="0" t="s">
        <v>51</v>
      </c>
    </row>
    <row r="45" outlineLevel="1">
      <c r="A45" s="11" t="s">
        <v>72</v>
      </c>
      <c r="I45" s="5"/>
    </row>
    <row r="46" outlineLevel="2">
      <c r="A46" s="12" t="s">
        <v>73</v>
      </c>
      <c r="B46" s="0" t="s">
        <v>74</v>
      </c>
      <c r="C46" s="14">
        <v>9702</v>
      </c>
      <c r="D46" s="14"/>
      <c r="E46" s="14"/>
      <c r="F46" s="14"/>
      <c r="G46" s="14"/>
      <c r="I46" s="5"/>
      <c r="K46" s="0" t="s">
        <v>65</v>
      </c>
    </row>
    <row r="47" outlineLevel="2">
      <c r="A47" s="12" t="s">
        <v>75</v>
      </c>
      <c r="B47" s="0" t="s">
        <v>74</v>
      </c>
      <c r="C47" s="14">
        <v>259</v>
      </c>
      <c r="D47" s="14"/>
      <c r="E47" s="14"/>
      <c r="F47" s="14"/>
      <c r="G47" s="14"/>
      <c r="I47" s="5"/>
      <c r="K47" s="0" t="s">
        <v>65</v>
      </c>
    </row>
    <row r="48" outlineLevel="1">
      <c r="A48" s="11" t="s">
        <v>76</v>
      </c>
      <c r="I48" s="5"/>
    </row>
    <row r="49" outlineLevel="2">
      <c r="A49" s="15" t="s">
        <v>77</v>
      </c>
      <c r="I49" s="5"/>
    </row>
    <row r="50" outlineLevel="3">
      <c r="A50" s="16" t="s">
        <v>78</v>
      </c>
      <c r="B50" s="0" t="s">
        <v>79</v>
      </c>
      <c r="C50" s="17">
        <v>835</v>
      </c>
      <c r="D50" s="17"/>
      <c r="E50" s="17"/>
      <c r="F50" s="17"/>
      <c r="G50" s="17"/>
      <c r="I50" s="5"/>
      <c r="J50" s="0" t="s">
        <v>80</v>
      </c>
      <c r="K50" s="0" t="s">
        <v>81</v>
      </c>
    </row>
    <row r="51" outlineLevel="3">
      <c r="A51" s="16" t="s">
        <v>82</v>
      </c>
      <c r="B51" s="0" t="s">
        <v>79</v>
      </c>
      <c r="C51" s="17">
        <v>1005</v>
      </c>
      <c r="D51" s="17"/>
      <c r="E51" s="17"/>
      <c r="F51" s="17"/>
      <c r="G51" s="17"/>
      <c r="I51" s="5"/>
      <c r="J51" s="0" t="s">
        <v>80</v>
      </c>
      <c r="K51" s="0" t="s">
        <v>81</v>
      </c>
    </row>
    <row r="52" outlineLevel="3">
      <c r="A52" s="16" t="s">
        <v>83</v>
      </c>
      <c r="B52" s="0" t="s">
        <v>79</v>
      </c>
      <c r="C52" s="17">
        <v>1020</v>
      </c>
      <c r="D52" s="17"/>
      <c r="E52" s="17"/>
      <c r="F52" s="17"/>
      <c r="G52" s="17"/>
      <c r="I52" s="5"/>
      <c r="J52" s="0" t="s">
        <v>80</v>
      </c>
      <c r="K52" s="0" t="s">
        <v>81</v>
      </c>
    </row>
    <row r="53" outlineLevel="3">
      <c r="A53" s="16" t="s">
        <v>84</v>
      </c>
      <c r="B53" s="0" t="s">
        <v>79</v>
      </c>
      <c r="C53" s="17">
        <v>1220</v>
      </c>
      <c r="D53" s="17"/>
      <c r="E53" s="17"/>
      <c r="F53" s="17"/>
      <c r="G53" s="17"/>
      <c r="I53" s="5"/>
      <c r="J53" s="0" t="s">
        <v>80</v>
      </c>
      <c r="K53" s="0" t="s">
        <v>81</v>
      </c>
    </row>
    <row r="54" outlineLevel="2">
      <c r="A54" s="15" t="s">
        <v>85</v>
      </c>
      <c r="I54" s="5"/>
    </row>
    <row r="55" outlineLevel="3">
      <c r="A55" s="16" t="s">
        <v>78</v>
      </c>
      <c r="B55" s="0" t="s">
        <v>79</v>
      </c>
      <c r="C55" s="17">
        <v>920</v>
      </c>
      <c r="D55" s="17"/>
      <c r="E55" s="17"/>
      <c r="F55" s="17"/>
      <c r="G55" s="17"/>
      <c r="I55" s="5"/>
      <c r="J55" s="0" t="s">
        <v>80</v>
      </c>
      <c r="K55" s="0" t="s">
        <v>81</v>
      </c>
    </row>
    <row r="56" outlineLevel="3">
      <c r="A56" s="16" t="s">
        <v>82</v>
      </c>
      <c r="B56" s="0" t="s">
        <v>79</v>
      </c>
      <c r="C56" s="17">
        <v>1000</v>
      </c>
      <c r="D56" s="17"/>
      <c r="E56" s="17"/>
      <c r="F56" s="17"/>
      <c r="G56" s="17"/>
      <c r="I56" s="5"/>
      <c r="J56" s="0" t="s">
        <v>80</v>
      </c>
      <c r="K56" s="0" t="s">
        <v>81</v>
      </c>
    </row>
    <row r="57" outlineLevel="3">
      <c r="A57" s="16" t="s">
        <v>83</v>
      </c>
      <c r="B57" s="0" t="s">
        <v>79</v>
      </c>
      <c r="C57" s="17">
        <v>1170</v>
      </c>
      <c r="D57" s="17"/>
      <c r="E57" s="17"/>
      <c r="F57" s="17"/>
      <c r="G57" s="17"/>
      <c r="I57" s="5"/>
      <c r="J57" s="0" t="s">
        <v>80</v>
      </c>
      <c r="K57" s="0" t="s">
        <v>81</v>
      </c>
    </row>
    <row r="58" outlineLevel="3">
      <c r="A58" s="16" t="s">
        <v>84</v>
      </c>
      <c r="B58" s="0" t="s">
        <v>79</v>
      </c>
      <c r="C58" s="17">
        <v>1240</v>
      </c>
      <c r="D58" s="17"/>
      <c r="E58" s="17"/>
      <c r="F58" s="17"/>
      <c r="G58" s="17"/>
      <c r="I58" s="5"/>
      <c r="J58" s="0" t="s">
        <v>80</v>
      </c>
      <c r="K58" s="0" t="s">
        <v>81</v>
      </c>
    </row>
    <row r="59">
      <c r="A59" s="7" t="s">
        <v>86</v>
      </c>
      <c r="I59" s="5"/>
    </row>
    <row r="60" outlineLevel="1">
      <c r="A60" s="11" t="s">
        <v>87</v>
      </c>
      <c r="I60" s="5"/>
    </row>
    <row r="61" outlineLevel="2">
      <c r="A61" s="12" t="s">
        <v>88</v>
      </c>
      <c r="B61" s="0" t="s">
        <v>89</v>
      </c>
      <c r="C61" s="17">
        <v>139</v>
      </c>
      <c r="D61" s="17"/>
      <c r="E61" s="17"/>
      <c r="F61" s="17"/>
      <c r="G61" s="17"/>
      <c r="I61" s="5"/>
      <c r="K61" s="0" t="s">
        <v>90</v>
      </c>
    </row>
    <row r="62">
      <c r="A62" s="7" t="s">
        <v>91</v>
      </c>
      <c r="I62" s="5"/>
    </row>
    <row r="63" outlineLevel="1">
      <c r="A63" s="11" t="s">
        <v>92</v>
      </c>
      <c r="I63" s="5"/>
    </row>
    <row r="64" outlineLevel="2">
      <c r="A64" s="12" t="s">
        <v>93</v>
      </c>
      <c r="B64" s="0" t="s">
        <v>94</v>
      </c>
      <c r="C64" s="13">
        <v>2.1</v>
      </c>
      <c r="D64" s="13"/>
      <c r="E64" s="13"/>
      <c r="F64" s="13"/>
      <c r="G64" s="13"/>
      <c r="I64" s="5"/>
    </row>
    <row r="65" outlineLevel="2">
      <c r="A65" s="12" t="s">
        <v>95</v>
      </c>
      <c r="B65" s="0" t="s">
        <v>94</v>
      </c>
      <c r="C65" s="13">
        <v>5.27</v>
      </c>
      <c r="D65" s="13"/>
      <c r="E65" s="13"/>
      <c r="F65" s="13"/>
      <c r="G65" s="13"/>
      <c r="I65" s="5"/>
    </row>
    <row r="66" outlineLevel="2">
      <c r="A66" s="12" t="s">
        <v>96</v>
      </c>
      <c r="B66" s="0" t="s">
        <v>94</v>
      </c>
      <c r="C66" s="13">
        <v>42.79</v>
      </c>
      <c r="D66" s="13"/>
      <c r="E66" s="13"/>
      <c r="F66" s="13"/>
      <c r="G66" s="13"/>
      <c r="I66" s="5"/>
    </row>
    <row r="67" outlineLevel="2">
      <c r="A67" s="12" t="s">
        <v>97</v>
      </c>
      <c r="B67" s="0" t="s">
        <v>94</v>
      </c>
      <c r="C67" s="13">
        <v>0.4</v>
      </c>
      <c r="D67" s="13"/>
      <c r="E67" s="13"/>
      <c r="F67" s="13"/>
      <c r="G67" s="13"/>
      <c r="I67" s="5"/>
    </row>
    <row r="68" outlineLevel="2">
      <c r="A68" s="12" t="s">
        <v>98</v>
      </c>
      <c r="B68" s="0" t="s">
        <v>94</v>
      </c>
      <c r="C68" s="13">
        <v>0.51</v>
      </c>
      <c r="D68" s="13"/>
      <c r="E68" s="13"/>
      <c r="F68" s="13"/>
      <c r="G68" s="13"/>
      <c r="I68" s="5"/>
    </row>
    <row r="69" outlineLevel="2">
      <c r="A69" s="12" t="s">
        <v>99</v>
      </c>
      <c r="B69" s="0" t="s">
        <v>94</v>
      </c>
      <c r="C69" s="13">
        <v>7.56</v>
      </c>
      <c r="D69" s="13"/>
      <c r="E69" s="13"/>
      <c r="F69" s="13"/>
      <c r="G69" s="13"/>
      <c r="I69" s="5"/>
    </row>
    <row r="70" outlineLevel="2">
      <c r="A70" s="12" t="s">
        <v>100</v>
      </c>
      <c r="B70" s="0" t="s">
        <v>94</v>
      </c>
      <c r="C70" s="13">
        <v>4.81</v>
      </c>
      <c r="D70" s="13"/>
      <c r="E70" s="13"/>
      <c r="F70" s="13"/>
      <c r="G70" s="13"/>
      <c r="I70" s="5"/>
    </row>
    <row r="71" outlineLevel="2">
      <c r="A71" s="12" t="s">
        <v>101</v>
      </c>
      <c r="B71" s="0" t="s">
        <v>94</v>
      </c>
      <c r="C71" s="13">
        <v>0.6</v>
      </c>
      <c r="D71" s="13"/>
      <c r="E71" s="13"/>
      <c r="F71" s="13"/>
      <c r="G71" s="13"/>
      <c r="I71" s="5"/>
    </row>
    <row r="72" outlineLevel="2">
      <c r="A72" s="12" t="s">
        <v>102</v>
      </c>
      <c r="B72" s="0" t="s">
        <v>94</v>
      </c>
      <c r="C72" s="13">
        <v>25.3</v>
      </c>
      <c r="D72" s="13"/>
      <c r="E72" s="13"/>
      <c r="F72" s="13"/>
      <c r="G72" s="13"/>
      <c r="I72" s="5"/>
    </row>
    <row r="73" outlineLevel="2">
      <c r="A73" s="12" t="s">
        <v>103</v>
      </c>
      <c r="B73" s="0" t="s">
        <v>94</v>
      </c>
      <c r="C73" s="13">
        <v>0.03</v>
      </c>
      <c r="D73" s="13"/>
      <c r="E73" s="13"/>
      <c r="F73" s="13"/>
      <c r="G73" s="13"/>
      <c r="I73" s="5"/>
    </row>
    <row r="74">
      <c r="I74" s="5"/>
    </row>
    <row r="75" s="1" customFormat="1"/>
  </sheetData>
  <mergeCells>
    <mergeCell ref="A9:A11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46:E46"/>
    <mergeCell ref="C47:E47"/>
    <mergeCell ref="C50:E50"/>
    <mergeCell ref="C51:E51"/>
    <mergeCell ref="C52:E52"/>
    <mergeCell ref="C53:E53"/>
    <mergeCell ref="C55:E55"/>
    <mergeCell ref="C56:E56"/>
    <mergeCell ref="C57:E57"/>
    <mergeCell ref="C58:E58"/>
    <mergeCell ref="C61:E61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</mergeCells>
  <dataValidations count="1">
    <dataValidation type="decimal" sqref="C28" errorStyle="stop" promptTitle="Enter moisture content" errorTitle="Invalid moisture content" prompt="Value should be between 0 and 100.&#10;Original value: 5.7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https://phyllis.nl/Biomass/View/3168</dc:description>
  <dcterms:created xsi:type="dcterms:W3CDTF">2026-03-04T04:14:44Z</dcterms:created>
  <dc:title>Phyllis2 #3168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