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69 Barley straw" sheetId="1" r:id="rId1"/>
  </sheets>
  <definedNames>
    <definedName name="w" localSheetId="0">IF(ISBLANK('Phyllis2 #3169 Barley straw'!$C$28),#N/A,'Phyllis2 #3169 Barley straw'!$C$28/100)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<sst xmlns="http://schemas.openxmlformats.org/spreadsheetml/2006/main" count="103" uniqueCount="103">
  <si>
    <t>Phyllis2</t>
  </si>
  <si>
    <t>https://phyllis.nl/Biomass/View/3169</t>
  </si>
  <si>
    <t>Barley straw (#3169)</t>
  </si>
  <si>
    <t>ID-number</t>
  </si>
  <si>
    <t>#3169</t>
  </si>
  <si>
    <t>Material</t>
  </si>
  <si>
    <t>Barley straw</t>
  </si>
  <si>
    <t>Alternative name</t>
  </si>
  <si>
    <t>Barley straw (Finnish)</t>
  </si>
  <si>
    <t>Latin name</t>
  </si>
  <si>
    <t>Hordeum vulgare</t>
  </si>
  <si>
    <t>Classification</t>
  </si>
  <si>
    <t>CEN/TS 14961 classification &gt; Solid biofuels &gt; Herbaceous biomass &gt; Agriculture and Horticulture herb &gt; Cereal crops &gt; Straw parts</t>
  </si>
  <si>
    <t>ECN Phyllis classification &gt; straw (stalk/cob/ear) &gt; barley &gt; barley</t>
  </si>
  <si>
    <t>NTA 8003 classification &gt; [200] biomassa uit land- en tuinbouw &gt; [220] stro &gt; [222] gerstestro</t>
  </si>
  <si>
    <t>Sample date</t>
  </si>
  <si>
    <t>Sample location</t>
  </si>
  <si>
    <t>Finland</t>
  </si>
  <si>
    <t>Sample lot size</t>
  </si>
  <si>
    <t>0,2-1 m3</t>
  </si>
  <si>
    <t>Country</t>
  </si>
  <si>
    <t>Submitter</t>
  </si>
  <si>
    <t>VTT</t>
  </si>
  <si>
    <t>Submitter organisation</t>
  </si>
  <si>
    <t>ECN (Netherlands)</t>
  </si>
  <si>
    <t>Submission date</t>
  </si>
  <si>
    <t>Remarks</t>
  </si>
  <si>
    <t>http://en.wikipedia.org/wiki/Barley</t>
  </si>
  <si>
    <t>ash data, taken from original publication, added by ECN in 2012</t>
  </si>
  <si>
    <t>Literature</t>
  </si>
  <si>
    <t>C. Wilén, A. Moilanen and E. Kurkula: Biomass feedstock analyses, VTT publications 282, Espoo 1996.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</si>
  <si>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</si>
  <si>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</si>
  <si>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</si>
  <si>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</si>
  <si>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</si>
  <si>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</si>
  <si>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</si>
  <si>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</si>
  <si>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</si>
  <si>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</si>
  <si>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</si>
  <si>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</si>
  <si>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</si>
  <si>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</si>
  <si>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</si>
  <si>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</si>
  <si>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predried for storage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</si>
  <si>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</si>
  <si>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</si>
  <si>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</si>
  <si>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</si>
  <si>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</si>
  <si>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</si>
  <si>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</si>
  <si>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</si>
  <si>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</si>
  <si>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</si>
  <si>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by difference</t>
  </si>
  <si>
    <t>Nitrogen</t>
  </si>
  <si>
    <t>Sulphur</t>
  </si>
  <si>
    <t>CEN/TS15289</t>
  </si>
  <si>
    <t>Total (with halides)</t>
  </si>
  <si>
    <t>Halides</t>
  </si>
  <si>
    <t>Chlorine (Cl)</t>
  </si>
  <si>
    <t>mg/kg</t>
  </si>
  <si>
    <t>neutron activation</t>
  </si>
  <si>
    <t>Heating value</t>
  </si>
  <si>
    <t>Net calorific value (LHV)</t>
  </si>
  <si>
    <t>MJ/kg</t>
  </si>
  <si>
    <t>CEN/TS 14918</t>
  </si>
  <si>
    <t>Gross calorific value (HHV)</t>
  </si>
  <si>
    <t>HHVMilne</t>
  </si>
  <si>
    <t>Trace elements composition</t>
  </si>
  <si>
    <t>Potassium (K)</t>
  </si>
  <si>
    <t>mg/kg (dry)</t>
  </si>
  <si>
    <t>Sodium (Na)</t>
  </si>
  <si>
    <t>Ash melting behaviour</t>
  </si>
  <si>
    <t>American standard method, measured in oxidizing conditions</t>
  </si>
  <si>
    <t>IDT (initial deformation temperature)</t>
  </si>
  <si>
    <t>°C</t>
  </si>
  <si>
    <t>ASTM D 1857</t>
  </si>
  <si>
    <t>Leco AF-600</t>
  </si>
  <si>
    <t>FT (fluid temperature)</t>
  </si>
  <si>
    <t>American standard method, measured in reducing conditions</t>
  </si>
  <si>
    <t>Physical Properties</t>
  </si>
  <si>
    <t>Commonly used properties</t>
  </si>
  <si>
    <t>Bulk density (ar)</t>
  </si>
  <si>
    <t>kg/m³ (ar)</t>
  </si>
  <si>
    <t>loose, not shaken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</si>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</sst>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6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19.0656890869141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6">
        <v>35065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17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0" t="s">
        <v>24</v>
      </c>
    </row>
    <row r="18" outlineLevel="1">
      <c r="A18" s="7" t="s">
        <v>25</v>
      </c>
      <c r="B18" s="6">
        <v>39696</v>
      </c>
    </row>
    <row r="19" outlineLevel="1">
      <c r="A19" s="7" t="s">
        <v>26</v>
      </c>
      <c r="B19" s="0" t="s">
        <v>27</v>
      </c>
    </row>
    <row r="20" outlineLevel="1">
      <c r="A20" s="7"/>
      <c r="B20" s="0" t="s">
        <v>28</v>
      </c>
    </row>
    <row r="21" outlineLevel="1">
      <c r="A21" s="7" t="s">
        <v>29</v>
      </c>
      <c r="B21" s="0" t="s">
        <v>30</v>
      </c>
    </row>
    <row r="22">
      <c r="A22" s="7"/>
    </row>
    <row r="23" s="1" customFormat="1">
      <c r="A23" s="9" t="s">
        <v>31</v>
      </c>
    </row>
    <row r="24" s="1" customFormat="1">
      <c r="A24" s="10" t="s">
        <v>32</v>
      </c>
      <c r="B24" s="10" t="s">
        <v>33</v>
      </c>
      <c r="C24" s="10" t="s">
        <v>34</v>
      </c>
      <c r="D24" s="10"/>
      <c r="E24" s="10"/>
      <c r="F24" s="10" t="s">
        <v>35</v>
      </c>
      <c r="G24" s="10" t="s">
        <v>36</v>
      </c>
      <c r="H24" s="10" t="s">
        <v>37</v>
      </c>
      <c r="I24" s="10" t="s">
        <v>38</v>
      </c>
      <c r="J24" s="10" t="s">
        <v>39</v>
      </c>
      <c r="K24" s="10" t="s">
        <v>26</v>
      </c>
      <c r="L24" s="10"/>
    </row>
    <row r="25" s="1" customFormat="1">
      <c r="A25" s="10"/>
      <c r="B25" s="10"/>
      <c r="C25" s="10" t="s">
        <v>40</v>
      </c>
      <c r="D25" s="10" t="s">
        <v>41</v>
      </c>
      <c r="E25" s="10" t="s">
        <v>42</v>
      </c>
      <c r="F25" s="10"/>
      <c r="G25" s="10"/>
      <c r="H25" s="10"/>
      <c r="I25" s="10"/>
      <c r="J25" s="10"/>
      <c r="K25" s="10"/>
      <c r="L25" s="10"/>
    </row>
    <row r="26">
      <c r="A26" s="7" t="s">
        <v>43</v>
      </c>
      <c r="I26" s="5"/>
    </row>
    <row r="27" outlineLevel="1">
      <c r="A27" s="11" t="s">
        <v>44</v>
      </c>
      <c r="I27" s="5"/>
    </row>
    <row r="28" outlineLevel="2">
      <c r="A28" s="12" t="s">
        <v>45</v>
      </c>
      <c r="B28" s="0" t="s">
        <v>46</v>
      </c>
      <c r="C28" s="13">
        <v>11.53</v>
      </c>
      <c r="D28" s="13"/>
      <c r="E28" s="13"/>
      <c r="F28" s="13"/>
      <c r="G28" s="13"/>
      <c r="I28" s="5"/>
      <c r="K28" s="0" t="s">
        <v>47</v>
      </c>
    </row>
    <row r="29" outlineLevel="2">
      <c r="A29" s="12" t="s">
        <v>48</v>
      </c>
      <c r="B29" s="0" t="s">
        <v>46</v>
      </c>
      <c r="C29" s="13">
        <f>IFERROR(5.88*(1-w),"")</f>
        <v>5.2020360000000005</v>
      </c>
      <c r="D29" s="13">
        <v>5.88</v>
      </c>
      <c r="E29" s="13">
        <v/>
      </c>
      <c r="F29" s="13"/>
      <c r="G29" s="13"/>
      <c r="I29" s="5"/>
      <c r="J29" s="0" t="s">
        <v>49</v>
      </c>
    </row>
    <row r="30" outlineLevel="2">
      <c r="A30" s="12" t="s">
        <v>50</v>
      </c>
      <c r="B30" s="0" t="s">
        <v>46</v>
      </c>
      <c r="C30" s="13">
        <f>IFERROR(76.1*(1-w),"")</f>
        <v>67.32567</v>
      </c>
      <c r="D30" s="13">
        <v>76.1</v>
      </c>
      <c r="E30" s="13">
        <v>80.854228644283879</v>
      </c>
      <c r="F30" s="13"/>
      <c r="G30" s="13"/>
      <c r="I30" s="5"/>
    </row>
    <row r="31" outlineLevel="2">
      <c r="A31" s="12" t="s">
        <v>51</v>
      </c>
      <c r="B31" s="0" t="s">
        <v>46</v>
      </c>
      <c r="C31" s="13">
        <f>IFERROR(18.02*(1-w),"")</f>
        <v>15.942294000000009</v>
      </c>
      <c r="D31" s="13">
        <v>18.02000000000001</v>
      </c>
      <c r="E31" s="13">
        <v>19.145771355716118</v>
      </c>
      <c r="F31" s="13"/>
      <c r="G31" s="13"/>
      <c r="I31" s="5"/>
      <c r="J31" s="0" t="s">
        <v>52</v>
      </c>
    </row>
    <row r="32" outlineLevel="1">
      <c r="A32" s="11" t="s">
        <v>53</v>
      </c>
      <c r="I32" s="5"/>
    </row>
    <row r="33" outlineLevel="2">
      <c r="A33" s="12" t="s">
        <v>54</v>
      </c>
      <c r="B33" s="0" t="s">
        <v>46</v>
      </c>
      <c r="C33" s="13">
        <f>IFERROR(46.2*(1-w),"")</f>
        <v>40.873140000000006</v>
      </c>
      <c r="D33" s="13">
        <v>46.2</v>
      </c>
      <c r="E33" s="13">
        <v>49.086272843178925</v>
      </c>
      <c r="F33" s="13"/>
      <c r="G33" s="13"/>
      <c r="I33" s="5"/>
      <c r="J33" s="0" t="s">
        <v>55</v>
      </c>
    </row>
    <row r="34" outlineLevel="2">
      <c r="A34" s="12" t="s">
        <v>56</v>
      </c>
      <c r="B34" s="0" t="s">
        <v>46</v>
      </c>
      <c r="C34" s="13">
        <f>IFERROR(5.7*(1-w),"")</f>
        <v>5.04279</v>
      </c>
      <c r="D34" s="13">
        <v>5.7</v>
      </c>
      <c r="E34" s="13">
        <v>6.0560985975350619</v>
      </c>
      <c r="F34" s="13"/>
      <c r="G34" s="13"/>
      <c r="I34" s="5"/>
      <c r="J34" s="0" t="s">
        <v>55</v>
      </c>
    </row>
    <row r="35" outlineLevel="2">
      <c r="A35" s="12" t="s">
        <v>57</v>
      </c>
      <c r="B35" s="0" t="s">
        <v>46</v>
      </c>
      <c r="C35" s="13">
        <f>IFERROR(41.54*(1-w),"")</f>
        <v>36.750438</v>
      </c>
      <c r="D35" s="13">
        <v>41.54</v>
      </c>
      <c r="E35" s="13">
        <v>44.135146621334464</v>
      </c>
      <c r="F35" s="13"/>
      <c r="G35" s="13"/>
      <c r="I35" s="5"/>
      <c r="K35" s="0" t="s">
        <v>58</v>
      </c>
    </row>
    <row r="36" outlineLevel="2">
      <c r="A36" s="12" t="s">
        <v>59</v>
      </c>
      <c r="B36" s="0" t="s">
        <v>46</v>
      </c>
      <c r="C36" s="13">
        <f>IFERROR(0.6*(1-w),"")</f>
        <v>0.53082</v>
      </c>
      <c r="D36" s="13">
        <v>0.6</v>
      </c>
      <c r="E36" s="13">
        <v>0.63748406289842752</v>
      </c>
      <c r="F36" s="13"/>
      <c r="G36" s="13"/>
      <c r="I36" s="5"/>
      <c r="J36" s="0" t="s">
        <v>55</v>
      </c>
    </row>
    <row r="37" outlineLevel="2">
      <c r="A37" s="12" t="s">
        <v>60</v>
      </c>
      <c r="B37" s="0" t="s">
        <v>46</v>
      </c>
      <c r="C37" s="13">
        <f>IFERROR(0.08*(1-w),"")</f>
        <v>0.070776</v>
      </c>
      <c r="D37" s="13">
        <v>0.08</v>
      </c>
      <c r="E37" s="13">
        <v>0.084997875053123673</v>
      </c>
      <c r="F37" s="13"/>
      <c r="G37" s="13"/>
      <c r="I37" s="5"/>
      <c r="J37" s="0" t="s">
        <v>61</v>
      </c>
    </row>
    <row r="38" outlineLevel="2">
      <c r="A38" s="12" t="s">
        <v>62</v>
      </c>
      <c r="B38" s="0" t="s">
        <v>46</v>
      </c>
      <c r="C38" s="13">
        <f>IFERROR(100.2737*(1-w)+w*100,"")</f>
        <v>100.24214239</v>
      </c>
      <c r="D38" s="13">
        <v>100.27369999999999</v>
      </c>
      <c r="E38" s="13">
        <v>100.29079898002549</v>
      </c>
      <c r="F38" s="13"/>
      <c r="G38" s="13"/>
      <c r="I38" s="5"/>
      <c r="J38" s="0" t="s">
        <v>52</v>
      </c>
    </row>
    <row r="39" outlineLevel="1">
      <c r="A39" s="11" t="s">
        <v>63</v>
      </c>
      <c r="I39" s="5"/>
    </row>
    <row r="40" outlineLevel="2">
      <c r="A40" s="12" t="s">
        <v>64</v>
      </c>
      <c r="B40" s="0" t="s">
        <v>65</v>
      </c>
      <c r="C40" s="14">
        <f>IFERROR(2737*(1-w),"")</f>
        <v>2421.4239000000002</v>
      </c>
      <c r="D40" s="14">
        <v>2737</v>
      </c>
      <c r="E40" s="14">
        <v>2907.9898002549935</v>
      </c>
      <c r="F40" s="14"/>
      <c r="G40" s="14"/>
      <c r="I40" s="5"/>
      <c r="K40" s="0" t="s">
        <v>66</v>
      </c>
    </row>
    <row r="41" outlineLevel="1">
      <c r="A41" s="11" t="s">
        <v>67</v>
      </c>
      <c r="I41" s="5"/>
    </row>
    <row r="42" outlineLevel="2">
      <c r="A42" s="12" t="s">
        <v>68</v>
      </c>
      <c r="B42" s="0" t="s">
        <v>69</v>
      </c>
      <c r="C42" s="13">
        <f>IFERROR(17.43*(1-w)-w*2.443,"")</f>
        <v>15.138643100000001</v>
      </c>
      <c r="D42" s="13">
        <v>17.43</v>
      </c>
      <c r="E42" s="13">
        <v>18.51891202719932</v>
      </c>
      <c r="F42" s="13"/>
      <c r="G42" s="13"/>
      <c r="I42" s="5"/>
      <c r="J42" s="0" t="s">
        <v>70</v>
      </c>
    </row>
    <row r="43" outlineLevel="2">
      <c r="A43" s="12" t="s">
        <v>71</v>
      </c>
      <c r="B43" s="0" t="s">
        <v>69</v>
      </c>
      <c r="C43" s="13">
        <f>IFERROR(18.68*(1-w),"")</f>
        <v>16.526196</v>
      </c>
      <c r="D43" s="13">
        <v>18.68</v>
      </c>
      <c r="E43" s="13">
        <v>19.847003824904377</v>
      </c>
      <c r="F43" s="13"/>
      <c r="G43" s="13"/>
      <c r="I43" s="5"/>
    </row>
    <row r="44" outlineLevel="2">
      <c r="A44" s="12" t="s">
        <v>72</v>
      </c>
      <c r="B44" s="0" t="s">
        <v>69</v>
      </c>
      <c r="C44" s="13">
        <f>IFERROR(18.1536138832*(1-w),"")</f>
        <v>16.060502202467045</v>
      </c>
      <c r="D44" s="13">
        <v>18.153613883200006</v>
      </c>
      <c r="E44" s="13">
        <v>19.287732557586065</v>
      </c>
      <c r="F44" s="13"/>
      <c r="G44" s="13"/>
      <c r="I44" s="5"/>
      <c r="J44" s="0" t="s">
        <v>52</v>
      </c>
    </row>
    <row r="45" outlineLevel="1">
      <c r="A45" s="11" t="s">
        <v>73</v>
      </c>
      <c r="I45" s="5"/>
    </row>
    <row r="46" outlineLevel="2">
      <c r="A46" s="12" t="s">
        <v>74</v>
      </c>
      <c r="B46" s="0" t="s">
        <v>75</v>
      </c>
      <c r="C46" s="14">
        <v>12188</v>
      </c>
      <c r="D46" s="14"/>
      <c r="E46" s="14"/>
      <c r="F46" s="14"/>
      <c r="G46" s="14"/>
      <c r="I46" s="5"/>
      <c r="K46" s="0" t="s">
        <v>66</v>
      </c>
    </row>
    <row r="47" outlineLevel="2">
      <c r="A47" s="12" t="s">
        <v>76</v>
      </c>
      <c r="B47" s="0" t="s">
        <v>75</v>
      </c>
      <c r="C47" s="14">
        <v>333</v>
      </c>
      <c r="D47" s="14"/>
      <c r="E47" s="14"/>
      <c r="F47" s="14"/>
      <c r="G47" s="14"/>
      <c r="I47" s="5"/>
      <c r="K47" s="0" t="s">
        <v>66</v>
      </c>
    </row>
    <row r="48" outlineLevel="1">
      <c r="A48" s="11" t="s">
        <v>77</v>
      </c>
      <c r="I48" s="5"/>
    </row>
    <row r="49" outlineLevel="2">
      <c r="A49" s="15" t="s">
        <v>78</v>
      </c>
      <c r="I49" s="5"/>
    </row>
    <row r="50" outlineLevel="3">
      <c r="A50" s="16" t="s">
        <v>79</v>
      </c>
      <c r="B50" s="0" t="s">
        <v>80</v>
      </c>
      <c r="C50" s="17">
        <v>750</v>
      </c>
      <c r="D50" s="17"/>
      <c r="E50" s="17"/>
      <c r="F50" s="17"/>
      <c r="G50" s="17"/>
      <c r="I50" s="5"/>
      <c r="J50" s="0" t="s">
        <v>81</v>
      </c>
      <c r="K50" s="0" t="s">
        <v>82</v>
      </c>
    </row>
    <row r="51" outlineLevel="3">
      <c r="A51" s="16" t="s">
        <v>83</v>
      </c>
      <c r="B51" s="0" t="s">
        <v>80</v>
      </c>
      <c r="C51" s="17">
        <v>1050</v>
      </c>
      <c r="D51" s="17"/>
      <c r="E51" s="17"/>
      <c r="F51" s="17"/>
      <c r="G51" s="17"/>
      <c r="I51" s="5"/>
      <c r="J51" s="0" t="s">
        <v>81</v>
      </c>
      <c r="K51" s="0" t="s">
        <v>82</v>
      </c>
    </row>
    <row r="52" outlineLevel="2">
      <c r="A52" s="15" t="s">
        <v>84</v>
      </c>
      <c r="I52" s="5"/>
    </row>
    <row r="53" outlineLevel="3">
      <c r="A53" s="16" t="s">
        <v>79</v>
      </c>
      <c r="B53" s="0" t="s">
        <v>80</v>
      </c>
      <c r="C53" s="17">
        <v>850</v>
      </c>
      <c r="D53" s="17"/>
      <c r="E53" s="17"/>
      <c r="F53" s="17"/>
      <c r="G53" s="17"/>
      <c r="I53" s="5"/>
      <c r="J53" s="0" t="s">
        <v>81</v>
      </c>
      <c r="K53" s="0" t="s">
        <v>82</v>
      </c>
    </row>
    <row r="54" outlineLevel="3">
      <c r="A54" s="16" t="s">
        <v>83</v>
      </c>
      <c r="B54" s="0" t="s">
        <v>80</v>
      </c>
      <c r="C54" s="17">
        <v>1200</v>
      </c>
      <c r="D54" s="17"/>
      <c r="E54" s="17"/>
      <c r="F54" s="17"/>
      <c r="G54" s="17"/>
      <c r="I54" s="5"/>
      <c r="J54" s="0" t="s">
        <v>81</v>
      </c>
      <c r="K54" s="0" t="s">
        <v>82</v>
      </c>
    </row>
    <row r="55">
      <c r="A55" s="7" t="s">
        <v>85</v>
      </c>
      <c r="I55" s="5"/>
    </row>
    <row r="56" outlineLevel="1">
      <c r="A56" s="11" t="s">
        <v>86</v>
      </c>
      <c r="I56" s="5"/>
    </row>
    <row r="57" outlineLevel="2">
      <c r="A57" s="12" t="s">
        <v>87</v>
      </c>
      <c r="B57" s="0" t="s">
        <v>88</v>
      </c>
      <c r="C57" s="17">
        <v>82</v>
      </c>
      <c r="D57" s="17"/>
      <c r="E57" s="17"/>
      <c r="F57" s="17"/>
      <c r="G57" s="17"/>
      <c r="I57" s="5"/>
      <c r="K57" s="0" t="s">
        <v>89</v>
      </c>
    </row>
    <row r="58">
      <c r="A58" s="7" t="s">
        <v>90</v>
      </c>
      <c r="I58" s="5"/>
    </row>
    <row r="59" outlineLevel="1">
      <c r="A59" s="11" t="s">
        <v>91</v>
      </c>
      <c r="I59" s="5"/>
    </row>
    <row r="60" outlineLevel="2">
      <c r="A60" s="12" t="s">
        <v>92</v>
      </c>
      <c r="B60" s="0" t="s">
        <v>93</v>
      </c>
      <c r="C60" s="13">
        <v>1.42</v>
      </c>
      <c r="D60" s="13"/>
      <c r="E60" s="13"/>
      <c r="F60" s="13"/>
      <c r="G60" s="13"/>
      <c r="I60" s="5"/>
    </row>
    <row r="61" outlineLevel="2">
      <c r="A61" s="12" t="s">
        <v>94</v>
      </c>
      <c r="B61" s="0" t="s">
        <v>93</v>
      </c>
      <c r="C61" s="13">
        <v>2.52</v>
      </c>
      <c r="D61" s="13"/>
      <c r="E61" s="13"/>
      <c r="F61" s="13"/>
      <c r="G61" s="13"/>
      <c r="I61" s="5"/>
    </row>
    <row r="62" outlineLevel="2">
      <c r="A62" s="12" t="s">
        <v>95</v>
      </c>
      <c r="B62" s="0" t="s">
        <v>93</v>
      </c>
      <c r="C62" s="13">
        <v>62.04</v>
      </c>
      <c r="D62" s="13"/>
      <c r="E62" s="13"/>
      <c r="F62" s="13"/>
      <c r="G62" s="13"/>
      <c r="I62" s="5"/>
    </row>
    <row r="63" outlineLevel="2">
      <c r="A63" s="12" t="s">
        <v>96</v>
      </c>
      <c r="B63" s="0" t="s">
        <v>93</v>
      </c>
      <c r="C63" s="13">
        <v>0.17</v>
      </c>
      <c r="D63" s="13"/>
      <c r="E63" s="13"/>
      <c r="F63" s="13"/>
      <c r="G63" s="13"/>
      <c r="I63" s="5"/>
    </row>
    <row r="64" outlineLevel="2">
      <c r="A64" s="12" t="s">
        <v>97</v>
      </c>
      <c r="B64" s="0" t="s">
        <v>93</v>
      </c>
      <c r="C64" s="13">
        <v>0.19</v>
      </c>
      <c r="D64" s="13"/>
      <c r="E64" s="13"/>
      <c r="F64" s="13"/>
      <c r="G64" s="13"/>
      <c r="I64" s="5"/>
    </row>
    <row r="65" outlineLevel="2">
      <c r="A65" s="12" t="s">
        <v>98</v>
      </c>
      <c r="B65" s="0" t="s">
        <v>93</v>
      </c>
      <c r="C65" s="13">
        <v>4.48</v>
      </c>
      <c r="D65" s="13"/>
      <c r="E65" s="13"/>
      <c r="F65" s="13"/>
      <c r="G65" s="13"/>
      <c r="I65" s="5"/>
    </row>
    <row r="66" outlineLevel="2">
      <c r="A66" s="12" t="s">
        <v>99</v>
      </c>
      <c r="B66" s="0" t="s">
        <v>93</v>
      </c>
      <c r="C66" s="13">
        <v>2.16</v>
      </c>
      <c r="D66" s="13"/>
      <c r="E66" s="13"/>
      <c r="F66" s="13"/>
      <c r="G66" s="13"/>
      <c r="I66" s="5"/>
    </row>
    <row r="67" outlineLevel="2">
      <c r="A67" s="12" t="s">
        <v>100</v>
      </c>
      <c r="B67" s="0" t="s">
        <v>93</v>
      </c>
      <c r="C67" s="13">
        <v>0.44</v>
      </c>
      <c r="D67" s="13"/>
      <c r="E67" s="13"/>
      <c r="F67" s="13"/>
      <c r="G67" s="13"/>
      <c r="I67" s="5"/>
    </row>
    <row r="68" outlineLevel="2">
      <c r="A68" s="12" t="s">
        <v>101</v>
      </c>
      <c r="B68" s="0" t="s">
        <v>93</v>
      </c>
      <c r="C68" s="13">
        <v>19.27</v>
      </c>
      <c r="D68" s="13"/>
      <c r="E68" s="13"/>
      <c r="F68" s="13"/>
      <c r="G68" s="13"/>
      <c r="I68" s="5"/>
    </row>
    <row r="69" outlineLevel="2">
      <c r="A69" s="12" t="s">
        <v>102</v>
      </c>
      <c r="B69" s="0" t="s">
        <v>93</v>
      </c>
      <c r="C69" s="13">
        <v>0.02</v>
      </c>
      <c r="D69" s="13"/>
      <c r="E69" s="13"/>
      <c r="F69" s="13"/>
      <c r="G69" s="13"/>
      <c r="I69" s="5"/>
    </row>
    <row r="70">
      <c r="I70" s="5"/>
    </row>
    <row r="71" s="1" customFormat="1"/>
  </sheetData>
  <mergeCells>
    <mergeCell ref="A9:A11"/>
    <mergeCell ref="C24:E24"/>
    <mergeCell ref="A24:A25"/>
    <mergeCell ref="B24:B25"/>
    <mergeCell ref="F24:F25"/>
    <mergeCell ref="G24:G25"/>
    <mergeCell ref="H24:H25"/>
    <mergeCell ref="I24:I25"/>
    <mergeCell ref="J24:J25"/>
    <mergeCell ref="K24:K25"/>
    <mergeCell ref="C46:E46"/>
    <mergeCell ref="C47:E47"/>
    <mergeCell ref="C50:E50"/>
    <mergeCell ref="C51:E51"/>
    <mergeCell ref="C53:E53"/>
    <mergeCell ref="C54:E54"/>
    <mergeCell ref="C57:E57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</mergeCells>
  <dataValidations count="1">
    <dataValidation type="decimal" sqref="C28" errorStyle="stop" promptTitle="Enter moisture content" errorTitle="Invalid moisture content" prompt="Value should be between 0 and 100.&#10;Original value: 11.5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https://phyllis.nl/Biomass/View/3169</dc:description>
  <dcterms:created xsi:type="dcterms:W3CDTF">2026-03-17T06:04:15Z</dcterms:created>
  <dc:title>Phyllis2 #3169 Barley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