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1 Miscanthus" sheetId="1" r:id="rId1"/>
  </sheets>
  <definedNames>
    <definedName name="w" localSheetId="0">IF(ISBLANK('Phyllis2 #3171 Miscanthus'!$C$28),#N/A,'Phyllis2 #3171 Miscanthus'!$C$28/100)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<sst xmlns="http://schemas.openxmlformats.org/spreadsheetml/2006/main" count="76" uniqueCount="76">
  <si>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</si>
  <si>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https://phyllis.nl/Biomass/View/3171</t>
  </si>
  <si>
    <t>Miscanthus (#3171)</t>
  </si>
  <si>
    <t>ID-number</t>
  </si>
  <si>
    <t>#3171</t>
  </si>
  <si>
    <t>Material</t>
  </si>
  <si>
    <t>Miscanthus</t>
  </si>
  <si>
    <t>Alternative name</t>
  </si>
  <si>
    <t>Latin name</t>
  </si>
  <si>
    <t>Miscanthus spp.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</si>
  <si>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</si>
  <si>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</si>
  <si>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miscanthus</t>
  </si>
  <si>
    <t>NTA 8003 classification &gt; [200] biomassa uit land- en tuinbouw &gt; [210] gras &gt; [212] olifantsgras/miscanthus</t>
  </si>
  <si>
    <t>Sample date</t>
  </si>
  <si>
    <t>Sample location</t>
  </si>
  <si>
    <t>Germany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</si>
  <si>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</si>
  <si>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</si>
  <si>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</si>
  <si>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</si>
  <si>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</si>
  <si>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</si>
  <si>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</si>
  <si>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</si>
  <si>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</si>
  <si>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http://en.wikipedia.org/wiki/Miscanthus</t>
  </si>
  <si>
    <t>some data, taken from original publication, added by ECN, 2012</t>
  </si>
  <si>
    <t>Literature</t>
  </si>
  <si>
    <t>C. Wilén, A. Moilanen and E. Kurkula: Biomass feedstock analyses, VTT publications 282, Espoo,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</si>
  <si>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</si>
  <si>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</si>
  <si>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</si>
  <si>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</si>
  <si>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</si>
  <si>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</si>
  <si>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</si>
  <si>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</si>
  <si>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</si>
  <si>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</si>
  <si>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</si>
  <si>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</si>
  <si>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</si>
  <si>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</si>
  <si>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</si>
  <si>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</si>
  <si>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material was 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</si>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</sst>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30.79206466674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35065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6">
        <v>39696</v>
      </c>
    </row>
    <row r="19" outlineLevel="1">
      <c r="A19" s="7" t="s">
        <v>25</v>
      </c>
      <c r="B19" s="0" t="s">
        <v>26</v>
      </c>
    </row>
    <row r="20" outlineLevel="1">
      <c r="A20" s="7"/>
      <c r="B20" s="0" t="s">
        <v>27</v>
      </c>
    </row>
    <row r="21" outlineLevel="1">
      <c r="A21" s="7" t="s">
        <v>28</v>
      </c>
      <c r="B21" s="0" t="s">
        <v>29</v>
      </c>
    </row>
    <row r="22">
      <c r="A22" s="7"/>
    </row>
    <row r="23" s="1" customFormat="1">
      <c r="A23" s="9" t="s">
        <v>30</v>
      </c>
    </row>
    <row r="24" s="1" customFormat="1">
      <c r="A24" s="10" t="s">
        <v>31</v>
      </c>
      <c r="B24" s="10" t="s">
        <v>32</v>
      </c>
      <c r="C24" s="10" t="s">
        <v>33</v>
      </c>
      <c r="D24" s="10"/>
      <c r="E24" s="10"/>
      <c r="F24" s="10" t="s">
        <v>34</v>
      </c>
      <c r="G24" s="10" t="s">
        <v>35</v>
      </c>
      <c r="H24" s="10" t="s">
        <v>36</v>
      </c>
      <c r="I24" s="10" t="s">
        <v>37</v>
      </c>
      <c r="J24" s="10" t="s">
        <v>38</v>
      </c>
      <c r="K24" s="10" t="s">
        <v>25</v>
      </c>
      <c r="L24" s="10"/>
    </row>
    <row r="25" s="1" customFormat="1">
      <c r="A25" s="10"/>
      <c r="B25" s="10"/>
      <c r="C25" s="10" t="s">
        <v>39</v>
      </c>
      <c r="D25" s="10" t="s">
        <v>40</v>
      </c>
      <c r="E25" s="10" t="s">
        <v>41</v>
      </c>
      <c r="F25" s="10"/>
      <c r="G25" s="10"/>
      <c r="H25" s="10"/>
      <c r="I25" s="10"/>
      <c r="J25" s="10"/>
      <c r="K25" s="10"/>
      <c r="L25" s="10"/>
    </row>
    <row r="26">
      <c r="A26" s="7" t="s">
        <v>42</v>
      </c>
      <c r="I26" s="5"/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v>8.6</v>
      </c>
      <c r="D28" s="13"/>
      <c r="E28" s="13"/>
      <c r="F28" s="13"/>
      <c r="G28" s="13"/>
      <c r="I28" s="5"/>
      <c r="K28" s="0" t="s">
        <v>46</v>
      </c>
    </row>
    <row r="29" outlineLevel="2">
      <c r="A29" s="12" t="s">
        <v>47</v>
      </c>
      <c r="B29" s="0" t="s">
        <v>45</v>
      </c>
      <c r="C29" s="13">
        <f>IFERROR(2.3*(1-w),"")</f>
        <v>2.1022</v>
      </c>
      <c r="D29" s="13">
        <v>2.3</v>
      </c>
      <c r="E29" s="13">
        <v/>
      </c>
      <c r="F29" s="13"/>
      <c r="G29" s="13"/>
      <c r="I29" s="5"/>
      <c r="J29" s="0" t="s">
        <v>48</v>
      </c>
    </row>
    <row r="30" outlineLevel="2">
      <c r="A30" s="12" t="s">
        <v>49</v>
      </c>
      <c r="B30" s="0" t="s">
        <v>45</v>
      </c>
      <c r="C30" s="13">
        <f>IFERROR(79.3*(1-w),"")</f>
        <v>72.4802</v>
      </c>
      <c r="D30" s="13">
        <v>79.3</v>
      </c>
      <c r="E30" s="13">
        <v>81.1668372569089</v>
      </c>
      <c r="F30" s="13"/>
      <c r="G30" s="13"/>
      <c r="I30" s="5"/>
    </row>
    <row r="31" outlineLevel="2">
      <c r="A31" s="12" t="s">
        <v>50</v>
      </c>
      <c r="B31" s="0" t="s">
        <v>45</v>
      </c>
      <c r="C31" s="13">
        <f>IFERROR(18.4*(1-w),"")</f>
        <v>16.817600000000006</v>
      </c>
      <c r="D31" s="13">
        <v>18.400000000000006</v>
      </c>
      <c r="E31" s="13">
        <v>18.8331627430911</v>
      </c>
      <c r="F31" s="13"/>
      <c r="G31" s="13"/>
      <c r="I31" s="5"/>
      <c r="J31" s="0" t="s">
        <v>51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45</v>
      </c>
      <c r="C33" s="13">
        <f>IFERROR(48.6*(1-w),"")</f>
        <v>44.4204</v>
      </c>
      <c r="D33" s="13">
        <v>48.6</v>
      </c>
      <c r="E33" s="13">
        <v>49.744114636642784</v>
      </c>
      <c r="F33" s="13"/>
      <c r="G33" s="13"/>
      <c r="I33" s="5"/>
      <c r="J33" s="0" t="s">
        <v>54</v>
      </c>
    </row>
    <row r="34" outlineLevel="2">
      <c r="A34" s="12" t="s">
        <v>55</v>
      </c>
      <c r="B34" s="0" t="s">
        <v>45</v>
      </c>
      <c r="C34" s="13">
        <f>IFERROR(6*(1-w),"")</f>
        <v>5.484</v>
      </c>
      <c r="D34" s="13">
        <v>6</v>
      </c>
      <c r="E34" s="13">
        <v>6.1412487205731834</v>
      </c>
      <c r="F34" s="13"/>
      <c r="G34" s="13"/>
      <c r="I34" s="5"/>
      <c r="J34" s="0" t="s">
        <v>54</v>
      </c>
    </row>
    <row r="35" outlineLevel="2">
      <c r="A35" s="12" t="s">
        <v>56</v>
      </c>
      <c r="B35" s="0" t="s">
        <v>45</v>
      </c>
      <c r="C35" s="13">
        <f>IFERROR(42.72*(1-w),"")</f>
        <v>39.04608</v>
      </c>
      <c r="D35" s="13">
        <v>42.72</v>
      </c>
      <c r="E35" s="13">
        <v>43.725690890481062</v>
      </c>
      <c r="F35" s="13"/>
      <c r="G35" s="13"/>
      <c r="I35" s="5"/>
      <c r="K35" s="0" t="s">
        <v>57</v>
      </c>
    </row>
    <row r="36" outlineLevel="2">
      <c r="A36" s="12" t="s">
        <v>58</v>
      </c>
      <c r="B36" s="0" t="s">
        <v>45</v>
      </c>
      <c r="C36" s="13">
        <f>IFERROR(0.3*(1-w),"")</f>
        <v>0.2742</v>
      </c>
      <c r="D36" s="13">
        <v>0.3</v>
      </c>
      <c r="E36" s="13">
        <v>0.30706243602865918</v>
      </c>
      <c r="F36" s="13"/>
      <c r="G36" s="13"/>
      <c r="I36" s="5"/>
      <c r="J36" s="0" t="s">
        <v>54</v>
      </c>
    </row>
    <row r="37" outlineLevel="2">
      <c r="A37" s="12" t="s">
        <v>59</v>
      </c>
      <c r="B37" s="0" t="s">
        <v>45</v>
      </c>
      <c r="C37" s="13">
        <f>IFERROR(0.08*(1-w),"")</f>
        <v>0.07312</v>
      </c>
      <c r="D37" s="13">
        <v>0.08</v>
      </c>
      <c r="E37" s="13">
        <v>0.081883316274309115</v>
      </c>
      <c r="F37" s="13"/>
      <c r="G37" s="13"/>
      <c r="I37" s="5"/>
      <c r="J37" s="0" t="s">
        <v>60</v>
      </c>
    </row>
    <row r="38" outlineLevel="2">
      <c r="A38" s="12" t="s">
        <v>61</v>
      </c>
      <c r="B38" s="0" t="s">
        <v>45</v>
      </c>
      <c r="C38" s="13">
        <f>IFERROR(100.1405*(1-w)+w*100,"")</f>
        <v>100.12841699999998</v>
      </c>
      <c r="D38" s="13">
        <v>100.14049999999999</v>
      </c>
      <c r="E38" s="13">
        <v>100.14380757420675</v>
      </c>
      <c r="F38" s="13"/>
      <c r="G38" s="13"/>
      <c r="I38" s="5"/>
      <c r="J38" s="0" t="s">
        <v>51</v>
      </c>
    </row>
    <row r="39" outlineLevel="1">
      <c r="A39" s="11" t="s">
        <v>62</v>
      </c>
      <c r="I39" s="5"/>
    </row>
    <row r="40" outlineLevel="2">
      <c r="A40" s="12" t="s">
        <v>63</v>
      </c>
      <c r="B40" s="0" t="s">
        <v>64</v>
      </c>
      <c r="C40" s="14">
        <f>IFERROR(1405*(1-w),"")</f>
        <v>1284.17</v>
      </c>
      <c r="D40" s="14">
        <v>1405</v>
      </c>
      <c r="E40" s="14">
        <v>1438.0757420675538</v>
      </c>
      <c r="F40" s="14"/>
      <c r="G40" s="14"/>
      <c r="I40" s="5"/>
      <c r="K40" s="0" t="s">
        <v>65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3">
        <f>IFERROR(18.13*(1-w)-w*2.443,"")</f>
        <v>16.360722000000003</v>
      </c>
      <c r="D42" s="13">
        <v>18.13</v>
      </c>
      <c r="E42" s="13">
        <v>18.5568065506653</v>
      </c>
      <c r="F42" s="13"/>
      <c r="G42" s="13"/>
      <c r="I42" s="5"/>
      <c r="J42" s="0" t="s">
        <v>69</v>
      </c>
    </row>
    <row r="43" outlineLevel="2">
      <c r="A43" s="12" t="s">
        <v>70</v>
      </c>
      <c r="B43" s="0" t="s">
        <v>68</v>
      </c>
      <c r="C43" s="13">
        <f>IFERROR(19.43*(1-w),"")</f>
        <v>17.75902</v>
      </c>
      <c r="D43" s="13">
        <v>19.43</v>
      </c>
      <c r="E43" s="13">
        <v>19.887410440122824</v>
      </c>
      <c r="F43" s="13"/>
      <c r="G43" s="13"/>
      <c r="I43" s="5"/>
    </row>
    <row r="44" outlineLevel="2">
      <c r="A44" s="12" t="s">
        <v>71</v>
      </c>
      <c r="B44" s="0" t="s">
        <v>68</v>
      </c>
      <c r="C44" s="13">
        <f>IFERROR(19.31330737*(1-w),"")</f>
        <v>17.65236293618</v>
      </c>
      <c r="D44" s="13">
        <v>19.31330737</v>
      </c>
      <c r="E44" s="13">
        <v>19.767970696008188</v>
      </c>
      <c r="F44" s="13"/>
      <c r="G44" s="13"/>
      <c r="I44" s="5"/>
      <c r="J44" s="0" t="s">
        <v>51</v>
      </c>
    </row>
    <row r="45" outlineLevel="1">
      <c r="A45" s="11" t="s">
        <v>72</v>
      </c>
      <c r="I45" s="5"/>
    </row>
    <row r="46" outlineLevel="2">
      <c r="A46" s="12" t="s">
        <v>73</v>
      </c>
      <c r="B46" s="0" t="s">
        <v>74</v>
      </c>
      <c r="C46" s="14">
        <v>3027</v>
      </c>
      <c r="D46" s="14"/>
      <c r="E46" s="14"/>
      <c r="F46" s="14"/>
      <c r="G46" s="14"/>
      <c r="I46" s="5"/>
      <c r="K46" s="0" t="s">
        <v>65</v>
      </c>
    </row>
    <row r="47" outlineLevel="2">
      <c r="A47" s="12" t="s">
        <v>75</v>
      </c>
      <c r="B47" s="0" t="s">
        <v>74</v>
      </c>
      <c r="C47" s="14">
        <v>27</v>
      </c>
      <c r="D47" s="14"/>
      <c r="E47" s="14"/>
      <c r="F47" s="14"/>
      <c r="G47" s="14"/>
      <c r="I47" s="5"/>
      <c r="K47" s="0" t="s">
        <v>65</v>
      </c>
    </row>
    <row r="48">
      <c r="I48" s="5"/>
    </row>
    <row r="49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</mergeCells>
  <dataValidations count="1">
    <dataValidation type="decimal" sqref="C28" errorStyle="stop" promptTitle="Enter moisture content" errorTitle="Invalid moisture content" prompt="Value should be between 0 and 100.&#10;Original value: 8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https://phyllis.nl/Biomass/View/3171</dc:description>
  <dcterms:created xsi:type="dcterms:W3CDTF">2026-03-04T04:15:09Z</dcterms:created>
  <dc:title>Phyllis2 #3171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