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72 Stump chips" sheetId="1" r:id="rId1"/>
  </sheets>
  <definedNames>
    <definedName name="w" localSheetId="0">IF(ISBLANK('Phyllis2 #3172 Stump chips'!$C$23),#N/A,'Phyllis2 #3172 Stump chips'!$C$23/100)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<sst xmlns="http://schemas.openxmlformats.org/spreadsheetml/2006/main" count="74" uniqueCount="74">
  <si>
    <t>Phyllis2</t>
  </si>
  <si>
    <t>https://phyllis.nl/Biomass/View/3172</t>
  </si>
  <si>
    <t>Stump chips (#3172)</t>
  </si>
  <si>
    <t>ID-number</t>
  </si>
  <si>
    <t>#3172</t>
  </si>
  <si>
    <t>Material</t>
  </si>
  <si>
    <t>Stump chips</t>
  </si>
  <si>
    <t>Latin name</t>
  </si>
  <si>
    <t>Picea abies</t>
  </si>
  <si>
    <t>Classification</t>
  </si>
  <si>
    <t>CEN/TS 14961 classification &gt; Solid biofuels &gt; Woody biomass &gt; Forest and plantation wood &gt; Stumps roots &gt; Coniferous</t>
  </si>
  <si>
    <t>ECN Phyllis classification &gt; untreated wood &gt; fir/pine/spruce</t>
  </si>
  <si>
    <t>NTA 8003 classification &gt; [100] hout &gt; [110] vers hout &gt; [130] naaldhout &gt; [131] naaldhout</t>
  </si>
  <si>
    <t>Sample date</t>
  </si>
  <si>
    <t>Sample lot size</t>
  </si>
  <si>
    <t>250 ton</t>
  </si>
  <si>
    <t>Country</t>
  </si>
  <si>
    <t>Finland</t>
  </si>
  <si>
    <t>Production date</t>
  </si>
  <si>
    <t>Submitter organisation</t>
  </si>
  <si>
    <t>ECN (Netherlands)</t>
  </si>
  <si>
    <t>Remarks</t>
  </si>
  <si>
    <t>Toivo Tomingas on-job training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</si>
  <si>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</si>
  <si>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</si>
  <si>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</si>
  <si>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</si>
  <si>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</si>
  <si>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</si>
  <si>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</si>
  <si>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</si>
  <si>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</si>
  <si>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</si>
  <si>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</si>
  <si>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</si>
  <si>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</si>
  <si>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</si>
  <si>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</si>
  <si>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</si>
  <si>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VTT</t>
  </si>
  <si>
    <t>CEN/TS 14774-1,2,3</t>
  </si>
  <si>
    <t>CEN/TS 14774-1</t>
  </si>
  <si>
    <t>Ash content at 550°C</t>
  </si>
  <si>
    <t>CEN/TS 14775</t>
  </si>
  <si>
    <t>Volatile matter</t>
  </si>
  <si>
    <t>CEN/TS 15148:2005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</si>
  <si>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</si>
  <si>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</si>
  <si>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</si>
  <si>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</si>
  <si>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</si>
  <si>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</si>
  <si>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</si>
  <si>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Nitrogen</t>
  </si>
  <si>
    <t>Sulphur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</si>
  <si>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</si>
  <si>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</si>
  <si>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</si>
  <si>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</si>
  <si>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</si>
  <si>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</si>
  <si>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</si>
  <si>
    <t>HHVMilne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</si>
  <si>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</si>
  <si>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</si>
  <si>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</si>
  <si>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</si>
  <si>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</si>
  <si>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</si>
  <si>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</si>
  <si>
    <t>Physical Properties</t>
  </si>
  <si>
    <t>Particle size distribution</t>
  </si>
  <si>
    <t>0.5-1.0 mm</t>
  </si>
  <si>
    <t>CEN/TS 15149-1,2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</si>
</sst>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7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795602798461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8"/>
      <c r="B10" s="0" t="s">
        <v>12</v>
      </c>
    </row>
    <row r="11" outlineLevel="1">
      <c r="A11" s="7" t="s">
        <v>13</v>
      </c>
      <c r="B11" s="6">
        <v>39723</v>
      </c>
    </row>
    <row r="12" outlineLevel="1">
      <c r="A12" s="7" t="s">
        <v>14</v>
      </c>
      <c r="B12" s="0" t="s">
        <v>15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6">
        <v>39723</v>
      </c>
    </row>
    <row r="15" outlineLevel="1">
      <c r="A15" s="7" t="s">
        <v>19</v>
      </c>
      <c r="B15" s="0" t="s">
        <v>20</v>
      </c>
    </row>
    <row r="16" outlineLevel="1">
      <c r="A16" s="7" t="s">
        <v>21</v>
      </c>
      <c r="B16" s="0" t="s">
        <v>22</v>
      </c>
    </row>
    <row r="17">
      <c r="A17" s="7"/>
    </row>
    <row r="18" s="1" customFormat="1">
      <c r="A18" s="9" t="s">
        <v>23</v>
      </c>
    </row>
    <row r="19" s="1" customFormat="1">
      <c r="A19" s="10" t="s">
        <v>24</v>
      </c>
      <c r="B19" s="10" t="s">
        <v>25</v>
      </c>
      <c r="C19" s="10" t="s">
        <v>26</v>
      </c>
      <c r="D19" s="10"/>
      <c r="E19" s="10"/>
      <c r="F19" s="10" t="s">
        <v>27</v>
      </c>
      <c r="G19" s="10" t="s">
        <v>28</v>
      </c>
      <c r="H19" s="10" t="s">
        <v>29</v>
      </c>
      <c r="I19" s="10" t="s">
        <v>30</v>
      </c>
      <c r="J19" s="10" t="s">
        <v>31</v>
      </c>
      <c r="K19" s="10" t="s">
        <v>21</v>
      </c>
      <c r="L19" s="10"/>
    </row>
    <row r="20" s="1" customFormat="1">
      <c r="A20" s="10"/>
      <c r="B20" s="10"/>
      <c r="C20" s="10" t="s">
        <v>32</v>
      </c>
      <c r="D20" s="10" t="s">
        <v>33</v>
      </c>
      <c r="E20" s="10" t="s">
        <v>34</v>
      </c>
      <c r="F20" s="10"/>
      <c r="G20" s="10"/>
      <c r="H20" s="10"/>
      <c r="I20" s="10"/>
      <c r="J20" s="10"/>
      <c r="K20" s="10"/>
      <c r="L20" s="10"/>
    </row>
    <row r="21">
      <c r="A21" s="7" t="s">
        <v>35</v>
      </c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38</v>
      </c>
      <c r="C23" s="13">
        <v>8.15</v>
      </c>
      <c r="D23" s="13"/>
      <c r="E23" s="13"/>
      <c r="F23" s="13">
        <v>0</v>
      </c>
      <c r="G23" s="13"/>
      <c r="H23" s="0" t="s">
        <v>39</v>
      </c>
      <c r="I23" s="5">
        <v>39742</v>
      </c>
      <c r="J23" s="0" t="s">
        <v>40</v>
      </c>
      <c r="K23" s="0" t="s">
        <v>41</v>
      </c>
    </row>
    <row r="24" outlineLevel="2">
      <c r="A24" s="12" t="s">
        <v>42</v>
      </c>
      <c r="B24" s="0" t="s">
        <v>38</v>
      </c>
      <c r="C24" s="13">
        <f>IFERROR(2.591*(1-w),"")</f>
        <v>2.3798335</v>
      </c>
      <c r="D24" s="13">
        <v>2.591</v>
      </c>
      <c r="E24" s="13">
        <v/>
      </c>
      <c r="F24" s="13">
        <v>18.432198604289</v>
      </c>
      <c r="G24" s="13"/>
      <c r="H24" s="0" t="s">
        <v>39</v>
      </c>
      <c r="I24" s="5">
        <v>39742</v>
      </c>
      <c r="J24" s="0" t="s">
        <v>43</v>
      </c>
      <c r="K24" s="0" t="s">
        <v>43</v>
      </c>
    </row>
    <row r="25" outlineLevel="2">
      <c r="A25" s="12" t="s">
        <v>44</v>
      </c>
      <c r="B25" s="0" t="s">
        <v>38</v>
      </c>
      <c r="C25" s="13">
        <f>IFERROR(82.35*(1-w),"")</f>
        <v>75.638475</v>
      </c>
      <c r="D25" s="13">
        <v>82.35</v>
      </c>
      <c r="E25" s="13">
        <v>84.540442874888356</v>
      </c>
      <c r="F25" s="13">
        <v>0.862670273048168</v>
      </c>
      <c r="G25" s="13"/>
      <c r="H25" s="0" t="s">
        <v>39</v>
      </c>
      <c r="I25" s="5">
        <v>39742</v>
      </c>
      <c r="K25" s="0" t="s">
        <v>45</v>
      </c>
    </row>
    <row r="26" outlineLevel="2">
      <c r="A26" s="12" t="s">
        <v>46</v>
      </c>
      <c r="B26" s="0" t="s">
        <v>38</v>
      </c>
      <c r="C26" s="13">
        <f>IFERROR(15.059*(1-w),"")</f>
        <v>13.83169150000001</v>
      </c>
      <c r="D26" s="13">
        <v>15.059000000000012</v>
      </c>
      <c r="E26" s="13">
        <v>15.459557125111655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38</v>
      </c>
      <c r="C28" s="13">
        <f>IFERROR(45.97*(1-w),"")</f>
        <v>42.223445</v>
      </c>
      <c r="D28" s="13">
        <v>45.97</v>
      </c>
      <c r="E28" s="13">
        <v>47.192764528944963</v>
      </c>
      <c r="F28" s="13">
        <v>1.01520660340113</v>
      </c>
      <c r="G28" s="13"/>
      <c r="H28" s="0" t="s">
        <v>39</v>
      </c>
      <c r="I28" s="5">
        <v>39742</v>
      </c>
      <c r="J28" s="0" t="s">
        <v>50</v>
      </c>
      <c r="K28" s="0" t="s">
        <v>50</v>
      </c>
    </row>
    <row r="29" outlineLevel="2">
      <c r="A29" s="12" t="s">
        <v>51</v>
      </c>
      <c r="B29" s="0" t="s">
        <v>38</v>
      </c>
      <c r="C29" s="13">
        <f>IFERROR(6.0855*(1-w),"")</f>
        <v>5.58953175</v>
      </c>
      <c r="D29" s="13">
        <v>6.0855</v>
      </c>
      <c r="E29" s="13">
        <v>6.2473693395887437</v>
      </c>
      <c r="F29" s="13">
        <v>1.2200511383549</v>
      </c>
      <c r="G29" s="13"/>
      <c r="H29" s="0" t="s">
        <v>39</v>
      </c>
      <c r="I29" s="5">
        <v>39742</v>
      </c>
      <c r="J29" s="0" t="s">
        <v>50</v>
      </c>
      <c r="K29" s="0" t="s">
        <v>50</v>
      </c>
    </row>
    <row r="30" outlineLevel="2">
      <c r="A30" s="12" t="s">
        <v>52</v>
      </c>
      <c r="B30" s="0" t="s">
        <v>38</v>
      </c>
      <c r="C30" s="13">
        <f>IFERROR(45.2915*(1-w),"")</f>
        <v>41.60024275</v>
      </c>
      <c r="D30" s="13">
        <v>45.2915</v>
      </c>
      <c r="E30" s="13">
        <v>46.496216982003716</v>
      </c>
      <c r="F30" s="13"/>
      <c r="G30" s="13"/>
      <c r="I30" s="5"/>
    </row>
    <row r="31" outlineLevel="2">
      <c r="A31" s="12" t="s">
        <v>53</v>
      </c>
      <c r="B31" s="0" t="s">
        <v>38</v>
      </c>
      <c r="C31" s="13">
        <f>IFERROR(0.05*(1-w),"")</f>
        <v>0.045925</v>
      </c>
      <c r="D31" s="13">
        <v>0.05</v>
      </c>
      <c r="E31" s="13">
        <v>0.05132995924401236</v>
      </c>
      <c r="F31" s="13">
        <v>1.40021144789414</v>
      </c>
      <c r="G31" s="13"/>
      <c r="H31" s="0" t="s">
        <v>39</v>
      </c>
      <c r="I31" s="5">
        <v>39742</v>
      </c>
      <c r="J31" s="0" t="s">
        <v>50</v>
      </c>
      <c r="K31" s="0" t="s">
        <v>50</v>
      </c>
    </row>
    <row r="32" outlineLevel="2">
      <c r="A32" s="12" t="s">
        <v>54</v>
      </c>
      <c r="B32" s="0" t="s">
        <v>38</v>
      </c>
      <c r="C32" s="13">
        <f>IFERROR(0.012*(1-w),"")</f>
        <v>0.011022</v>
      </c>
      <c r="D32" s="13">
        <v>0.012</v>
      </c>
      <c r="E32" s="13">
        <v>0.012319190218562967</v>
      </c>
      <c r="F32" s="13">
        <v>1.76043182038145</v>
      </c>
      <c r="G32" s="13"/>
      <c r="H32" s="0" t="s">
        <v>39</v>
      </c>
      <c r="I32" s="5">
        <v>39742</v>
      </c>
      <c r="J32" s="0" t="s">
        <v>55</v>
      </c>
      <c r="K32" s="0" t="s">
        <v>55</v>
      </c>
    </row>
    <row r="33" outlineLevel="2">
      <c r="A33" s="12" t="s">
        <v>56</v>
      </c>
      <c r="B33" s="0" t="s">
        <v>38</v>
      </c>
      <c r="C33" s="13">
        <f>IFERROR(100*(1-w)+w*100,"")</f>
        <v>99.999999999999986</v>
      </c>
      <c r="D33" s="13">
        <v>99.999999999999986</v>
      </c>
      <c r="E33" s="13">
        <v>99.999999999999986</v>
      </c>
      <c r="F33" s="13"/>
      <c r="G33" s="13"/>
      <c r="I33" s="5"/>
      <c r="J33" s="0" t="s">
        <v>47</v>
      </c>
    </row>
    <row r="34" outlineLevel="1">
      <c r="A34" s="11" t="s">
        <v>57</v>
      </c>
      <c r="I34" s="5"/>
    </row>
    <row r="35" outlineLevel="2">
      <c r="A35" s="12" t="s">
        <v>58</v>
      </c>
      <c r="B35" s="0" t="s">
        <v>59</v>
      </c>
      <c r="C35" s="13">
        <f>IFERROR(18.68*(1-w)-w*2.443,"")</f>
        <v>16.9584755</v>
      </c>
      <c r="D35" s="13">
        <v>18.68</v>
      </c>
      <c r="E35" s="13">
        <v>19.176872773563016</v>
      </c>
      <c r="F35" s="13">
        <v>0</v>
      </c>
      <c r="G35" s="13"/>
      <c r="H35" s="0" t="s">
        <v>39</v>
      </c>
      <c r="I35" s="5">
        <v>39742</v>
      </c>
      <c r="J35" s="0" t="s">
        <v>60</v>
      </c>
      <c r="K35" s="0" t="s">
        <v>60</v>
      </c>
    </row>
    <row r="36" outlineLevel="2">
      <c r="A36" s="12" t="s">
        <v>61</v>
      </c>
      <c r="B36" s="0" t="s">
        <v>59</v>
      </c>
      <c r="C36" s="13">
        <f>IFERROR(20.0105*(1-w),"")</f>
        <v>18.37964425</v>
      </c>
      <c r="D36" s="13">
        <v>20.0105</v>
      </c>
      <c r="E36" s="13">
        <v>20.542762989046185</v>
      </c>
      <c r="F36" s="13">
        <v>0.0106010361738074</v>
      </c>
      <c r="G36" s="13"/>
      <c r="H36" s="0" t="s">
        <v>39</v>
      </c>
      <c r="I36" s="5">
        <v>39742</v>
      </c>
      <c r="K36" s="0" t="s">
        <v>60</v>
      </c>
    </row>
    <row r="37" outlineLevel="2">
      <c r="A37" s="12" t="s">
        <v>62</v>
      </c>
      <c r="B37" s="0" t="s">
        <v>59</v>
      </c>
      <c r="C37" s="13">
        <f>IFERROR(18.242029031993*(1-w),"")</f>
        <v>16.755303665885577</v>
      </c>
      <c r="D37" s="13">
        <v>18.242029031993006</v>
      </c>
      <c r="E37" s="13">
        <v>18.727252134805823</v>
      </c>
      <c r="F37" s="13"/>
      <c r="G37" s="13"/>
      <c r="I37" s="5"/>
      <c r="J37" s="0" t="s">
        <v>47</v>
      </c>
    </row>
    <row r="38" outlineLevel="1">
      <c r="A38" s="11" t="s">
        <v>63</v>
      </c>
      <c r="I38" s="5"/>
    </row>
    <row r="39" outlineLevel="2">
      <c r="A39" s="14" t="s">
        <v>64</v>
      </c>
      <c r="I39" s="5"/>
    </row>
    <row r="40" outlineLevel="3">
      <c r="A40" s="15" t="s">
        <v>65</v>
      </c>
      <c r="B40" s="0" t="s">
        <v>66</v>
      </c>
      <c r="C40" s="16">
        <v>1100</v>
      </c>
      <c r="D40" s="16"/>
      <c r="E40" s="16"/>
      <c r="F40" s="16"/>
      <c r="G40" s="16"/>
      <c r="I40" s="5"/>
    </row>
    <row r="41" outlineLevel="3">
      <c r="A41" s="15" t="s">
        <v>67</v>
      </c>
      <c r="B41" s="0" t="s">
        <v>66</v>
      </c>
      <c r="C41" s="16">
        <v>1140</v>
      </c>
      <c r="D41" s="16"/>
      <c r="E41" s="16"/>
      <c r="F41" s="16"/>
      <c r="G41" s="16"/>
      <c r="I41" s="5"/>
    </row>
    <row r="42" outlineLevel="3">
      <c r="A42" s="15" t="s">
        <v>68</v>
      </c>
      <c r="B42" s="0" t="s">
        <v>66</v>
      </c>
      <c r="C42" s="16">
        <v>1200</v>
      </c>
      <c r="D42" s="16"/>
      <c r="E42" s="16"/>
      <c r="F42" s="16"/>
      <c r="G42" s="16"/>
      <c r="I42" s="5"/>
    </row>
    <row r="43" outlineLevel="3">
      <c r="A43" s="15" t="s">
        <v>69</v>
      </c>
      <c r="B43" s="0" t="s">
        <v>66</v>
      </c>
      <c r="C43" s="16">
        <v>1340</v>
      </c>
      <c r="D43" s="16"/>
      <c r="E43" s="16"/>
      <c r="F43" s="16"/>
      <c r="G43" s="16"/>
      <c r="I43" s="5"/>
    </row>
    <row r="44">
      <c r="A44" s="7" t="s">
        <v>70</v>
      </c>
      <c r="I44" s="5"/>
    </row>
    <row r="45" outlineLevel="1">
      <c r="A45" s="11" t="s">
        <v>71</v>
      </c>
      <c r="I45" s="5"/>
    </row>
    <row r="46" outlineLevel="2">
      <c r="A46" s="12" t="s">
        <v>72</v>
      </c>
      <c r="B46" s="0" t="s">
        <v>38</v>
      </c>
      <c r="C46" s="13">
        <v>99.5</v>
      </c>
      <c r="D46" s="13"/>
      <c r="E46" s="13"/>
      <c r="F46" s="13"/>
      <c r="G46" s="13"/>
      <c r="I46" s="5"/>
      <c r="J46" s="0" t="s">
        <v>73</v>
      </c>
    </row>
    <row r="47">
      <c r="I47" s="5"/>
    </row>
    <row r="48" s="1" customFormat="1"/>
  </sheetData>
  <mergeCells>
    <mergeCell ref="A8:A10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40:E40"/>
    <mergeCell ref="C41:E41"/>
    <mergeCell ref="C42:E42"/>
    <mergeCell ref="C43:E43"/>
    <mergeCell ref="C46:E46"/>
  </mergeCells>
  <dataValidations count="1">
    <dataValidation type="decimal" sqref="C23" errorStyle="stop" promptTitle="Enter moisture content" errorTitle="Invalid moisture content" prompt="Value should be between 0 and 100.&#10;Original value: 8.1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https://phyllis.nl/Biomass/View/3172</dc:description>
  <dcterms:created xsi:type="dcterms:W3CDTF">2026-03-19T07:05:34Z</dcterms:created>
  <dc:title>Phyllis2 #3172 Stump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