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3 Stump Chips" sheetId="1" r:id="rId1"/>
  </sheets>
  <definedNames>
    <definedName name="w" localSheetId="0">IF(ISBLANK('Phyllis2 #3173 Stump Chips'!$C$23),#N/A,'Phyllis2 #3173 Stump Chips'!$C$23/100)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<sst xmlns="http://schemas.openxmlformats.org/spreadsheetml/2006/main" count="78" uniqueCount="78">
  <si>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</si>
  <si>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https://phyllis.nl/Biomass/View/3173</t>
  </si>
  <si>
    <t>Stump Chips (#3173)</t>
  </si>
  <si>
    <t>ID-number</t>
  </si>
  <si>
    <t>#3173</t>
  </si>
  <si>
    <t>Material</t>
  </si>
  <si>
    <t>Stump Chips</t>
  </si>
  <si>
    <t>Latin name</t>
  </si>
  <si>
    <t>Picea abies</t>
  </si>
  <si>
    <t>Classification</t>
  </si>
  <si>
    <t>CEN/TS 14961 classification &gt; Solid biofuels &gt; Woody biomass &gt; Forest and plantation wood &gt; Stumps roots &gt; Coniferous</t>
  </si>
  <si>
    <t>ECN Phyllis classification &gt; untreated wood &gt; fir/pine/spruce</t>
  </si>
  <si>
    <t>NTA 8003 classification &gt; [100] hout &gt; [110] vers hout &gt; [130] naaldhout &gt; [131] naaldhout</t>
  </si>
  <si>
    <t>Sample date</t>
  </si>
  <si>
    <t>Sample lot size</t>
  </si>
  <si>
    <t>250 ton</t>
  </si>
  <si>
    <t>Country</t>
  </si>
  <si>
    <t>Finland</t>
  </si>
  <si>
    <t>Production date</t>
  </si>
  <si>
    <t>Submitter organisation</t>
  </si>
  <si>
    <t>ECN (Netherlands)</t>
  </si>
  <si>
    <t>Remarks</t>
  </si>
  <si>
    <t>Andris Deksnis, on-job training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</si>
  <si>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</si>
  <si>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</si>
  <si>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</si>
  <si>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</si>
  <si>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</si>
  <si>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</si>
  <si>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</si>
  <si>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</si>
  <si>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</si>
  <si>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</si>
  <si>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</si>
  <si>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</si>
  <si>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</si>
  <si>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</si>
  <si>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</si>
  <si>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</si>
  <si>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VTT</t>
  </si>
  <si>
    <t>CEN/TS 14774-1,2,3</t>
  </si>
  <si>
    <t>CEN/TS 14774-:2004 1 Solid biofuels - Methods for determination of moisture content - Oven dry method - Part 1: Total moisture - Reference method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</si>
  <si>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</si>
  <si>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</si>
  <si>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</si>
  <si>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</si>
  <si>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</si>
  <si>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</si>
  <si>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</si>
  <si>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</si>
  <si>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</si>
  <si>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</si>
  <si>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</si>
  <si>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</si>
  <si>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</si>
  <si>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</si>
  <si>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</si>
  <si>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</si>
  <si>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</si>
  <si>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</si>
  <si>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</si>
  <si>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</si>
  <si>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</si>
  <si>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</si>
  <si>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</si>
  <si>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</si>
  <si>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</si>
  <si>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</si>
  <si>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</si>
  <si>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</si>
  <si>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</si>
  <si>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</si>
  <si>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</si>
  <si>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</si>
  <si>
    <t>Physical Properties</t>
  </si>
  <si>
    <t>Particle size distribution</t>
  </si>
  <si>
    <t>0.5-1.0 mm</t>
  </si>
  <si>
    <t>CEN/TS 15149-1,2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</si>
</sst>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32.61775207519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39488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39488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21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8.13</v>
      </c>
      <c r="D23" s="13"/>
      <c r="E23" s="13"/>
      <c r="F23" s="13"/>
      <c r="G23" s="13"/>
      <c r="H23" s="0" t="s">
        <v>39</v>
      </c>
      <c r="I23" s="5">
        <v>39742</v>
      </c>
      <c r="J23" s="0" t="s">
        <v>40</v>
      </c>
      <c r="K23" s="0" t="s">
        <v>41</v>
      </c>
    </row>
    <row r="24" outlineLevel="2">
      <c r="A24" s="12" t="s">
        <v>42</v>
      </c>
      <c r="B24" s="0" t="s">
        <v>38</v>
      </c>
      <c r="C24" s="13">
        <f>IFERROR(1.85*(1-w),"")</f>
        <v>1.699595</v>
      </c>
      <c r="D24" s="13">
        <v>1.85</v>
      </c>
      <c r="E24" s="13">
        <v/>
      </c>
      <c r="F24" s="13">
        <v>12.6894750137005</v>
      </c>
      <c r="G24" s="13"/>
      <c r="H24" s="0" t="s">
        <v>39</v>
      </c>
      <c r="I24" s="5">
        <v>39742</v>
      </c>
      <c r="J24" s="0" t="s">
        <v>43</v>
      </c>
      <c r="K24" s="0" t="s">
        <v>44</v>
      </c>
    </row>
    <row r="25" outlineLevel="2">
      <c r="A25" s="12" t="s">
        <v>45</v>
      </c>
      <c r="B25" s="0" t="s">
        <v>38</v>
      </c>
      <c r="C25" s="13">
        <f>IFERROR(83.29*(1-w),"")</f>
        <v>76.518523</v>
      </c>
      <c r="D25" s="13">
        <v>83.29</v>
      </c>
      <c r="E25" s="13">
        <v>84.859908303616919</v>
      </c>
      <c r="F25" s="13">
        <v>0.6</v>
      </c>
      <c r="G25" s="13"/>
      <c r="H25" s="0" t="s">
        <v>39</v>
      </c>
      <c r="I25" s="5">
        <v>39742</v>
      </c>
      <c r="K25" s="0" t="s">
        <v>46</v>
      </c>
    </row>
    <row r="26" outlineLevel="2">
      <c r="A26" s="12" t="s">
        <v>47</v>
      </c>
      <c r="B26" s="0" t="s">
        <v>38</v>
      </c>
      <c r="C26" s="13">
        <f>IFERROR(14.86*(1-w),"")</f>
        <v>13.651881999999999</v>
      </c>
      <c r="D26" s="13">
        <v>14.86</v>
      </c>
      <c r="E26" s="13">
        <v>15.140091696383086</v>
      </c>
      <c r="F26" s="13"/>
      <c r="G26" s="13"/>
      <c r="I26" s="5"/>
      <c r="J26" s="0" t="s">
        <v>48</v>
      </c>
    </row>
    <row r="27" outlineLevel="1">
      <c r="A27" s="11" t="s">
        <v>49</v>
      </c>
      <c r="I27" s="5"/>
    </row>
    <row r="28" outlineLevel="2">
      <c r="A28" s="12" t="s">
        <v>50</v>
      </c>
      <c r="B28" s="0" t="s">
        <v>38</v>
      </c>
      <c r="C28" s="13">
        <f>IFERROR(47.005*(1-w),"")</f>
        <v>43.1834935</v>
      </c>
      <c r="D28" s="13">
        <v>47.005</v>
      </c>
      <c r="E28" s="13">
        <v>47.890983188996437</v>
      </c>
      <c r="F28" s="13">
        <v>0.7</v>
      </c>
      <c r="G28" s="13"/>
      <c r="H28" s="0" t="s">
        <v>39</v>
      </c>
      <c r="I28" s="5">
        <v>39742</v>
      </c>
      <c r="J28" s="0" t="s">
        <v>51</v>
      </c>
      <c r="K28" s="0" t="s">
        <v>52</v>
      </c>
    </row>
    <row r="29" outlineLevel="2">
      <c r="A29" s="12" t="s">
        <v>53</v>
      </c>
      <c r="B29" s="0" t="s">
        <v>38</v>
      </c>
      <c r="C29" s="13">
        <f>IFERROR(6.2175*(1-w),"")</f>
        <v>5.71201725</v>
      </c>
      <c r="D29" s="13">
        <v>6.2175</v>
      </c>
      <c r="E29" s="13">
        <v>6.3346917982679569</v>
      </c>
      <c r="F29" s="13">
        <v>0.7</v>
      </c>
      <c r="G29" s="13"/>
      <c r="H29" s="0" t="s">
        <v>39</v>
      </c>
      <c r="I29" s="5">
        <v>39742</v>
      </c>
      <c r="J29" s="0" t="s">
        <v>51</v>
      </c>
      <c r="K29" s="0" t="s">
        <v>52</v>
      </c>
    </row>
    <row r="30" outlineLevel="2">
      <c r="A30" s="12" t="s">
        <v>54</v>
      </c>
      <c r="B30" s="0" t="s">
        <v>38</v>
      </c>
      <c r="C30" s="13">
        <f>IFERROR(44.8665*(1-w),"")</f>
        <v>41.21885355</v>
      </c>
      <c r="D30" s="13">
        <v>44.8665</v>
      </c>
      <c r="E30" s="13">
        <v>45.712175241976567</v>
      </c>
      <c r="F30" s="13"/>
      <c r="G30" s="13"/>
      <c r="H30" s="0" t="s">
        <v>39</v>
      </c>
      <c r="I30" s="5">
        <v>39742</v>
      </c>
    </row>
    <row r="31" outlineLevel="2">
      <c r="A31" s="12" t="s">
        <v>55</v>
      </c>
      <c r="B31" s="0" t="s">
        <v>38</v>
      </c>
      <c r="C31" s="13">
        <f>IFERROR(0.05*(1-w),"")</f>
        <v>0.045935000000000004</v>
      </c>
      <c r="D31" s="13">
        <v>0.05</v>
      </c>
      <c r="E31" s="13">
        <v>0.050942435048395317</v>
      </c>
      <c r="F31" s="13">
        <v>1.4</v>
      </c>
      <c r="G31" s="13"/>
      <c r="H31" s="0" t="s">
        <v>39</v>
      </c>
      <c r="I31" s="5">
        <v>39742</v>
      </c>
      <c r="J31" s="0" t="s">
        <v>51</v>
      </c>
      <c r="K31" s="0" t="s">
        <v>52</v>
      </c>
    </row>
    <row r="32" outlineLevel="2">
      <c r="A32" s="12" t="s">
        <v>56</v>
      </c>
      <c r="B32" s="0" t="s">
        <v>38</v>
      </c>
      <c r="C32" s="13">
        <f>IFERROR(0.011*(1-w),"")</f>
        <v>0.010105699999999999</v>
      </c>
      <c r="D32" s="13">
        <v>0.011</v>
      </c>
      <c r="E32" s="13">
        <v>0.011207335710646967</v>
      </c>
      <c r="F32" s="13">
        <v>3.8</v>
      </c>
      <c r="G32" s="13"/>
      <c r="H32" s="0" t="s">
        <v>39</v>
      </c>
      <c r="I32" s="5">
        <v>39742</v>
      </c>
      <c r="J32" s="0" t="s">
        <v>57</v>
      </c>
      <c r="K32" s="0" t="s">
        <v>58</v>
      </c>
    </row>
    <row r="33" outlineLevel="2">
      <c r="A33" s="12" t="s">
        <v>59</v>
      </c>
      <c r="B33" s="0" t="s">
        <v>38</v>
      </c>
      <c r="C33" s="13">
        <f>IFERROR(100*(1-w)+w*100,"")</f>
        <v>99.999999999999972</v>
      </c>
      <c r="D33" s="13">
        <v>99.999999999999986</v>
      </c>
      <c r="E33" s="13">
        <v>99.999999999999986</v>
      </c>
      <c r="F33" s="13"/>
      <c r="G33" s="13"/>
      <c r="I33" s="5"/>
      <c r="J33" s="0" t="s">
        <v>48</v>
      </c>
    </row>
    <row r="34" outlineLevel="1">
      <c r="A34" s="11" t="s">
        <v>60</v>
      </c>
      <c r="I34" s="5"/>
    </row>
    <row r="35" outlineLevel="2">
      <c r="A35" s="12" t="s">
        <v>61</v>
      </c>
      <c r="B35" s="0" t="s">
        <v>62</v>
      </c>
      <c r="C35" s="13">
        <f>IFERROR(19.02*(1-w)-w*2.443,"")</f>
        <v>17.2750581</v>
      </c>
      <c r="D35" s="13">
        <v>19.02</v>
      </c>
      <c r="E35" s="13">
        <v>19.378502292409575</v>
      </c>
      <c r="F35" s="13">
        <v>0.4</v>
      </c>
      <c r="G35" s="13"/>
      <c r="H35" s="0" t="s">
        <v>39</v>
      </c>
      <c r="I35" s="5">
        <v>39742</v>
      </c>
      <c r="J35" s="0" t="s">
        <v>63</v>
      </c>
      <c r="K35" s="0" t="s">
        <v>64</v>
      </c>
    </row>
    <row r="36" outlineLevel="2">
      <c r="A36" s="12" t="s">
        <v>65</v>
      </c>
      <c r="B36" s="0" t="s">
        <v>62</v>
      </c>
      <c r="C36" s="13">
        <f>IFERROR(20.3725*(1-w),"")</f>
        <v>18.716215749999996</v>
      </c>
      <c r="D36" s="13">
        <v>20.3725</v>
      </c>
      <c r="E36" s="13">
        <v>20.756495160468667</v>
      </c>
      <c r="F36" s="13">
        <v>0.4</v>
      </c>
      <c r="G36" s="13"/>
      <c r="H36" s="0" t="s">
        <v>39</v>
      </c>
      <c r="I36" s="5">
        <v>39742</v>
      </c>
      <c r="K36" s="0" t="s">
        <v>64</v>
      </c>
    </row>
    <row r="37" outlineLevel="2">
      <c r="A37" s="12" t="s">
        <v>66</v>
      </c>
      <c r="B37" s="0" t="s">
        <v>62</v>
      </c>
      <c r="C37" s="13">
        <f>IFERROR(18.8312332425*(1-w),"")</f>
        <v>17.300253979884751</v>
      </c>
      <c r="D37" s="13">
        <v>18.8312332425</v>
      </c>
      <c r="E37" s="13">
        <v>19.186177526744778</v>
      </c>
      <c r="F37" s="13"/>
      <c r="G37" s="13"/>
      <c r="I37" s="5"/>
      <c r="J37" s="0" t="s">
        <v>48</v>
      </c>
    </row>
    <row r="38" outlineLevel="1">
      <c r="A38" s="11" t="s">
        <v>67</v>
      </c>
      <c r="I38" s="5"/>
    </row>
    <row r="39" outlineLevel="2">
      <c r="A39" s="14" t="s">
        <v>68</v>
      </c>
      <c r="I39" s="5"/>
    </row>
    <row r="40" outlineLevel="3">
      <c r="A40" s="15" t="s">
        <v>69</v>
      </c>
      <c r="B40" s="0" t="s">
        <v>70</v>
      </c>
      <c r="C40" s="16">
        <v>1100</v>
      </c>
      <c r="D40" s="16"/>
      <c r="E40" s="16"/>
      <c r="F40" s="16"/>
      <c r="G40" s="16"/>
      <c r="I40" s="5"/>
    </row>
    <row r="41" outlineLevel="3">
      <c r="A41" s="15" t="s">
        <v>71</v>
      </c>
      <c r="B41" s="0" t="s">
        <v>70</v>
      </c>
      <c r="C41" s="16">
        <v>1140</v>
      </c>
      <c r="D41" s="16"/>
      <c r="E41" s="16"/>
      <c r="F41" s="16"/>
      <c r="G41" s="16"/>
      <c r="I41" s="5"/>
    </row>
    <row r="42" outlineLevel="3">
      <c r="A42" s="15" t="s">
        <v>72</v>
      </c>
      <c r="B42" s="0" t="s">
        <v>70</v>
      </c>
      <c r="C42" s="16">
        <v>1200</v>
      </c>
      <c r="D42" s="16"/>
      <c r="E42" s="16"/>
      <c r="F42" s="16"/>
      <c r="G42" s="16"/>
      <c r="I42" s="5"/>
    </row>
    <row r="43" outlineLevel="3">
      <c r="A43" s="15" t="s">
        <v>73</v>
      </c>
      <c r="B43" s="0" t="s">
        <v>70</v>
      </c>
      <c r="C43" s="16">
        <v>1340</v>
      </c>
      <c r="D43" s="16"/>
      <c r="E43" s="16"/>
      <c r="F43" s="16"/>
      <c r="G43" s="16"/>
      <c r="I43" s="5"/>
    </row>
    <row r="44">
      <c r="A44" s="7" t="s">
        <v>74</v>
      </c>
      <c r="I44" s="5"/>
    </row>
    <row r="45" outlineLevel="1">
      <c r="A45" s="11" t="s">
        <v>75</v>
      </c>
      <c r="I45" s="5"/>
    </row>
    <row r="46" outlineLevel="2">
      <c r="A46" s="12" t="s">
        <v>76</v>
      </c>
      <c r="B46" s="0" t="s">
        <v>38</v>
      </c>
      <c r="C46" s="13">
        <v>99.4</v>
      </c>
      <c r="D46" s="13"/>
      <c r="E46" s="13"/>
      <c r="F46" s="13"/>
      <c r="G46" s="13"/>
      <c r="I46" s="5"/>
      <c r="J46" s="0" t="s">
        <v>77</v>
      </c>
    </row>
    <row r="47">
      <c r="I47" s="5"/>
    </row>
    <row r="48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0:E40"/>
    <mergeCell ref="C41:E41"/>
    <mergeCell ref="C42:E42"/>
    <mergeCell ref="C43:E43"/>
    <mergeCell ref="C46:E46"/>
  </mergeCells>
  <dataValidations count="1">
    <dataValidation type="decimal" sqref="C23" errorStyle="stop" promptTitle="Enter moisture content" errorTitle="Invalid moisture content" prompt="Value should be between 0 and 100.&#10;Original value: 8.1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https://phyllis.nl/Biomass/View/3173</dc:description>
  <dcterms:created xsi:type="dcterms:W3CDTF">2026-03-19T07:05:37Z</dcterms:created>
  <dc:title>Phyllis2 #3173 Stump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