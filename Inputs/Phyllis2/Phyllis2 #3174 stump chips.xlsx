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74 stump chips" sheetId="1" r:id="rId1"/>
  </sheets>
  <definedNames>
    <definedName name="w" localSheetId="0">IF(ISBLANK('Phyllis2 #3174 stump chips'!$C$24),#N/A,'Phyllis2 #3174 stump chips'!$C$24/100)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<sst xmlns="http://schemas.openxmlformats.org/spreadsheetml/2006/main" count="74" uniqueCount="74">
  <si>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</si>
  <si>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https://phyllis.nl/Biomass/View/3174</t>
  </si>
  <si>
    <t>stump chips (#3174)</t>
  </si>
  <si>
    <t>ID-number</t>
  </si>
  <si>
    <t>#3174</t>
  </si>
  <si>
    <t>Material</t>
  </si>
  <si>
    <t>stump chips</t>
  </si>
  <si>
    <t>Alternative name</t>
  </si>
  <si>
    <t>Spruce</t>
  </si>
  <si>
    <t>Latin name</t>
  </si>
  <si>
    <t>Picea abies</t>
  </si>
  <si>
    <t>Classification</t>
  </si>
  <si>
    <t>CEN/TS 14961 classification &gt; Solid biofuels &gt; Woody biomass &gt; Forest and plantation wood &gt; Stumps roots &gt; Coniferous</t>
  </si>
  <si>
    <t>ECN Phyllis classification &gt; untreated wood &gt; fir/pine/spruce</t>
  </si>
  <si>
    <t>NTA 8003 classification &gt; [100] hout &gt; [110] vers hout &gt; [130] naaldhout &gt; [131] naaldhout</t>
  </si>
  <si>
    <t>Sample date</t>
  </si>
  <si>
    <t>Sample lot size</t>
  </si>
  <si>
    <t>250</t>
  </si>
  <si>
    <t>Country</t>
  </si>
  <si>
    <t>Finland</t>
  </si>
  <si>
    <t>Production date</t>
  </si>
  <si>
    <t>Submitter organisation</t>
  </si>
  <si>
    <t>ECN (Netherlands)</t>
  </si>
  <si>
    <t>Remarks</t>
  </si>
  <si>
    <t>Jaana Korhonen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</si>
  <si>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</si>
  <si>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</si>
  <si>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</si>
  <si>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</si>
  <si>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</si>
  <si>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</si>
  <si>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</si>
  <si>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</si>
  <si>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</si>
  <si>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</si>
  <si>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</si>
  <si>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</si>
  <si>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</si>
  <si>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</si>
  <si>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</si>
  <si>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</si>
  <si>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VTT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</si>
  <si>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</si>
  <si>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</si>
  <si>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</si>
  <si>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</si>
  <si>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</si>
  <si>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</si>
  <si>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</si>
  <si>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</si>
  <si>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</si>
  <si>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</si>
  <si>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</si>
  <si>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Nitrogen</t>
  </si>
  <si>
    <t>Sulphur</t>
  </si>
  <si>
    <t>CEN/TS15289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</si>
  <si>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</si>
  <si>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</si>
  <si>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</si>
  <si>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</si>
  <si>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</si>
  <si>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</si>
  <si>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HHVMilne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</si>
  <si>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</si>
  <si>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</si>
  <si>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</si>
  <si>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</si>
  <si>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</si>
  <si>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</si>
  <si>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</si>
  <si>
    <t>Physical Properties</t>
  </si>
  <si>
    <t>Particle size distribution</t>
  </si>
  <si>
    <t>0.5-1.0 mm</t>
  </si>
  <si>
    <t>CEN/TS 15149-1,2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</si>
</sst>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39723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39723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>
      <c r="A18" s="7"/>
    </row>
    <row r="19" s="1" customFormat="1">
      <c r="A19" s="9" t="s">
        <v>25</v>
      </c>
    </row>
    <row r="20" s="1" customFormat="1">
      <c r="A20" s="10" t="s">
        <v>26</v>
      </c>
      <c r="B20" s="10" t="s">
        <v>27</v>
      </c>
      <c r="C20" s="10" t="s">
        <v>28</v>
      </c>
      <c r="D20" s="10"/>
      <c r="E20" s="10"/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23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8.4</v>
      </c>
      <c r="D24" s="13"/>
      <c r="E24" s="13"/>
      <c r="F24" s="13">
        <v>0</v>
      </c>
      <c r="G24" s="13"/>
      <c r="H24" s="0" t="s">
        <v>41</v>
      </c>
      <c r="I24" s="5">
        <v>39742</v>
      </c>
      <c r="J24" s="0" t="s">
        <v>42</v>
      </c>
    </row>
    <row r="25" outlineLevel="2">
      <c r="A25" s="12" t="s">
        <v>43</v>
      </c>
      <c r="B25" s="0" t="s">
        <v>40</v>
      </c>
      <c r="C25" s="13">
        <f>IFERROR(2.25*(1-w),"")</f>
        <v>2.061</v>
      </c>
      <c r="D25" s="13">
        <v>2.25</v>
      </c>
      <c r="E25" s="13">
        <v/>
      </c>
      <c r="F25" s="13">
        <v>5.3</v>
      </c>
      <c r="G25" s="13"/>
      <c r="H25" s="0" t="s">
        <v>41</v>
      </c>
      <c r="I25" s="5">
        <v>39742</v>
      </c>
      <c r="J25" s="0" t="s">
        <v>44</v>
      </c>
    </row>
    <row r="26" outlineLevel="2">
      <c r="A26" s="12" t="s">
        <v>45</v>
      </c>
      <c r="B26" s="0" t="s">
        <v>40</v>
      </c>
      <c r="C26" s="13">
        <f>IFERROR(82.1*(1-w),"")</f>
        <v>75.2036</v>
      </c>
      <c r="D26" s="13">
        <v>82.1</v>
      </c>
      <c r="E26" s="13">
        <v>83.989769820971858</v>
      </c>
      <c r="F26" s="13">
        <v>0.09</v>
      </c>
      <c r="G26" s="13"/>
      <c r="H26" s="0" t="s">
        <v>41</v>
      </c>
      <c r="I26" s="5">
        <v>39744</v>
      </c>
    </row>
    <row r="27" outlineLevel="2">
      <c r="A27" s="12" t="s">
        <v>46</v>
      </c>
      <c r="B27" s="0" t="s">
        <v>40</v>
      </c>
      <c r="C27" s="13">
        <f>IFERROR(15.65*(1-w),"")</f>
        <v>14.335400000000005</v>
      </c>
      <c r="D27" s="13">
        <v>15.650000000000006</v>
      </c>
      <c r="E27" s="13">
        <v>16.010230179028138</v>
      </c>
      <c r="F27" s="13"/>
      <c r="G27" s="13"/>
      <c r="I27" s="5"/>
      <c r="J27" s="0" t="s">
        <v>47</v>
      </c>
    </row>
    <row r="28" outlineLevel="1">
      <c r="A28" s="11" t="s">
        <v>48</v>
      </c>
      <c r="I28" s="5"/>
    </row>
    <row r="29" outlineLevel="2">
      <c r="A29" s="12" t="s">
        <v>49</v>
      </c>
      <c r="B29" s="0" t="s">
        <v>40</v>
      </c>
      <c r="C29" s="13">
        <f>IFERROR(46.4*(1-w),"")</f>
        <v>42.5024</v>
      </c>
      <c r="D29" s="13">
        <v>46.4</v>
      </c>
      <c r="E29" s="13">
        <v>47.468030690537084</v>
      </c>
      <c r="F29" s="13">
        <v>0.4</v>
      </c>
      <c r="G29" s="13"/>
      <c r="H29" s="0" t="s">
        <v>41</v>
      </c>
      <c r="I29" s="5">
        <v>39744</v>
      </c>
      <c r="J29" s="0" t="s">
        <v>50</v>
      </c>
    </row>
    <row r="30" outlineLevel="2">
      <c r="A30" s="12" t="s">
        <v>51</v>
      </c>
      <c r="B30" s="0" t="s">
        <v>40</v>
      </c>
      <c r="C30" s="13">
        <f>IFERROR(6.2*(1-w),"")</f>
        <v>5.6792000000000007</v>
      </c>
      <c r="D30" s="13">
        <v>6.2</v>
      </c>
      <c r="E30" s="13">
        <v>6.3427109974424551</v>
      </c>
      <c r="F30" s="13">
        <v>0.66</v>
      </c>
      <c r="G30" s="13"/>
      <c r="H30" s="0" t="s">
        <v>41</v>
      </c>
      <c r="I30" s="5">
        <v>39744</v>
      </c>
      <c r="J30" s="0" t="s">
        <v>50</v>
      </c>
    </row>
    <row r="31" outlineLevel="2">
      <c r="A31" s="12" t="s">
        <v>52</v>
      </c>
      <c r="B31" s="0" t="s">
        <v>40</v>
      </c>
      <c r="C31" s="13">
        <f>IFERROR(45.075*(1-w),"")</f>
        <v>41.288700000000006</v>
      </c>
      <c r="D31" s="13">
        <v>45.075</v>
      </c>
      <c r="E31" s="13">
        <v>46.112531969309465</v>
      </c>
      <c r="F31" s="13"/>
      <c r="G31" s="13"/>
      <c r="H31" s="0" t="s">
        <v>41</v>
      </c>
      <c r="I31" s="5">
        <v>39744</v>
      </c>
    </row>
    <row r="32" outlineLevel="2">
      <c r="A32" s="12" t="s">
        <v>53</v>
      </c>
      <c r="B32" s="0" t="s">
        <v>40</v>
      </c>
      <c r="C32" s="13">
        <f>IFERROR(0.06*(1-w),"")</f>
        <v>0.05496</v>
      </c>
      <c r="D32" s="13">
        <v>0.06</v>
      </c>
      <c r="E32" s="13">
        <v>0.061381074168797949</v>
      </c>
      <c r="F32" s="13">
        <v>12.3</v>
      </c>
      <c r="G32" s="13"/>
      <c r="H32" s="0" t="s">
        <v>41</v>
      </c>
      <c r="I32" s="5">
        <v>39744</v>
      </c>
      <c r="J32" s="0" t="s">
        <v>50</v>
      </c>
    </row>
    <row r="33" outlineLevel="2">
      <c r="A33" s="12" t="s">
        <v>54</v>
      </c>
      <c r="B33" s="0" t="s">
        <v>40</v>
      </c>
      <c r="C33" s="13">
        <f>IFERROR(0.015*(1-w),"")</f>
        <v>0.01374</v>
      </c>
      <c r="D33" s="13">
        <v>0.015</v>
      </c>
      <c r="E33" s="13">
        <v>0.015345268542199487</v>
      </c>
      <c r="F33" s="13">
        <v>5.3</v>
      </c>
      <c r="G33" s="13"/>
      <c r="H33" s="0" t="s">
        <v>41</v>
      </c>
      <c r="I33" s="5">
        <v>39744</v>
      </c>
      <c r="J33" s="0" t="s">
        <v>55</v>
      </c>
    </row>
    <row r="34" outlineLevel="2">
      <c r="A34" s="12" t="s">
        <v>56</v>
      </c>
      <c r="B34" s="0" t="s">
        <v>40</v>
      </c>
      <c r="C34" s="13">
        <f>IFERROR(100*(1-w)+w*100,"")</f>
        <v>100.00000000000003</v>
      </c>
      <c r="D34" s="13">
        <v>100.00000000000001</v>
      </c>
      <c r="E34" s="13">
        <v>100.00000000000001</v>
      </c>
      <c r="F34" s="13"/>
      <c r="G34" s="13"/>
      <c r="I34" s="5"/>
      <c r="J34" s="0" t="s">
        <v>47</v>
      </c>
    </row>
    <row r="35" outlineLevel="1">
      <c r="A35" s="11" t="s">
        <v>57</v>
      </c>
      <c r="I35" s="5"/>
    </row>
    <row r="36" outlineLevel="2">
      <c r="A36" s="12" t="s">
        <v>58</v>
      </c>
      <c r="B36" s="0" t="s">
        <v>59</v>
      </c>
      <c r="C36" s="13">
        <f>IFERROR(18.89*(1-w)-w*2.443,"")</f>
        <v>17.098028000000003</v>
      </c>
      <c r="D36" s="13">
        <v>18.89</v>
      </c>
      <c r="E36" s="13">
        <v>19.324808184143222</v>
      </c>
      <c r="F36" s="13">
        <v>0.29</v>
      </c>
      <c r="G36" s="13"/>
      <c r="H36" s="0" t="s">
        <v>41</v>
      </c>
      <c r="I36" s="5">
        <v>39742</v>
      </c>
      <c r="J36" s="0" t="s">
        <v>60</v>
      </c>
    </row>
    <row r="37" outlineLevel="2">
      <c r="A37" s="12" t="s">
        <v>61</v>
      </c>
      <c r="B37" s="0" t="s">
        <v>59</v>
      </c>
      <c r="C37" s="13">
        <f>IFERROR(20.25*(1-w),"")</f>
        <v>18.549</v>
      </c>
      <c r="D37" s="13">
        <v>20.25</v>
      </c>
      <c r="E37" s="13">
        <v>20.716112531969308</v>
      </c>
      <c r="F37" s="13">
        <v>0.29</v>
      </c>
      <c r="G37" s="13"/>
      <c r="H37" s="0" t="s">
        <v>41</v>
      </c>
      <c r="I37" s="5">
        <v>39742</v>
      </c>
    </row>
    <row r="38" outlineLevel="2">
      <c r="A38" s="12" t="s">
        <v>62</v>
      </c>
      <c r="B38" s="0" t="s">
        <v>59</v>
      </c>
      <c r="C38" s="13">
        <f>IFERROR(18.5699785625*(1-w),"")</f>
        <v>17.010100363250004</v>
      </c>
      <c r="D38" s="13">
        <v>18.569978562500005</v>
      </c>
      <c r="E38" s="13">
        <v>18.997420524296679</v>
      </c>
      <c r="F38" s="13"/>
      <c r="G38" s="13"/>
      <c r="I38" s="5"/>
      <c r="J38" s="0" t="s">
        <v>47</v>
      </c>
    </row>
    <row r="39" outlineLevel="1">
      <c r="A39" s="11" t="s">
        <v>63</v>
      </c>
      <c r="I39" s="5"/>
    </row>
    <row r="40" outlineLevel="2">
      <c r="A40" s="14" t="s">
        <v>64</v>
      </c>
      <c r="I40" s="5"/>
    </row>
    <row r="41" outlineLevel="3">
      <c r="A41" s="15" t="s">
        <v>65</v>
      </c>
      <c r="B41" s="0" t="s">
        <v>66</v>
      </c>
      <c r="C41" s="16">
        <v>1100</v>
      </c>
      <c r="D41" s="16"/>
      <c r="E41" s="16"/>
      <c r="F41" s="16"/>
      <c r="G41" s="16"/>
      <c r="I41" s="5"/>
    </row>
    <row r="42" outlineLevel="3">
      <c r="A42" s="15" t="s">
        <v>67</v>
      </c>
      <c r="B42" s="0" t="s">
        <v>66</v>
      </c>
      <c r="C42" s="16">
        <v>1140</v>
      </c>
      <c r="D42" s="16"/>
      <c r="E42" s="16"/>
      <c r="F42" s="16"/>
      <c r="G42" s="16"/>
      <c r="I42" s="5"/>
    </row>
    <row r="43" outlineLevel="3">
      <c r="A43" s="15" t="s">
        <v>68</v>
      </c>
      <c r="B43" s="0" t="s">
        <v>66</v>
      </c>
      <c r="C43" s="16">
        <v>1200</v>
      </c>
      <c r="D43" s="16"/>
      <c r="E43" s="16"/>
      <c r="F43" s="16"/>
      <c r="G43" s="16"/>
      <c r="I43" s="5"/>
    </row>
    <row r="44" outlineLevel="3">
      <c r="A44" s="15" t="s">
        <v>69</v>
      </c>
      <c r="B44" s="0" t="s">
        <v>66</v>
      </c>
      <c r="C44" s="16">
        <v>1340</v>
      </c>
      <c r="D44" s="16"/>
      <c r="E44" s="16"/>
      <c r="F44" s="16"/>
      <c r="G44" s="16"/>
      <c r="I44" s="5"/>
    </row>
    <row r="45">
      <c r="A45" s="7" t="s">
        <v>70</v>
      </c>
      <c r="I45" s="5"/>
    </row>
    <row r="46" outlineLevel="1">
      <c r="A46" s="11" t="s">
        <v>71</v>
      </c>
      <c r="I46" s="5"/>
    </row>
    <row r="47" outlineLevel="2">
      <c r="A47" s="12" t="s">
        <v>72</v>
      </c>
      <c r="B47" s="0" t="s">
        <v>40</v>
      </c>
      <c r="C47" s="13">
        <v>99.8</v>
      </c>
      <c r="D47" s="13"/>
      <c r="E47" s="13"/>
      <c r="F47" s="13"/>
      <c r="G47" s="13"/>
      <c r="I47" s="5"/>
      <c r="J47" s="0" t="s">
        <v>73</v>
      </c>
    </row>
    <row r="48">
      <c r="I48" s="5"/>
    </row>
    <row r="49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41:E41"/>
    <mergeCell ref="C42:E42"/>
    <mergeCell ref="C43:E43"/>
    <mergeCell ref="C44:E44"/>
    <mergeCell ref="C47:E47"/>
  </mergeCells>
  <dataValidations count="1">
    <dataValidation type="decimal" sqref="C24" errorStyle="stop" promptTitle="Enter moisture content" errorTitle="Invalid moisture content" prompt="Value should be between 0 and 100.&#10;Original value: 8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https://phyllis.nl/Biomass/View/3174</dc:description>
  <dcterms:created xsi:type="dcterms:W3CDTF">2026-03-19T07:06:44Z</dcterms:created>
  <dc:title>Phyllis2 #3174 stump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