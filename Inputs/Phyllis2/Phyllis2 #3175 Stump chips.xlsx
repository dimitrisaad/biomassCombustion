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75 Stump chips" sheetId="1" r:id="rId1"/>
  </sheets>
  <definedNames>
    <definedName name="w" localSheetId="0">IF(ISBLANK('Phyllis2 #3175 Stump chips'!$C$20),#N/A,'Phyllis2 #3175 Stump chips'!$C$20/100)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<sst xmlns="http://schemas.openxmlformats.org/spreadsheetml/2006/main" count="52" uniqueCount="52">
  <si>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</si>
  <si>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https://phyllis.nl/Biomass/View/3175</t>
  </si>
  <si>
    <t>Stump chips (#3175)</t>
  </si>
  <si>
    <t>ID-number</t>
  </si>
  <si>
    <t>#3175</t>
  </si>
  <si>
    <t>Material</t>
  </si>
  <si>
    <t>Stump chips</t>
  </si>
  <si>
    <t>Classification</t>
  </si>
  <si>
    <t>CEN/TS 14961 classification &gt; Solid biofuels &gt; Woody biomass</t>
  </si>
  <si>
    <t>ECN Phyllis classification &gt; untreated wood</t>
  </si>
  <si>
    <t>NTA 8003 classification &gt; [100] hout &gt; [110] vers hout &gt; [130] naaldhout &gt; [131] naaldhout</t>
  </si>
  <si>
    <t>Country</t>
  </si>
  <si>
    <t>Finland</t>
  </si>
  <si>
    <t>Submitter</t>
  </si>
  <si>
    <t>VTT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</si>
  <si>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</si>
  <si>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</si>
  <si>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</si>
  <si>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</si>
  <si>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</si>
  <si>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</si>
  <si>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</si>
  <si>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</si>
  <si>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</si>
  <si>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</si>
  <si>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</si>
  <si>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</si>
  <si>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</si>
  <si>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</si>
  <si>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</si>
  <si>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</si>
  <si>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</si>
  <si>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</si>
  <si>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</si>
  <si>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</si>
  <si>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</si>
  <si>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Ash content at 550°C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</si>
  <si>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</si>
  <si>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</si>
  <si>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</si>
  <si>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</si>
  <si>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</si>
  <si>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</si>
  <si>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</si>
  <si>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</si>
  <si>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Nitrogen</t>
  </si>
  <si>
    <t>Total (with halides)</t>
  </si>
  <si>
    <t>Heating value</t>
  </si>
  <si>
    <t>Net calorific value (LHV)</t>
  </si>
  <si>
    <t>MJ/kg</t>
  </si>
  <si>
    <t>CEN/TS 14918</t>
  </si>
  <si>
    <t>Gross calorific value (HHV)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</si>
</sst>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7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8"/>
      <c r="B9" s="0" t="s">
        <v>10</v>
      </c>
    </row>
    <row r="10" outlineLevel="1">
      <c r="A10" s="7" t="s">
        <v>11</v>
      </c>
      <c r="B10" s="0" t="s">
        <v>12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6">
        <v>39919</v>
      </c>
    </row>
    <row r="14">
      <c r="A14" s="7"/>
    </row>
    <row r="15" s="1" customFormat="1">
      <c r="A15" s="9" t="s">
        <v>18</v>
      </c>
    </row>
    <row r="16" s="1" customFormat="1">
      <c r="A16" s="10" t="s">
        <v>19</v>
      </c>
      <c r="B16" s="10" t="s">
        <v>20</v>
      </c>
      <c r="C16" s="10" t="s">
        <v>21</v>
      </c>
      <c r="D16" s="10"/>
      <c r="E16" s="10"/>
      <c r="F16" s="10" t="s">
        <v>22</v>
      </c>
      <c r="G16" s="10" t="s">
        <v>23</v>
      </c>
      <c r="H16" s="10" t="s">
        <v>24</v>
      </c>
      <c r="I16" s="10" t="s">
        <v>25</v>
      </c>
      <c r="J16" s="10" t="s">
        <v>26</v>
      </c>
      <c r="K16" s="10" t="s">
        <v>27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8.9</v>
      </c>
      <c r="D20" s="13"/>
      <c r="E20" s="13"/>
      <c r="F20" s="13"/>
      <c r="G20" s="13"/>
      <c r="H20" s="0" t="s">
        <v>14</v>
      </c>
      <c r="I20" s="5"/>
      <c r="J20" s="0" t="s">
        <v>35</v>
      </c>
    </row>
    <row r="21" outlineLevel="2">
      <c r="A21" s="12" t="s">
        <v>36</v>
      </c>
      <c r="B21" s="0" t="s">
        <v>34</v>
      </c>
      <c r="C21" s="13">
        <f>IFERROR(5.8*(1-w),"")</f>
        <v>5.2838</v>
      </c>
      <c r="D21" s="13">
        <v>5.8</v>
      </c>
      <c r="E21" s="13">
        <v/>
      </c>
      <c r="F21" s="13"/>
      <c r="G21" s="13"/>
      <c r="H21" s="0" t="s">
        <v>14</v>
      </c>
      <c r="I21" s="5"/>
      <c r="J21" s="0" t="s">
        <v>37</v>
      </c>
    </row>
    <row r="22" outlineLevel="2">
      <c r="A22" s="12" t="s">
        <v>38</v>
      </c>
      <c r="B22" s="0" t="s">
        <v>34</v>
      </c>
      <c r="C22" s="13">
        <f>IFERROR(77.2*(1-w),"")</f>
        <v>70.3292</v>
      </c>
      <c r="D22" s="13">
        <v>77.2</v>
      </c>
      <c r="E22" s="13">
        <v>81.953290870488331</v>
      </c>
      <c r="F22" s="13"/>
      <c r="G22" s="13"/>
      <c r="H22" s="0" t="s">
        <v>14</v>
      </c>
      <c r="I22" s="5"/>
    </row>
    <row r="23" outlineLevel="2">
      <c r="A23" s="12" t="s">
        <v>39</v>
      </c>
      <c r="B23" s="0" t="s">
        <v>34</v>
      </c>
      <c r="C23" s="13">
        <f>IFERROR(17*(1-w),"")</f>
        <v>15.487</v>
      </c>
      <c r="D23" s="13">
        <v>17</v>
      </c>
      <c r="E23" s="13">
        <v>18.046709129511679</v>
      </c>
      <c r="F23" s="13"/>
      <c r="G23" s="13"/>
      <c r="I23" s="5"/>
      <c r="J23" s="0" t="s">
        <v>40</v>
      </c>
    </row>
    <row r="24" outlineLevel="1">
      <c r="A24" s="11" t="s">
        <v>41</v>
      </c>
      <c r="I24" s="5"/>
    </row>
    <row r="25" outlineLevel="2">
      <c r="A25" s="12" t="s">
        <v>42</v>
      </c>
      <c r="B25" s="0" t="s">
        <v>34</v>
      </c>
      <c r="C25" s="13">
        <f>IFERROR(48.5*(1-w),"")</f>
        <v>44.1835</v>
      </c>
      <c r="D25" s="13">
        <v>48.5</v>
      </c>
      <c r="E25" s="13">
        <v>51.48619957537155</v>
      </c>
      <c r="F25" s="13"/>
      <c r="G25" s="13"/>
      <c r="H25" s="0" t="s">
        <v>14</v>
      </c>
      <c r="I25" s="5"/>
      <c r="J25" s="0" t="s">
        <v>43</v>
      </c>
    </row>
    <row r="26" outlineLevel="2">
      <c r="A26" s="12" t="s">
        <v>44</v>
      </c>
      <c r="B26" s="0" t="s">
        <v>34</v>
      </c>
      <c r="C26" s="13">
        <f>IFERROR(5.6*(1-w),"")</f>
        <v>5.1015999999999995</v>
      </c>
      <c r="D26" s="13">
        <v>5.6</v>
      </c>
      <c r="E26" s="13">
        <v>5.9447983014861991</v>
      </c>
      <c r="F26" s="13"/>
      <c r="G26" s="13"/>
      <c r="H26" s="0" t="s">
        <v>14</v>
      </c>
      <c r="I26" s="5"/>
      <c r="J26" s="0" t="s">
        <v>43</v>
      </c>
    </row>
    <row r="27" outlineLevel="2">
      <c r="A27" s="12" t="s">
        <v>45</v>
      </c>
      <c r="B27" s="0" t="s">
        <v>34</v>
      </c>
      <c r="C27" s="13">
        <f>IFERROR(0.1*(1-w),"")</f>
        <v>0.091100000000000014</v>
      </c>
      <c r="D27" s="13">
        <v>0.1</v>
      </c>
      <c r="E27" s="13">
        <v>0.1061571125265393</v>
      </c>
      <c r="F27" s="13"/>
      <c r="G27" s="13"/>
      <c r="H27" s="0" t="s">
        <v>14</v>
      </c>
      <c r="I27" s="5"/>
      <c r="J27" s="0" t="s">
        <v>43</v>
      </c>
    </row>
    <row r="28" outlineLevel="2">
      <c r="A28" s="12" t="s">
        <v>46</v>
      </c>
      <c r="B28" s="0" t="s">
        <v>34</v>
      </c>
      <c r="C28" s="13">
        <f>IFERROR(60*(1-w)+w*100,"")</f>
        <v>63.56</v>
      </c>
      <c r="D28" s="13">
        <v>60</v>
      </c>
      <c r="E28" s="13">
        <v>57.5371549893843</v>
      </c>
      <c r="F28" s="13"/>
      <c r="G28" s="13"/>
      <c r="I28" s="5"/>
      <c r="J28" s="0" t="s">
        <v>40</v>
      </c>
    </row>
    <row r="29" outlineLevel="1">
      <c r="A29" s="11" t="s">
        <v>47</v>
      </c>
      <c r="I29" s="5"/>
    </row>
    <row r="30" outlineLevel="2">
      <c r="A30" s="12" t="s">
        <v>48</v>
      </c>
      <c r="B30" s="0" t="s">
        <v>49</v>
      </c>
      <c r="C30" s="13">
        <f>IFERROR(18.31*(1-w)-w*2.443,"")</f>
        <v>16.462982999999998</v>
      </c>
      <c r="D30" s="13">
        <v>18.31</v>
      </c>
      <c r="E30" s="13">
        <v>19.437367303609342</v>
      </c>
      <c r="F30" s="13"/>
      <c r="G30" s="13"/>
      <c r="H30" s="0" t="s">
        <v>14</v>
      </c>
      <c r="I30" s="5"/>
      <c r="J30" s="0" t="s">
        <v>50</v>
      </c>
    </row>
    <row r="31" outlineLevel="2">
      <c r="A31" s="12" t="s">
        <v>51</v>
      </c>
      <c r="B31" s="0" t="s">
        <v>49</v>
      </c>
      <c r="C31" s="13">
        <f>IFERROR(19.52*(1-w),"")</f>
        <v>17.78272</v>
      </c>
      <c r="D31" s="13">
        <v>19.52</v>
      </c>
      <c r="E31" s="13">
        <v>20.721868365180466</v>
      </c>
      <c r="F31" s="13"/>
      <c r="G31" s="13"/>
      <c r="H31" s="0" t="s">
        <v>14</v>
      </c>
      <c r="I31" s="5"/>
    </row>
    <row r="32">
      <c r="I32" s="5"/>
    </row>
    <row r="33" s="1" customFormat="1"/>
  </sheetData>
  <mergeCells>
    <mergeCell ref="A7:A9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</mergeCells>
  <dataValidations count="1">
    <dataValidation type="decimal" sqref="C20" errorStyle="stop" promptTitle="Enter moisture content" errorTitle="Invalid moisture content" prompt="Value should be between 0 and 100.&#10;Original value: 8.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https://phyllis.nl/Biomass/View/3175</dc:description>
  <dcterms:created xsi:type="dcterms:W3CDTF">2026-03-19T07:32:12Z</dcterms:created>
  <dc:title>Phyllis2 #3175 Stump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