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6 wood pellet" sheetId="1" r:id="rId1"/>
  </sheets>
  <definedNames>
    <definedName name="w" localSheetId="0">IF(ISBLANK('Phyllis2 #3176 wood pellet'!$C$20),#N/A,'Phyllis2 #3176 wood pellet'!$C$20/100)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<sst xmlns="http://schemas.openxmlformats.org/spreadsheetml/2006/main" count="56" uniqueCount="56">
  <si>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</si>
  <si>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https://phyllis.nl/Biomass/View/3176</t>
  </si>
  <si>
    <t>wood pellet (#3176)</t>
  </si>
  <si>
    <t>ID-number</t>
  </si>
  <si>
    <t>#3176</t>
  </si>
  <si>
    <t>Material</t>
  </si>
  <si>
    <t>wood pellet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</si>
  <si>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</si>
  <si>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</si>
  <si>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</si>
  <si>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</si>
  <si>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</si>
  <si>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</si>
  <si>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</si>
  <si>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</si>
  <si>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</si>
  <si>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</si>
  <si>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</si>
  <si>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</si>
  <si>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</si>
  <si>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</si>
  <si>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</si>
  <si>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</si>
  <si>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</si>
  <si>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</si>
  <si>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</si>
  <si>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</si>
  <si>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</si>
  <si>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</si>
  <si>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</si>
  <si>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</si>
  <si>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</si>
  <si>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</si>
  <si>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</si>
  <si>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</si>
  <si>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</si>
  <si>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</si>
  <si>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</si>
  <si>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</si>
  <si>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</si>
  <si>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</si>
  <si>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</si>
  <si>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</si>
  <si>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</si>
  <si>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</si>
  <si>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</si>
  <si>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wt% (dry)</t>
  </si>
  <si>
    <t>&lt;0,1</t>
  </si>
  <si>
    <t>Sulphur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</si>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</sst>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39919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8.1</v>
      </c>
      <c r="D20" s="13"/>
      <c r="E20" s="13"/>
      <c r="F20" s="13"/>
      <c r="G20" s="13"/>
      <c r="H20" s="0" t="s">
        <v>14</v>
      </c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IFERROR(0.4*(1-w),"")</f>
        <v>0.36760000000000004</v>
      </c>
      <c r="D21" s="13">
        <v>0.4</v>
      </c>
      <c r="E21" s="13">
        <v/>
      </c>
      <c r="F21" s="13"/>
      <c r="G21" s="13"/>
      <c r="H21" s="0" t="s">
        <v>14</v>
      </c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IFERROR(83.2*(1-w),"")</f>
        <v>76.4608</v>
      </c>
      <c r="D22" s="13">
        <v>83.2</v>
      </c>
      <c r="E22" s="13">
        <v>83.53413654618474</v>
      </c>
      <c r="F22" s="13"/>
      <c r="G22" s="13"/>
      <c r="H22" s="0" t="s">
        <v>14</v>
      </c>
      <c r="I22" s="5"/>
    </row>
    <row r="23" outlineLevel="2">
      <c r="A23" s="12" t="s">
        <v>39</v>
      </c>
      <c r="B23" s="0" t="s">
        <v>34</v>
      </c>
      <c r="C23" s="13">
        <f>IFERROR(16.4*(1-w),"")</f>
        <v>15.071599999999993</v>
      </c>
      <c r="D23" s="13">
        <v>16.399999999999991</v>
      </c>
      <c r="E23" s="13">
        <v>16.465863453815253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IFERROR(51*(1-w),"")</f>
        <v>46.869</v>
      </c>
      <c r="D25" s="13">
        <v>51</v>
      </c>
      <c r="E25" s="13">
        <v>51.204819277108435</v>
      </c>
      <c r="F25" s="13"/>
      <c r="G25" s="13"/>
      <c r="H25" s="0" t="s">
        <v>14</v>
      </c>
      <c r="I25" s="5"/>
      <c r="J25" s="0" t="s">
        <v>43</v>
      </c>
    </row>
    <row r="26" outlineLevel="2">
      <c r="A26" s="12" t="s">
        <v>44</v>
      </c>
      <c r="B26" s="0" t="s">
        <v>34</v>
      </c>
      <c r="C26" s="13">
        <f>IFERROR(6*(1-w),"")</f>
        <v>5.514</v>
      </c>
      <c r="D26" s="13">
        <v>6</v>
      </c>
      <c r="E26" s="13">
        <v>6.024096385542169</v>
      </c>
      <c r="F26" s="13"/>
      <c r="G26" s="13"/>
      <c r="H26" s="0" t="s">
        <v>14</v>
      </c>
      <c r="I26" s="5"/>
      <c r="J26" s="0" t="s">
        <v>43</v>
      </c>
    </row>
    <row r="27" outlineLevel="2">
      <c r="A27" s="12" t="s">
        <v>45</v>
      </c>
      <c r="B27" s="0" t="s">
        <v>46</v>
      </c>
      <c r="C27" s="13" t="s">
        <v>47</v>
      </c>
      <c r="D27" s="13"/>
      <c r="E27" s="13"/>
      <c r="F27" s="13"/>
      <c r="G27" s="13"/>
      <c r="H27" s="0" t="s">
        <v>14</v>
      </c>
      <c r="I27" s="5"/>
      <c r="J27" s="0" t="s">
        <v>43</v>
      </c>
    </row>
    <row r="28" outlineLevel="2">
      <c r="A28" s="12" t="s">
        <v>48</v>
      </c>
      <c r="B28" s="0" t="s">
        <v>34</v>
      </c>
      <c r="C28" s="13">
        <f>IFERROR(0.01*(1-w),"")</f>
        <v>0.00919</v>
      </c>
      <c r="D28" s="13">
        <v>0.01</v>
      </c>
      <c r="E28" s="13">
        <v>0.010040160642570281</v>
      </c>
      <c r="F28" s="13"/>
      <c r="G28" s="13"/>
      <c r="H28" s="0" t="s">
        <v>14</v>
      </c>
      <c r="I28" s="5"/>
      <c r="J28" s="0" t="s">
        <v>49</v>
      </c>
    </row>
    <row r="29" outlineLevel="2">
      <c r="A29" s="12" t="s">
        <v>50</v>
      </c>
      <c r="B29" s="0" t="s">
        <v>34</v>
      </c>
      <c r="C29" s="13">
        <f>IFERROR(57.41*(1-w)+w*100,"")</f>
        <v>60.859790000000004</v>
      </c>
      <c r="D29" s="13">
        <v>57.41</v>
      </c>
      <c r="E29" s="13">
        <v>57.238955823293168</v>
      </c>
      <c r="F29" s="13"/>
      <c r="G29" s="13"/>
      <c r="I29" s="5"/>
      <c r="J29" s="0" t="s">
        <v>40</v>
      </c>
    </row>
    <row r="30" outlineLevel="1">
      <c r="A30" s="11" t="s">
        <v>51</v>
      </c>
      <c r="I30" s="5"/>
    </row>
    <row r="31" outlineLevel="2">
      <c r="A31" s="12" t="s">
        <v>52</v>
      </c>
      <c r="B31" s="0" t="s">
        <v>53</v>
      </c>
      <c r="C31" s="13">
        <f>IFERROR(19.12*(1-w)-w*2.443,"")</f>
        <v>17.373397</v>
      </c>
      <c r="D31" s="13">
        <v>19.12</v>
      </c>
      <c r="E31" s="13">
        <v>19.196787148594378</v>
      </c>
      <c r="F31" s="13"/>
      <c r="G31" s="13"/>
      <c r="H31" s="0" t="s">
        <v>14</v>
      </c>
      <c r="I31" s="5"/>
      <c r="J31" s="0" t="s">
        <v>54</v>
      </c>
    </row>
    <row r="32" outlineLevel="2">
      <c r="A32" s="12" t="s">
        <v>55</v>
      </c>
      <c r="B32" s="0" t="s">
        <v>53</v>
      </c>
      <c r="C32" s="13">
        <f>IFERROR(20.44*(1-w),"")</f>
        <v>18.784360000000003</v>
      </c>
      <c r="D32" s="13">
        <v>20.44</v>
      </c>
      <c r="E32" s="13">
        <v>20.522088353413658</v>
      </c>
      <c r="F32" s="13"/>
      <c r="G32" s="13"/>
      <c r="H32" s="0" t="s">
        <v>14</v>
      </c>
      <c r="I32" s="5"/>
    </row>
    <row r="33">
      <c r="I33" s="5"/>
    </row>
    <row r="34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27:E27"/>
  </mergeCells>
  <dataValidations count="1">
    <dataValidation type="decimal" sqref="C20" errorStyle="stop" promptTitle="Enter moisture content" errorTitle="Invalid moisture content" prompt="Value should be between 0 and 100.&#10;Original value: 8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https://phyllis.nl/Biomass/View/3176</dc:description>
  <dcterms:created xsi:type="dcterms:W3CDTF">2026-03-19T07:32:53Z</dcterms:created>
  <dc:title>Phyllis2 #3176 wood pellet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