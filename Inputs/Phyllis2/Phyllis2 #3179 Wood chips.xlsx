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79 Wood chips" sheetId="1" r:id="rId1"/>
  </sheets>
  <definedNames>
    <definedName name="w" localSheetId="0">IF(ISBLANK('Phyllis2 #3179 Wood chips'!$C$20),#N/A,'Phyllis2 #3179 Wood chips'!$C$20/100)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<sst xmlns="http://schemas.openxmlformats.org/spreadsheetml/2006/main" count="49" uniqueCount="49">
  <si>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</si>
  <si>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https://phyllis.nl/Biomass/View/3179</t>
  </si>
  <si>
    <t>Wood chips (#3179)</t>
  </si>
  <si>
    <t>ID-number</t>
  </si>
  <si>
    <t>#3179</t>
  </si>
  <si>
    <t>Material</t>
  </si>
  <si>
    <t>Wood chips</t>
  </si>
  <si>
    <t>Classification</t>
  </si>
  <si>
    <t>CEN/TS 14961 classification &gt; Solid biofuels &gt; Woody biomass</t>
  </si>
  <si>
    <t>ECN Phyllis classification &gt; untreated wood</t>
  </si>
  <si>
    <t>NTA 8003 classification &gt; [100] hout &gt; [110] vers hout &gt; [119] overig vers hout</t>
  </si>
  <si>
    <t>Country</t>
  </si>
  <si>
    <t>Finland</t>
  </si>
  <si>
    <t>Submitter</t>
  </si>
  <si>
    <t>VTT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</si>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</sst>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7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39919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10.8</v>
      </c>
      <c r="D20" s="13"/>
      <c r="E20" s="13"/>
      <c r="F20" s="13"/>
      <c r="G20" s="13"/>
      <c r="H20" s="0" t="s">
        <v>14</v>
      </c>
      <c r="I20" s="5"/>
      <c r="J20" s="0" t="s">
        <v>35</v>
      </c>
    </row>
    <row r="21" outlineLevel="2">
      <c r="A21" s="12" t="s">
        <v>36</v>
      </c>
      <c r="B21" s="0" t="s">
        <v>34</v>
      </c>
      <c r="C21" s="13">
        <f>IFERROR(2.5*(1-w),"")</f>
        <v>2.23</v>
      </c>
      <c r="D21" s="13">
        <v>2.5</v>
      </c>
      <c r="E21" s="13">
        <v/>
      </c>
      <c r="F21" s="13"/>
      <c r="G21" s="13"/>
      <c r="H21" s="0" t="s">
        <v>14</v>
      </c>
      <c r="I21" s="5"/>
      <c r="J21" s="0" t="s">
        <v>37</v>
      </c>
    </row>
    <row r="22" outlineLevel="2">
      <c r="A22" s="12" t="s">
        <v>38</v>
      </c>
      <c r="B22" s="0" t="s">
        <v>34</v>
      </c>
      <c r="C22" s="13">
        <f>IFERROR(73.3*(1-w),"")</f>
        <v>65.3836</v>
      </c>
      <c r="D22" s="13">
        <v>73.3</v>
      </c>
      <c r="E22" s="13">
        <v>75.179487179487182</v>
      </c>
      <c r="F22" s="13"/>
      <c r="G22" s="13"/>
      <c r="H22" s="0" t="s">
        <v>14</v>
      </c>
      <c r="I22" s="5"/>
    </row>
    <row r="23" outlineLevel="2">
      <c r="A23" s="12" t="s">
        <v>39</v>
      </c>
      <c r="B23" s="0" t="s">
        <v>34</v>
      </c>
      <c r="C23" s="13">
        <f>IFERROR(24.2*(1-w),"")</f>
        <v>21.5864</v>
      </c>
      <c r="D23" s="13">
        <v>24.200000000000003</v>
      </c>
      <c r="E23" s="13">
        <v>24.820512820512825</v>
      </c>
      <c r="F23" s="13"/>
      <c r="G23" s="13"/>
      <c r="I23" s="5"/>
      <c r="J23" s="0" t="s">
        <v>40</v>
      </c>
    </row>
    <row r="24" outlineLevel="1">
      <c r="A24" s="11" t="s">
        <v>41</v>
      </c>
      <c r="I24" s="5"/>
    </row>
    <row r="25" outlineLevel="2">
      <c r="A25" s="12" t="s">
        <v>42</v>
      </c>
      <c r="B25" s="0" t="s">
        <v>34</v>
      </c>
      <c r="C25" s="13">
        <f>IFERROR(52.4*(1-w),"")</f>
        <v>46.7408</v>
      </c>
      <c r="D25" s="13">
        <v>52.4</v>
      </c>
      <c r="E25" s="13">
        <v>53.743589743589745</v>
      </c>
      <c r="F25" s="13"/>
      <c r="G25" s="13"/>
      <c r="H25" s="0" t="s">
        <v>14</v>
      </c>
      <c r="I25" s="5"/>
      <c r="J25" s="0" t="s">
        <v>43</v>
      </c>
    </row>
    <row r="26" outlineLevel="2">
      <c r="A26" s="12" t="s">
        <v>44</v>
      </c>
      <c r="B26" s="0" t="s">
        <v>34</v>
      </c>
      <c r="C26" s="13">
        <f>IFERROR(5.8*(1-w),"")</f>
        <v>5.1735999999999995</v>
      </c>
      <c r="D26" s="13">
        <v>5.8</v>
      </c>
      <c r="E26" s="13">
        <v>5.9487179487179489</v>
      </c>
      <c r="F26" s="13"/>
      <c r="G26" s="13"/>
      <c r="H26" s="0" t="s">
        <v>14</v>
      </c>
      <c r="I26" s="5"/>
      <c r="J26" s="0" t="s">
        <v>43</v>
      </c>
    </row>
    <row r="27" outlineLevel="2">
      <c r="A27" s="12" t="s">
        <v>45</v>
      </c>
      <c r="B27" s="0" t="s">
        <v>34</v>
      </c>
      <c r="C27" s="13">
        <f>IFERROR(0.5*(1-w),"")</f>
        <v>0.446</v>
      </c>
      <c r="D27" s="13">
        <v>0.5</v>
      </c>
      <c r="E27" s="13">
        <v>0.51282051282051289</v>
      </c>
      <c r="F27" s="13"/>
      <c r="G27" s="13"/>
      <c r="H27" s="0" t="s">
        <v>14</v>
      </c>
      <c r="I27" s="5"/>
      <c r="J27" s="0" t="s">
        <v>43</v>
      </c>
    </row>
    <row r="28" outlineLevel="2">
      <c r="A28" s="12" t="s">
        <v>46</v>
      </c>
      <c r="B28" s="0" t="s">
        <v>34</v>
      </c>
      <c r="C28" s="13">
        <f>IFERROR(0.03*(1-w),"")</f>
        <v>0.02676</v>
      </c>
      <c r="D28" s="13">
        <v>0.03</v>
      </c>
      <c r="E28" s="13">
        <v>0.030769230769230767</v>
      </c>
      <c r="F28" s="13"/>
      <c r="G28" s="13"/>
      <c r="H28" s="0" t="s">
        <v>14</v>
      </c>
      <c r="I28" s="5"/>
      <c r="J28" s="0" t="s">
        <v>47</v>
      </c>
    </row>
    <row r="29" outlineLevel="2">
      <c r="A29" s="12" t="s">
        <v>48</v>
      </c>
      <c r="B29" s="0" t="s">
        <v>34</v>
      </c>
      <c r="C29" s="13">
        <f>IFERROR(61.23*(1-w)+w*100,"")</f>
        <v>65.41716</v>
      </c>
      <c r="D29" s="13">
        <v>61.23</v>
      </c>
      <c r="E29" s="13">
        <v>60.235897435897435</v>
      </c>
      <c r="F29" s="13"/>
      <c r="G29" s="13"/>
      <c r="I29" s="5"/>
      <c r="J29" s="0" t="s">
        <v>40</v>
      </c>
    </row>
    <row r="30">
      <c r="I30" s="5"/>
    </row>
    <row r="31" s="1" customFormat="1"/>
  </sheetData>
  <mergeCells>
    <mergeCell ref="A7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10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https://phyllis.nl/Biomass/View/3179</dc:description>
  <dcterms:created xsi:type="dcterms:W3CDTF">2026-03-19T07:32:40Z</dcterms:created>
  <dc:title>Phyllis2 #3179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