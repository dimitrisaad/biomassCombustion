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81 Pruning wood" sheetId="1" r:id="rId1"/>
  </sheets>
  <definedNames>
    <definedName name="w" localSheetId="0">IF(ISBLANK('Phyllis2 #3181 Pruning wood'!$C$23),#N/A,'Phyllis2 #3181 Pruning wood'!$C$23/100)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<sst xmlns="http://schemas.openxmlformats.org/spreadsheetml/2006/main" count="97" uniqueCount="97">
  <si>
    <t>Phyllis2</t>
  </si>
  <si>
    <t>https://phyllis.nl/Biomass/View/3181</t>
  </si>
  <si>
    <t>Pruning wood (#3181)</t>
  </si>
  <si>
    <t>ID-number</t>
  </si>
  <si>
    <t>#3181</t>
  </si>
  <si>
    <t>Material</t>
  </si>
  <si>
    <t>Pruning wood</t>
  </si>
  <si>
    <t>Alternative name</t>
  </si>
  <si>
    <t>Description</t>
  </si>
  <si>
    <t>Snoeihout</t>
  </si>
  <si>
    <t>Classification</t>
  </si>
  <si>
    <t>CEN/TS 14961 classification &gt; Solid biofuels &gt; Woody biomass &gt; Forest and plantation wood &gt; Landscape management woody biomass</t>
  </si>
  <si>
    <t>ECN Phyllis classification &gt; untreated wood</t>
  </si>
  <si>
    <t>NTA 8003 classification &gt; [100] hout &gt; [110] vers hout &gt; [114] dunningshout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</si>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</sst>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6">
        <v>37649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6">
        <v>40093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31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3.03</v>
      </c>
      <c r="D23" s="13"/>
      <c r="E23" s="13"/>
      <c r="F23" s="13"/>
      <c r="G23" s="13">
        <v>0.1</v>
      </c>
      <c r="H23" s="0" t="s">
        <v>39</v>
      </c>
      <c r="I23" s="5">
        <v>37629</v>
      </c>
      <c r="J23" s="0" t="s">
        <v>40</v>
      </c>
      <c r="K23" s="0" t="s">
        <v>40</v>
      </c>
    </row>
    <row r="24" outlineLevel="2">
      <c r="A24" s="12" t="s">
        <v>41</v>
      </c>
      <c r="B24" s="0" t="s">
        <v>38</v>
      </c>
      <c r="C24" s="13">
        <f>IFERROR(17.03*(1-w),"")</f>
        <v>16.513991</v>
      </c>
      <c r="D24" s="13">
        <v>17.03</v>
      </c>
      <c r="E24" s="13">
        <v/>
      </c>
      <c r="F24" s="13">
        <v>0.08</v>
      </c>
      <c r="G24" s="13">
        <v>0.1</v>
      </c>
      <c r="H24" s="0" t="s">
        <v>39</v>
      </c>
      <c r="I24" s="5">
        <v>37635</v>
      </c>
      <c r="J24" s="0" t="s">
        <v>42</v>
      </c>
      <c r="K24" s="0" t="s">
        <v>42</v>
      </c>
    </row>
    <row r="25" outlineLevel="2">
      <c r="A25" s="12" t="s">
        <v>43</v>
      </c>
      <c r="B25" s="0" t="s">
        <v>38</v>
      </c>
      <c r="C25" s="13">
        <f>IFERROR(16.505*(1-w),"")</f>
        <v>16.0048985</v>
      </c>
      <c r="D25" s="13">
        <v>16.505</v>
      </c>
      <c r="E25" s="13">
        <v/>
      </c>
      <c r="F25" s="13">
        <v>0.21</v>
      </c>
      <c r="G25" s="13">
        <v>0.1</v>
      </c>
      <c r="H25" s="0" t="s">
        <v>39</v>
      </c>
      <c r="I25" s="5">
        <v>37635</v>
      </c>
      <c r="K25" s="0" t="s">
        <v>42</v>
      </c>
    </row>
    <row r="26" outlineLevel="2">
      <c r="A26" s="12" t="s">
        <v>44</v>
      </c>
      <c r="B26" s="0" t="s">
        <v>38</v>
      </c>
      <c r="C26" s="13">
        <f>IFERROR(62.795*(1-w),"")</f>
        <v>60.892311500000005</v>
      </c>
      <c r="D26" s="13">
        <v>62.795</v>
      </c>
      <c r="E26" s="13">
        <v>75.683982162227309</v>
      </c>
      <c r="F26" s="13">
        <v>0.19</v>
      </c>
      <c r="G26" s="13">
        <v>0.1</v>
      </c>
      <c r="H26" s="0" t="s">
        <v>39</v>
      </c>
      <c r="I26" s="5">
        <v>37634</v>
      </c>
    </row>
    <row r="27" outlineLevel="2">
      <c r="A27" s="12" t="s">
        <v>45</v>
      </c>
      <c r="B27" s="0" t="s">
        <v>38</v>
      </c>
      <c r="C27" s="13">
        <f>IFERROR(20.175*(1-w),"")</f>
        <v>19.563697499999996</v>
      </c>
      <c r="D27" s="13">
        <v>20.174999999999997</v>
      </c>
      <c r="E27" s="13">
        <v>24.316017837772687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38</v>
      </c>
      <c r="C29" s="13">
        <f>IFERROR(41.66*(1-w),"")</f>
        <v>40.397701999999995</v>
      </c>
      <c r="D29" s="13">
        <v>41.66</v>
      </c>
      <c r="E29" s="13">
        <v>50.2109196094974</v>
      </c>
      <c r="F29" s="13">
        <v>0.61</v>
      </c>
      <c r="G29" s="13">
        <v>0.1</v>
      </c>
      <c r="H29" s="0" t="s">
        <v>39</v>
      </c>
      <c r="I29" s="5">
        <v>37634</v>
      </c>
      <c r="J29" s="0" t="s">
        <v>49</v>
      </c>
      <c r="K29" s="0" t="s">
        <v>49</v>
      </c>
    </row>
    <row r="30" outlineLevel="2">
      <c r="A30" s="12" t="s">
        <v>50</v>
      </c>
      <c r="B30" s="0" t="s">
        <v>38</v>
      </c>
      <c r="C30" s="13">
        <f>IFERROR(5.05*(1-w),"")</f>
        <v>4.896985</v>
      </c>
      <c r="D30" s="13">
        <v>5.05</v>
      </c>
      <c r="E30" s="13">
        <v>6.086537302639508</v>
      </c>
      <c r="F30" s="13">
        <v>1.4</v>
      </c>
      <c r="G30" s="13">
        <v>0.1</v>
      </c>
      <c r="H30" s="0" t="s">
        <v>39</v>
      </c>
      <c r="I30" s="5">
        <v>37634</v>
      </c>
      <c r="J30" s="0" t="s">
        <v>49</v>
      </c>
      <c r="K30" s="0" t="s">
        <v>49</v>
      </c>
    </row>
    <row r="31" outlineLevel="2">
      <c r="A31" s="12" t="s">
        <v>51</v>
      </c>
      <c r="B31" s="0" t="s">
        <v>38</v>
      </c>
      <c r="C31" s="13">
        <f>IFERROR(37.07*(1-w),"")</f>
        <v>35.946779</v>
      </c>
      <c r="D31" s="13">
        <v>37.07</v>
      </c>
      <c r="E31" s="13">
        <v>44.678799566108232</v>
      </c>
      <c r="F31" s="13">
        <v>1.56</v>
      </c>
      <c r="G31" s="13">
        <v>0.1</v>
      </c>
      <c r="H31" s="0" t="s">
        <v>39</v>
      </c>
      <c r="I31" s="5">
        <v>37631</v>
      </c>
      <c r="K31" s="0" t="s">
        <v>52</v>
      </c>
    </row>
    <row r="32" outlineLevel="2">
      <c r="A32" s="12" t="s">
        <v>53</v>
      </c>
      <c r="B32" s="0" t="s">
        <v>38</v>
      </c>
      <c r="C32" s="13">
        <f>IFERROR(0.7*(1-w),"")</f>
        <v>0.67879</v>
      </c>
      <c r="D32" s="13">
        <v>0.7</v>
      </c>
      <c r="E32" s="13">
        <v>0.84367843798963471</v>
      </c>
      <c r="F32" s="13">
        <v>2.02</v>
      </c>
      <c r="G32" s="13">
        <v>0.1</v>
      </c>
      <c r="H32" s="0" t="s">
        <v>39</v>
      </c>
      <c r="I32" s="5">
        <v>37634</v>
      </c>
      <c r="J32" s="0" t="s">
        <v>49</v>
      </c>
      <c r="K32" s="0" t="s">
        <v>49</v>
      </c>
    </row>
    <row r="33" outlineLevel="2">
      <c r="A33" s="12" t="s">
        <v>54</v>
      </c>
      <c r="B33" s="0" t="s">
        <v>38</v>
      </c>
      <c r="C33" s="13">
        <f>IFERROR(0.0811908837545335*(1-w),"")</f>
        <v>0.078730799976771126</v>
      </c>
      <c r="D33" s="13">
        <v>0.0811908837545335</v>
      </c>
      <c r="E33" s="13">
        <v>0.097855711407175486</v>
      </c>
      <c r="F33" s="13"/>
      <c r="G33" s="13">
        <v>0.000200371248780729</v>
      </c>
      <c r="H33" s="0" t="s">
        <v>39</v>
      </c>
      <c r="I33" s="5">
        <v>37636</v>
      </c>
      <c r="J33" s="0" t="s">
        <v>55</v>
      </c>
      <c r="K33" s="0" t="s">
        <v>49</v>
      </c>
    </row>
    <row r="34" outlineLevel="2">
      <c r="A34" s="12" t="s">
        <v>56</v>
      </c>
      <c r="B34" s="0" t="s">
        <v>38</v>
      </c>
      <c r="C34" s="13">
        <f>IFERROR(101.690590883755*(1-w)+w*100,"")</f>
        <v>101.63936597997677</v>
      </c>
      <c r="D34" s="13">
        <v>101.69059088375454</v>
      </c>
      <c r="E34" s="13">
        <v>102.0375929658365</v>
      </c>
      <c r="F34" s="13"/>
      <c r="G34" s="13"/>
      <c r="I34" s="5"/>
      <c r="J34" s="0" t="s">
        <v>46</v>
      </c>
    </row>
    <row r="35" outlineLevel="1">
      <c r="A35" s="11" t="s">
        <v>57</v>
      </c>
      <c r="I35" s="5"/>
    </row>
    <row r="36" outlineLevel="2">
      <c r="A36" s="12" t="s">
        <v>58</v>
      </c>
      <c r="B36" s="0" t="s">
        <v>59</v>
      </c>
      <c r="C36" s="14">
        <f>IFERROR(994*(1-w),"")</f>
        <v>963.8818</v>
      </c>
      <c r="D36" s="14">
        <v>994</v>
      </c>
      <c r="E36" s="14">
        <v>1198.0233819452815</v>
      </c>
      <c r="F36" s="14"/>
      <c r="G36" s="14">
        <v>5</v>
      </c>
      <c r="H36" s="0" t="s">
        <v>39</v>
      </c>
      <c r="I36" s="5">
        <v>37638</v>
      </c>
      <c r="J36" s="0" t="s">
        <v>60</v>
      </c>
      <c r="K36" s="0" t="s">
        <v>60</v>
      </c>
    </row>
    <row r="37" outlineLevel="1">
      <c r="A37" s="11" t="s">
        <v>61</v>
      </c>
      <c r="I37" s="5"/>
    </row>
    <row r="38" outlineLevel="2">
      <c r="A38" s="12" t="s">
        <v>62</v>
      </c>
      <c r="B38" s="0" t="s">
        <v>63</v>
      </c>
      <c r="C38" s="13">
        <f>IFERROR(17.2335*(1-w)-w*2.443,"")</f>
        <v>16.63730205</v>
      </c>
      <c r="D38" s="13">
        <v>17.2335</v>
      </c>
      <c r="E38" s="13">
        <v>20.7707605158491</v>
      </c>
      <c r="F38" s="13">
        <v>0.43</v>
      </c>
      <c r="G38" s="13"/>
      <c r="H38" s="0" t="s">
        <v>39</v>
      </c>
      <c r="I38" s="5">
        <v>37631</v>
      </c>
      <c r="J38" s="0" t="s">
        <v>64</v>
      </c>
      <c r="K38" s="0" t="s">
        <v>64</v>
      </c>
    </row>
    <row r="39" outlineLevel="2">
      <c r="A39" s="12" t="s">
        <v>65</v>
      </c>
      <c r="B39" s="0" t="s">
        <v>63</v>
      </c>
      <c r="C39" s="13">
        <f>IFERROR(16.1391438923256*(1-w),"")</f>
        <v>15.650127832388096</v>
      </c>
      <c r="D39" s="13">
        <v>16.13914389232556</v>
      </c>
      <c r="E39" s="13">
        <v>19.451782442238834</v>
      </c>
      <c r="F39" s="13"/>
      <c r="G39" s="13"/>
      <c r="I39" s="5"/>
      <c r="J39" s="0" t="s">
        <v>46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4">
        <v>3620.38362273301</v>
      </c>
      <c r="D41" s="14"/>
      <c r="E41" s="14"/>
      <c r="F41" s="14"/>
      <c r="G41" s="14">
        <v>0.0216561823180408</v>
      </c>
      <c r="H41" s="0" t="s">
        <v>39</v>
      </c>
      <c r="I41" s="5">
        <v>37636</v>
      </c>
      <c r="K41" s="0" t="s">
        <v>69</v>
      </c>
    </row>
    <row r="42" outlineLevel="2">
      <c r="A42" s="12" t="s">
        <v>70</v>
      </c>
      <c r="B42" s="0" t="s">
        <v>68</v>
      </c>
      <c r="C42" s="14">
        <v>1.8809941213384</v>
      </c>
      <c r="D42" s="14"/>
      <c r="E42" s="14"/>
      <c r="F42" s="14"/>
      <c r="G42" s="14">
        <v>0.645560482433024</v>
      </c>
      <c r="H42" s="0" t="s">
        <v>39</v>
      </c>
      <c r="I42" s="5">
        <v>37636</v>
      </c>
      <c r="K42" s="0" t="s">
        <v>71</v>
      </c>
    </row>
    <row r="43" outlineLevel="2">
      <c r="A43" s="12" t="s">
        <v>72</v>
      </c>
      <c r="B43" s="0" t="s">
        <v>68</v>
      </c>
      <c r="C43" s="14">
        <v>9.46168917942971</v>
      </c>
      <c r="D43" s="14"/>
      <c r="E43" s="14"/>
      <c r="F43" s="14"/>
      <c r="G43" s="14">
        <v>0.0113437145475452</v>
      </c>
      <c r="H43" s="0" t="s">
        <v>39</v>
      </c>
      <c r="I43" s="5">
        <v>37636</v>
      </c>
      <c r="K43" s="0" t="s">
        <v>73</v>
      </c>
    </row>
    <row r="44" outlineLevel="2">
      <c r="A44" s="12" t="s">
        <v>74</v>
      </c>
      <c r="B44" s="0" t="s">
        <v>68</v>
      </c>
      <c r="C44" s="14">
        <v>50.6300917660252</v>
      </c>
      <c r="D44" s="14"/>
      <c r="E44" s="14"/>
      <c r="F44" s="14"/>
      <c r="G44" s="14">
        <v>0.0216561823180408</v>
      </c>
      <c r="H44" s="0" t="s">
        <v>39</v>
      </c>
      <c r="I44" s="5">
        <v>37636</v>
      </c>
      <c r="K44" s="0" t="s">
        <v>71</v>
      </c>
    </row>
    <row r="45" outlineLevel="2">
      <c r="A45" s="12" t="s">
        <v>75</v>
      </c>
      <c r="B45" s="0" t="s">
        <v>68</v>
      </c>
      <c r="C45" s="14">
        <v>9707.96740973758</v>
      </c>
      <c r="D45" s="14"/>
      <c r="E45" s="14"/>
      <c r="F45" s="14"/>
      <c r="G45" s="14">
        <v>0.295967825013224</v>
      </c>
      <c r="H45" s="0" t="s">
        <v>39</v>
      </c>
      <c r="I45" s="5">
        <v>37636</v>
      </c>
      <c r="K45" s="0" t="s">
        <v>69</v>
      </c>
    </row>
    <row r="46" outlineLevel="2">
      <c r="A46" s="12" t="s">
        <v>76</v>
      </c>
      <c r="B46" s="0" t="s">
        <v>68</v>
      </c>
      <c r="C46" s="14">
        <v>0.35062390419685</v>
      </c>
      <c r="D46" s="14"/>
      <c r="E46" s="14"/>
      <c r="F46" s="14"/>
      <c r="G46" s="14">
        <v>0.185624419868921</v>
      </c>
      <c r="H46" s="0" t="s">
        <v>39</v>
      </c>
      <c r="I46" s="5">
        <v>37636</v>
      </c>
      <c r="K46" s="0" t="s">
        <v>71</v>
      </c>
    </row>
    <row r="47" outlineLevel="2">
      <c r="A47" s="12" t="s">
        <v>77</v>
      </c>
      <c r="B47" s="0" t="s">
        <v>68</v>
      </c>
      <c r="C47" s="14">
        <v>1.36949571992182</v>
      </c>
      <c r="D47" s="14"/>
      <c r="E47" s="14"/>
      <c r="F47" s="14"/>
      <c r="G47" s="14">
        <v>0.547592038613316</v>
      </c>
      <c r="H47" s="0" t="s">
        <v>39</v>
      </c>
      <c r="I47" s="5">
        <v>37636</v>
      </c>
      <c r="K47" s="0" t="s">
        <v>71</v>
      </c>
    </row>
    <row r="48" outlineLevel="2">
      <c r="A48" s="12" t="s">
        <v>78</v>
      </c>
      <c r="B48" s="0" t="s">
        <v>68</v>
      </c>
      <c r="C48" s="14">
        <v>18.8089099666069</v>
      </c>
      <c r="D48" s="14"/>
      <c r="E48" s="14"/>
      <c r="F48" s="14"/>
      <c r="G48" s="14">
        <v>1.08384036267909</v>
      </c>
      <c r="H48" s="0" t="s">
        <v>39</v>
      </c>
      <c r="I48" s="5">
        <v>37636</v>
      </c>
      <c r="K48" s="0" t="s">
        <v>71</v>
      </c>
    </row>
    <row r="49" outlineLevel="2">
      <c r="A49" s="12" t="s">
        <v>79</v>
      </c>
      <c r="B49" s="0" t="s">
        <v>68</v>
      </c>
      <c r="C49" s="14">
        <v>13.5691450924181</v>
      </c>
      <c r="D49" s="14"/>
      <c r="E49" s="14"/>
      <c r="F49" s="14"/>
      <c r="G49" s="14">
        <v>0.241311745829597</v>
      </c>
      <c r="H49" s="0" t="s">
        <v>39</v>
      </c>
      <c r="I49" s="5">
        <v>37636</v>
      </c>
      <c r="K49" s="0" t="s">
        <v>71</v>
      </c>
    </row>
    <row r="50" outlineLevel="2">
      <c r="A50" s="12" t="s">
        <v>80</v>
      </c>
      <c r="B50" s="0" t="s">
        <v>68</v>
      </c>
      <c r="C50" s="14">
        <v>2420.7321844977</v>
      </c>
      <c r="D50" s="14"/>
      <c r="E50" s="14"/>
      <c r="F50" s="14"/>
      <c r="G50" s="14">
        <v>4.11673713398184</v>
      </c>
      <c r="H50" s="0" t="s">
        <v>39</v>
      </c>
      <c r="I50" s="5">
        <v>37636</v>
      </c>
      <c r="K50" s="0" t="s">
        <v>69</v>
      </c>
    </row>
    <row r="51" outlineLevel="2">
      <c r="A51" s="12" t="s">
        <v>81</v>
      </c>
      <c r="B51" s="0" t="s">
        <v>68</v>
      </c>
      <c r="C51" s="14">
        <v>5205.86985512075</v>
      </c>
      <c r="D51" s="14"/>
      <c r="E51" s="14"/>
      <c r="F51" s="14"/>
      <c r="G51" s="14">
        <v>6.07610601037601</v>
      </c>
      <c r="H51" s="0" t="s">
        <v>39</v>
      </c>
      <c r="I51" s="5">
        <v>37636</v>
      </c>
      <c r="K51" s="0" t="s">
        <v>69</v>
      </c>
    </row>
    <row r="52" outlineLevel="2">
      <c r="A52" s="12" t="s">
        <v>82</v>
      </c>
      <c r="B52" s="0" t="s">
        <v>68</v>
      </c>
      <c r="C52" s="14">
        <v>1080.62596647502</v>
      </c>
      <c r="D52" s="14"/>
      <c r="E52" s="14"/>
      <c r="F52" s="14"/>
      <c r="G52" s="14">
        <v>0.0216561823180408</v>
      </c>
      <c r="H52" s="0" t="s">
        <v>39</v>
      </c>
      <c r="I52" s="5">
        <v>37636</v>
      </c>
      <c r="K52" s="0" t="s">
        <v>69</v>
      </c>
    </row>
    <row r="53" outlineLevel="2">
      <c r="A53" s="12" t="s">
        <v>83</v>
      </c>
      <c r="B53" s="0" t="s">
        <v>68</v>
      </c>
      <c r="C53" s="14">
        <v>136.407136187453</v>
      </c>
      <c r="D53" s="14"/>
      <c r="E53" s="14"/>
      <c r="F53" s="14"/>
      <c r="G53" s="14">
        <v>0.0329998968655859</v>
      </c>
      <c r="H53" s="0" t="s">
        <v>39</v>
      </c>
      <c r="I53" s="5">
        <v>37636</v>
      </c>
      <c r="K53" s="0" t="s">
        <v>71</v>
      </c>
    </row>
    <row r="54" outlineLevel="2">
      <c r="A54" s="12" t="s">
        <v>84</v>
      </c>
      <c r="B54" s="0" t="s">
        <v>68</v>
      </c>
      <c r="C54" s="14">
        <v>0.537279570842821</v>
      </c>
      <c r="D54" s="14"/>
      <c r="E54" s="14"/>
      <c r="F54" s="14"/>
      <c r="G54" s="14">
        <v>0.448592348016558</v>
      </c>
      <c r="H54" s="0" t="s">
        <v>39</v>
      </c>
      <c r="I54" s="5">
        <v>37636</v>
      </c>
      <c r="K54" s="0" t="s">
        <v>71</v>
      </c>
    </row>
    <row r="55" outlineLevel="2">
      <c r="A55" s="12" t="s">
        <v>85</v>
      </c>
      <c r="B55" s="0" t="s">
        <v>68</v>
      </c>
      <c r="C55" s="14">
        <v>975.735794287759</v>
      </c>
      <c r="D55" s="14"/>
      <c r="E55" s="14"/>
      <c r="F55" s="14"/>
      <c r="G55" s="14">
        <v>1.04052799804301</v>
      </c>
      <c r="H55" s="0" t="s">
        <v>39</v>
      </c>
      <c r="I55" s="5">
        <v>37636</v>
      </c>
      <c r="K55" s="0" t="s">
        <v>69</v>
      </c>
    </row>
    <row r="56" outlineLevel="2">
      <c r="A56" s="12" t="s">
        <v>86</v>
      </c>
      <c r="B56" s="0" t="s">
        <v>68</v>
      </c>
      <c r="C56" s="14">
        <v>7.11044652775671</v>
      </c>
      <c r="D56" s="14"/>
      <c r="E56" s="14"/>
      <c r="F56" s="14"/>
      <c r="G56" s="14">
        <v>0.623904300114984</v>
      </c>
      <c r="H56" s="0" t="s">
        <v>39</v>
      </c>
      <c r="I56" s="5">
        <v>37636</v>
      </c>
      <c r="K56" s="0" t="s">
        <v>71</v>
      </c>
    </row>
    <row r="57" outlineLevel="2">
      <c r="A57" s="12" t="s">
        <v>87</v>
      </c>
      <c r="B57" s="0" t="s">
        <v>68</v>
      </c>
      <c r="C57" s="14">
        <v>845.033515270944</v>
      </c>
      <c r="D57" s="14"/>
      <c r="E57" s="14"/>
      <c r="F57" s="14"/>
      <c r="G57" s="14">
        <v>0.865216045944581</v>
      </c>
      <c r="H57" s="0" t="s">
        <v>39</v>
      </c>
      <c r="I57" s="5">
        <v>37636</v>
      </c>
      <c r="K57" s="0" t="s">
        <v>69</v>
      </c>
    </row>
    <row r="58" outlineLevel="2">
      <c r="A58" s="12" t="s">
        <v>88</v>
      </c>
      <c r="B58" s="0" t="s">
        <v>68</v>
      </c>
      <c r="C58" s="14">
        <v>23.9744250728482</v>
      </c>
      <c r="D58" s="14"/>
      <c r="E58" s="14"/>
      <c r="F58" s="14"/>
      <c r="G58" s="14">
        <v>3.04320923907325</v>
      </c>
      <c r="H58" s="0" t="s">
        <v>39</v>
      </c>
      <c r="I58" s="5">
        <v>37636</v>
      </c>
      <c r="K58" s="0" t="s">
        <v>71</v>
      </c>
    </row>
    <row r="59" outlineLevel="2">
      <c r="A59" s="12" t="s">
        <v>89</v>
      </c>
      <c r="B59" s="0" t="s">
        <v>68</v>
      </c>
      <c r="C59" s="14">
        <v>0.247499226491894</v>
      </c>
      <c r="D59" s="14"/>
      <c r="E59" s="14"/>
      <c r="F59" s="14"/>
      <c r="G59" s="14">
        <v>0.32793647510176</v>
      </c>
      <c r="H59" s="0" t="s">
        <v>39</v>
      </c>
      <c r="I59" s="5">
        <v>37636</v>
      </c>
      <c r="K59" s="0" t="s">
        <v>73</v>
      </c>
    </row>
    <row r="60" outlineLevel="2">
      <c r="A60" s="12" t="s">
        <v>90</v>
      </c>
      <c r="B60" s="0" t="s">
        <v>68</v>
      </c>
      <c r="C60" s="14">
        <v>-0.911622150911811</v>
      </c>
      <c r="D60" s="14"/>
      <c r="E60" s="14"/>
      <c r="F60" s="14"/>
      <c r="G60" s="14">
        <v>1.10549654499713</v>
      </c>
      <c r="H60" s="0" t="s">
        <v>39</v>
      </c>
      <c r="I60" s="5">
        <v>37636</v>
      </c>
      <c r="K60" s="0" t="s">
        <v>71</v>
      </c>
    </row>
    <row r="61" outlineLevel="2">
      <c r="A61" s="12" t="s">
        <v>91</v>
      </c>
      <c r="B61" s="0" t="s">
        <v>68</v>
      </c>
      <c r="C61" s="14">
        <v>62120.7754792483</v>
      </c>
      <c r="D61" s="14"/>
      <c r="E61" s="14"/>
      <c r="F61" s="14"/>
      <c r="G61" s="14">
        <v>160.370217545754</v>
      </c>
      <c r="H61" s="0" t="s">
        <v>39</v>
      </c>
      <c r="I61" s="5">
        <v>37636</v>
      </c>
      <c r="K61" s="0" t="s">
        <v>69</v>
      </c>
    </row>
    <row r="62" outlineLevel="2">
      <c r="A62" s="12" t="s">
        <v>92</v>
      </c>
      <c r="B62" s="0" t="s">
        <v>68</v>
      </c>
      <c r="C62" s="14">
        <v>0.672372898636313</v>
      </c>
      <c r="D62" s="14"/>
      <c r="E62" s="14"/>
      <c r="F62" s="14"/>
      <c r="G62" s="14">
        <v>0.67856037929861</v>
      </c>
      <c r="H62" s="0" t="s">
        <v>39</v>
      </c>
      <c r="I62" s="5">
        <v>37636</v>
      </c>
      <c r="K62" s="0" t="s">
        <v>73</v>
      </c>
    </row>
    <row r="63" outlineLevel="2">
      <c r="A63" s="12" t="s">
        <v>93</v>
      </c>
      <c r="B63" s="0" t="s">
        <v>68</v>
      </c>
      <c r="C63" s="14">
        <v>36.0327936368887</v>
      </c>
      <c r="D63" s="14"/>
      <c r="E63" s="14"/>
      <c r="F63" s="14"/>
      <c r="G63" s="14">
        <v>0</v>
      </c>
      <c r="H63" s="0" t="s">
        <v>39</v>
      </c>
      <c r="I63" s="5">
        <v>37636</v>
      </c>
      <c r="K63" s="0" t="s">
        <v>73</v>
      </c>
    </row>
    <row r="64" outlineLevel="2">
      <c r="A64" s="12" t="s">
        <v>94</v>
      </c>
      <c r="B64" s="0" t="s">
        <v>68</v>
      </c>
      <c r="C64" s="14">
        <v>297.829225445798</v>
      </c>
      <c r="D64" s="14"/>
      <c r="E64" s="14"/>
      <c r="F64" s="14"/>
      <c r="G64" s="14">
        <v>6.48241724053353</v>
      </c>
      <c r="H64" s="0" t="s">
        <v>39</v>
      </c>
      <c r="I64" s="5">
        <v>37636</v>
      </c>
      <c r="K64" s="0" t="s">
        <v>69</v>
      </c>
    </row>
    <row r="65" outlineLevel="2">
      <c r="A65" s="12" t="s">
        <v>95</v>
      </c>
      <c r="B65" s="0" t="s">
        <v>68</v>
      </c>
      <c r="C65" s="14">
        <v>4.9211096200805</v>
      </c>
      <c r="D65" s="14"/>
      <c r="E65" s="14"/>
      <c r="F65" s="14"/>
      <c r="G65" s="14">
        <v>0.218624316734507</v>
      </c>
      <c r="H65" s="0" t="s">
        <v>39</v>
      </c>
      <c r="I65" s="5">
        <v>37636</v>
      </c>
      <c r="K65" s="0" t="s">
        <v>71</v>
      </c>
    </row>
    <row r="66" outlineLevel="2">
      <c r="A66" s="12" t="s">
        <v>96</v>
      </c>
      <c r="B66" s="0" t="s">
        <v>68</v>
      </c>
      <c r="C66" s="14">
        <v>70.8961534286031</v>
      </c>
      <c r="D66" s="14"/>
      <c r="E66" s="14"/>
      <c r="F66" s="14"/>
      <c r="G66" s="14">
        <v>0.0433123646360815</v>
      </c>
      <c r="H66" s="0" t="s">
        <v>39</v>
      </c>
      <c r="I66" s="5">
        <v>37636</v>
      </c>
      <c r="K66" s="0" t="s">
        <v>71</v>
      </c>
    </row>
    <row r="67">
      <c r="I67" s="5"/>
    </row>
    <row r="68" s="1" customFormat="1"/>
  </sheetData>
  <mergeCells>
    <mergeCell ref="A9:A11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23" errorStyle="stop" promptTitle="Enter moisture content" errorTitle="Invalid moisture content" prompt="Value should be between 0 and 100.&#10;Original value: 3.0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https://phyllis.nl/Biomass/View/3181</dc:description>
  <dcterms:created xsi:type="dcterms:W3CDTF">2026-03-19T07:31:53Z</dcterms:created>
  <dc:title>Phyllis2 #3181 Pruning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