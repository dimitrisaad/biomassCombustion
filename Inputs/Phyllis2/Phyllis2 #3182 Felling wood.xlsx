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182 Felling wood" sheetId="1" r:id="rId1"/>
  </sheets>
  <definedNames>
    <definedName name="w" localSheetId="0">IF(ISBLANK('Phyllis2 #3182 Felling wood'!$C$23),#N/A,'Phyllis2 #3182 Felling wood'!$C$23/100)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0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0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0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<sst xmlns="http://schemas.openxmlformats.org/spreadsheetml/2006/main" count="97" uniqueCount="97">
  <si>
    <t>Phyllis2</t>
  </si>
  <si>
    <t>https://phyllis.nl/Biomass/View/3182</t>
  </si>
  <si>
    <t>Felling wood (#3182)</t>
  </si>
  <si>
    <t>ID-number</t>
  </si>
  <si>
    <t>#3182</t>
  </si>
  <si>
    <t>Material</t>
  </si>
  <si>
    <t>Felling wood</t>
  </si>
  <si>
    <t>Alternative name</t>
  </si>
  <si>
    <t>Description</t>
  </si>
  <si>
    <t>Rooihout</t>
  </si>
  <si>
    <t>Classification</t>
  </si>
  <si>
    <t>CEN/TS 14961 classification &gt; Solid biofuels &gt; Woody biomass &gt; Forest and plantation wood &gt; Landscape management woody biomass</t>
  </si>
  <si>
    <t>ECN Phyllis classification &gt; untreated wood &gt; others &gt; wood, forest wood</t>
  </si>
  <si>
    <t>NTA 8003 classification &gt; [100] hout &gt; [110] vers hout &gt; [114] dunningshout</t>
  </si>
  <si>
    <t>Country</t>
  </si>
  <si>
    <t>Netherlands</t>
  </si>
  <si>
    <t>Production date</t>
  </si>
  <si>
    <t>Submitter</t>
  </si>
  <si>
    <t>Bakker, F.P.</t>
  </si>
  <si>
    <t>Submitter organisation</t>
  </si>
  <si>
    <t>ECN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</si>
  <si>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</si>
  <si>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</si>
  <si>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</si>
  <si>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</si>
  <si>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</si>
  <si>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</si>
  <si>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</si>
  <si>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</si>
  <si>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</si>
  <si>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</si>
  <si>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</si>
  <si>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</si>
  <si>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</si>
  <si>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</si>
  <si>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</si>
  <si>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</si>
  <si>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</si>
  <si>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</si>
  <si>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ECN</t>
  </si>
  <si>
    <t>CEN/TS 14774-1,2,3</t>
  </si>
  <si>
    <t>Ash content at 550°C</t>
  </si>
  <si>
    <t>CEN/TS 14775</t>
  </si>
  <si>
    <t>Ash content at 815°C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</si>
  <si>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</si>
  <si>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</si>
  <si>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</si>
  <si>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</si>
  <si>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</si>
  <si>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</si>
  <si>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</si>
  <si>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Oxygen</t>
  </si>
  <si>
    <t>B.N213</t>
  </si>
  <si>
    <t>Nitrogen</t>
  </si>
  <si>
    <t>Sulphur</t>
  </si>
  <si>
    <t>CEN/TS15289</t>
  </si>
  <si>
    <t>Total (with halides)</t>
  </si>
  <si>
    <t>Halides</t>
  </si>
  <si>
    <t>Chlorine (Cl)</t>
  </si>
  <si>
    <t>mg/kg</t>
  </si>
  <si>
    <t>CEN/TS 15289</t>
  </si>
  <si>
    <t>Heating value</t>
  </si>
  <si>
    <t>Net calorific value (LHV)</t>
  </si>
  <si>
    <t>MJ/kg</t>
  </si>
  <si>
    <t>CEN/TS 14918</t>
  </si>
  <si>
    <t>HHVMilne</t>
  </si>
  <si>
    <t>Trace elements composition</t>
  </si>
  <si>
    <t>Aluminium (Al)</t>
  </si>
  <si>
    <t>mg/kg (dry)</t>
  </si>
  <si>
    <t>CEN/TS 15290</t>
  </si>
  <si>
    <t>Arsenic (As)</t>
  </si>
  <si>
    <t>CEN/TS 15297</t>
  </si>
  <si>
    <t>Boron (B)</t>
  </si>
  <si>
    <t>B.S221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</si>
  <si>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</si>
  <si>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</si>
  <si>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</si>
  <si>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</si>
  <si>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</si>
  <si>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</si>
  <si>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</si>
  <si>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</si>
  <si>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</si>
  <si>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</si>
  <si>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</si>
  <si>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</si>
  <si>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</si>
  <si>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</si>
  <si>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</si>
  <si>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Antimony (Sb)</t>
  </si>
  <si>
    <t>Selenium (Se)</t>
  </si>
  <si>
    <t>Silicon (Si)</t>
  </si>
  <si>
    <t>Tin (Sn)</t>
  </si>
  <si>
    <t>Strontium (Sr)</t>
  </si>
  <si>
    <t>Titanium (Ti)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</si>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</sst>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18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1.4837522506714" customWidth="1"/>
    <col min="10" max="10" width="18.8621006011963" customWidth="1"/>
    <col min="11" max="11" width="18.8621006011963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6</v>
      </c>
    </row>
    <row r="8" outlineLevel="1">
      <c r="A8" s="7" t="s">
        <v>8</v>
      </c>
      <c r="B8" s="0" t="s">
        <v>9</v>
      </c>
    </row>
    <row r="9" outlineLevel="1">
      <c r="A9" s="8" t="s">
        <v>10</v>
      </c>
      <c r="B9" s="0" t="s">
        <v>11</v>
      </c>
    </row>
    <row r="10" outlineLevel="1">
      <c r="A10" s="8"/>
      <c r="B10" s="0" t="s">
        <v>12</v>
      </c>
    </row>
    <row r="11" outlineLevel="1">
      <c r="A11" s="8"/>
      <c r="B11" s="0" t="s">
        <v>13</v>
      </c>
    </row>
    <row r="12" outlineLevel="1">
      <c r="A12" s="7" t="s">
        <v>14</v>
      </c>
      <c r="B12" s="0" t="s">
        <v>15</v>
      </c>
    </row>
    <row r="13" outlineLevel="1">
      <c r="A13" s="7" t="s">
        <v>16</v>
      </c>
      <c r="B13" s="6">
        <v>37650</v>
      </c>
    </row>
    <row r="14" outlineLevel="1">
      <c r="A14" s="7" t="s">
        <v>17</v>
      </c>
      <c r="B14" s="0" t="s">
        <v>18</v>
      </c>
    </row>
    <row r="15" outlineLevel="1">
      <c r="A15" s="7" t="s">
        <v>19</v>
      </c>
      <c r="B15" s="0" t="s">
        <v>20</v>
      </c>
    </row>
    <row r="16" outlineLevel="1">
      <c r="A16" s="7" t="s">
        <v>21</v>
      </c>
      <c r="B16" s="6">
        <v>40093</v>
      </c>
    </row>
    <row r="17">
      <c r="A17" s="7"/>
    </row>
    <row r="18" s="1" customFormat="1">
      <c r="A18" s="9" t="s">
        <v>22</v>
      </c>
    </row>
    <row r="19" s="1" customFormat="1">
      <c r="A19" s="10" t="s">
        <v>23</v>
      </c>
      <c r="B19" s="10" t="s">
        <v>24</v>
      </c>
      <c r="C19" s="10" t="s">
        <v>25</v>
      </c>
      <c r="D19" s="10"/>
      <c r="E19" s="10"/>
      <c r="F19" s="10" t="s">
        <v>26</v>
      </c>
      <c r="G19" s="10" t="s">
        <v>27</v>
      </c>
      <c r="H19" s="10" t="s">
        <v>28</v>
      </c>
      <c r="I19" s="10" t="s">
        <v>29</v>
      </c>
      <c r="J19" s="10" t="s">
        <v>30</v>
      </c>
      <c r="K19" s="10" t="s">
        <v>31</v>
      </c>
      <c r="L19" s="10"/>
    </row>
    <row r="20" s="1" customFormat="1">
      <c r="A20" s="10"/>
      <c r="B20" s="10"/>
      <c r="C20" s="10" t="s">
        <v>32</v>
      </c>
      <c r="D20" s="10" t="s">
        <v>33</v>
      </c>
      <c r="E20" s="10" t="s">
        <v>34</v>
      </c>
      <c r="F20" s="10"/>
      <c r="G20" s="10"/>
      <c r="H20" s="10"/>
      <c r="I20" s="10"/>
      <c r="J20" s="10"/>
      <c r="K20" s="10"/>
      <c r="L20" s="10"/>
    </row>
    <row r="21">
      <c r="A21" s="7" t="s">
        <v>35</v>
      </c>
      <c r="I21" s="5"/>
    </row>
    <row r="22" outlineLevel="1">
      <c r="A22" s="11" t="s">
        <v>36</v>
      </c>
      <c r="I22" s="5"/>
    </row>
    <row r="23" outlineLevel="2">
      <c r="A23" s="12" t="s">
        <v>37</v>
      </c>
      <c r="B23" s="0" t="s">
        <v>38</v>
      </c>
      <c r="C23" s="13">
        <v>4.48</v>
      </c>
      <c r="D23" s="13"/>
      <c r="E23" s="13"/>
      <c r="F23" s="13"/>
      <c r="G23" s="13">
        <v>0.1</v>
      </c>
      <c r="H23" s="0" t="s">
        <v>39</v>
      </c>
      <c r="I23" s="5">
        <v>37629</v>
      </c>
      <c r="J23" s="0" t="s">
        <v>40</v>
      </c>
      <c r="K23" s="0" t="s">
        <v>40</v>
      </c>
    </row>
    <row r="24" outlineLevel="2">
      <c r="A24" s="12" t="s">
        <v>41</v>
      </c>
      <c r="B24" s="0" t="s">
        <v>38</v>
      </c>
      <c r="C24" s="13">
        <f>IFERROR(7.13*(1-w),"")</f>
        <v>6.810576</v>
      </c>
      <c r="D24" s="13">
        <v>7.13</v>
      </c>
      <c r="E24" s="13">
        <v/>
      </c>
      <c r="F24" s="13"/>
      <c r="G24" s="13">
        <v>0.1</v>
      </c>
      <c r="H24" s="0" t="s">
        <v>39</v>
      </c>
      <c r="I24" s="5">
        <v>37635</v>
      </c>
      <c r="J24" s="0" t="s">
        <v>42</v>
      </c>
      <c r="K24" s="0" t="s">
        <v>42</v>
      </c>
    </row>
    <row r="25" outlineLevel="2">
      <c r="A25" s="12" t="s">
        <v>43</v>
      </c>
      <c r="B25" s="0" t="s">
        <v>38</v>
      </c>
      <c r="C25" s="13">
        <f>IFERROR(6.37*(1-w),"")</f>
        <v>6.0846240000000007</v>
      </c>
      <c r="D25" s="13">
        <v>6.37</v>
      </c>
      <c r="E25" s="13">
        <v/>
      </c>
      <c r="F25" s="13"/>
      <c r="G25" s="13">
        <v>0.1</v>
      </c>
      <c r="H25" s="0" t="s">
        <v>39</v>
      </c>
      <c r="I25" s="5">
        <v>37635</v>
      </c>
      <c r="K25" s="0" t="s">
        <v>42</v>
      </c>
    </row>
    <row r="26" outlineLevel="2">
      <c r="A26" s="12" t="s">
        <v>44</v>
      </c>
      <c r="B26" s="0" t="s">
        <v>38</v>
      </c>
      <c r="C26" s="13">
        <f>IFERROR(71.96*(1-w),"")</f>
        <v>68.736192</v>
      </c>
      <c r="D26" s="13">
        <v>71.96</v>
      </c>
      <c r="E26" s="13">
        <v>77.484655970711742</v>
      </c>
      <c r="F26" s="13"/>
      <c r="G26" s="13">
        <v>0.1</v>
      </c>
      <c r="H26" s="0" t="s">
        <v>39</v>
      </c>
      <c r="I26" s="5">
        <v>37634</v>
      </c>
    </row>
    <row r="27" outlineLevel="2">
      <c r="A27" s="12" t="s">
        <v>45</v>
      </c>
      <c r="B27" s="0" t="s">
        <v>38</v>
      </c>
      <c r="C27" s="13">
        <f>IFERROR(20.91*(1-w),"")</f>
        <v>19.97323200000001</v>
      </c>
      <c r="D27" s="13">
        <v>20.910000000000011</v>
      </c>
      <c r="E27" s="13">
        <v>22.515344029288265</v>
      </c>
      <c r="F27" s="13"/>
      <c r="G27" s="13"/>
      <c r="I27" s="5"/>
      <c r="J27" s="0" t="s">
        <v>46</v>
      </c>
    </row>
    <row r="28" outlineLevel="1">
      <c r="A28" s="11" t="s">
        <v>47</v>
      </c>
      <c r="I28" s="5"/>
    </row>
    <row r="29" outlineLevel="2">
      <c r="A29" s="12" t="s">
        <v>48</v>
      </c>
      <c r="B29" s="0" t="s">
        <v>38</v>
      </c>
      <c r="C29" s="13">
        <f>IFERROR(47.085*(1-w),"")</f>
        <v>44.975592000000006</v>
      </c>
      <c r="D29" s="13">
        <v>47.085</v>
      </c>
      <c r="E29" s="13">
        <v>50.699903090341337</v>
      </c>
      <c r="F29" s="13">
        <v>0.26</v>
      </c>
      <c r="G29" s="13">
        <v>0.1</v>
      </c>
      <c r="H29" s="0" t="s">
        <v>39</v>
      </c>
      <c r="I29" s="5">
        <v>37634</v>
      </c>
      <c r="J29" s="0" t="s">
        <v>49</v>
      </c>
      <c r="K29" s="0" t="s">
        <v>49</v>
      </c>
    </row>
    <row r="30" outlineLevel="2">
      <c r="A30" s="12" t="s">
        <v>50</v>
      </c>
      <c r="B30" s="0" t="s">
        <v>38</v>
      </c>
      <c r="C30" s="13">
        <f>IFERROR(5.715*(1-w),"")</f>
        <v>5.4589680000000005</v>
      </c>
      <c r="D30" s="13">
        <v>5.715</v>
      </c>
      <c r="E30" s="13">
        <v>6.1537633250780663</v>
      </c>
      <c r="F30" s="13">
        <v>0.87</v>
      </c>
      <c r="G30" s="13">
        <v>0.1</v>
      </c>
      <c r="H30" s="0" t="s">
        <v>39</v>
      </c>
      <c r="I30" s="5">
        <v>37634</v>
      </c>
      <c r="J30" s="0" t="s">
        <v>49</v>
      </c>
      <c r="K30" s="0" t="s">
        <v>49</v>
      </c>
    </row>
    <row r="31" outlineLevel="2">
      <c r="A31" s="12" t="s">
        <v>51</v>
      </c>
      <c r="B31" s="0" t="s">
        <v>38</v>
      </c>
      <c r="C31" s="13">
        <f>IFERROR(41.905*(1-w),"")</f>
        <v>40.027656</v>
      </c>
      <c r="D31" s="13">
        <v>41.905</v>
      </c>
      <c r="E31" s="13">
        <v>45.122213847313454</v>
      </c>
      <c r="F31" s="13">
        <v>0.93</v>
      </c>
      <c r="G31" s="13">
        <v>0.1</v>
      </c>
      <c r="H31" s="0" t="s">
        <v>39</v>
      </c>
      <c r="I31" s="5">
        <v>37631</v>
      </c>
      <c r="K31" s="0" t="s">
        <v>52</v>
      </c>
    </row>
    <row r="32" outlineLevel="2">
      <c r="A32" s="12" t="s">
        <v>53</v>
      </c>
      <c r="B32" s="0" t="s">
        <v>38</v>
      </c>
      <c r="C32" s="13">
        <f>IFERROR(0.655*(1-w),"")</f>
        <v>0.6256560000000001</v>
      </c>
      <c r="D32" s="13">
        <v>0.655</v>
      </c>
      <c r="E32" s="13">
        <v>0.70528696026704</v>
      </c>
      <c r="F32" s="13">
        <v>3.24</v>
      </c>
      <c r="G32" s="13">
        <v>0.1</v>
      </c>
      <c r="H32" s="0" t="s">
        <v>39</v>
      </c>
      <c r="I32" s="5">
        <v>37634</v>
      </c>
      <c r="J32" s="0" t="s">
        <v>49</v>
      </c>
      <c r="K32" s="0" t="s">
        <v>49</v>
      </c>
    </row>
    <row r="33" outlineLevel="2">
      <c r="A33" s="12" t="s">
        <v>54</v>
      </c>
      <c r="B33" s="0" t="s">
        <v>38</v>
      </c>
      <c r="C33" s="13">
        <f>IFERROR(0.0642235657582178*(1-w),"")</f>
        <v>0.061346350012249647</v>
      </c>
      <c r="D33" s="13">
        <v>0.0642235657582178</v>
      </c>
      <c r="E33" s="13">
        <v>0.069154264841410365</v>
      </c>
      <c r="F33" s="13">
        <v>1</v>
      </c>
      <c r="G33" s="13">
        <v>0.000203412897863063</v>
      </c>
      <c r="H33" s="0" t="s">
        <v>39</v>
      </c>
      <c r="I33" s="5">
        <v>37636</v>
      </c>
      <c r="J33" s="0" t="s">
        <v>55</v>
      </c>
      <c r="K33" s="0" t="s">
        <v>49</v>
      </c>
    </row>
    <row r="34" outlineLevel="2">
      <c r="A34" s="12" t="s">
        <v>56</v>
      </c>
      <c r="B34" s="0" t="s">
        <v>38</v>
      </c>
      <c r="C34" s="13">
        <f>IFERROR(102.582023565758*(1-w)+w*100,"")</f>
        <v>102.46634891001224</v>
      </c>
      <c r="D34" s="13">
        <v>102.58202356575821</v>
      </c>
      <c r="E34" s="13">
        <v>102.78025580462821</v>
      </c>
      <c r="F34" s="13"/>
      <c r="G34" s="13"/>
      <c r="I34" s="5"/>
      <c r="J34" s="0" t="s">
        <v>46</v>
      </c>
    </row>
    <row r="35" outlineLevel="1">
      <c r="A35" s="11" t="s">
        <v>57</v>
      </c>
      <c r="I35" s="5"/>
    </row>
    <row r="36" outlineLevel="2">
      <c r="A36" s="12" t="s">
        <v>58</v>
      </c>
      <c r="B36" s="0" t="s">
        <v>59</v>
      </c>
      <c r="C36" s="14">
        <f>IFERROR(278*(1-w),"")</f>
        <v>265.54560000000004</v>
      </c>
      <c r="D36" s="14">
        <v>278</v>
      </c>
      <c r="E36" s="14">
        <v>299.3431678690643</v>
      </c>
      <c r="F36" s="14"/>
      <c r="G36" s="14">
        <v>5</v>
      </c>
      <c r="H36" s="0" t="s">
        <v>39</v>
      </c>
      <c r="I36" s="5">
        <v>37638</v>
      </c>
      <c r="J36" s="0" t="s">
        <v>60</v>
      </c>
      <c r="K36" s="0" t="s">
        <v>60</v>
      </c>
    </row>
    <row r="37" outlineLevel="1">
      <c r="A37" s="11" t="s">
        <v>61</v>
      </c>
      <c r="I37" s="5"/>
    </row>
    <row r="38" outlineLevel="2">
      <c r="A38" s="12" t="s">
        <v>62</v>
      </c>
      <c r="B38" s="0" t="s">
        <v>63</v>
      </c>
      <c r="C38" s="13">
        <f>IFERROR(19.25*(1-w)-w*2.443,"")</f>
        <v>18.278153600000003</v>
      </c>
      <c r="D38" s="13">
        <v>19.25</v>
      </c>
      <c r="E38" s="13">
        <v>20.727899213954991</v>
      </c>
      <c r="F38" s="13"/>
      <c r="G38" s="13"/>
      <c r="H38" s="0" t="s">
        <v>39</v>
      </c>
      <c r="I38" s="5">
        <v>37631</v>
      </c>
      <c r="J38" s="0" t="s">
        <v>64</v>
      </c>
      <c r="K38" s="0" t="s">
        <v>64</v>
      </c>
    </row>
    <row r="39" outlineLevel="2">
      <c r="A39" s="12" t="s">
        <v>65</v>
      </c>
      <c r="B39" s="0" t="s">
        <v>63</v>
      </c>
      <c r="C39" s="13">
        <f>IFERROR(18.407109782311*(1-w),"")</f>
        <v>17.582471264063486</v>
      </c>
      <c r="D39" s="13">
        <v>18.407109782311018</v>
      </c>
      <c r="E39" s="13">
        <v>19.820296955218065</v>
      </c>
      <c r="F39" s="13"/>
      <c r="G39" s="13"/>
      <c r="I39" s="5"/>
      <c r="J39" s="0" t="s">
        <v>46</v>
      </c>
    </row>
    <row r="40" outlineLevel="1">
      <c r="A40" s="11" t="s">
        <v>66</v>
      </c>
      <c r="I40" s="5"/>
    </row>
    <row r="41" outlineLevel="2">
      <c r="A41" s="12" t="s">
        <v>67</v>
      </c>
      <c r="B41" s="0" t="s">
        <v>68</v>
      </c>
      <c r="C41" s="14">
        <v>742.136725441322</v>
      </c>
      <c r="D41" s="14"/>
      <c r="E41" s="14"/>
      <c r="F41" s="14">
        <v>4.26</v>
      </c>
      <c r="G41" s="14">
        <v>0.0219849246275055</v>
      </c>
      <c r="H41" s="0" t="s">
        <v>39</v>
      </c>
      <c r="I41" s="5">
        <v>37636</v>
      </c>
      <c r="K41" s="0" t="s">
        <v>69</v>
      </c>
    </row>
    <row r="42" outlineLevel="2">
      <c r="A42" s="12" t="s">
        <v>70</v>
      </c>
      <c r="B42" s="0" t="s">
        <v>68</v>
      </c>
      <c r="C42" s="14">
        <v>0.585741206147112</v>
      </c>
      <c r="D42" s="14"/>
      <c r="E42" s="14"/>
      <c r="F42" s="14">
        <v>52.7</v>
      </c>
      <c r="G42" s="14">
        <v>0.655360134134213</v>
      </c>
      <c r="H42" s="0" t="s">
        <v>39</v>
      </c>
      <c r="I42" s="5">
        <v>37636</v>
      </c>
      <c r="K42" s="0" t="s">
        <v>71</v>
      </c>
    </row>
    <row r="43" outlineLevel="2">
      <c r="A43" s="12" t="s">
        <v>72</v>
      </c>
      <c r="B43" s="0" t="s">
        <v>68</v>
      </c>
      <c r="C43" s="14">
        <v>10.1298157474164</v>
      </c>
      <c r="D43" s="14"/>
      <c r="E43" s="14"/>
      <c r="F43" s="14">
        <v>0.31</v>
      </c>
      <c r="G43" s="14">
        <v>0.0115159129001219</v>
      </c>
      <c r="H43" s="0" t="s">
        <v>39</v>
      </c>
      <c r="I43" s="5">
        <v>37636</v>
      </c>
      <c r="K43" s="0" t="s">
        <v>73</v>
      </c>
    </row>
    <row r="44" outlineLevel="2">
      <c r="A44" s="12" t="s">
        <v>74</v>
      </c>
      <c r="B44" s="0" t="s">
        <v>68</v>
      </c>
      <c r="C44" s="14">
        <v>21.5991415453515</v>
      </c>
      <c r="D44" s="14"/>
      <c r="E44" s="14"/>
      <c r="F44" s="14">
        <v>7.76</v>
      </c>
      <c r="G44" s="14">
        <v>0.0219849246275055</v>
      </c>
      <c r="H44" s="0" t="s">
        <v>39</v>
      </c>
      <c r="I44" s="5">
        <v>37636</v>
      </c>
      <c r="K44" s="0" t="s">
        <v>71</v>
      </c>
    </row>
    <row r="45" outlineLevel="2">
      <c r="A45" s="12" t="s">
        <v>75</v>
      </c>
      <c r="B45" s="0" t="s">
        <v>68</v>
      </c>
      <c r="C45" s="14">
        <v>10347.5816603577</v>
      </c>
      <c r="D45" s="14"/>
      <c r="E45" s="14"/>
      <c r="F45" s="14">
        <v>0.75</v>
      </c>
      <c r="G45" s="14">
        <v>0.300460636575909</v>
      </c>
      <c r="H45" s="0" t="s">
        <v>39</v>
      </c>
      <c r="I45" s="5">
        <v>37636</v>
      </c>
      <c r="K45" s="0" t="s">
        <v>69</v>
      </c>
    </row>
    <row r="46" outlineLevel="2">
      <c r="A46" s="12" t="s">
        <v>76</v>
      </c>
      <c r="B46" s="0" t="s">
        <v>68</v>
      </c>
      <c r="C46" s="14">
        <v>1.0835427137842</v>
      </c>
      <c r="D46" s="14"/>
      <c r="E46" s="14"/>
      <c r="F46" s="14">
        <v>9.43</v>
      </c>
      <c r="G46" s="14">
        <v>0.188442211092905</v>
      </c>
      <c r="H46" s="0" t="s">
        <v>39</v>
      </c>
      <c r="I46" s="5">
        <v>37636</v>
      </c>
      <c r="K46" s="0" t="s">
        <v>71</v>
      </c>
    </row>
    <row r="47" outlineLevel="2">
      <c r="A47" s="12" t="s">
        <v>77</v>
      </c>
      <c r="B47" s="0" t="s">
        <v>68</v>
      </c>
      <c r="C47" s="14">
        <v>0.253873534389052</v>
      </c>
      <c r="D47" s="14"/>
      <c r="E47" s="14"/>
      <c r="F47" s="14">
        <v>43.45</v>
      </c>
      <c r="G47" s="14">
        <v>0.555904522724069</v>
      </c>
      <c r="H47" s="0" t="s">
        <v>39</v>
      </c>
      <c r="I47" s="5">
        <v>37636</v>
      </c>
      <c r="K47" s="0" t="s">
        <v>71</v>
      </c>
    </row>
    <row r="48" outlineLevel="2">
      <c r="A48" s="12" t="s">
        <v>78</v>
      </c>
      <c r="B48" s="0" t="s">
        <v>68</v>
      </c>
      <c r="C48" s="14">
        <v>5.76685511002925</v>
      </c>
      <c r="D48" s="14"/>
      <c r="E48" s="14"/>
      <c r="F48" s="14">
        <v>4.17</v>
      </c>
      <c r="G48" s="14">
        <v>1.10029313254802</v>
      </c>
      <c r="H48" s="0" t="s">
        <v>39</v>
      </c>
      <c r="I48" s="5">
        <v>37636</v>
      </c>
      <c r="K48" s="0" t="s">
        <v>71</v>
      </c>
    </row>
    <row r="49" outlineLevel="2">
      <c r="A49" s="12" t="s">
        <v>79</v>
      </c>
      <c r="B49" s="0" t="s">
        <v>68</v>
      </c>
      <c r="C49" s="14">
        <v>6.15734924746066</v>
      </c>
      <c r="D49" s="14"/>
      <c r="E49" s="14"/>
      <c r="F49" s="14">
        <v>7.18</v>
      </c>
      <c r="G49" s="14">
        <v>0.244974874420776</v>
      </c>
      <c r="H49" s="0" t="s">
        <v>39</v>
      </c>
      <c r="I49" s="5">
        <v>37636</v>
      </c>
      <c r="K49" s="0" t="s">
        <v>71</v>
      </c>
    </row>
    <row r="50" outlineLevel="2">
      <c r="A50" s="12" t="s">
        <v>80</v>
      </c>
      <c r="B50" s="0" t="s">
        <v>68</v>
      </c>
      <c r="C50" s="14">
        <v>1283.58406642046</v>
      </c>
      <c r="D50" s="14"/>
      <c r="E50" s="14"/>
      <c r="F50" s="14">
        <v>7.13</v>
      </c>
      <c r="G50" s="14">
        <v>4.17922948157153</v>
      </c>
      <c r="H50" s="0" t="s">
        <v>39</v>
      </c>
      <c r="I50" s="5">
        <v>37636</v>
      </c>
      <c r="K50" s="0" t="s">
        <v>69</v>
      </c>
    </row>
    <row r="51" outlineLevel="2">
      <c r="A51" s="12" t="s">
        <v>81</v>
      </c>
      <c r="B51" s="0" t="s">
        <v>68</v>
      </c>
      <c r="C51" s="14">
        <v>3304.33312461291</v>
      </c>
      <c r="D51" s="14"/>
      <c r="E51" s="14"/>
      <c r="F51" s="14">
        <v>0.4</v>
      </c>
      <c r="G51" s="14">
        <v>6.16834170977441</v>
      </c>
      <c r="H51" s="0" t="s">
        <v>39</v>
      </c>
      <c r="I51" s="5">
        <v>37636</v>
      </c>
      <c r="K51" s="0" t="s">
        <v>69</v>
      </c>
    </row>
    <row r="52" outlineLevel="2">
      <c r="A52" s="12" t="s">
        <v>82</v>
      </c>
      <c r="B52" s="0" t="s">
        <v>68</v>
      </c>
      <c r="C52" s="14">
        <v>798.839510209764</v>
      </c>
      <c r="D52" s="14"/>
      <c r="E52" s="14"/>
      <c r="F52" s="14">
        <v>5.67</v>
      </c>
      <c r="G52" s="14">
        <v>0.0219849246275055</v>
      </c>
      <c r="H52" s="0" t="s">
        <v>39</v>
      </c>
      <c r="I52" s="5">
        <v>37636</v>
      </c>
      <c r="K52" s="0" t="s">
        <v>69</v>
      </c>
    </row>
    <row r="53" outlineLevel="2">
      <c r="A53" s="12" t="s">
        <v>83</v>
      </c>
      <c r="B53" s="0" t="s">
        <v>68</v>
      </c>
      <c r="C53" s="14">
        <v>68.5311976686257</v>
      </c>
      <c r="D53" s="14"/>
      <c r="E53" s="14"/>
      <c r="F53" s="14">
        <v>4.89</v>
      </c>
      <c r="G53" s="14">
        <v>0.0335008375276275</v>
      </c>
      <c r="H53" s="0" t="s">
        <v>39</v>
      </c>
      <c r="I53" s="5">
        <v>37636</v>
      </c>
      <c r="K53" s="0" t="s">
        <v>71</v>
      </c>
    </row>
    <row r="54" outlineLevel="2">
      <c r="A54" s="12" t="s">
        <v>84</v>
      </c>
      <c r="B54" s="0" t="s">
        <v>68</v>
      </c>
      <c r="C54" s="14">
        <v>0.180590452297367</v>
      </c>
      <c r="D54" s="14"/>
      <c r="E54" s="14"/>
      <c r="F54" s="14">
        <v>20.09</v>
      </c>
      <c r="G54" s="14">
        <v>0.455402010141186</v>
      </c>
      <c r="H54" s="0" t="s">
        <v>39</v>
      </c>
      <c r="I54" s="5">
        <v>37636</v>
      </c>
      <c r="K54" s="0" t="s">
        <v>71</v>
      </c>
    </row>
    <row r="55" outlineLevel="2">
      <c r="A55" s="12" t="s">
        <v>85</v>
      </c>
      <c r="B55" s="0" t="s">
        <v>68</v>
      </c>
      <c r="C55" s="14">
        <v>252.780046114127</v>
      </c>
      <c r="D55" s="14"/>
      <c r="E55" s="14"/>
      <c r="F55" s="14">
        <v>6.93</v>
      </c>
      <c r="G55" s="14">
        <v>1.056323283293</v>
      </c>
      <c r="H55" s="0" t="s">
        <v>39</v>
      </c>
      <c r="I55" s="5">
        <v>37636</v>
      </c>
      <c r="K55" s="0" t="s">
        <v>69</v>
      </c>
    </row>
    <row r="56" outlineLevel="2">
      <c r="A56" s="12" t="s">
        <v>86</v>
      </c>
      <c r="B56" s="0" t="s">
        <v>68</v>
      </c>
      <c r="C56" s="14">
        <v>2.67064489165555</v>
      </c>
      <c r="D56" s="14"/>
      <c r="E56" s="14"/>
      <c r="F56" s="14">
        <v>9.42</v>
      </c>
      <c r="G56" s="14">
        <v>0.633375209506707</v>
      </c>
      <c r="H56" s="0" t="s">
        <v>39</v>
      </c>
      <c r="I56" s="5">
        <v>37636</v>
      </c>
      <c r="K56" s="0" t="s">
        <v>71</v>
      </c>
    </row>
    <row r="57" outlineLevel="2">
      <c r="A57" s="12" t="s">
        <v>87</v>
      </c>
      <c r="B57" s="0" t="s">
        <v>68</v>
      </c>
      <c r="C57" s="14">
        <v>758.841604004122</v>
      </c>
      <c r="D57" s="14"/>
      <c r="E57" s="14"/>
      <c r="F57" s="14">
        <v>0.02</v>
      </c>
      <c r="G57" s="14">
        <v>0.878350083927483</v>
      </c>
      <c r="H57" s="0" t="s">
        <v>39</v>
      </c>
      <c r="I57" s="5">
        <v>37636</v>
      </c>
      <c r="K57" s="0" t="s">
        <v>69</v>
      </c>
    </row>
    <row r="58" outlineLevel="2">
      <c r="A58" s="12" t="s">
        <v>88</v>
      </c>
      <c r="B58" s="0" t="s">
        <v>68</v>
      </c>
      <c r="C58" s="14">
        <v>5.82652847687534</v>
      </c>
      <c r="D58" s="14"/>
      <c r="E58" s="14"/>
      <c r="F58" s="14">
        <v>6.92</v>
      </c>
      <c r="G58" s="14">
        <v>3.0894053607509</v>
      </c>
      <c r="H58" s="0" t="s">
        <v>39</v>
      </c>
      <c r="I58" s="5">
        <v>37636</v>
      </c>
      <c r="K58" s="0" t="s">
        <v>71</v>
      </c>
    </row>
    <row r="59" outlineLevel="2">
      <c r="A59" s="12" t="s">
        <v>89</v>
      </c>
      <c r="B59" s="0" t="s">
        <v>68</v>
      </c>
      <c r="C59" s="14">
        <v>0.284757118984834</v>
      </c>
      <c r="D59" s="14"/>
      <c r="E59" s="14"/>
      <c r="F59" s="14">
        <v>105.03</v>
      </c>
      <c r="G59" s="14">
        <v>0.332914572930798</v>
      </c>
      <c r="H59" s="0" t="s">
        <v>39</v>
      </c>
      <c r="I59" s="5">
        <v>37636</v>
      </c>
      <c r="K59" s="0" t="s">
        <v>73</v>
      </c>
    </row>
    <row r="60" outlineLevel="2">
      <c r="A60" s="12" t="s">
        <v>90</v>
      </c>
      <c r="B60" s="0" t="s">
        <v>68</v>
      </c>
      <c r="C60" s="14">
        <v>-0.464824120695831</v>
      </c>
      <c r="D60" s="14"/>
      <c r="E60" s="14"/>
      <c r="F60" s="14">
        <v>-49.37</v>
      </c>
      <c r="G60" s="14">
        <v>1.12227805717552</v>
      </c>
      <c r="H60" s="0" t="s">
        <v>39</v>
      </c>
      <c r="I60" s="5">
        <v>37636</v>
      </c>
      <c r="K60" s="0" t="s">
        <v>71</v>
      </c>
    </row>
    <row r="61" outlineLevel="2">
      <c r="A61" s="12" t="s">
        <v>91</v>
      </c>
      <c r="B61" s="0" t="s">
        <v>68</v>
      </c>
      <c r="C61" s="14">
        <v>13256.1426952768</v>
      </c>
      <c r="D61" s="14"/>
      <c r="E61" s="14"/>
      <c r="F61" s="14">
        <v>1.92</v>
      </c>
      <c r="G61" s="14">
        <v>162.804648273715</v>
      </c>
      <c r="H61" s="0" t="s">
        <v>39</v>
      </c>
      <c r="I61" s="5">
        <v>37636</v>
      </c>
      <c r="K61" s="0" t="s">
        <v>69</v>
      </c>
    </row>
    <row r="62" outlineLevel="2">
      <c r="A62" s="12" t="s">
        <v>92</v>
      </c>
      <c r="B62" s="0" t="s">
        <v>68</v>
      </c>
      <c r="C62" s="14">
        <v>0.161222780601707</v>
      </c>
      <c r="D62" s="14"/>
      <c r="E62" s="14"/>
      <c r="F62" s="14">
        <v>39.49</v>
      </c>
      <c r="G62" s="14">
        <v>0.68886097166184</v>
      </c>
      <c r="H62" s="0" t="s">
        <v>39</v>
      </c>
      <c r="I62" s="5">
        <v>37636</v>
      </c>
      <c r="K62" s="0" t="s">
        <v>73</v>
      </c>
    </row>
    <row r="63" outlineLevel="2">
      <c r="A63" s="12" t="s">
        <v>93</v>
      </c>
      <c r="B63" s="0" t="s">
        <v>68</v>
      </c>
      <c r="C63" s="14">
        <v>35.2868509283191</v>
      </c>
      <c r="D63" s="14"/>
      <c r="E63" s="14"/>
      <c r="F63" s="14">
        <v>1.57</v>
      </c>
      <c r="G63" s="14">
        <v>0</v>
      </c>
      <c r="H63" s="0" t="s">
        <v>39</v>
      </c>
      <c r="I63" s="5">
        <v>37636</v>
      </c>
      <c r="K63" s="0" t="s">
        <v>73</v>
      </c>
    </row>
    <row r="64" outlineLevel="2">
      <c r="A64" s="12" t="s">
        <v>94</v>
      </c>
      <c r="B64" s="0" t="s">
        <v>68</v>
      </c>
      <c r="C64" s="14">
        <v>55.6066792405843</v>
      </c>
      <c r="D64" s="14"/>
      <c r="E64" s="14"/>
      <c r="F64" s="14">
        <v>4.53</v>
      </c>
      <c r="G64" s="14">
        <v>6.58082077183332</v>
      </c>
      <c r="H64" s="0" t="s">
        <v>39</v>
      </c>
      <c r="I64" s="5">
        <v>37636</v>
      </c>
      <c r="K64" s="0" t="s">
        <v>69</v>
      </c>
    </row>
    <row r="65" outlineLevel="2">
      <c r="A65" s="12" t="s">
        <v>95</v>
      </c>
      <c r="B65" s="0" t="s">
        <v>68</v>
      </c>
      <c r="C65" s="14">
        <v>1.35521356810981</v>
      </c>
      <c r="D65" s="14"/>
      <c r="E65" s="14"/>
      <c r="F65" s="14">
        <v>1.15</v>
      </c>
      <c r="G65" s="14">
        <v>0.221943048620532</v>
      </c>
      <c r="H65" s="0" t="s">
        <v>39</v>
      </c>
      <c r="I65" s="5">
        <v>37636</v>
      </c>
      <c r="K65" s="0" t="s">
        <v>71</v>
      </c>
    </row>
    <row r="66" outlineLevel="2">
      <c r="A66" s="12" t="s">
        <v>96</v>
      </c>
      <c r="B66" s="0" t="s">
        <v>68</v>
      </c>
      <c r="C66" s="14">
        <v>69.4440954912536</v>
      </c>
      <c r="D66" s="14"/>
      <c r="E66" s="14"/>
      <c r="F66" s="14">
        <v>1.91</v>
      </c>
      <c r="G66" s="14">
        <v>0.0439698492550111</v>
      </c>
      <c r="H66" s="0" t="s">
        <v>39</v>
      </c>
      <c r="I66" s="5">
        <v>37636</v>
      </c>
      <c r="K66" s="0" t="s">
        <v>71</v>
      </c>
    </row>
    <row r="67">
      <c r="I67" s="5"/>
    </row>
    <row r="68" s="1" customFormat="1"/>
  </sheetData>
  <mergeCells>
    <mergeCell ref="A9:A11"/>
    <mergeCell ref="C19:E19"/>
    <mergeCell ref="A19:A20"/>
    <mergeCell ref="B19:B20"/>
    <mergeCell ref="F19:F20"/>
    <mergeCell ref="G19:G20"/>
    <mergeCell ref="H19:H20"/>
    <mergeCell ref="I19:I20"/>
    <mergeCell ref="J19:J20"/>
    <mergeCell ref="K19:K2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</mergeCells>
  <dataValidations count="1">
    <dataValidation type="decimal" sqref="C23" errorStyle="stop" promptTitle="Enter moisture content" errorTitle="Invalid moisture content" prompt="Value should be between 0 and 100.&#10;Original value: 4.48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https://phyllis.nl/Biomass/View/3182</dc:description>
  <dcterms:created xsi:type="dcterms:W3CDTF">2026-03-19T07:21:20Z</dcterms:created>
  <dc:title>Phyllis2 #3182 Felling wood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