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85 palmpit nr0043" sheetId="1" r:id="rId1"/>
  </sheets>
  <definedNames>
    <definedName name="w" localSheetId="0">IF(ISBLANK('Phyllis2 #3185 palmpit nr0043'!$C$24),#N/A,'Phyllis2 #3185 palmpit nr0043'!$C$24/100)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<sst xmlns="http://schemas.openxmlformats.org/spreadsheetml/2006/main" count="102" uniqueCount="102">
  <si>
    <t>Phyllis2</t>
  </si>
  <si>
    <t>https://phyllis.nl/Biomass/View/3185</t>
  </si>
  <si>
    <t>palmpit nr0043 (#3185)</t>
  </si>
  <si>
    <t>ID-number</t>
  </si>
  <si>
    <t>#3185</t>
  </si>
  <si>
    <t>Material</t>
  </si>
  <si>
    <t>palmpit nr0043</t>
  </si>
  <si>
    <t>Alternative name</t>
  </si>
  <si>
    <t>Palmpit kernels</t>
  </si>
  <si>
    <t>Description</t>
  </si>
  <si>
    <t>Palmpitschilfers</t>
  </si>
  <si>
    <t>Classification</t>
  </si>
  <si>
    <t>CEN/TS 14961 classification &gt; Solid biofuels &gt; Fruit biomass &gt; Fruit processing industry &gt; Chemically treated fruit residues &gt; Nuts and acorns</t>
  </si>
  <si>
    <t>ECN Phyllis classification &gt; husk/shell/pit &gt; others</t>
  </si>
  <si>
    <t>NTA 8003 classification &gt; [500] biomassa uit de industrie &gt; [520] schillen/vliezen/pitten &gt; [529] overige schillen/vliezen/pitten</t>
  </si>
  <si>
    <t>Country</t>
  </si>
  <si>
    <t>Congo, Republic of the</t>
  </si>
  <si>
    <t>Producer</t>
  </si>
  <si>
    <t>Davof Trading (Africa) b.v.</t>
  </si>
  <si>
    <t>Production date</t>
  </si>
  <si>
    <t>Submitter</t>
  </si>
  <si>
    <t>Bakker, F.P.</t>
  </si>
  <si>
    <t>Submitter organisation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</si>
  <si>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</si>
  <si>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</si>
  <si>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</si>
  <si>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</si>
  <si>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</si>
  <si>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</si>
  <si>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</si>
  <si>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</si>
  <si>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</si>
  <si>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</si>
  <si>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</si>
  <si>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</si>
  <si>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</si>
  <si>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</si>
  <si>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</si>
  <si>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</si>
  <si>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</si>
  <si>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</si>
  <si>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</si>
  <si>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</si>
  <si>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</si>
  <si>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</si>
  <si>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</si>
  <si>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</si>
  <si>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</si>
  <si>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</si>
  <si>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Oxygen</t>
  </si>
  <si>
    <t>B.N213</t>
  </si>
  <si>
    <t>Nitrogen</t>
  </si>
  <si>
    <t>Sulphur</t>
  </si>
  <si>
    <t>CEN/TS15289</t>
  </si>
  <si>
    <t>Total (with halides)</t>
  </si>
  <si>
    <t>Calculated</t>
  </si>
  <si>
    <t>Halides</t>
  </si>
  <si>
    <t>Bromine (Br)</t>
  </si>
  <si>
    <t>mg/kg</t>
  </si>
  <si>
    <t>B.N203</t>
  </si>
  <si>
    <t>Chlorine (Cl)</t>
  </si>
  <si>
    <t>CEN/TS 15289</t>
  </si>
  <si>
    <t>Fluorine (F)</t>
  </si>
  <si>
    <t>Heating value</t>
  </si>
  <si>
    <t>Net calorific value (LHV)</t>
  </si>
  <si>
    <t>MJ/kg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</si>
  <si>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</si>
  <si>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</si>
  <si>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</si>
  <si>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</si>
  <si>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</si>
  <si>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</si>
  <si>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</si>
  <si>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</si>
  <si>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</si>
  <si>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</si>
  <si>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</si>
  <si>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</si>
  <si>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</si>
  <si>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</si>
  <si>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</si>
  <si>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</si>
  <si>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</si>
  <si>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</si>
  <si>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</si>
  <si>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</si>
  <si>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</si>
  <si>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</si>
  <si>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</si>
  <si>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</si>
  <si>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</si>
  <si>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</si>
  <si>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</si>
  <si>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</si>
  <si>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</si>
  <si>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</si>
  <si>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Tellurium (Te)</t>
  </si>
  <si>
    <t>Titanium (Ti)</t>
  </si>
  <si>
    <t>Thallium (Tl)</t>
  </si>
  <si>
    <t>B.S211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</si>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</sst>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8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37893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18</v>
      </c>
    </row>
    <row r="17" outlineLevel="1">
      <c r="A17" s="7" t="s">
        <v>23</v>
      </c>
      <c r="B17" s="6">
        <v>39988</v>
      </c>
    </row>
    <row r="18">
      <c r="A18" s="7"/>
    </row>
    <row r="19" s="1" customFormat="1">
      <c r="A19" s="9" t="s">
        <v>24</v>
      </c>
    </row>
    <row r="20" s="1" customFormat="1">
      <c r="A20" s="10" t="s">
        <v>25</v>
      </c>
      <c r="B20" s="10" t="s">
        <v>26</v>
      </c>
      <c r="C20" s="10" t="s">
        <v>27</v>
      </c>
      <c r="D20" s="10"/>
      <c r="E20" s="10"/>
      <c r="F20" s="10" t="s">
        <v>28</v>
      </c>
      <c r="G20" s="10" t="s">
        <v>29</v>
      </c>
      <c r="H20" s="10" t="s">
        <v>30</v>
      </c>
      <c r="I20" s="10" t="s">
        <v>31</v>
      </c>
      <c r="J20" s="10" t="s">
        <v>32</v>
      </c>
      <c r="K20" s="10" t="s">
        <v>33</v>
      </c>
      <c r="L20" s="10"/>
    </row>
    <row r="21" s="1" customFormat="1">
      <c r="A21" s="10"/>
      <c r="B21" s="10"/>
      <c r="C21" s="10" t="s">
        <v>34</v>
      </c>
      <c r="D21" s="10" t="s">
        <v>35</v>
      </c>
      <c r="E21" s="10" t="s">
        <v>36</v>
      </c>
      <c r="F21" s="10"/>
      <c r="G21" s="10"/>
      <c r="H21" s="10"/>
      <c r="I21" s="10"/>
      <c r="J21" s="10"/>
      <c r="K21" s="10"/>
      <c r="L21" s="10"/>
    </row>
    <row r="22">
      <c r="A22" s="7" t="s">
        <v>37</v>
      </c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40</v>
      </c>
      <c r="C24" s="13">
        <v>6.52</v>
      </c>
      <c r="D24" s="13"/>
      <c r="E24" s="13"/>
      <c r="F24" s="13"/>
      <c r="G24" s="13">
        <v>0.1</v>
      </c>
      <c r="H24" s="0" t="s">
        <v>41</v>
      </c>
      <c r="I24" s="5">
        <v>37893</v>
      </c>
      <c r="J24" s="0" t="s">
        <v>42</v>
      </c>
      <c r="K24" s="0" t="s">
        <v>42</v>
      </c>
    </row>
    <row r="25" outlineLevel="2">
      <c r="A25" s="12" t="s">
        <v>43</v>
      </c>
      <c r="B25" s="0" t="s">
        <v>40</v>
      </c>
      <c r="C25" s="13">
        <f>IFERROR(4.546*(1-w),"")</f>
        <v>4.2496008000000005</v>
      </c>
      <c r="D25" s="13">
        <v>4.546</v>
      </c>
      <c r="E25" s="13">
        <v/>
      </c>
      <c r="F25" s="13">
        <v>2.52</v>
      </c>
      <c r="G25" s="13">
        <v>0.1</v>
      </c>
      <c r="H25" s="0" t="s">
        <v>41</v>
      </c>
      <c r="I25" s="5">
        <v>37908</v>
      </c>
      <c r="J25" s="0" t="s">
        <v>44</v>
      </c>
      <c r="K25" s="0" t="s">
        <v>44</v>
      </c>
    </row>
    <row r="26" outlineLevel="1">
      <c r="A26" s="11" t="s">
        <v>45</v>
      </c>
      <c r="I26" s="5"/>
    </row>
    <row r="27" outlineLevel="2">
      <c r="A27" s="12" t="s">
        <v>46</v>
      </c>
      <c r="B27" s="0" t="s">
        <v>40</v>
      </c>
      <c r="C27" s="13">
        <f>IFERROR(46.37*(1-w),"")</f>
        <v>43.346675999999995</v>
      </c>
      <c r="D27" s="13">
        <v>46.37</v>
      </c>
      <c r="E27" s="13">
        <v>48.578372828797114</v>
      </c>
      <c r="F27" s="13">
        <v>0.09</v>
      </c>
      <c r="G27" s="13">
        <v>0.1</v>
      </c>
      <c r="H27" s="0" t="s">
        <v>41</v>
      </c>
      <c r="I27" s="5">
        <v>37895</v>
      </c>
      <c r="J27" s="0" t="s">
        <v>47</v>
      </c>
      <c r="K27" s="0" t="s">
        <v>47</v>
      </c>
    </row>
    <row r="28" outlineLevel="2">
      <c r="A28" s="12" t="s">
        <v>48</v>
      </c>
      <c r="B28" s="0" t="s">
        <v>40</v>
      </c>
      <c r="C28" s="13">
        <f>IFERROR(6.125*(1-w),"")</f>
        <v>5.72565</v>
      </c>
      <c r="D28" s="13">
        <v>6.125</v>
      </c>
      <c r="E28" s="13">
        <v>6.4167033335428592</v>
      </c>
      <c r="F28" s="13">
        <v>0.12</v>
      </c>
      <c r="G28" s="13">
        <v>0.1</v>
      </c>
      <c r="H28" s="0" t="s">
        <v>41</v>
      </c>
      <c r="I28" s="5">
        <v>37895</v>
      </c>
      <c r="J28" s="0" t="s">
        <v>47</v>
      </c>
      <c r="K28" s="0" t="s">
        <v>47</v>
      </c>
    </row>
    <row r="29" outlineLevel="2">
      <c r="A29" s="12" t="s">
        <v>49</v>
      </c>
      <c r="B29" s="0" t="s">
        <v>40</v>
      </c>
      <c r="C29" s="13">
        <f>IFERROR(38.125*(1-w),"")</f>
        <v>35.63925</v>
      </c>
      <c r="D29" s="13">
        <v>38.125</v>
      </c>
      <c r="E29" s="13">
        <v>39.940704423072894</v>
      </c>
      <c r="F29" s="13">
        <v>0.13</v>
      </c>
      <c r="G29" s="13">
        <v>0.1</v>
      </c>
      <c r="H29" s="0" t="s">
        <v>41</v>
      </c>
      <c r="I29" s="5">
        <v>37909</v>
      </c>
      <c r="K29" s="0" t="s">
        <v>50</v>
      </c>
    </row>
    <row r="30" outlineLevel="2">
      <c r="A30" s="12" t="s">
        <v>51</v>
      </c>
      <c r="B30" s="0" t="s">
        <v>40</v>
      </c>
      <c r="C30" s="13">
        <f>IFERROR(2.775*(1-w),"")</f>
        <v>2.59407</v>
      </c>
      <c r="D30" s="13">
        <v>2.775</v>
      </c>
      <c r="E30" s="13">
        <v>2.907159469482683</v>
      </c>
      <c r="F30" s="13">
        <v>0.25</v>
      </c>
      <c r="G30" s="13">
        <v>0.1</v>
      </c>
      <c r="H30" s="0" t="s">
        <v>41</v>
      </c>
      <c r="I30" s="5">
        <v>37895</v>
      </c>
      <c r="J30" s="0" t="s">
        <v>47</v>
      </c>
      <c r="K30" s="0" t="s">
        <v>47</v>
      </c>
    </row>
    <row r="31" outlineLevel="2">
      <c r="A31" s="12" t="s">
        <v>52</v>
      </c>
      <c r="B31" s="0" t="s">
        <v>40</v>
      </c>
      <c r="C31" s="13">
        <f>IFERROR(0.247462558785623*(1-w),"")</f>
        <v>0.23132799995280037</v>
      </c>
      <c r="D31" s="13">
        <v>0.247462558785623</v>
      </c>
      <c r="E31" s="13">
        <v>0.25924797157334739</v>
      </c>
      <c r="F31" s="13">
        <v>2.02</v>
      </c>
      <c r="G31" s="13">
        <v>0.000243902438974625</v>
      </c>
      <c r="H31" s="0" t="s">
        <v>41</v>
      </c>
      <c r="I31" s="5">
        <v>37904</v>
      </c>
      <c r="J31" s="0" t="s">
        <v>53</v>
      </c>
      <c r="K31" s="0" t="s">
        <v>47</v>
      </c>
    </row>
    <row r="32" outlineLevel="2">
      <c r="A32" s="12" t="s">
        <v>54</v>
      </c>
      <c r="B32" s="0" t="s">
        <v>40</v>
      </c>
      <c r="C32" s="13">
        <f>IFERROR(98.2856005587856*(1-w)+w*100,"")</f>
        <v>98.397379402352811</v>
      </c>
      <c r="D32" s="13">
        <v>98.285600558785646</v>
      </c>
      <c r="E32" s="13">
        <v>98.203952227026264</v>
      </c>
      <c r="F32" s="13"/>
      <c r="G32" s="13"/>
      <c r="I32" s="5"/>
      <c r="J32" s="0" t="s">
        <v>55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4">
        <f>IFERROR(5.5*(1-w),"")</f>
        <v>5.1414</v>
      </c>
      <c r="D34" s="14">
        <v>5.5</v>
      </c>
      <c r="E34" s="14">
        <v>5.7619376872629751</v>
      </c>
      <c r="F34" s="14">
        <v>12.86</v>
      </c>
      <c r="G34" s="14">
        <v>0.5</v>
      </c>
      <c r="H34" s="0" t="s">
        <v>41</v>
      </c>
      <c r="I34" s="5">
        <v>37897</v>
      </c>
      <c r="K34" s="0" t="s">
        <v>59</v>
      </c>
    </row>
    <row r="35" outlineLevel="2">
      <c r="A35" s="12" t="s">
        <v>60</v>
      </c>
      <c r="B35" s="0" t="s">
        <v>58</v>
      </c>
      <c r="C35" s="14">
        <f>IFERROR(951.5*(1-w),"")</f>
        <v>889.46219999999994</v>
      </c>
      <c r="D35" s="14">
        <v>951.5</v>
      </c>
      <c r="E35" s="14">
        <v>996.81521989649468</v>
      </c>
      <c r="F35" s="14">
        <v>7.8</v>
      </c>
      <c r="G35" s="14">
        <v>0.5</v>
      </c>
      <c r="H35" s="0" t="s">
        <v>41</v>
      </c>
      <c r="I35" s="5">
        <v>37897</v>
      </c>
      <c r="J35" s="0" t="s">
        <v>61</v>
      </c>
      <c r="K35" s="0" t="s">
        <v>61</v>
      </c>
    </row>
    <row r="36" outlineLevel="2">
      <c r="A36" s="12" t="s">
        <v>62</v>
      </c>
      <c r="B36" s="0" t="s">
        <v>58</v>
      </c>
      <c r="C36" s="14">
        <f>IFERROR(14.38*(1-w),"")</f>
        <v>13.442424</v>
      </c>
      <c r="D36" s="14">
        <v>14.38</v>
      </c>
      <c r="E36" s="14">
        <v>15.064847989607561</v>
      </c>
      <c r="F36" s="14">
        <v>2.95</v>
      </c>
      <c r="G36" s="14">
        <v>1.25</v>
      </c>
      <c r="H36" s="0" t="s">
        <v>41</v>
      </c>
      <c r="I36" s="5">
        <v>37937</v>
      </c>
      <c r="K36" s="0" t="s">
        <v>59</v>
      </c>
    </row>
    <row r="37" outlineLevel="1">
      <c r="A37" s="11" t="s">
        <v>63</v>
      </c>
      <c r="I37" s="5"/>
    </row>
    <row r="38" outlineLevel="2">
      <c r="A38" s="12" t="s">
        <v>64</v>
      </c>
      <c r="B38" s="0" t="s">
        <v>65</v>
      </c>
      <c r="C38" s="13">
        <f>IFERROR(19.8395*(1-w)-w*2.443,"")</f>
        <v>18.386681000000003</v>
      </c>
      <c r="D38" s="13">
        <v>19.8395</v>
      </c>
      <c r="E38" s="13">
        <v>20.7843568629916</v>
      </c>
      <c r="F38" s="13">
        <v>0.4</v>
      </c>
      <c r="G38" s="13">
        <v>1</v>
      </c>
      <c r="H38" s="0" t="s">
        <v>41</v>
      </c>
      <c r="I38" s="5">
        <v>37894</v>
      </c>
      <c r="J38" s="0" t="s">
        <v>66</v>
      </c>
      <c r="K38" s="0" t="s">
        <v>66</v>
      </c>
    </row>
    <row r="39" outlineLevel="2">
      <c r="A39" s="12" t="s">
        <v>67</v>
      </c>
      <c r="B39" s="0" t="s">
        <v>65</v>
      </c>
      <c r="C39" s="13">
        <f>IFERROR(18.9520040472807*(1-w),"")</f>
        <v>17.716333383397991</v>
      </c>
      <c r="D39" s="13">
        <v>18.952004047280692</v>
      </c>
      <c r="E39" s="13">
        <v>19.854593885306738</v>
      </c>
      <c r="F39" s="13"/>
      <c r="G39" s="13"/>
      <c r="I39" s="5"/>
      <c r="J39" s="0" t="s">
        <v>55</v>
      </c>
    </row>
    <row r="40" outlineLevel="1">
      <c r="A40" s="11" t="s">
        <v>68</v>
      </c>
      <c r="I40" s="5"/>
    </row>
    <row r="41" outlineLevel="2">
      <c r="A41" s="12" t="s">
        <v>69</v>
      </c>
      <c r="B41" s="0" t="s">
        <v>70</v>
      </c>
      <c r="C41" s="14">
        <v>506.135002036224</v>
      </c>
      <c r="D41" s="14"/>
      <c r="E41" s="14"/>
      <c r="F41" s="14">
        <v>3.61</v>
      </c>
      <c r="G41" s="14">
        <v>0.171159606297982</v>
      </c>
      <c r="H41" s="0" t="s">
        <v>41</v>
      </c>
      <c r="I41" s="5">
        <v>37904</v>
      </c>
      <c r="K41" s="0" t="s">
        <v>71</v>
      </c>
    </row>
    <row r="42" outlineLevel="2">
      <c r="A42" s="12" t="s">
        <v>72</v>
      </c>
      <c r="B42" s="0" t="s">
        <v>70</v>
      </c>
      <c r="C42" s="14">
        <v>-1.10718870324007</v>
      </c>
      <c r="D42" s="14"/>
      <c r="E42" s="14"/>
      <c r="F42" s="14">
        <v>-26.64</v>
      </c>
      <c r="G42" s="14">
        <v>1.41206675195835</v>
      </c>
      <c r="H42" s="0" t="s">
        <v>41</v>
      </c>
      <c r="I42" s="5">
        <v>37904</v>
      </c>
      <c r="K42" s="0" t="s">
        <v>73</v>
      </c>
    </row>
    <row r="43" outlineLevel="2">
      <c r="A43" s="12" t="s">
        <v>74</v>
      </c>
      <c r="B43" s="0" t="s">
        <v>70</v>
      </c>
      <c r="C43" s="14">
        <v>3.80295250243329</v>
      </c>
      <c r="D43" s="14"/>
      <c r="E43" s="14"/>
      <c r="F43" s="14">
        <v>2.19</v>
      </c>
      <c r="G43" s="14">
        <v>0.331621737202341</v>
      </c>
      <c r="H43" s="0" t="s">
        <v>41</v>
      </c>
      <c r="I43" s="5">
        <v>37904</v>
      </c>
      <c r="K43" s="0" t="s">
        <v>75</v>
      </c>
    </row>
    <row r="44" outlineLevel="2">
      <c r="A44" s="12" t="s">
        <v>76</v>
      </c>
      <c r="B44" s="0" t="s">
        <v>70</v>
      </c>
      <c r="C44" s="14">
        <v>4.04899443648664</v>
      </c>
      <c r="D44" s="14"/>
      <c r="E44" s="14"/>
      <c r="F44" s="14">
        <v>28.58</v>
      </c>
      <c r="G44" s="14">
        <v>0.0641848523617434</v>
      </c>
      <c r="H44" s="0" t="s">
        <v>41</v>
      </c>
      <c r="I44" s="5">
        <v>37904</v>
      </c>
      <c r="K44" s="0" t="s">
        <v>73</v>
      </c>
    </row>
    <row r="45" outlineLevel="2">
      <c r="A45" s="12" t="s">
        <v>77</v>
      </c>
      <c r="B45" s="0" t="s">
        <v>70</v>
      </c>
      <c r="C45" s="14">
        <v>2750.19255399598</v>
      </c>
      <c r="D45" s="14"/>
      <c r="E45" s="14"/>
      <c r="F45" s="14">
        <v>2.59</v>
      </c>
      <c r="G45" s="14">
        <v>1.67950363679895</v>
      </c>
      <c r="H45" s="0" t="s">
        <v>41</v>
      </c>
      <c r="I45" s="5">
        <v>37904</v>
      </c>
      <c r="K45" s="0" t="s">
        <v>71</v>
      </c>
    </row>
    <row r="46" outlineLevel="2">
      <c r="A46" s="12" t="s">
        <v>78</v>
      </c>
      <c r="B46" s="0" t="s">
        <v>70</v>
      </c>
      <c r="C46" s="14">
        <v>0.0160462130904358</v>
      </c>
      <c r="D46" s="14"/>
      <c r="E46" s="14"/>
      <c r="F46" s="14">
        <v>141.42</v>
      </c>
      <c r="G46" s="14">
        <v>0.0534873769681195</v>
      </c>
      <c r="H46" s="0" t="s">
        <v>41</v>
      </c>
      <c r="I46" s="5">
        <v>37904</v>
      </c>
      <c r="K46" s="0" t="s">
        <v>73</v>
      </c>
    </row>
    <row r="47" outlineLevel="2">
      <c r="A47" s="12" t="s">
        <v>79</v>
      </c>
      <c r="B47" s="0" t="s">
        <v>70</v>
      </c>
      <c r="C47" s="14">
        <v>1.52439024359141</v>
      </c>
      <c r="D47" s="14"/>
      <c r="E47" s="14"/>
      <c r="F47" s="14">
        <v>5.46</v>
      </c>
      <c r="G47" s="14">
        <v>0.353016687989589</v>
      </c>
      <c r="H47" s="0" t="s">
        <v>41</v>
      </c>
      <c r="I47" s="5">
        <v>37904</v>
      </c>
      <c r="K47" s="0" t="s">
        <v>73</v>
      </c>
    </row>
    <row r="48" outlineLevel="2">
      <c r="A48" s="12" t="s">
        <v>80</v>
      </c>
      <c r="B48" s="0" t="s">
        <v>70</v>
      </c>
      <c r="C48" s="14">
        <v>3.44993581444371</v>
      </c>
      <c r="D48" s="14"/>
      <c r="E48" s="14"/>
      <c r="F48" s="14">
        <v>7.24</v>
      </c>
      <c r="G48" s="14">
        <v>0.374411638776836</v>
      </c>
      <c r="H48" s="0" t="s">
        <v>41</v>
      </c>
      <c r="I48" s="5">
        <v>37904</v>
      </c>
      <c r="K48" s="0" t="s">
        <v>73</v>
      </c>
    </row>
    <row r="49" outlineLevel="2">
      <c r="A49" s="12" t="s">
        <v>81</v>
      </c>
      <c r="B49" s="0" t="s">
        <v>70</v>
      </c>
      <c r="C49" s="14">
        <v>29.4768934471306</v>
      </c>
      <c r="D49" s="14"/>
      <c r="E49" s="14"/>
      <c r="F49" s="14">
        <v>2.08</v>
      </c>
      <c r="G49" s="14">
        <v>0.406504064957708</v>
      </c>
      <c r="H49" s="0" t="s">
        <v>41</v>
      </c>
      <c r="I49" s="5">
        <v>37904</v>
      </c>
      <c r="K49" s="0" t="s">
        <v>73</v>
      </c>
    </row>
    <row r="50" outlineLevel="2">
      <c r="A50" s="12" t="s">
        <v>82</v>
      </c>
      <c r="B50" s="0" t="s">
        <v>70</v>
      </c>
      <c r="C50" s="14">
        <v>574.374197572151</v>
      </c>
      <c r="D50" s="14"/>
      <c r="E50" s="14"/>
      <c r="F50" s="14">
        <v>1.59</v>
      </c>
      <c r="G50" s="14">
        <v>1.04835258857514</v>
      </c>
      <c r="H50" s="0" t="s">
        <v>41</v>
      </c>
      <c r="I50" s="5">
        <v>37904</v>
      </c>
      <c r="K50" s="0" t="s">
        <v>71</v>
      </c>
    </row>
    <row r="51" outlineLevel="2">
      <c r="A51" s="12" t="s">
        <v>83</v>
      </c>
      <c r="B51" s="0" t="s">
        <v>70</v>
      </c>
      <c r="C51" s="14">
        <v>6345.10590371177</v>
      </c>
      <c r="D51" s="14"/>
      <c r="E51" s="14"/>
      <c r="F51" s="14">
        <v>1.63</v>
      </c>
      <c r="G51" s="14">
        <v>3.03808301178919</v>
      </c>
      <c r="H51" s="0" t="s">
        <v>41</v>
      </c>
      <c r="I51" s="5">
        <v>37904</v>
      </c>
      <c r="K51" s="0" t="s">
        <v>71</v>
      </c>
    </row>
    <row r="52" outlineLevel="2">
      <c r="A52" s="12" t="s">
        <v>84</v>
      </c>
      <c r="B52" s="0" t="s">
        <v>70</v>
      </c>
      <c r="C52" s="14">
        <v>3524.40628939642</v>
      </c>
      <c r="D52" s="14"/>
      <c r="E52" s="14"/>
      <c r="F52" s="14">
        <v>1.67</v>
      </c>
      <c r="G52" s="14">
        <v>0.149764655510735</v>
      </c>
      <c r="H52" s="0" t="s">
        <v>41</v>
      </c>
      <c r="I52" s="5">
        <v>37904</v>
      </c>
      <c r="K52" s="0" t="s">
        <v>71</v>
      </c>
    </row>
    <row r="53" outlineLevel="2">
      <c r="A53" s="12" t="s">
        <v>85</v>
      </c>
      <c r="B53" s="0" t="s">
        <v>70</v>
      </c>
      <c r="C53" s="14">
        <v>208.25845096307</v>
      </c>
      <c r="D53" s="14"/>
      <c r="E53" s="14"/>
      <c r="F53" s="14">
        <v>1.97</v>
      </c>
      <c r="G53" s="14">
        <v>0.106974753936239</v>
      </c>
      <c r="H53" s="0" t="s">
        <v>41</v>
      </c>
      <c r="I53" s="5">
        <v>37904</v>
      </c>
      <c r="K53" s="0" t="s">
        <v>73</v>
      </c>
    </row>
    <row r="54" outlineLevel="2">
      <c r="A54" s="12" t="s">
        <v>86</v>
      </c>
      <c r="B54" s="0" t="s">
        <v>70</v>
      </c>
      <c r="C54" s="14">
        <v>0.278134360234221</v>
      </c>
      <c r="D54" s="14"/>
      <c r="E54" s="14"/>
      <c r="F54" s="14">
        <v>43.51</v>
      </c>
      <c r="G54" s="14">
        <v>0.224646983266102</v>
      </c>
      <c r="H54" s="0" t="s">
        <v>41</v>
      </c>
      <c r="I54" s="5">
        <v>37904</v>
      </c>
      <c r="K54" s="0" t="s">
        <v>73</v>
      </c>
    </row>
    <row r="55" outlineLevel="2">
      <c r="A55" s="12" t="s">
        <v>87</v>
      </c>
      <c r="B55" s="0" t="s">
        <v>70</v>
      </c>
      <c r="C55" s="14">
        <v>77.4336756367466</v>
      </c>
      <c r="D55" s="14"/>
      <c r="E55" s="14"/>
      <c r="F55" s="14">
        <v>1.06</v>
      </c>
      <c r="G55" s="14">
        <v>1.45485665353285</v>
      </c>
      <c r="H55" s="0" t="s">
        <v>41</v>
      </c>
      <c r="I55" s="5">
        <v>37904</v>
      </c>
      <c r="K55" s="0" t="s">
        <v>71</v>
      </c>
    </row>
    <row r="56" outlineLevel="2">
      <c r="A56" s="12" t="s">
        <v>88</v>
      </c>
      <c r="B56" s="0" t="s">
        <v>70</v>
      </c>
      <c r="C56" s="14">
        <v>1.78112965303838</v>
      </c>
      <c r="D56" s="14"/>
      <c r="E56" s="14"/>
      <c r="F56" s="14">
        <v>24.21</v>
      </c>
      <c r="G56" s="14">
        <v>0.331621737202341</v>
      </c>
      <c r="H56" s="0" t="s">
        <v>41</v>
      </c>
      <c r="I56" s="5">
        <v>37904</v>
      </c>
      <c r="K56" s="0" t="s">
        <v>73</v>
      </c>
    </row>
    <row r="57" outlineLevel="2">
      <c r="A57" s="12" t="s">
        <v>89</v>
      </c>
      <c r="B57" s="0" t="s">
        <v>70</v>
      </c>
      <c r="C57" s="14">
        <v>7061.23234772484</v>
      </c>
      <c r="D57" s="14"/>
      <c r="E57" s="14"/>
      <c r="F57" s="14">
        <v>2.16</v>
      </c>
      <c r="G57" s="14">
        <v>0.620453572830186</v>
      </c>
      <c r="H57" s="0" t="s">
        <v>41</v>
      </c>
      <c r="I57" s="5">
        <v>37904</v>
      </c>
      <c r="K57" s="0" t="s">
        <v>71</v>
      </c>
    </row>
    <row r="58" outlineLevel="2">
      <c r="A58" s="12" t="s">
        <v>90</v>
      </c>
      <c r="B58" s="0" t="s">
        <v>70</v>
      </c>
      <c r="C58" s="14">
        <v>-1.57787762055952</v>
      </c>
      <c r="D58" s="14"/>
      <c r="E58" s="14"/>
      <c r="F58" s="14">
        <v>-30.2</v>
      </c>
      <c r="G58" s="14">
        <v>1.03765511318152</v>
      </c>
      <c r="H58" s="0" t="s">
        <v>41</v>
      </c>
      <c r="I58" s="5">
        <v>37904</v>
      </c>
      <c r="K58" s="0" t="s">
        <v>73</v>
      </c>
    </row>
    <row r="59" outlineLevel="2">
      <c r="A59" s="12" t="s">
        <v>91</v>
      </c>
      <c r="B59" s="0" t="s">
        <v>70</v>
      </c>
      <c r="C59" s="14">
        <v>0.41185280265452</v>
      </c>
      <c r="D59" s="14"/>
      <c r="E59" s="14"/>
      <c r="F59" s="14">
        <v>115.71</v>
      </c>
      <c r="G59" s="14">
        <v>0.620453572830186</v>
      </c>
      <c r="H59" s="0" t="s">
        <v>41</v>
      </c>
      <c r="I59" s="5">
        <v>37904</v>
      </c>
      <c r="K59" s="0" t="s">
        <v>75</v>
      </c>
    </row>
    <row r="60" outlineLevel="2">
      <c r="A60" s="12" t="s">
        <v>92</v>
      </c>
      <c r="B60" s="0" t="s">
        <v>70</v>
      </c>
      <c r="C60" s="14">
        <v>0.973470260819775</v>
      </c>
      <c r="D60" s="14"/>
      <c r="E60" s="14"/>
      <c r="F60" s="14">
        <v>4.66</v>
      </c>
      <c r="G60" s="14">
        <v>1.37997432577748</v>
      </c>
      <c r="H60" s="0" t="s">
        <v>41</v>
      </c>
      <c r="I60" s="5">
        <v>37904</v>
      </c>
      <c r="K60" s="0" t="s">
        <v>73</v>
      </c>
    </row>
    <row r="61" outlineLevel="2">
      <c r="A61" s="12" t="s">
        <v>93</v>
      </c>
      <c r="B61" s="0" t="s">
        <v>70</v>
      </c>
      <c r="C61" s="14">
        <v>2423.52909663858</v>
      </c>
      <c r="D61" s="14"/>
      <c r="E61" s="14"/>
      <c r="F61" s="14">
        <v>1.58</v>
      </c>
      <c r="G61" s="14">
        <v>1.32648694880936</v>
      </c>
      <c r="H61" s="0" t="s">
        <v>41</v>
      </c>
      <c r="I61" s="5">
        <v>37904</v>
      </c>
      <c r="K61" s="0" t="s">
        <v>71</v>
      </c>
    </row>
    <row r="62" outlineLevel="2">
      <c r="A62" s="12" t="s">
        <v>94</v>
      </c>
      <c r="B62" s="0" t="s">
        <v>70</v>
      </c>
      <c r="C62" s="14">
        <v>0.0695335900585553</v>
      </c>
      <c r="D62" s="14"/>
      <c r="E62" s="14"/>
      <c r="F62" s="14">
        <v>54.39</v>
      </c>
      <c r="G62" s="14">
        <v>0.481386392713075</v>
      </c>
      <c r="H62" s="0" t="s">
        <v>41</v>
      </c>
      <c r="I62" s="5">
        <v>37904</v>
      </c>
      <c r="K62" s="0" t="s">
        <v>75</v>
      </c>
    </row>
    <row r="63" outlineLevel="2">
      <c r="A63" s="12" t="s">
        <v>95</v>
      </c>
      <c r="B63" s="0" t="s">
        <v>70</v>
      </c>
      <c r="C63" s="14">
        <v>14.2864783881847</v>
      </c>
      <c r="D63" s="14"/>
      <c r="E63" s="14"/>
      <c r="F63" s="14">
        <v>0.58</v>
      </c>
      <c r="G63" s="14">
        <v>0.0534873769681195</v>
      </c>
      <c r="H63" s="0" t="s">
        <v>41</v>
      </c>
      <c r="I63" s="5">
        <v>37904</v>
      </c>
      <c r="K63" s="0" t="s">
        <v>75</v>
      </c>
    </row>
    <row r="64" outlineLevel="2">
      <c r="A64" s="12" t="s">
        <v>96</v>
      </c>
      <c r="B64" s="0" t="s">
        <v>70</v>
      </c>
      <c r="C64" s="14">
        <v>-0.0283483097931033</v>
      </c>
      <c r="D64" s="14"/>
      <c r="E64" s="14"/>
      <c r="F64" s="14">
        <v>-776.48</v>
      </c>
      <c r="G64" s="14">
        <v>0.534873769681195</v>
      </c>
      <c r="H64" s="0" t="s">
        <v>41</v>
      </c>
      <c r="I64" s="5">
        <v>37922</v>
      </c>
      <c r="K64" s="0" t="s">
        <v>73</v>
      </c>
    </row>
    <row r="65" outlineLevel="2">
      <c r="A65" s="12" t="s">
        <v>97</v>
      </c>
      <c r="B65" s="0" t="s">
        <v>70</v>
      </c>
      <c r="C65" s="14">
        <v>29.9422336267533</v>
      </c>
      <c r="D65" s="14"/>
      <c r="E65" s="14"/>
      <c r="F65" s="14">
        <v>5.31</v>
      </c>
      <c r="G65" s="14">
        <v>0.149764655510735</v>
      </c>
      <c r="H65" s="0" t="s">
        <v>41</v>
      </c>
      <c r="I65" s="5">
        <v>37904</v>
      </c>
      <c r="K65" s="0" t="s">
        <v>71</v>
      </c>
    </row>
    <row r="66" outlineLevel="2">
      <c r="A66" s="12" t="s">
        <v>98</v>
      </c>
      <c r="B66" s="0" t="s">
        <v>70</v>
      </c>
      <c r="C66" s="14">
        <v>-0.0449293966532204</v>
      </c>
      <c r="D66" s="14"/>
      <c r="E66" s="14"/>
      <c r="F66" s="14">
        <v>-84.18</v>
      </c>
      <c r="G66" s="14">
        <v>0.0866495506883536</v>
      </c>
      <c r="H66" s="0" t="s">
        <v>41</v>
      </c>
      <c r="I66" s="5">
        <v>37922</v>
      </c>
      <c r="K66" s="0" t="s">
        <v>99</v>
      </c>
    </row>
    <row r="67" outlineLevel="2">
      <c r="A67" s="12" t="s">
        <v>100</v>
      </c>
      <c r="B67" s="0" t="s">
        <v>70</v>
      </c>
      <c r="C67" s="14">
        <v>0.930680359245279</v>
      </c>
      <c r="D67" s="14"/>
      <c r="E67" s="14"/>
      <c r="F67" s="14"/>
      <c r="G67" s="14">
        <v>0.203252032478854</v>
      </c>
      <c r="H67" s="0" t="s">
        <v>41</v>
      </c>
      <c r="I67" s="5">
        <v>37904</v>
      </c>
      <c r="K67" s="0" t="s">
        <v>73</v>
      </c>
    </row>
    <row r="68" outlineLevel="2">
      <c r="A68" s="12" t="s">
        <v>101</v>
      </c>
      <c r="B68" s="0" t="s">
        <v>70</v>
      </c>
      <c r="C68" s="14">
        <v>51.5832263480544</v>
      </c>
      <c r="D68" s="14"/>
      <c r="E68" s="14"/>
      <c r="F68" s="14">
        <v>1.76</v>
      </c>
      <c r="G68" s="14">
        <v>0.256739409446973</v>
      </c>
      <c r="H68" s="0" t="s">
        <v>41</v>
      </c>
      <c r="I68" s="5">
        <v>37904</v>
      </c>
      <c r="K68" s="0" t="s">
        <v>73</v>
      </c>
    </row>
    <row r="69">
      <c r="I69" s="5"/>
    </row>
    <row r="70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</mergeCells>
  <dataValidations count="1">
    <dataValidation type="decimal" sqref="C24" errorStyle="stop" promptTitle="Enter moisture content" errorTitle="Invalid moisture content" prompt="Value should be between 0 and 100.&#10;Original value: 6.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https://phyllis.nl/Biomass/View/3185</dc:description>
  <dcterms:created xsi:type="dcterms:W3CDTF">2026-03-17T05:45:36Z</dcterms:created>
  <dc:title>Phyllis2 #3185 palmpit nr0043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