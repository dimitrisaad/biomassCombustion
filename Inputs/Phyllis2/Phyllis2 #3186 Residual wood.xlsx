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86 Residual wood" sheetId="1" r:id="rId1"/>
  </sheets>
  <definedNames>
    <definedName name="w" localSheetId="0">IF(ISBLANK('Phyllis2 #3186 Residual wood'!$C$23),#N/A,'Phyllis2 #3186 Residual wood'!$C$23/100)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<sst xmlns="http://schemas.openxmlformats.org/spreadsheetml/2006/main" count="98" uniqueCount="98">
  <si>
    <t>Phyllis2</t>
  </si>
  <si>
    <t>https://phyllis.nl/Biomass/View/3186</t>
  </si>
  <si>
    <t>Residual wood (#3186)</t>
  </si>
  <si>
    <t>ID-number</t>
  </si>
  <si>
    <t>#3186</t>
  </si>
  <si>
    <t>Material</t>
  </si>
  <si>
    <t>Residual wood</t>
  </si>
  <si>
    <t>Alternative name</t>
  </si>
  <si>
    <t>Resthout</t>
  </si>
  <si>
    <t>Description</t>
  </si>
  <si>
    <t>Hout</t>
  </si>
  <si>
    <t>Classification</t>
  </si>
  <si>
    <t>CEN/TS 14961 classification &gt; Solid biofuels &gt; Woody biomass &gt; Forest and plantation wood &gt; Landscape management woody biomass</t>
  </si>
  <si>
    <t>ECN Phyllis classification &gt; untreated wood</t>
  </si>
  <si>
    <t>NTA 8003 classification &gt; [100] hout &gt; [110] vers hout &gt; [114] dunningshout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</si>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</sst>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37649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40093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32</v>
      </c>
      <c r="L19" s="10"/>
    </row>
    <row r="20" s="1" customFormat="1">
      <c r="A20" s="10"/>
      <c r="B20" s="10"/>
      <c r="C20" s="10" t="s">
        <v>33</v>
      </c>
      <c r="D20" s="10" t="s">
        <v>34</v>
      </c>
      <c r="E20" s="10" t="s">
        <v>35</v>
      </c>
      <c r="F20" s="10"/>
      <c r="G20" s="10"/>
      <c r="H20" s="10"/>
      <c r="I20" s="10"/>
      <c r="J20" s="10"/>
      <c r="K20" s="10"/>
      <c r="L20" s="10"/>
    </row>
    <row r="21">
      <c r="A21" s="7" t="s">
        <v>36</v>
      </c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39</v>
      </c>
      <c r="C23" s="13">
        <v>0.43</v>
      </c>
      <c r="D23" s="13"/>
      <c r="E23" s="13"/>
      <c r="F23" s="13"/>
      <c r="G23" s="13">
        <v>0.1</v>
      </c>
      <c r="H23" s="0" t="s">
        <v>40</v>
      </c>
      <c r="I23" s="5">
        <v>37629</v>
      </c>
      <c r="J23" s="0" t="s">
        <v>41</v>
      </c>
      <c r="K23" s="0" t="s">
        <v>41</v>
      </c>
    </row>
    <row r="24" outlineLevel="2">
      <c r="A24" s="12" t="s">
        <v>42</v>
      </c>
      <c r="B24" s="0" t="s">
        <v>39</v>
      </c>
      <c r="C24" s="13">
        <f>IFERROR(0.815*(1-w),"")</f>
        <v>0.81149549999999993</v>
      </c>
      <c r="D24" s="13">
        <v>0.815</v>
      </c>
      <c r="E24" s="13">
        <v/>
      </c>
      <c r="F24" s="13">
        <v>0.87</v>
      </c>
      <c r="G24" s="13">
        <v>0.1</v>
      </c>
      <c r="H24" s="0" t="s">
        <v>40</v>
      </c>
      <c r="I24" s="5">
        <v>37635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39</v>
      </c>
      <c r="C25" s="13">
        <f>IFERROR(0.74*(1-w),"")</f>
        <v>0.736818</v>
      </c>
      <c r="D25" s="13">
        <v>0.74</v>
      </c>
      <c r="E25" s="13">
        <v/>
      </c>
      <c r="F25" s="13">
        <v>3.82</v>
      </c>
      <c r="G25" s="13">
        <v>0.1</v>
      </c>
      <c r="H25" s="0" t="s">
        <v>40</v>
      </c>
      <c r="I25" s="5">
        <v>37635</v>
      </c>
      <c r="K25" s="0" t="s">
        <v>43</v>
      </c>
    </row>
    <row r="26" outlineLevel="2">
      <c r="A26" s="12" t="s">
        <v>45</v>
      </c>
      <c r="B26" s="0" t="s">
        <v>39</v>
      </c>
      <c r="C26" s="13">
        <f>IFERROR(81.645*(1-w),"")</f>
        <v>81.2939265</v>
      </c>
      <c r="D26" s="13">
        <v>81.645</v>
      </c>
      <c r="E26" s="13">
        <v>82.315874376165752</v>
      </c>
      <c r="F26" s="13">
        <v>1.05</v>
      </c>
      <c r="G26" s="13">
        <v>0.1</v>
      </c>
      <c r="H26" s="0" t="s">
        <v>40</v>
      </c>
      <c r="I26" s="5">
        <v>37634</v>
      </c>
    </row>
    <row r="27" outlineLevel="2">
      <c r="A27" s="12" t="s">
        <v>46</v>
      </c>
      <c r="B27" s="0" t="s">
        <v>39</v>
      </c>
      <c r="C27" s="13">
        <f>IFERROR(17.54*(1-w),"")</f>
        <v>17.464578000000007</v>
      </c>
      <c r="D27" s="13">
        <v>17.540000000000006</v>
      </c>
      <c r="E27" s="13">
        <v>17.684125623834255</v>
      </c>
      <c r="F27" s="13"/>
      <c r="G27" s="13"/>
      <c r="I27" s="5"/>
      <c r="J27" s="0" t="s">
        <v>47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39</v>
      </c>
      <c r="C29" s="13">
        <f>IFERROR(49.03*(1-w),"")</f>
        <v>48.819171000000004</v>
      </c>
      <c r="D29" s="13">
        <v>49.03</v>
      </c>
      <c r="E29" s="13">
        <v>49.432877955335989</v>
      </c>
      <c r="F29" s="13">
        <v>0.03</v>
      </c>
      <c r="G29" s="13">
        <v>0.1</v>
      </c>
      <c r="H29" s="0" t="s">
        <v>40</v>
      </c>
      <c r="I29" s="5">
        <v>37634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39</v>
      </c>
      <c r="C30" s="13">
        <f>IFERROR(6.035*(1-w),"")</f>
        <v>6.0090495000000006</v>
      </c>
      <c r="D30" s="13">
        <v>6.035</v>
      </c>
      <c r="E30" s="13">
        <v>6.0845894036396633</v>
      </c>
      <c r="F30" s="13">
        <v>0.35</v>
      </c>
      <c r="G30" s="13">
        <v>0.1</v>
      </c>
      <c r="H30" s="0" t="s">
        <v>40</v>
      </c>
      <c r="I30" s="5">
        <v>37634</v>
      </c>
      <c r="J30" s="0" t="s">
        <v>50</v>
      </c>
      <c r="K30" s="0" t="s">
        <v>50</v>
      </c>
    </row>
    <row r="31" outlineLevel="2">
      <c r="A31" s="12" t="s">
        <v>52</v>
      </c>
      <c r="B31" s="0" t="s">
        <v>39</v>
      </c>
      <c r="C31" s="13">
        <f>IFERROR(43.69*(1-w),"")</f>
        <v>43.502133</v>
      </c>
      <c r="D31" s="13">
        <v>43.69</v>
      </c>
      <c r="E31" s="13">
        <v>44.048999344658966</v>
      </c>
      <c r="F31" s="13">
        <v>0.29</v>
      </c>
      <c r="G31" s="13">
        <v>0.1</v>
      </c>
      <c r="H31" s="0" t="s">
        <v>40</v>
      </c>
      <c r="I31" s="5">
        <v>37631</v>
      </c>
      <c r="K31" s="0" t="s">
        <v>53</v>
      </c>
    </row>
    <row r="32" outlineLevel="2">
      <c r="A32" s="12" t="s">
        <v>54</v>
      </c>
      <c r="B32" s="0" t="s">
        <v>39</v>
      </c>
      <c r="C32" s="13">
        <f>IFERROR(0.11*(1-w),"")</f>
        <v>0.109527</v>
      </c>
      <c r="D32" s="13">
        <v>0.11</v>
      </c>
      <c r="E32" s="13">
        <v>0.1109038665120734</v>
      </c>
      <c r="F32" s="13"/>
      <c r="G32" s="13">
        <v>0.1</v>
      </c>
      <c r="H32" s="0" t="s">
        <v>40</v>
      </c>
      <c r="I32" s="5">
        <v>37634</v>
      </c>
      <c r="J32" s="0" t="s">
        <v>50</v>
      </c>
      <c r="K32" s="0" t="s">
        <v>50</v>
      </c>
    </row>
    <row r="33" outlineLevel="2">
      <c r="A33" s="12" t="s">
        <v>55</v>
      </c>
      <c r="B33" s="0" t="s">
        <v>39</v>
      </c>
      <c r="C33" s="13">
        <f>IFERROR(0.0111153962044743*(1-w),"")</f>
        <v>0.011067600000795061</v>
      </c>
      <c r="D33" s="13">
        <v>0.0111153962044743</v>
      </c>
      <c r="E33" s="13">
        <v>0.011206731062634773</v>
      </c>
      <c r="F33" s="13">
        <v>6.18</v>
      </c>
      <c r="G33" s="13">
        <v>0.000195139098135942</v>
      </c>
      <c r="H33" s="0" t="s">
        <v>40</v>
      </c>
      <c r="I33" s="5">
        <v>37636</v>
      </c>
      <c r="J33" s="0" t="s">
        <v>56</v>
      </c>
      <c r="K33" s="0" t="s">
        <v>50</v>
      </c>
    </row>
    <row r="34" outlineLevel="2">
      <c r="A34" s="12" t="s">
        <v>57</v>
      </c>
      <c r="B34" s="0" t="s">
        <v>39</v>
      </c>
      <c r="C34" s="13">
        <f>IFERROR(99.6945153962045*(1-w)+w*100,"")</f>
        <v>99.6958289800008</v>
      </c>
      <c r="D34" s="13">
        <v>99.694515396204466</v>
      </c>
      <c r="E34" s="13">
        <v>99.692005238901515</v>
      </c>
      <c r="F34" s="13"/>
      <c r="G34" s="13"/>
      <c r="I34" s="5"/>
      <c r="J34" s="0" t="s">
        <v>47</v>
      </c>
    </row>
    <row r="35" outlineLevel="1">
      <c r="A35" s="11" t="s">
        <v>58</v>
      </c>
      <c r="I35" s="5"/>
    </row>
    <row r="36" outlineLevel="2">
      <c r="A36" s="12" t="s">
        <v>59</v>
      </c>
      <c r="B36" s="0" t="s">
        <v>60</v>
      </c>
      <c r="C36" s="14">
        <f>IFERROR(34*(1-w),"")</f>
        <v>33.8538</v>
      </c>
      <c r="D36" s="14">
        <v>34</v>
      </c>
      <c r="E36" s="14">
        <v>34.279376921913595</v>
      </c>
      <c r="F36" s="14"/>
      <c r="G36" s="14">
        <v>5</v>
      </c>
      <c r="H36" s="0" t="s">
        <v>40</v>
      </c>
      <c r="I36" s="5">
        <v>37638</v>
      </c>
      <c r="J36" s="0" t="s">
        <v>61</v>
      </c>
      <c r="K36" s="0" t="s">
        <v>61</v>
      </c>
    </row>
    <row r="37" outlineLevel="1">
      <c r="A37" s="11" t="s">
        <v>62</v>
      </c>
      <c r="I37" s="5"/>
    </row>
    <row r="38" outlineLevel="2">
      <c r="A38" s="12" t="s">
        <v>63</v>
      </c>
      <c r="B38" s="0" t="s">
        <v>64</v>
      </c>
      <c r="C38" s="13">
        <f>IFERROR(20.581*(1-w)-w*2.443,"")</f>
        <v>20.4819968</v>
      </c>
      <c r="D38" s="13">
        <v>20.581</v>
      </c>
      <c r="E38" s="13">
        <v>20.750113424408934</v>
      </c>
      <c r="F38" s="13"/>
      <c r="G38" s="13"/>
      <c r="H38" s="0" t="s">
        <v>40</v>
      </c>
      <c r="I38" s="5">
        <v>37631</v>
      </c>
      <c r="J38" s="0" t="s">
        <v>65</v>
      </c>
      <c r="K38" s="0" t="s">
        <v>65</v>
      </c>
    </row>
    <row r="39" outlineLevel="2">
      <c r="A39" s="12" t="s">
        <v>66</v>
      </c>
      <c r="B39" s="0" t="s">
        <v>64</v>
      </c>
      <c r="C39" s="13">
        <f>IFERROR(19.4298946426046*(1-w),"")</f>
        <v>19.346346095641429</v>
      </c>
      <c r="D39" s="13">
        <v>19.42989464260463</v>
      </c>
      <c r="E39" s="13">
        <v>19.589549470791582</v>
      </c>
      <c r="F39" s="13"/>
      <c r="G39" s="13"/>
      <c r="I39" s="5"/>
      <c r="J39" s="0" t="s">
        <v>47</v>
      </c>
    </row>
    <row r="40" outlineLevel="1">
      <c r="A40" s="11" t="s">
        <v>67</v>
      </c>
      <c r="I40" s="5"/>
    </row>
    <row r="41" outlineLevel="2">
      <c r="A41" s="12" t="s">
        <v>68</v>
      </c>
      <c r="B41" s="0" t="s">
        <v>69</v>
      </c>
      <c r="C41" s="14">
        <v>57.5188309773165</v>
      </c>
      <c r="D41" s="14"/>
      <c r="E41" s="14"/>
      <c r="F41" s="14">
        <v>12.68</v>
      </c>
      <c r="G41" s="14">
        <v>0.0210906899683725</v>
      </c>
      <c r="H41" s="0" t="s">
        <v>40</v>
      </c>
      <c r="I41" s="5">
        <v>37636</v>
      </c>
      <c r="K41" s="0" t="s">
        <v>70</v>
      </c>
    </row>
    <row r="42" outlineLevel="2">
      <c r="A42" s="12" t="s">
        <v>71</v>
      </c>
      <c r="B42" s="0" t="s">
        <v>69</v>
      </c>
      <c r="C42" s="14">
        <v>0.187807572575508</v>
      </c>
      <c r="D42" s="14"/>
      <c r="E42" s="14"/>
      <c r="F42" s="14">
        <v>12.1</v>
      </c>
      <c r="G42" s="14">
        <v>0.628703424771486</v>
      </c>
      <c r="H42" s="0" t="s">
        <v>40</v>
      </c>
      <c r="I42" s="5">
        <v>37636</v>
      </c>
      <c r="K42" s="0" t="s">
        <v>72</v>
      </c>
    </row>
    <row r="43" outlineLevel="2">
      <c r="A43" s="12" t="s">
        <v>73</v>
      </c>
      <c r="B43" s="0" t="s">
        <v>69</v>
      </c>
      <c r="C43" s="14">
        <v>2.47865823056873</v>
      </c>
      <c r="D43" s="14"/>
      <c r="E43" s="14"/>
      <c r="F43" s="14">
        <v>5.04</v>
      </c>
      <c r="G43" s="14">
        <v>0.0110475042691475</v>
      </c>
      <c r="H43" s="0" t="s">
        <v>40</v>
      </c>
      <c r="I43" s="5">
        <v>37636</v>
      </c>
      <c r="K43" s="0" t="s">
        <v>74</v>
      </c>
    </row>
    <row r="44" outlineLevel="2">
      <c r="A44" s="12" t="s">
        <v>75</v>
      </c>
      <c r="B44" s="0" t="s">
        <v>69</v>
      </c>
      <c r="C44" s="14">
        <v>8.79431555752638</v>
      </c>
      <c r="D44" s="14"/>
      <c r="E44" s="14"/>
      <c r="F44" s="14">
        <v>7.21</v>
      </c>
      <c r="G44" s="14">
        <v>0.0210906899683725</v>
      </c>
      <c r="H44" s="0" t="s">
        <v>40</v>
      </c>
      <c r="I44" s="5">
        <v>37636</v>
      </c>
      <c r="K44" s="0" t="s">
        <v>72</v>
      </c>
    </row>
    <row r="45" outlineLevel="2">
      <c r="A45" s="12" t="s">
        <v>76</v>
      </c>
      <c r="B45" s="0" t="s">
        <v>69</v>
      </c>
      <c r="C45" s="14">
        <v>1672.51481381905</v>
      </c>
      <c r="D45" s="14"/>
      <c r="E45" s="14"/>
      <c r="F45" s="14">
        <v>12.57</v>
      </c>
      <c r="G45" s="14">
        <v>0.288239429567758</v>
      </c>
      <c r="H45" s="0" t="s">
        <v>40</v>
      </c>
      <c r="I45" s="5">
        <v>37636</v>
      </c>
      <c r="K45" s="0" t="s">
        <v>70</v>
      </c>
    </row>
    <row r="46" outlineLevel="2">
      <c r="A46" s="12" t="s">
        <v>77</v>
      </c>
      <c r="B46" s="0" t="s">
        <v>69</v>
      </c>
      <c r="C46" s="14">
        <v>0.422315958652412</v>
      </c>
      <c r="D46" s="14"/>
      <c r="E46" s="14"/>
      <c r="F46" s="14">
        <v>2.19</v>
      </c>
      <c r="G46" s="14">
        <v>0.18077734258605</v>
      </c>
      <c r="H46" s="0" t="s">
        <v>40</v>
      </c>
      <c r="I46" s="5">
        <v>37636</v>
      </c>
      <c r="K46" s="0" t="s">
        <v>72</v>
      </c>
    </row>
    <row r="47" outlineLevel="2">
      <c r="A47" s="12" t="s">
        <v>78</v>
      </c>
      <c r="B47" s="0" t="s">
        <v>69</v>
      </c>
      <c r="C47" s="14">
        <v>0.0607612734803113</v>
      </c>
      <c r="D47" s="14"/>
      <c r="E47" s="14"/>
      <c r="F47" s="14">
        <v>47.92</v>
      </c>
      <c r="G47" s="14">
        <v>0.533293160628848</v>
      </c>
      <c r="H47" s="0" t="s">
        <v>40</v>
      </c>
      <c r="I47" s="5">
        <v>37636</v>
      </c>
      <c r="K47" s="0" t="s">
        <v>72</v>
      </c>
    </row>
    <row r="48" outlineLevel="2">
      <c r="A48" s="12" t="s">
        <v>79</v>
      </c>
      <c r="B48" s="0" t="s">
        <v>69</v>
      </c>
      <c r="C48" s="14">
        <v>0.543838505613034</v>
      </c>
      <c r="D48" s="14"/>
      <c r="E48" s="14"/>
      <c r="F48" s="14">
        <v>2.22</v>
      </c>
      <c r="G48" s="14">
        <v>1.05553881698855</v>
      </c>
      <c r="H48" s="0" t="s">
        <v>40</v>
      </c>
      <c r="I48" s="5">
        <v>37636</v>
      </c>
      <c r="K48" s="0" t="s">
        <v>72</v>
      </c>
    </row>
    <row r="49" outlineLevel="2">
      <c r="A49" s="12" t="s">
        <v>80</v>
      </c>
      <c r="B49" s="0" t="s">
        <v>69</v>
      </c>
      <c r="C49" s="14">
        <v>1.33172642371724</v>
      </c>
      <c r="D49" s="14"/>
      <c r="E49" s="14"/>
      <c r="F49" s="14">
        <v>0.85</v>
      </c>
      <c r="G49" s="14">
        <v>0.235010545361865</v>
      </c>
      <c r="H49" s="0" t="s">
        <v>40</v>
      </c>
      <c r="I49" s="5">
        <v>37636</v>
      </c>
      <c r="K49" s="0" t="s">
        <v>72</v>
      </c>
    </row>
    <row r="50" outlineLevel="2">
      <c r="A50" s="12" t="s">
        <v>81</v>
      </c>
      <c r="B50" s="0" t="s">
        <v>69</v>
      </c>
      <c r="C50" s="14">
        <v>167.066385469468</v>
      </c>
      <c r="D50" s="14"/>
      <c r="E50" s="14"/>
      <c r="F50" s="14">
        <v>6.55</v>
      </c>
      <c r="G50" s="14">
        <v>4.00923973113063</v>
      </c>
      <c r="H50" s="0" t="s">
        <v>40</v>
      </c>
      <c r="I50" s="5">
        <v>37636</v>
      </c>
      <c r="K50" s="0" t="s">
        <v>70</v>
      </c>
    </row>
    <row r="51" outlineLevel="2">
      <c r="A51" s="12" t="s">
        <v>82</v>
      </c>
      <c r="B51" s="0" t="s">
        <v>69</v>
      </c>
      <c r="C51" s="14">
        <v>712.189916692719</v>
      </c>
      <c r="D51" s="14"/>
      <c r="E51" s="14"/>
      <c r="F51" s="14">
        <v>2.15</v>
      </c>
      <c r="G51" s="14">
        <v>5.91744501398338</v>
      </c>
      <c r="H51" s="0" t="s">
        <v>40</v>
      </c>
      <c r="I51" s="5">
        <v>37636</v>
      </c>
      <c r="K51" s="0" t="s">
        <v>70</v>
      </c>
    </row>
    <row r="52" outlineLevel="2">
      <c r="A52" s="12" t="s">
        <v>83</v>
      </c>
      <c r="B52" s="0" t="s">
        <v>69</v>
      </c>
      <c r="C52" s="14">
        <v>181.30460983526</v>
      </c>
      <c r="D52" s="14"/>
      <c r="E52" s="14"/>
      <c r="F52" s="14">
        <v>5.62</v>
      </c>
      <c r="G52" s="14">
        <v>0.0210906899683725</v>
      </c>
      <c r="H52" s="0" t="s">
        <v>40</v>
      </c>
      <c r="I52" s="5">
        <v>37636</v>
      </c>
      <c r="K52" s="0" t="s">
        <v>70</v>
      </c>
    </row>
    <row r="53" outlineLevel="2">
      <c r="A53" s="12" t="s">
        <v>84</v>
      </c>
      <c r="B53" s="0" t="s">
        <v>69</v>
      </c>
      <c r="C53" s="14">
        <v>95.0210906967927</v>
      </c>
      <c r="D53" s="14"/>
      <c r="E53" s="14"/>
      <c r="F53" s="14">
        <v>2.92</v>
      </c>
      <c r="G53" s="14">
        <v>0.03213819423752</v>
      </c>
      <c r="H53" s="0" t="s">
        <v>40</v>
      </c>
      <c r="I53" s="5">
        <v>37636</v>
      </c>
      <c r="K53" s="0" t="s">
        <v>72</v>
      </c>
    </row>
    <row r="54" outlineLevel="2">
      <c r="A54" s="12" t="s">
        <v>85</v>
      </c>
      <c r="B54" s="0" t="s">
        <v>69</v>
      </c>
      <c r="C54" s="14">
        <v>-0.00552375213457375</v>
      </c>
      <c r="D54" s="14"/>
      <c r="E54" s="14"/>
      <c r="F54" s="14">
        <v>-1169.94</v>
      </c>
      <c r="G54" s="14">
        <v>0.436878577916288</v>
      </c>
      <c r="H54" s="0" t="s">
        <v>40</v>
      </c>
      <c r="I54" s="5">
        <v>37636</v>
      </c>
      <c r="K54" s="0" t="s">
        <v>72</v>
      </c>
    </row>
    <row r="55" outlineLevel="2">
      <c r="A55" s="12" t="s">
        <v>86</v>
      </c>
      <c r="B55" s="0" t="s">
        <v>69</v>
      </c>
      <c r="C55" s="14">
        <v>36.6576278021713</v>
      </c>
      <c r="D55" s="14"/>
      <c r="E55" s="14"/>
      <c r="F55" s="14">
        <v>4.03</v>
      </c>
      <c r="G55" s="14">
        <v>1.0133574370518</v>
      </c>
      <c r="H55" s="0" t="s">
        <v>40</v>
      </c>
      <c r="I55" s="5">
        <v>37636</v>
      </c>
      <c r="K55" s="0" t="s">
        <v>70</v>
      </c>
    </row>
    <row r="56" outlineLevel="2">
      <c r="A56" s="12" t="s">
        <v>87</v>
      </c>
      <c r="B56" s="0" t="s">
        <v>69</v>
      </c>
      <c r="C56" s="14">
        <v>0.334940243069154</v>
      </c>
      <c r="D56" s="14"/>
      <c r="E56" s="14"/>
      <c r="F56" s="14">
        <v>129.12</v>
      </c>
      <c r="G56" s="14">
        <v>0.607612734803113</v>
      </c>
      <c r="H56" s="0" t="s">
        <v>40</v>
      </c>
      <c r="I56" s="5">
        <v>37636</v>
      </c>
      <c r="K56" s="0" t="s">
        <v>72</v>
      </c>
    </row>
    <row r="57" outlineLevel="2">
      <c r="A57" s="12" t="s">
        <v>88</v>
      </c>
      <c r="B57" s="0" t="s">
        <v>69</v>
      </c>
      <c r="C57" s="14">
        <v>91.7630812559641</v>
      </c>
      <c r="D57" s="14"/>
      <c r="E57" s="14"/>
      <c r="F57" s="14">
        <v>4.93</v>
      </c>
      <c r="G57" s="14">
        <v>0.842623280164978</v>
      </c>
      <c r="H57" s="0" t="s">
        <v>40</v>
      </c>
      <c r="I57" s="5">
        <v>37636</v>
      </c>
      <c r="K57" s="0" t="s">
        <v>70</v>
      </c>
    </row>
    <row r="58" outlineLevel="2">
      <c r="A58" s="12" t="s">
        <v>89</v>
      </c>
      <c r="B58" s="0" t="s">
        <v>69</v>
      </c>
      <c r="C58" s="14">
        <v>1.17354624895444</v>
      </c>
      <c r="D58" s="14"/>
      <c r="E58" s="14"/>
      <c r="F58" s="14">
        <v>11.2</v>
      </c>
      <c r="G58" s="14">
        <v>2.9637440998413</v>
      </c>
      <c r="H58" s="0" t="s">
        <v>40</v>
      </c>
      <c r="I58" s="5">
        <v>37636</v>
      </c>
      <c r="K58" s="0" t="s">
        <v>72</v>
      </c>
    </row>
    <row r="59" outlineLevel="2">
      <c r="A59" s="12" t="s">
        <v>90</v>
      </c>
      <c r="B59" s="0" t="s">
        <v>69</v>
      </c>
      <c r="C59" s="14">
        <v>-0.580998292700167</v>
      </c>
      <c r="D59" s="14"/>
      <c r="E59" s="14"/>
      <c r="F59" s="14">
        <v>-23.1</v>
      </c>
      <c r="G59" s="14">
        <v>0.319373305235355</v>
      </c>
      <c r="H59" s="0" t="s">
        <v>40</v>
      </c>
      <c r="I59" s="5">
        <v>37636</v>
      </c>
      <c r="K59" s="0" t="s">
        <v>74</v>
      </c>
    </row>
    <row r="60" outlineLevel="2">
      <c r="A60" s="12" t="s">
        <v>91</v>
      </c>
      <c r="B60" s="0" t="s">
        <v>69</v>
      </c>
      <c r="C60" s="14">
        <v>-0.833584413035676</v>
      </c>
      <c r="D60" s="14"/>
      <c r="E60" s="14"/>
      <c r="F60" s="14">
        <v>-40.55</v>
      </c>
      <c r="G60" s="14">
        <v>1.07662950695692</v>
      </c>
      <c r="H60" s="0" t="s">
        <v>40</v>
      </c>
      <c r="I60" s="5">
        <v>37636</v>
      </c>
      <c r="K60" s="0" t="s">
        <v>72</v>
      </c>
    </row>
    <row r="61" outlineLevel="2">
      <c r="A61" s="12" t="s">
        <v>92</v>
      </c>
      <c r="B61" s="0" t="s">
        <v>69</v>
      </c>
      <c r="C61" s="14">
        <v>156.016370403896</v>
      </c>
      <c r="D61" s="14"/>
      <c r="E61" s="14"/>
      <c r="F61" s="14">
        <v>8.07</v>
      </c>
      <c r="G61" s="14">
        <v>7.12262729789038</v>
      </c>
      <c r="H61" s="0" t="s">
        <v>40</v>
      </c>
      <c r="I61" s="5">
        <v>37636</v>
      </c>
      <c r="K61" s="0" t="s">
        <v>70</v>
      </c>
    </row>
    <row r="62" outlineLevel="2">
      <c r="A62" s="12" t="s">
        <v>93</v>
      </c>
      <c r="B62" s="0" t="s">
        <v>69</v>
      </c>
      <c r="C62" s="14">
        <v>-0.0321381942375201</v>
      </c>
      <c r="D62" s="14"/>
      <c r="E62" s="14"/>
      <c r="F62" s="14">
        <v>-1096.02</v>
      </c>
      <c r="G62" s="14">
        <v>0.660841619009006</v>
      </c>
      <c r="H62" s="0" t="s">
        <v>40</v>
      </c>
      <c r="I62" s="5">
        <v>37636</v>
      </c>
      <c r="K62" s="0" t="s">
        <v>74</v>
      </c>
    </row>
    <row r="63" outlineLevel="2">
      <c r="A63" s="12" t="s">
        <v>94</v>
      </c>
      <c r="B63" s="0" t="s">
        <v>69</v>
      </c>
      <c r="C63" s="14">
        <v>7.60821532644791</v>
      </c>
      <c r="D63" s="14"/>
      <c r="E63" s="14"/>
      <c r="F63" s="14">
        <v>11.55</v>
      </c>
      <c r="G63" s="14">
        <v>0</v>
      </c>
      <c r="H63" s="0" t="s">
        <v>40</v>
      </c>
      <c r="I63" s="5">
        <v>37636</v>
      </c>
      <c r="K63" s="0" t="s">
        <v>74</v>
      </c>
    </row>
    <row r="64" outlineLevel="2">
      <c r="A64" s="12" t="s">
        <v>95</v>
      </c>
      <c r="B64" s="0" t="s">
        <v>69</v>
      </c>
      <c r="C64" s="14">
        <v>2.64989454674052</v>
      </c>
      <c r="D64" s="14"/>
      <c r="E64" s="14"/>
      <c r="F64" s="14">
        <v>1.96</v>
      </c>
      <c r="G64" s="14">
        <v>0.288239429567758</v>
      </c>
      <c r="H64" s="0" t="s">
        <v>40</v>
      </c>
      <c r="I64" s="5">
        <v>37636</v>
      </c>
      <c r="K64" s="0" t="s">
        <v>70</v>
      </c>
    </row>
    <row r="65" outlineLevel="2">
      <c r="A65" s="12" t="s">
        <v>96</v>
      </c>
      <c r="B65" s="0" t="s">
        <v>69</v>
      </c>
      <c r="C65" s="14">
        <v>0.0918951491479089</v>
      </c>
      <c r="D65" s="14"/>
      <c r="E65" s="14"/>
      <c r="F65" s="14">
        <v>19.32</v>
      </c>
      <c r="G65" s="14">
        <v>0.21291553682357</v>
      </c>
      <c r="H65" s="0" t="s">
        <v>40</v>
      </c>
      <c r="I65" s="5">
        <v>37636</v>
      </c>
      <c r="K65" s="0" t="s">
        <v>72</v>
      </c>
    </row>
    <row r="66" outlineLevel="2">
      <c r="A66" s="12" t="s">
        <v>97</v>
      </c>
      <c r="B66" s="0" t="s">
        <v>69</v>
      </c>
      <c r="C66" s="14">
        <v>18.4719292972996</v>
      </c>
      <c r="D66" s="14"/>
      <c r="E66" s="14"/>
      <c r="F66" s="14">
        <v>8.25</v>
      </c>
      <c r="G66" s="14">
        <v>0.0421813799367451</v>
      </c>
      <c r="H66" s="0" t="s">
        <v>40</v>
      </c>
      <c r="I66" s="5">
        <v>37636</v>
      </c>
      <c r="K66" s="0" t="s">
        <v>72</v>
      </c>
    </row>
    <row r="67">
      <c r="I67" s="5"/>
    </row>
    <row r="68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3" errorStyle="stop" promptTitle="Enter moisture content" errorTitle="Invalid moisture content" prompt="Value should be between 0 and 100.&#10;Original value: 0.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https://phyllis.nl/Biomass/View/3186</dc:description>
  <dcterms:created xsi:type="dcterms:W3CDTF">2026-03-19T07:31:56Z</dcterms:created>
  <dc:title>Phyllis2 #3186 Residual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