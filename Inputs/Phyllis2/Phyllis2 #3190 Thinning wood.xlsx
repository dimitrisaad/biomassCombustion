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90 Thinning wood" sheetId="1" r:id="rId1"/>
  </sheets>
  <definedNames>
    <definedName name="w" localSheetId="0">IF(ISBLANK('Phyllis2 #3190 Thinning wood'!$C$23),#N/A,'Phyllis2 #3190 Thinning wood'!$C$23/100)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<sst xmlns="http://schemas.openxmlformats.org/spreadsheetml/2006/main" count="97" uniqueCount="97">
  <si>
    <t>Phyllis2</t>
  </si>
  <si>
    <t>https://phyllis.nl/Biomass/View/3190</t>
  </si>
  <si>
    <t>Thinning wood (#3190)</t>
  </si>
  <si>
    <t>ID-number</t>
  </si>
  <si>
    <t>#3190</t>
  </si>
  <si>
    <t>Material</t>
  </si>
  <si>
    <t>Thinning wood</t>
  </si>
  <si>
    <t>Alternative name</t>
  </si>
  <si>
    <t>Description</t>
  </si>
  <si>
    <t>Dunningshout</t>
  </si>
  <si>
    <t>Classification</t>
  </si>
  <si>
    <t>CEN/TS 14961 classification &gt; Solid biofuels &gt; Woody biomass &gt; Forest and plantation wood &gt; Landscape management woody biomass</t>
  </si>
  <si>
    <t>ECN Phyllis classification &gt; untreated wood</t>
  </si>
  <si>
    <t>NTA 8003 classification &gt; [100] hout &gt; [110] vers hout &gt; [114] dunningshout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</si>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</sst>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6">
        <v>37649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6">
        <v>40093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31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3.18</v>
      </c>
      <c r="D23" s="13"/>
      <c r="E23" s="13"/>
      <c r="F23" s="13"/>
      <c r="G23" s="13">
        <v>0.1</v>
      </c>
      <c r="H23" s="0" t="s">
        <v>39</v>
      </c>
      <c r="I23" s="5">
        <v>37629</v>
      </c>
      <c r="J23" s="0" t="s">
        <v>40</v>
      </c>
      <c r="K23" s="0" t="s">
        <v>40</v>
      </c>
    </row>
    <row r="24" outlineLevel="2">
      <c r="A24" s="12" t="s">
        <v>41</v>
      </c>
      <c r="B24" s="0" t="s">
        <v>38</v>
      </c>
      <c r="C24" s="13">
        <f>IFERROR(4.85*(1-w),"")</f>
        <v>4.6957699999999996</v>
      </c>
      <c r="D24" s="13">
        <v>4.85</v>
      </c>
      <c r="E24" s="13">
        <v/>
      </c>
      <c r="F24" s="13"/>
      <c r="G24" s="13">
        <v>0.1</v>
      </c>
      <c r="H24" s="0" t="s">
        <v>39</v>
      </c>
      <c r="I24" s="5">
        <v>37635</v>
      </c>
      <c r="J24" s="0" t="s">
        <v>42</v>
      </c>
      <c r="K24" s="0" t="s">
        <v>42</v>
      </c>
    </row>
    <row r="25" outlineLevel="2">
      <c r="A25" s="12" t="s">
        <v>43</v>
      </c>
      <c r="B25" s="0" t="s">
        <v>38</v>
      </c>
      <c r="C25" s="13">
        <f>IFERROR(4.11*(1-w),"")</f>
        <v>3.979302</v>
      </c>
      <c r="D25" s="13">
        <v>4.11</v>
      </c>
      <c r="E25" s="13">
        <v/>
      </c>
      <c r="F25" s="13"/>
      <c r="G25" s="13">
        <v>0.1</v>
      </c>
      <c r="H25" s="0" t="s">
        <v>39</v>
      </c>
      <c r="I25" s="5">
        <v>37635</v>
      </c>
      <c r="K25" s="0" t="s">
        <v>42</v>
      </c>
    </row>
    <row r="26" outlineLevel="2">
      <c r="A26" s="12" t="s">
        <v>44</v>
      </c>
      <c r="B26" s="0" t="s">
        <v>38</v>
      </c>
      <c r="C26" s="13">
        <f>IFERROR(74.12*(1-w),"")</f>
        <v>71.762984</v>
      </c>
      <c r="D26" s="13">
        <v>74.12</v>
      </c>
      <c r="E26" s="13">
        <v>77.898055701523916</v>
      </c>
      <c r="F26" s="13"/>
      <c r="G26" s="13">
        <v>0.1</v>
      </c>
      <c r="H26" s="0" t="s">
        <v>39</v>
      </c>
      <c r="I26" s="5">
        <v>37634</v>
      </c>
    </row>
    <row r="27" outlineLevel="2">
      <c r="A27" s="12" t="s">
        <v>45</v>
      </c>
      <c r="B27" s="0" t="s">
        <v>38</v>
      </c>
      <c r="C27" s="13">
        <f>IFERROR(21.03*(1-w),"")</f>
        <v>20.361246</v>
      </c>
      <c r="D27" s="13">
        <v>21.03</v>
      </c>
      <c r="E27" s="13">
        <v>22.101944298476091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38</v>
      </c>
      <c r="C29" s="13">
        <f>IFERROR(48.06*(1-w),"")</f>
        <v>46.531692</v>
      </c>
      <c r="D29" s="13">
        <v>48.06</v>
      </c>
      <c r="E29" s="13">
        <v>50.509721492380457</v>
      </c>
      <c r="F29" s="13">
        <v>0.03</v>
      </c>
      <c r="G29" s="13">
        <v>0.1</v>
      </c>
      <c r="H29" s="0" t="s">
        <v>39</v>
      </c>
      <c r="I29" s="5">
        <v>37634</v>
      </c>
      <c r="J29" s="0" t="s">
        <v>49</v>
      </c>
      <c r="K29" s="0" t="s">
        <v>49</v>
      </c>
    </row>
    <row r="30" outlineLevel="2">
      <c r="A30" s="12" t="s">
        <v>50</v>
      </c>
      <c r="B30" s="0" t="s">
        <v>38</v>
      </c>
      <c r="C30" s="13">
        <f>IFERROR(5.955*(1-w),"")</f>
        <v>5.765631</v>
      </c>
      <c r="D30" s="13">
        <v>5.955</v>
      </c>
      <c r="E30" s="13">
        <v>6.2585391487125595</v>
      </c>
      <c r="F30" s="13">
        <v>2.97</v>
      </c>
      <c r="G30" s="13">
        <v>0.1</v>
      </c>
      <c r="H30" s="0" t="s">
        <v>39</v>
      </c>
      <c r="I30" s="5">
        <v>37634</v>
      </c>
      <c r="J30" s="0" t="s">
        <v>49</v>
      </c>
      <c r="K30" s="0" t="s">
        <v>49</v>
      </c>
    </row>
    <row r="31" outlineLevel="2">
      <c r="A31" s="12" t="s">
        <v>51</v>
      </c>
      <c r="B31" s="0" t="s">
        <v>38</v>
      </c>
      <c r="C31" s="13">
        <f>IFERROR(43.455*(1-w),"")</f>
        <v>42.073131</v>
      </c>
      <c r="D31" s="13">
        <v>43.455</v>
      </c>
      <c r="E31" s="13">
        <v>45.669994745139249</v>
      </c>
      <c r="F31" s="13">
        <v>0.21</v>
      </c>
      <c r="G31" s="13">
        <v>0.1</v>
      </c>
      <c r="H31" s="0" t="s">
        <v>39</v>
      </c>
      <c r="I31" s="5">
        <v>37631</v>
      </c>
      <c r="K31" s="0" t="s">
        <v>52</v>
      </c>
    </row>
    <row r="32" outlineLevel="2">
      <c r="A32" s="12" t="s">
        <v>53</v>
      </c>
      <c r="B32" s="0" t="s">
        <v>38</v>
      </c>
      <c r="C32" s="13">
        <f>IFERROR(0.485*(1-w),"")</f>
        <v>0.46957699999999997</v>
      </c>
      <c r="D32" s="13">
        <v>0.485</v>
      </c>
      <c r="E32" s="13">
        <v>0.509721492380452</v>
      </c>
      <c r="F32" s="13">
        <v>4.37</v>
      </c>
      <c r="G32" s="13">
        <v>0.1</v>
      </c>
      <c r="H32" s="0" t="s">
        <v>39</v>
      </c>
      <c r="I32" s="5">
        <v>37634</v>
      </c>
      <c r="J32" s="0" t="s">
        <v>49</v>
      </c>
      <c r="K32" s="0" t="s">
        <v>49</v>
      </c>
    </row>
    <row r="33" outlineLevel="2">
      <c r="A33" s="12" t="s">
        <v>54</v>
      </c>
      <c r="B33" s="0" t="s">
        <v>38</v>
      </c>
      <c r="C33" s="13">
        <f>IFERROR(0.0482300144930769*(1-w),"")</f>
        <v>0.046696300032197054</v>
      </c>
      <c r="D33" s="13">
        <v>0.0482300144930769</v>
      </c>
      <c r="E33" s="13">
        <v>0.0506884019895711</v>
      </c>
      <c r="F33" s="13"/>
      <c r="G33" s="13">
        <v>0.000200681677477762</v>
      </c>
      <c r="H33" s="0" t="s">
        <v>39</v>
      </c>
      <c r="I33" s="5">
        <v>37636</v>
      </c>
      <c r="J33" s="0" t="s">
        <v>55</v>
      </c>
      <c r="K33" s="0" t="s">
        <v>49</v>
      </c>
    </row>
    <row r="34" outlineLevel="2">
      <c r="A34" s="12" t="s">
        <v>56</v>
      </c>
      <c r="B34" s="0" t="s">
        <v>38</v>
      </c>
      <c r="C34" s="13">
        <f>IFERROR(102.876630014493*(1-w)+w*100,"")</f>
        <v>102.78515318003218</v>
      </c>
      <c r="D34" s="13">
        <v>102.87663001449306</v>
      </c>
      <c r="E34" s="13">
        <v>103.02325802889445</v>
      </c>
      <c r="F34" s="13"/>
      <c r="G34" s="13"/>
      <c r="I34" s="5"/>
      <c r="J34" s="0" t="s">
        <v>46</v>
      </c>
    </row>
    <row r="35" outlineLevel="1">
      <c r="A35" s="11" t="s">
        <v>57</v>
      </c>
      <c r="I35" s="5"/>
    </row>
    <row r="36" outlineLevel="2">
      <c r="A36" s="12" t="s">
        <v>58</v>
      </c>
      <c r="B36" s="0" t="s">
        <v>59</v>
      </c>
      <c r="C36" s="14">
        <f>IFERROR(234*(1-w),"")</f>
        <v>226.5588</v>
      </c>
      <c r="D36" s="14">
        <v>234</v>
      </c>
      <c r="E36" s="14">
        <v>245.92748292170256</v>
      </c>
      <c r="F36" s="14"/>
      <c r="G36" s="14">
        <v>5</v>
      </c>
      <c r="H36" s="0" t="s">
        <v>39</v>
      </c>
      <c r="I36" s="5">
        <v>37638</v>
      </c>
      <c r="J36" s="0" t="s">
        <v>60</v>
      </c>
      <c r="K36" s="0" t="s">
        <v>60</v>
      </c>
    </row>
    <row r="37" outlineLevel="1">
      <c r="A37" s="11" t="s">
        <v>61</v>
      </c>
      <c r="I37" s="5"/>
    </row>
    <row r="38" outlineLevel="2">
      <c r="A38" s="12" t="s">
        <v>62</v>
      </c>
      <c r="B38" s="0" t="s">
        <v>63</v>
      </c>
      <c r="C38" s="13">
        <f>IFERROR(20.009*(1-w)-w*2.443,"")</f>
        <v>19.2950264</v>
      </c>
      <c r="D38" s="13">
        <v>20.009</v>
      </c>
      <c r="E38" s="13">
        <v>21.028901734104046</v>
      </c>
      <c r="F38" s="13"/>
      <c r="G38" s="13"/>
      <c r="H38" s="0" t="s">
        <v>39</v>
      </c>
      <c r="I38" s="5">
        <v>37631</v>
      </c>
      <c r="J38" s="0" t="s">
        <v>64</v>
      </c>
      <c r="K38" s="0" t="s">
        <v>64</v>
      </c>
    </row>
    <row r="39" outlineLevel="2">
      <c r="A39" s="12" t="s">
        <v>65</v>
      </c>
      <c r="B39" s="0" t="s">
        <v>63</v>
      </c>
      <c r="C39" s="13">
        <f>IFERROR(18.9208725214942*(1-w),"")</f>
        <v>18.319188775310714</v>
      </c>
      <c r="D39" s="13">
        <v>18.920872521494232</v>
      </c>
      <c r="E39" s="13">
        <v>19.885310059373865</v>
      </c>
      <c r="F39" s="13"/>
      <c r="G39" s="13"/>
      <c r="I39" s="5"/>
      <c r="J39" s="0" t="s">
        <v>46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4">
        <v>372.894030416168</v>
      </c>
      <c r="D41" s="14"/>
      <c r="E41" s="14"/>
      <c r="F41" s="14"/>
      <c r="G41" s="14">
        <v>0.021689733541086</v>
      </c>
      <c r="H41" s="0" t="s">
        <v>39</v>
      </c>
      <c r="I41" s="5">
        <v>37636</v>
      </c>
      <c r="K41" s="0" t="s">
        <v>69</v>
      </c>
    </row>
    <row r="42" outlineLevel="2">
      <c r="A42" s="12" t="s">
        <v>70</v>
      </c>
      <c r="B42" s="0" t="s">
        <v>68</v>
      </c>
      <c r="C42" s="14">
        <v>-0.25717826913002</v>
      </c>
      <c r="D42" s="14"/>
      <c r="E42" s="14"/>
      <c r="F42" s="14"/>
      <c r="G42" s="14">
        <v>0.64656062841523</v>
      </c>
      <c r="H42" s="0" t="s">
        <v>39</v>
      </c>
      <c r="I42" s="5">
        <v>37636</v>
      </c>
      <c r="K42" s="0" t="s">
        <v>71</v>
      </c>
    </row>
    <row r="43" outlineLevel="2">
      <c r="A43" s="12" t="s">
        <v>72</v>
      </c>
      <c r="B43" s="0" t="s">
        <v>68</v>
      </c>
      <c r="C43" s="14">
        <v>8.7946705286832</v>
      </c>
      <c r="D43" s="14"/>
      <c r="E43" s="14"/>
      <c r="F43" s="14"/>
      <c r="G43" s="14">
        <v>0.0113612889977117</v>
      </c>
      <c r="H43" s="0" t="s">
        <v>39</v>
      </c>
      <c r="I43" s="5">
        <v>37636</v>
      </c>
      <c r="K43" s="0" t="s">
        <v>73</v>
      </c>
    </row>
    <row r="44" outlineLevel="2">
      <c r="A44" s="12" t="s">
        <v>74</v>
      </c>
      <c r="B44" s="0" t="s">
        <v>68</v>
      </c>
      <c r="C44" s="14">
        <v>10.4038421885409</v>
      </c>
      <c r="D44" s="14"/>
      <c r="E44" s="14"/>
      <c r="F44" s="14"/>
      <c r="G44" s="14">
        <v>0.021689733541086</v>
      </c>
      <c r="H44" s="0" t="s">
        <v>39</v>
      </c>
      <c r="I44" s="5">
        <v>37636</v>
      </c>
      <c r="K44" s="0" t="s">
        <v>71</v>
      </c>
    </row>
    <row r="45" outlineLevel="2">
      <c r="A45" s="12" t="s">
        <v>75</v>
      </c>
      <c r="B45" s="0" t="s">
        <v>68</v>
      </c>
      <c r="C45" s="14">
        <v>7981.01839013417</v>
      </c>
      <c r="D45" s="14"/>
      <c r="E45" s="14"/>
      <c r="F45" s="14"/>
      <c r="G45" s="14">
        <v>0.296426358394842</v>
      </c>
      <c r="H45" s="0" t="s">
        <v>39</v>
      </c>
      <c r="I45" s="5">
        <v>37636</v>
      </c>
      <c r="K45" s="0" t="s">
        <v>69</v>
      </c>
    </row>
    <row r="46" outlineLevel="2">
      <c r="A46" s="12" t="s">
        <v>76</v>
      </c>
      <c r="B46" s="0" t="s">
        <v>68</v>
      </c>
      <c r="C46" s="14">
        <v>0.581491427791972</v>
      </c>
      <c r="D46" s="14"/>
      <c r="E46" s="14"/>
      <c r="F46" s="14"/>
      <c r="G46" s="14">
        <v>0.185912001780737</v>
      </c>
      <c r="H46" s="0" t="s">
        <v>39</v>
      </c>
      <c r="I46" s="5">
        <v>37636</v>
      </c>
      <c r="K46" s="0" t="s">
        <v>71</v>
      </c>
    </row>
    <row r="47" outlineLevel="2">
      <c r="A47" s="12" t="s">
        <v>77</v>
      </c>
      <c r="B47" s="0" t="s">
        <v>68</v>
      </c>
      <c r="C47" s="14">
        <v>0.484404049084254</v>
      </c>
      <c r="D47" s="14"/>
      <c r="E47" s="14"/>
      <c r="F47" s="14"/>
      <c r="G47" s="14">
        <v>0.548440405253174</v>
      </c>
      <c r="H47" s="0" t="s">
        <v>39</v>
      </c>
      <c r="I47" s="5">
        <v>37636</v>
      </c>
      <c r="K47" s="0" t="s">
        <v>71</v>
      </c>
    </row>
    <row r="48" outlineLevel="2">
      <c r="A48" s="12" t="s">
        <v>78</v>
      </c>
      <c r="B48" s="0" t="s">
        <v>68</v>
      </c>
      <c r="C48" s="14">
        <v>1.74757281673893</v>
      </c>
      <c r="D48" s="14"/>
      <c r="E48" s="14"/>
      <c r="F48" s="14"/>
      <c r="G48" s="14">
        <v>1.08551952150864</v>
      </c>
      <c r="H48" s="0" t="s">
        <v>39</v>
      </c>
      <c r="I48" s="5">
        <v>37636</v>
      </c>
      <c r="K48" s="0" t="s">
        <v>71</v>
      </c>
    </row>
    <row r="49" outlineLevel="2">
      <c r="A49" s="12" t="s">
        <v>79</v>
      </c>
      <c r="B49" s="0" t="s">
        <v>68</v>
      </c>
      <c r="C49" s="14">
        <v>3.99710803828585</v>
      </c>
      <c r="D49" s="14"/>
      <c r="E49" s="14"/>
      <c r="F49" s="14"/>
      <c r="G49" s="14">
        <v>0.241685602314958</v>
      </c>
      <c r="H49" s="0" t="s">
        <v>39</v>
      </c>
      <c r="I49" s="5">
        <v>37636</v>
      </c>
      <c r="K49" s="0" t="s">
        <v>71</v>
      </c>
    </row>
    <row r="50" outlineLevel="2">
      <c r="A50" s="12" t="s">
        <v>80</v>
      </c>
      <c r="B50" s="0" t="s">
        <v>68</v>
      </c>
      <c r="C50" s="14">
        <v>552.014047065182</v>
      </c>
      <c r="D50" s="14"/>
      <c r="E50" s="14"/>
      <c r="F50" s="14"/>
      <c r="G50" s="14">
        <v>4.12311506171501</v>
      </c>
      <c r="H50" s="0" t="s">
        <v>39</v>
      </c>
      <c r="I50" s="5">
        <v>37636</v>
      </c>
      <c r="K50" s="0" t="s">
        <v>69</v>
      </c>
    </row>
    <row r="51" outlineLevel="2">
      <c r="A51" s="12" t="s">
        <v>81</v>
      </c>
      <c r="B51" s="0" t="s">
        <v>68</v>
      </c>
      <c r="C51" s="14">
        <v>3097.58417895875</v>
      </c>
      <c r="D51" s="14"/>
      <c r="E51" s="14"/>
      <c r="F51" s="14"/>
      <c r="G51" s="14">
        <v>6.08551952495613</v>
      </c>
      <c r="H51" s="0" t="s">
        <v>39</v>
      </c>
      <c r="I51" s="5">
        <v>37636</v>
      </c>
      <c r="K51" s="0" t="s">
        <v>69</v>
      </c>
    </row>
    <row r="52" outlineLevel="2">
      <c r="A52" s="12" t="s">
        <v>82</v>
      </c>
      <c r="B52" s="0" t="s">
        <v>68</v>
      </c>
      <c r="C52" s="14">
        <v>642.657509222289</v>
      </c>
      <c r="D52" s="14"/>
      <c r="E52" s="14"/>
      <c r="F52" s="14"/>
      <c r="G52" s="14">
        <v>0.021689733541086</v>
      </c>
      <c r="H52" s="0" t="s">
        <v>39</v>
      </c>
      <c r="I52" s="5">
        <v>37636</v>
      </c>
      <c r="K52" s="0" t="s">
        <v>69</v>
      </c>
    </row>
    <row r="53" outlineLevel="2">
      <c r="A53" s="12" t="s">
        <v>83</v>
      </c>
      <c r="B53" s="0" t="s">
        <v>68</v>
      </c>
      <c r="C53" s="14">
        <v>40.872753591495</v>
      </c>
      <c r="D53" s="14"/>
      <c r="E53" s="14"/>
      <c r="F53" s="14"/>
      <c r="G53" s="14">
        <v>0.0330510225387977</v>
      </c>
      <c r="H53" s="0" t="s">
        <v>39</v>
      </c>
      <c r="I53" s="5">
        <v>37636</v>
      </c>
      <c r="K53" s="0" t="s">
        <v>71</v>
      </c>
    </row>
    <row r="54" outlineLevel="2">
      <c r="A54" s="12" t="s">
        <v>84</v>
      </c>
      <c r="B54" s="0" t="s">
        <v>68</v>
      </c>
      <c r="C54" s="14">
        <v>0.0103284445433743</v>
      </c>
      <c r="D54" s="14"/>
      <c r="E54" s="14"/>
      <c r="F54" s="14"/>
      <c r="G54" s="14">
        <v>0.449287337636781</v>
      </c>
      <c r="H54" s="0" t="s">
        <v>39</v>
      </c>
      <c r="I54" s="5">
        <v>37636</v>
      </c>
      <c r="K54" s="0" t="s">
        <v>71</v>
      </c>
    </row>
    <row r="55" outlineLevel="2">
      <c r="A55" s="12" t="s">
        <v>85</v>
      </c>
      <c r="B55" s="0" t="s">
        <v>68</v>
      </c>
      <c r="C55" s="14">
        <v>253.198719447458</v>
      </c>
      <c r="D55" s="14"/>
      <c r="E55" s="14"/>
      <c r="F55" s="14"/>
      <c r="G55" s="14">
        <v>1.04214005442646</v>
      </c>
      <c r="H55" s="0" t="s">
        <v>39</v>
      </c>
      <c r="I55" s="5">
        <v>37636</v>
      </c>
      <c r="K55" s="0" t="s">
        <v>69</v>
      </c>
    </row>
    <row r="56" outlineLevel="2">
      <c r="A56" s="12" t="s">
        <v>86</v>
      </c>
      <c r="B56" s="0" t="s">
        <v>68</v>
      </c>
      <c r="C56" s="14">
        <v>1.07415823251093</v>
      </c>
      <c r="D56" s="14"/>
      <c r="E56" s="14"/>
      <c r="F56" s="14"/>
      <c r="G56" s="14">
        <v>0.624870894874144</v>
      </c>
      <c r="H56" s="0" t="s">
        <v>39</v>
      </c>
      <c r="I56" s="5">
        <v>37636</v>
      </c>
      <c r="K56" s="0" t="s">
        <v>71</v>
      </c>
    </row>
    <row r="57" outlineLevel="2">
      <c r="A57" s="12" t="s">
        <v>87</v>
      </c>
      <c r="B57" s="0" t="s">
        <v>68</v>
      </c>
      <c r="C57" s="14">
        <v>598.585003511256</v>
      </c>
      <c r="D57" s="14"/>
      <c r="E57" s="14"/>
      <c r="F57" s="14"/>
      <c r="G57" s="14">
        <v>0.866556497189102</v>
      </c>
      <c r="H57" s="0" t="s">
        <v>39</v>
      </c>
      <c r="I57" s="5">
        <v>37636</v>
      </c>
      <c r="K57" s="0" t="s">
        <v>69</v>
      </c>
    </row>
    <row r="58" outlineLevel="2">
      <c r="A58" s="12" t="s">
        <v>88</v>
      </c>
      <c r="B58" s="0" t="s">
        <v>68</v>
      </c>
      <c r="C58" s="14">
        <v>2.56971700239152</v>
      </c>
      <c r="D58" s="14"/>
      <c r="E58" s="14"/>
      <c r="F58" s="14"/>
      <c r="G58" s="14">
        <v>3.04792398474975</v>
      </c>
      <c r="H58" s="0" t="s">
        <v>39</v>
      </c>
      <c r="I58" s="5">
        <v>37636</v>
      </c>
      <c r="K58" s="0" t="s">
        <v>71</v>
      </c>
    </row>
    <row r="59" outlineLevel="2">
      <c r="A59" s="12" t="s">
        <v>89</v>
      </c>
      <c r="B59" s="0" t="s">
        <v>68</v>
      </c>
      <c r="C59" s="14">
        <v>-0.279900847125443</v>
      </c>
      <c r="D59" s="14"/>
      <c r="E59" s="14"/>
      <c r="F59" s="14"/>
      <c r="G59" s="14">
        <v>0.328444536479302</v>
      </c>
      <c r="H59" s="0" t="s">
        <v>39</v>
      </c>
      <c r="I59" s="5">
        <v>37636</v>
      </c>
      <c r="K59" s="0" t="s">
        <v>73</v>
      </c>
    </row>
    <row r="60" outlineLevel="2">
      <c r="A60" s="12" t="s">
        <v>90</v>
      </c>
      <c r="B60" s="0" t="s">
        <v>68</v>
      </c>
      <c r="C60" s="14">
        <v>-0.635199339417518</v>
      </c>
      <c r="D60" s="14"/>
      <c r="E60" s="14"/>
      <c r="F60" s="14"/>
      <c r="G60" s="14">
        <v>1.10720925504972</v>
      </c>
      <c r="H60" s="0" t="s">
        <v>39</v>
      </c>
      <c r="I60" s="5">
        <v>37636</v>
      </c>
      <c r="K60" s="0" t="s">
        <v>71</v>
      </c>
    </row>
    <row r="61" outlineLevel="2">
      <c r="A61" s="12" t="s">
        <v>91</v>
      </c>
      <c r="B61" s="0" t="s">
        <v>68</v>
      </c>
      <c r="C61" s="14">
        <v>5203.96612629004</v>
      </c>
      <c r="D61" s="14"/>
      <c r="E61" s="14"/>
      <c r="F61" s="14"/>
      <c r="G61" s="14">
        <v>160.618673938468</v>
      </c>
      <c r="H61" s="0" t="s">
        <v>39</v>
      </c>
      <c r="I61" s="5">
        <v>37636</v>
      </c>
      <c r="K61" s="0" t="s">
        <v>69</v>
      </c>
    </row>
    <row r="62" outlineLevel="2">
      <c r="A62" s="12" t="s">
        <v>92</v>
      </c>
      <c r="B62" s="0" t="s">
        <v>68</v>
      </c>
      <c r="C62" s="14">
        <v>0.382152448104848</v>
      </c>
      <c r="D62" s="14"/>
      <c r="E62" s="14"/>
      <c r="F62" s="14"/>
      <c r="G62" s="14">
        <v>0.679611650954028</v>
      </c>
      <c r="H62" s="0" t="s">
        <v>39</v>
      </c>
      <c r="I62" s="5">
        <v>37636</v>
      </c>
      <c r="K62" s="0" t="s">
        <v>73</v>
      </c>
    </row>
    <row r="63" outlineLevel="2">
      <c r="A63" s="12" t="s">
        <v>93</v>
      </c>
      <c r="B63" s="0" t="s">
        <v>68</v>
      </c>
      <c r="C63" s="14">
        <v>27.9239826674667</v>
      </c>
      <c r="D63" s="14"/>
      <c r="E63" s="14"/>
      <c r="F63" s="14"/>
      <c r="G63" s="14">
        <v>0</v>
      </c>
      <c r="H63" s="0" t="s">
        <v>39</v>
      </c>
      <c r="I63" s="5">
        <v>37636</v>
      </c>
      <c r="K63" s="0" t="s">
        <v>73</v>
      </c>
    </row>
    <row r="64" outlineLevel="2">
      <c r="A64" s="12" t="s">
        <v>94</v>
      </c>
      <c r="B64" s="0" t="s">
        <v>68</v>
      </c>
      <c r="C64" s="14">
        <v>21.2363148256319</v>
      </c>
      <c r="D64" s="14"/>
      <c r="E64" s="14"/>
      <c r="F64" s="14"/>
      <c r="G64" s="14">
        <v>6.49246023996507</v>
      </c>
      <c r="H64" s="0" t="s">
        <v>39</v>
      </c>
      <c r="I64" s="5">
        <v>37636</v>
      </c>
      <c r="K64" s="0" t="s">
        <v>69</v>
      </c>
    </row>
    <row r="65" outlineLevel="2">
      <c r="A65" s="12" t="s">
        <v>95</v>
      </c>
      <c r="B65" s="0" t="s">
        <v>68</v>
      </c>
      <c r="C65" s="14">
        <v>0.684775873225715</v>
      </c>
      <c r="D65" s="14"/>
      <c r="E65" s="14"/>
      <c r="F65" s="14"/>
      <c r="G65" s="14">
        <v>0.218963024319535</v>
      </c>
      <c r="H65" s="0" t="s">
        <v>39</v>
      </c>
      <c r="I65" s="5">
        <v>37636</v>
      </c>
      <c r="K65" s="0" t="s">
        <v>71</v>
      </c>
    </row>
    <row r="66" outlineLevel="2">
      <c r="A66" s="12" t="s">
        <v>96</v>
      </c>
      <c r="B66" s="0" t="s">
        <v>68</v>
      </c>
      <c r="C66" s="14">
        <v>51.114439200705</v>
      </c>
      <c r="D66" s="14"/>
      <c r="E66" s="14"/>
      <c r="F66" s="14"/>
      <c r="G66" s="14">
        <v>0.043379467082172</v>
      </c>
      <c r="H66" s="0" t="s">
        <v>39</v>
      </c>
      <c r="I66" s="5">
        <v>37636</v>
      </c>
      <c r="K66" s="0" t="s">
        <v>71</v>
      </c>
    </row>
    <row r="67">
      <c r="I67" s="5"/>
    </row>
    <row r="68" s="1" customFormat="1"/>
  </sheetData>
  <mergeCells>
    <mergeCell ref="A9:A11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23" errorStyle="stop" promptTitle="Enter moisture content" errorTitle="Invalid moisture content" prompt="Value should be between 0 and 100.&#10;Original value: 3.1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https://phyllis.nl/Biomass/View/3190</dc:description>
  <dcterms:created xsi:type="dcterms:W3CDTF">2026-03-19T07:32:17Z</dcterms:created>
  <dc:title>Phyllis2 #3190 Thinning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