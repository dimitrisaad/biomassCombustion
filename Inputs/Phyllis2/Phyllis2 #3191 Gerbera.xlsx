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91 Gerbera" sheetId="1" r:id="rId1"/>
  </sheets>
  <definedNames>
    <definedName name="w" localSheetId="0">IF(ISBLANK('Phyllis2 #3191 Gerbera'!$C$24),#N/A,'Phyllis2 #3191 Gerbera'!$C$24/100)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<sst xmlns="http://schemas.openxmlformats.org/spreadsheetml/2006/main" count="94" uniqueCount="94">
  <si>
    <t>Phyllis2</t>
  </si>
  <si>
    <t>https://phyllis.nl/Biomass/View/3191</t>
  </si>
  <si>
    <t>Gerbera (#3191)</t>
  </si>
  <si>
    <t>ID-number</t>
  </si>
  <si>
    <t>#3191</t>
  </si>
  <si>
    <t>Material</t>
  </si>
  <si>
    <t>Gerbera</t>
  </si>
  <si>
    <t>Alternative name</t>
  </si>
  <si>
    <t>Latin name</t>
  </si>
  <si>
    <t>Gerbera cass.</t>
  </si>
  <si>
    <t>Description</t>
  </si>
  <si>
    <t>IPE</t>
  </si>
  <si>
    <t>Classification</t>
  </si>
  <si>
    <t>CEN/TS 14961 classification &gt; Solid biofuels &gt; Herbaceous biomass &gt; Agriculture and Horticulture herb &gt; Legume crops &gt; Stalks and leaves</t>
  </si>
  <si>
    <t>ECN Phyllis classification &gt; grass/plant &gt; flower/garden plants</t>
  </si>
  <si>
    <t>NTA 8003 classification &gt; [200] biomassa uit land- en tuinbouw &gt; [240] gewassen &gt; [249] overige gewassen</t>
  </si>
  <si>
    <t>Country</t>
  </si>
  <si>
    <t>Netherlands</t>
  </si>
  <si>
    <t>Production date</t>
  </si>
  <si>
    <t>Submitter</t>
  </si>
  <si>
    <t>Bakker, F.P.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</si>
  <si>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</si>
  <si>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</si>
  <si>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</si>
  <si>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</si>
  <si>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</si>
  <si>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</si>
  <si>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</si>
  <si>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</si>
  <si>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</si>
  <si>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</si>
  <si>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</si>
  <si>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</si>
  <si>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</si>
  <si>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</si>
  <si>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</si>
  <si>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</si>
  <si>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</si>
  <si>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</si>
  <si>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</si>
  <si>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</si>
  <si>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</si>
  <si>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</si>
  <si>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</si>
  <si>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</si>
  <si>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</si>
  <si>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</si>
  <si>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</si>
  <si>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</si>
  <si>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</si>
  <si>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</si>
  <si>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</si>
  <si>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</si>
  <si>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</si>
  <si>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</si>
  <si>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</si>
  <si>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</si>
  <si>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</si>
  <si>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</si>
  <si>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</si>
  <si>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</si>
  <si>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</si>
  <si>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</si>
  <si>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</si>
  <si>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</si>
  <si>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</si>
  <si>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</si>
  <si>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</si>
  <si>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Beryllium (Be)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</si>
  <si>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</si>
  <si>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</si>
  <si>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</si>
  <si>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</si>
  <si>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</si>
  <si>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</si>
  <si>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</si>
  <si>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</si>
  <si>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</si>
  <si>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</si>
  <si>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</si>
  <si>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</si>
  <si>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</si>
  <si>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</si>
  <si>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</si>
  <si>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</si>
  <si>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B.S401</t>
  </si>
  <si>
    <t>Selenium (Se)</t>
  </si>
  <si>
    <t>Silicon (Si)</t>
  </si>
  <si>
    <t>Tin (Sn)</t>
  </si>
  <si>
    <t>B.S211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</si>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</sst>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9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8" t="s">
        <v>12</v>
      </c>
      <c r="B10" s="0" t="s">
        <v>13</v>
      </c>
    </row>
    <row r="11" outlineLevel="1">
      <c r="A11" s="8"/>
      <c r="B11" s="0" t="s">
        <v>14</v>
      </c>
    </row>
    <row r="12" outlineLevel="1">
      <c r="A12" s="8"/>
      <c r="B12" s="0" t="s">
        <v>15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6">
        <v>39234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6">
        <v>39988</v>
      </c>
    </row>
    <row r="18">
      <c r="A18" s="7"/>
    </row>
    <row r="19" s="1" customFormat="1">
      <c r="A19" s="9" t="s">
        <v>24</v>
      </c>
    </row>
    <row r="20" s="1" customFormat="1">
      <c r="A20" s="10" t="s">
        <v>25</v>
      </c>
      <c r="B20" s="10" t="s">
        <v>26</v>
      </c>
      <c r="C20" s="10" t="s">
        <v>27</v>
      </c>
      <c r="D20" s="10"/>
      <c r="E20" s="10"/>
      <c r="F20" s="10" t="s">
        <v>28</v>
      </c>
      <c r="G20" s="10" t="s">
        <v>29</v>
      </c>
      <c r="H20" s="10" t="s">
        <v>30</v>
      </c>
      <c r="I20" s="10" t="s">
        <v>31</v>
      </c>
      <c r="J20" s="10" t="s">
        <v>32</v>
      </c>
      <c r="K20" s="10" t="s">
        <v>33</v>
      </c>
      <c r="L20" s="10"/>
    </row>
    <row r="21" s="1" customFormat="1">
      <c r="A21" s="10"/>
      <c r="B21" s="10"/>
      <c r="C21" s="10" t="s">
        <v>34</v>
      </c>
      <c r="D21" s="10" t="s">
        <v>35</v>
      </c>
      <c r="E21" s="10" t="s">
        <v>36</v>
      </c>
      <c r="F21" s="10"/>
      <c r="G21" s="10"/>
      <c r="H21" s="10"/>
      <c r="I21" s="10"/>
      <c r="J21" s="10"/>
      <c r="K21" s="10"/>
      <c r="L21" s="10"/>
    </row>
    <row r="22">
      <c r="A22" s="7" t="s">
        <v>37</v>
      </c>
      <c r="I22" s="5"/>
    </row>
    <row r="23" outlineLevel="1">
      <c r="A23" s="11" t="s">
        <v>38</v>
      </c>
      <c r="I23" s="5"/>
    </row>
    <row r="24" outlineLevel="2">
      <c r="A24" s="12" t="s">
        <v>39</v>
      </c>
      <c r="B24" s="0" t="s">
        <v>40</v>
      </c>
      <c r="C24" s="13">
        <v>7.32</v>
      </c>
      <c r="D24" s="13"/>
      <c r="E24" s="13"/>
      <c r="F24" s="13"/>
      <c r="G24" s="13">
        <v>0.1</v>
      </c>
      <c r="H24" s="0" t="s">
        <v>41</v>
      </c>
      <c r="I24" s="5">
        <v>39238</v>
      </c>
      <c r="J24" s="0" t="s">
        <v>42</v>
      </c>
      <c r="K24" s="0" t="s">
        <v>42</v>
      </c>
    </row>
    <row r="25" outlineLevel="2">
      <c r="A25" s="12" t="s">
        <v>43</v>
      </c>
      <c r="B25" s="0" t="s">
        <v>40</v>
      </c>
      <c r="C25" s="13">
        <f>IFERROR(12.96*(1-w),"")</f>
        <v>12.011328</v>
      </c>
      <c r="D25" s="13">
        <v>12.96</v>
      </c>
      <c r="E25" s="13">
        <v/>
      </c>
      <c r="F25" s="13"/>
      <c r="G25" s="13">
        <v>0.1</v>
      </c>
      <c r="H25" s="0" t="s">
        <v>41</v>
      </c>
      <c r="I25" s="5">
        <v>39241</v>
      </c>
      <c r="J25" s="0" t="s">
        <v>44</v>
      </c>
      <c r="K25" s="0" t="s">
        <v>44</v>
      </c>
    </row>
    <row r="26" outlineLevel="2">
      <c r="A26" s="12" t="s">
        <v>45</v>
      </c>
      <c r="B26" s="0" t="s">
        <v>40</v>
      </c>
      <c r="C26" s="13">
        <f>IFERROR(10.22*(1-w),"")</f>
        <v>9.471896000000001</v>
      </c>
      <c r="D26" s="13">
        <v>10.22</v>
      </c>
      <c r="E26" s="13">
        <v/>
      </c>
      <c r="F26" s="13"/>
      <c r="G26" s="13">
        <v>0.1</v>
      </c>
      <c r="H26" s="0" t="s">
        <v>41</v>
      </c>
      <c r="I26" s="5">
        <v>39241</v>
      </c>
      <c r="K26" s="0" t="s">
        <v>44</v>
      </c>
    </row>
    <row r="27" outlineLevel="1">
      <c r="A27" s="11" t="s">
        <v>46</v>
      </c>
      <c r="I27" s="5"/>
    </row>
    <row r="28" outlineLevel="2">
      <c r="A28" s="12" t="s">
        <v>47</v>
      </c>
      <c r="B28" s="0" t="s">
        <v>40</v>
      </c>
      <c r="C28" s="13">
        <f>IFERROR(43.975*(1-w),"")</f>
        <v>40.75603</v>
      </c>
      <c r="D28" s="13">
        <v>43.975</v>
      </c>
      <c r="E28" s="13">
        <v>50.52274816176471</v>
      </c>
      <c r="F28" s="13">
        <v>0.34</v>
      </c>
      <c r="G28" s="13">
        <v>0.1</v>
      </c>
      <c r="H28" s="0" t="s">
        <v>41</v>
      </c>
      <c r="I28" s="5">
        <v>39245</v>
      </c>
      <c r="J28" s="0" t="s">
        <v>48</v>
      </c>
      <c r="K28" s="0" t="s">
        <v>48</v>
      </c>
    </row>
    <row r="29" outlineLevel="2">
      <c r="A29" s="12" t="s">
        <v>49</v>
      </c>
      <c r="B29" s="0" t="s">
        <v>40</v>
      </c>
      <c r="C29" s="13">
        <f>IFERROR(6.74*(1-w),"")</f>
        <v>6.246632</v>
      </c>
      <c r="D29" s="13">
        <v>6.74</v>
      </c>
      <c r="E29" s="13">
        <v>7.7435661764705888</v>
      </c>
      <c r="F29" s="13">
        <v>1.05</v>
      </c>
      <c r="G29" s="13">
        <v>0.1</v>
      </c>
      <c r="H29" s="0" t="s">
        <v>41</v>
      </c>
      <c r="I29" s="5">
        <v>39245</v>
      </c>
      <c r="J29" s="0" t="s">
        <v>48</v>
      </c>
      <c r="K29" s="0" t="s">
        <v>48</v>
      </c>
    </row>
    <row r="30" outlineLevel="2">
      <c r="A30" s="12" t="s">
        <v>50</v>
      </c>
      <c r="B30" s="0" t="s">
        <v>40</v>
      </c>
      <c r="C30" s="13">
        <f>IFERROR(1.47*(1-w),"")</f>
        <v>1.362396</v>
      </c>
      <c r="D30" s="13">
        <v>1.47</v>
      </c>
      <c r="E30" s="13">
        <v>1.6888786764705883</v>
      </c>
      <c r="F30" s="13"/>
      <c r="G30" s="13">
        <v>0.1</v>
      </c>
      <c r="H30" s="0" t="s">
        <v>41</v>
      </c>
      <c r="I30" s="5">
        <v>39245</v>
      </c>
      <c r="J30" s="0" t="s">
        <v>48</v>
      </c>
      <c r="K30" s="0" t="s">
        <v>48</v>
      </c>
    </row>
    <row r="31" outlineLevel="2">
      <c r="A31" s="12" t="s">
        <v>51</v>
      </c>
      <c r="B31" s="0" t="s">
        <v>40</v>
      </c>
      <c r="C31" s="13">
        <f>IFERROR(0.114907747299582*(1-w),"")</f>
        <v>0.1064965001972526</v>
      </c>
      <c r="D31" s="13">
        <v>0.114907747299582</v>
      </c>
      <c r="E31" s="13">
        <v>0.13201717290852713</v>
      </c>
      <c r="F31" s="13">
        <v>0.09</v>
      </c>
      <c r="G31" s="13">
        <v>0.000547043591863468</v>
      </c>
      <c r="H31" s="0" t="s">
        <v>41</v>
      </c>
      <c r="I31" s="5">
        <v>39255</v>
      </c>
      <c r="J31" s="0" t="s">
        <v>52</v>
      </c>
      <c r="K31" s="0" t="s">
        <v>48</v>
      </c>
    </row>
    <row r="32" outlineLevel="2">
      <c r="A32" s="12" t="s">
        <v>53</v>
      </c>
      <c r="B32" s="0" t="s">
        <v>40</v>
      </c>
      <c r="C32" s="13">
        <f>IFERROR(65.3491077472996*(1-w)+w*100,"")</f>
        <v>67.885553060197253</v>
      </c>
      <c r="D32" s="13">
        <v>65.349107747299584</v>
      </c>
      <c r="E32" s="13">
        <v>60.189691805261475</v>
      </c>
      <c r="F32" s="13"/>
      <c r="G32" s="13"/>
      <c r="I32" s="5"/>
      <c r="J32" s="0" t="s">
        <v>54</v>
      </c>
    </row>
    <row r="33" outlineLevel="1">
      <c r="A33" s="11" t="s">
        <v>55</v>
      </c>
      <c r="I33" s="5"/>
    </row>
    <row r="34" outlineLevel="2">
      <c r="A34" s="12" t="s">
        <v>56</v>
      </c>
      <c r="B34" s="0" t="s">
        <v>57</v>
      </c>
      <c r="C34" s="14">
        <f>IFERROR(892*(1-w),"")</f>
        <v>826.7056</v>
      </c>
      <c r="D34" s="14">
        <v>892</v>
      </c>
      <c r="E34" s="14">
        <v>1024.8161764705883</v>
      </c>
      <c r="F34" s="14"/>
      <c r="G34" s="14">
        <v>10</v>
      </c>
      <c r="H34" s="0" t="s">
        <v>41</v>
      </c>
      <c r="I34" s="5">
        <v>39255</v>
      </c>
      <c r="J34" s="0" t="s">
        <v>58</v>
      </c>
      <c r="K34" s="0" t="s">
        <v>58</v>
      </c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222.987700024583</v>
      </c>
      <c r="D36" s="14"/>
      <c r="E36" s="14"/>
      <c r="F36" s="14">
        <v>0.42</v>
      </c>
      <c r="G36" s="14">
        <v>0.0323694433055307</v>
      </c>
      <c r="H36" s="0" t="s">
        <v>41</v>
      </c>
      <c r="I36" s="5">
        <v>39255</v>
      </c>
      <c r="K36" s="0" t="s">
        <v>62</v>
      </c>
    </row>
    <row r="37" outlineLevel="2">
      <c r="A37" s="12" t="s">
        <v>63</v>
      </c>
      <c r="B37" s="0" t="s">
        <v>61</v>
      </c>
      <c r="C37" s="14">
        <v>0.0323694433055307</v>
      </c>
      <c r="D37" s="14"/>
      <c r="E37" s="14"/>
      <c r="F37" s="14">
        <v>47.14</v>
      </c>
      <c r="G37" s="14">
        <v>0.0107898144351769</v>
      </c>
      <c r="H37" s="0" t="s">
        <v>41</v>
      </c>
      <c r="I37" s="5">
        <v>39262</v>
      </c>
      <c r="K37" s="0" t="s">
        <v>64</v>
      </c>
    </row>
    <row r="38" outlineLevel="2">
      <c r="A38" s="12" t="s">
        <v>65</v>
      </c>
      <c r="B38" s="0" t="s">
        <v>61</v>
      </c>
      <c r="C38" s="14">
        <v>0.884764783684505</v>
      </c>
      <c r="D38" s="14"/>
      <c r="E38" s="14"/>
      <c r="F38" s="14">
        <v>37.94</v>
      </c>
      <c r="G38" s="14">
        <v>0.31290461862013</v>
      </c>
      <c r="H38" s="0" t="s">
        <v>41</v>
      </c>
      <c r="I38" s="5">
        <v>39255</v>
      </c>
      <c r="K38" s="0" t="s">
        <v>66</v>
      </c>
    </row>
    <row r="39" outlineLevel="2">
      <c r="A39" s="12" t="s">
        <v>67</v>
      </c>
      <c r="B39" s="0" t="s">
        <v>61</v>
      </c>
      <c r="C39" s="14">
        <v>2.96611998823013</v>
      </c>
      <c r="D39" s="14"/>
      <c r="E39" s="14"/>
      <c r="F39" s="14">
        <v>0.41</v>
      </c>
      <c r="G39" s="14">
        <v>0.0151057402092476</v>
      </c>
      <c r="H39" s="0" t="s">
        <v>41</v>
      </c>
      <c r="I39" s="5">
        <v>39255</v>
      </c>
      <c r="K39" s="0" t="s">
        <v>64</v>
      </c>
    </row>
    <row r="40" outlineLevel="2">
      <c r="A40" s="12" t="s">
        <v>68</v>
      </c>
      <c r="B40" s="0" t="s">
        <v>61</v>
      </c>
      <c r="C40" s="14">
        <v>0.00755287010462383</v>
      </c>
      <c r="D40" s="14"/>
      <c r="E40" s="14"/>
      <c r="F40" s="14"/>
      <c r="G40" s="14">
        <v>0.00215796288703538</v>
      </c>
      <c r="H40" s="0" t="s">
        <v>41</v>
      </c>
      <c r="I40" s="5">
        <v>39255</v>
      </c>
      <c r="K40" s="0" t="s">
        <v>64</v>
      </c>
    </row>
    <row r="41" outlineLevel="2">
      <c r="A41" s="12" t="s">
        <v>69</v>
      </c>
      <c r="B41" s="0" t="s">
        <v>61</v>
      </c>
      <c r="C41" s="14">
        <v>713.746224886951</v>
      </c>
      <c r="D41" s="14"/>
      <c r="E41" s="14"/>
      <c r="F41" s="14">
        <v>0.21</v>
      </c>
      <c r="G41" s="14">
        <v>1.19766940230464</v>
      </c>
      <c r="H41" s="0" t="s">
        <v>41</v>
      </c>
      <c r="I41" s="5">
        <v>39255</v>
      </c>
      <c r="K41" s="0" t="s">
        <v>62</v>
      </c>
    </row>
    <row r="42" outlineLevel="2">
      <c r="A42" s="12" t="s">
        <v>70</v>
      </c>
      <c r="B42" s="0" t="s">
        <v>61</v>
      </c>
      <c r="C42" s="14">
        <v>0.0205006474268361</v>
      </c>
      <c r="D42" s="14"/>
      <c r="E42" s="14"/>
      <c r="F42" s="14">
        <v>37.22</v>
      </c>
      <c r="G42" s="14">
        <v>0.0107898144351769</v>
      </c>
      <c r="H42" s="0" t="s">
        <v>41</v>
      </c>
      <c r="I42" s="5">
        <v>39255</v>
      </c>
      <c r="K42" s="0" t="s">
        <v>64</v>
      </c>
    </row>
    <row r="43" outlineLevel="2">
      <c r="A43" s="12" t="s">
        <v>71</v>
      </c>
      <c r="B43" s="0" t="s">
        <v>61</v>
      </c>
      <c r="C43" s="14">
        <v>0.0463962020712606</v>
      </c>
      <c r="D43" s="14"/>
      <c r="E43" s="14"/>
      <c r="F43" s="14">
        <v>23.02</v>
      </c>
      <c r="G43" s="14">
        <v>0.0258955546444245</v>
      </c>
      <c r="H43" s="0" t="s">
        <v>41</v>
      </c>
      <c r="I43" s="5">
        <v>39255</v>
      </c>
      <c r="K43" s="0" t="s">
        <v>64</v>
      </c>
    </row>
    <row r="44" outlineLevel="2">
      <c r="A44" s="12" t="s">
        <v>72</v>
      </c>
      <c r="B44" s="0" t="s">
        <v>61</v>
      </c>
      <c r="C44" s="14">
        <v>0.479607251643613</v>
      </c>
      <c r="D44" s="14"/>
      <c r="E44" s="14"/>
      <c r="F44" s="14">
        <v>26.88</v>
      </c>
      <c r="G44" s="14">
        <v>0.0237375917573892</v>
      </c>
      <c r="H44" s="0" t="s">
        <v>41</v>
      </c>
      <c r="I44" s="5">
        <v>39255</v>
      </c>
      <c r="K44" s="0" t="s">
        <v>64</v>
      </c>
    </row>
    <row r="45" outlineLevel="2">
      <c r="A45" s="12" t="s">
        <v>73</v>
      </c>
      <c r="B45" s="0" t="s">
        <v>61</v>
      </c>
      <c r="C45" s="14">
        <v>4.36070350397674</v>
      </c>
      <c r="D45" s="14"/>
      <c r="E45" s="14"/>
      <c r="F45" s="14">
        <v>1.07</v>
      </c>
      <c r="G45" s="14">
        <v>0.0345274061925661</v>
      </c>
      <c r="H45" s="0" t="s">
        <v>41</v>
      </c>
      <c r="I45" s="5">
        <v>39255</v>
      </c>
      <c r="K45" s="0" t="s">
        <v>64</v>
      </c>
    </row>
    <row r="46" outlineLevel="2">
      <c r="A46" s="12" t="s">
        <v>74</v>
      </c>
      <c r="B46" s="0" t="s">
        <v>61</v>
      </c>
      <c r="C46" s="14">
        <v>185.762840223223</v>
      </c>
      <c r="D46" s="14"/>
      <c r="E46" s="14"/>
      <c r="F46" s="14">
        <v>0.2</v>
      </c>
      <c r="G46" s="14">
        <v>0.323694433055307</v>
      </c>
      <c r="H46" s="0" t="s">
        <v>41</v>
      </c>
      <c r="I46" s="5">
        <v>39255</v>
      </c>
      <c r="K46" s="0" t="s">
        <v>62</v>
      </c>
    </row>
    <row r="47" outlineLevel="2">
      <c r="A47" s="12" t="s">
        <v>75</v>
      </c>
      <c r="B47" s="0" t="s">
        <v>61</v>
      </c>
      <c r="C47" s="14">
        <v>0.00161847216527653</v>
      </c>
      <c r="D47" s="14"/>
      <c r="E47" s="14"/>
      <c r="F47" s="14">
        <v>47.14</v>
      </c>
      <c r="G47" s="14">
        <v>0.00647388866110614</v>
      </c>
      <c r="H47" s="0" t="s">
        <v>41</v>
      </c>
      <c r="I47" s="5">
        <v>39252</v>
      </c>
      <c r="K47" s="0" t="s">
        <v>64</v>
      </c>
    </row>
    <row r="48" outlineLevel="2">
      <c r="A48" s="12" t="s">
        <v>76</v>
      </c>
      <c r="B48" s="0" t="s">
        <v>61</v>
      </c>
      <c r="C48" s="14">
        <v>4468.8444191533</v>
      </c>
      <c r="D48" s="14"/>
      <c r="E48" s="14"/>
      <c r="F48" s="14">
        <v>0.46</v>
      </c>
      <c r="G48" s="14">
        <v>5.72939146507893</v>
      </c>
      <c r="H48" s="0" t="s">
        <v>41</v>
      </c>
      <c r="I48" s="5">
        <v>39255</v>
      </c>
      <c r="K48" s="0" t="s">
        <v>62</v>
      </c>
    </row>
    <row r="49" outlineLevel="2">
      <c r="A49" s="12" t="s">
        <v>77</v>
      </c>
      <c r="B49" s="0" t="s">
        <v>61</v>
      </c>
      <c r="C49" s="14">
        <v>1210.76284212172</v>
      </c>
      <c r="D49" s="14"/>
      <c r="E49" s="14"/>
      <c r="F49" s="14">
        <v>0.15</v>
      </c>
      <c r="G49" s="14">
        <v>0.0755287010462383</v>
      </c>
      <c r="H49" s="0" t="s">
        <v>41</v>
      </c>
      <c r="I49" s="5">
        <v>39255</v>
      </c>
      <c r="K49" s="0" t="s">
        <v>62</v>
      </c>
    </row>
    <row r="50" outlineLevel="2">
      <c r="A50" s="12" t="s">
        <v>78</v>
      </c>
      <c r="B50" s="0" t="s">
        <v>61</v>
      </c>
      <c r="C50" s="14">
        <v>12.9477773222123</v>
      </c>
      <c r="D50" s="14"/>
      <c r="E50" s="14"/>
      <c r="F50" s="14">
        <v>0.47</v>
      </c>
      <c r="G50" s="14">
        <v>0.0647388866110614</v>
      </c>
      <c r="H50" s="0" t="s">
        <v>41</v>
      </c>
      <c r="I50" s="5">
        <v>39255</v>
      </c>
      <c r="K50" s="0" t="s">
        <v>64</v>
      </c>
    </row>
    <row r="51" outlineLevel="2">
      <c r="A51" s="12" t="s">
        <v>79</v>
      </c>
      <c r="B51" s="0" t="s">
        <v>61</v>
      </c>
      <c r="C51" s="14">
        <v>0.805459647585955</v>
      </c>
      <c r="D51" s="14"/>
      <c r="E51" s="14"/>
      <c r="F51" s="14">
        <v>0.85</v>
      </c>
      <c r="G51" s="14">
        <v>0.0356063876360837</v>
      </c>
      <c r="H51" s="0" t="s">
        <v>41</v>
      </c>
      <c r="I51" s="5">
        <v>39255</v>
      </c>
      <c r="K51" s="0" t="s">
        <v>64</v>
      </c>
    </row>
    <row r="52" outlineLevel="2">
      <c r="A52" s="12" t="s">
        <v>80</v>
      </c>
      <c r="B52" s="0" t="s">
        <v>61</v>
      </c>
      <c r="C52" s="14">
        <v>73.106387705541</v>
      </c>
      <c r="D52" s="14"/>
      <c r="E52" s="14"/>
      <c r="F52" s="14">
        <v>0.07</v>
      </c>
      <c r="G52" s="14">
        <v>1.1652999589991</v>
      </c>
      <c r="H52" s="0" t="s">
        <v>41</v>
      </c>
      <c r="I52" s="5">
        <v>39255</v>
      </c>
      <c r="K52" s="0" t="s">
        <v>62</v>
      </c>
    </row>
    <row r="53" outlineLevel="2">
      <c r="A53" s="12" t="s">
        <v>81</v>
      </c>
      <c r="B53" s="0" t="s">
        <v>61</v>
      </c>
      <c r="C53" s="14">
        <v>0.305351748515506</v>
      </c>
      <c r="D53" s="14"/>
      <c r="E53" s="14"/>
      <c r="F53" s="14">
        <v>5.5</v>
      </c>
      <c r="G53" s="14">
        <v>0.0463962020712606</v>
      </c>
      <c r="H53" s="0" t="s">
        <v>41</v>
      </c>
      <c r="I53" s="5">
        <v>39255</v>
      </c>
      <c r="K53" s="0" t="s">
        <v>64</v>
      </c>
    </row>
    <row r="54" outlineLevel="2">
      <c r="A54" s="12" t="s">
        <v>82</v>
      </c>
      <c r="B54" s="0" t="s">
        <v>61</v>
      </c>
      <c r="C54" s="14">
        <v>3363.42793026943</v>
      </c>
      <c r="D54" s="14"/>
      <c r="E54" s="14"/>
      <c r="F54" s="14">
        <v>0.11</v>
      </c>
      <c r="G54" s="14">
        <v>0.679758309416144</v>
      </c>
      <c r="H54" s="0" t="s">
        <v>41</v>
      </c>
      <c r="I54" s="5">
        <v>39255</v>
      </c>
      <c r="K54" s="0" t="s">
        <v>62</v>
      </c>
    </row>
    <row r="55" outlineLevel="2">
      <c r="A55" s="12" t="s">
        <v>83</v>
      </c>
      <c r="B55" s="0" t="s">
        <v>61</v>
      </c>
      <c r="C55" s="14">
        <v>0.13055675466564</v>
      </c>
      <c r="D55" s="14"/>
      <c r="E55" s="14"/>
      <c r="F55" s="14">
        <v>16.36</v>
      </c>
      <c r="G55" s="14">
        <v>0.123003884561017</v>
      </c>
      <c r="H55" s="0" t="s">
        <v>41</v>
      </c>
      <c r="I55" s="5">
        <v>39255</v>
      </c>
      <c r="K55" s="0" t="s">
        <v>64</v>
      </c>
    </row>
    <row r="56" outlineLevel="2">
      <c r="A56" s="12" t="s">
        <v>84</v>
      </c>
      <c r="B56" s="0" t="s">
        <v>61</v>
      </c>
      <c r="C56" s="14">
        <v>0.0647388866110614</v>
      </c>
      <c r="D56" s="14"/>
      <c r="E56" s="14"/>
      <c r="F56" s="14">
        <v>377.12</v>
      </c>
      <c r="G56" s="14">
        <v>0.0647388866110614</v>
      </c>
      <c r="H56" s="0" t="s">
        <v>41</v>
      </c>
      <c r="I56" s="5">
        <v>39262</v>
      </c>
      <c r="K56" s="0" t="s">
        <v>85</v>
      </c>
    </row>
    <row r="57" outlineLevel="2">
      <c r="A57" s="12" t="s">
        <v>86</v>
      </c>
      <c r="B57" s="0" t="s">
        <v>61</v>
      </c>
      <c r="C57" s="14">
        <v>0.00539490721758845</v>
      </c>
      <c r="D57" s="14"/>
      <c r="E57" s="14"/>
      <c r="F57" s="14">
        <v>424.26</v>
      </c>
      <c r="G57" s="14">
        <v>0.0215796288703538</v>
      </c>
      <c r="H57" s="0" t="s">
        <v>41</v>
      </c>
      <c r="I57" s="5">
        <v>39262</v>
      </c>
      <c r="K57" s="0" t="s">
        <v>64</v>
      </c>
    </row>
    <row r="58" outlineLevel="2">
      <c r="A58" s="12" t="s">
        <v>87</v>
      </c>
      <c r="B58" s="0" t="s">
        <v>61</v>
      </c>
      <c r="C58" s="14">
        <v>3958.47001164778</v>
      </c>
      <c r="D58" s="14"/>
      <c r="E58" s="14"/>
      <c r="F58" s="14">
        <v>22.8</v>
      </c>
      <c r="G58" s="14">
        <v>4.2511868874597</v>
      </c>
      <c r="H58" s="0" t="s">
        <v>41</v>
      </c>
      <c r="I58" s="5">
        <v>39255</v>
      </c>
      <c r="K58" s="0" t="s">
        <v>62</v>
      </c>
    </row>
    <row r="59" outlineLevel="2">
      <c r="A59" s="12" t="s">
        <v>88</v>
      </c>
      <c r="B59" s="0" t="s">
        <v>61</v>
      </c>
      <c r="C59" s="14">
        <v>0.0469356927930195</v>
      </c>
      <c r="D59" s="14"/>
      <c r="E59" s="14"/>
      <c r="F59" s="14">
        <v>177.18</v>
      </c>
      <c r="G59" s="14">
        <v>0.127319810335087</v>
      </c>
      <c r="H59" s="0" t="s">
        <v>41</v>
      </c>
      <c r="I59" s="5">
        <v>39255</v>
      </c>
      <c r="K59" s="0" t="s">
        <v>89</v>
      </c>
    </row>
    <row r="60" outlineLevel="2">
      <c r="A60" s="12" t="s">
        <v>90</v>
      </c>
      <c r="B60" s="0" t="s">
        <v>61</v>
      </c>
      <c r="C60" s="14">
        <v>4.94173501131102</v>
      </c>
      <c r="D60" s="14"/>
      <c r="E60" s="14"/>
      <c r="F60" s="14">
        <v>0.31</v>
      </c>
      <c r="G60" s="14">
        <v>0.0215796288703538</v>
      </c>
      <c r="H60" s="0" t="s">
        <v>41</v>
      </c>
      <c r="I60" s="5">
        <v>39255</v>
      </c>
      <c r="K60" s="0" t="s">
        <v>66</v>
      </c>
    </row>
    <row r="61" outlineLevel="2">
      <c r="A61" s="12" t="s">
        <v>91</v>
      </c>
      <c r="B61" s="0" t="s">
        <v>61</v>
      </c>
      <c r="C61" s="14">
        <v>11.011005631098</v>
      </c>
      <c r="D61" s="14"/>
      <c r="E61" s="14"/>
      <c r="F61" s="14">
        <v>15.17</v>
      </c>
      <c r="G61" s="14">
        <v>0.107898144351769</v>
      </c>
      <c r="H61" s="0" t="s">
        <v>41</v>
      </c>
      <c r="I61" s="5">
        <v>39255</v>
      </c>
      <c r="K61" s="0" t="s">
        <v>62</v>
      </c>
    </row>
    <row r="62" outlineLevel="2">
      <c r="A62" s="12" t="s">
        <v>92</v>
      </c>
      <c r="B62" s="0" t="s">
        <v>61</v>
      </c>
      <c r="C62" s="14">
        <v>0.292943461915053</v>
      </c>
      <c r="D62" s="14"/>
      <c r="E62" s="14"/>
      <c r="F62" s="14">
        <v>6.51</v>
      </c>
      <c r="G62" s="14">
        <v>0.0841605525943798</v>
      </c>
      <c r="H62" s="0" t="s">
        <v>41</v>
      </c>
      <c r="I62" s="5">
        <v>39255</v>
      </c>
      <c r="K62" s="0" t="s">
        <v>64</v>
      </c>
    </row>
    <row r="63" outlineLevel="2">
      <c r="A63" s="12" t="s">
        <v>93</v>
      </c>
      <c r="B63" s="0" t="s">
        <v>61</v>
      </c>
      <c r="C63" s="14">
        <v>28.0804920675479</v>
      </c>
      <c r="D63" s="14"/>
      <c r="E63" s="14"/>
      <c r="F63" s="14">
        <v>1.39</v>
      </c>
      <c r="G63" s="14">
        <v>0.183426845398007</v>
      </c>
      <c r="H63" s="0" t="s">
        <v>41</v>
      </c>
      <c r="I63" s="5">
        <v>39255</v>
      </c>
      <c r="K63" s="0" t="s">
        <v>64</v>
      </c>
    </row>
    <row r="64">
      <c r="I64" s="5"/>
    </row>
    <row r="65" s="1" customFormat="1"/>
  </sheetData>
  <mergeCells>
    <mergeCell ref="A10:A12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</mergeCells>
  <dataValidations count="1">
    <dataValidation type="decimal" sqref="C24" errorStyle="stop" promptTitle="Enter moisture content" errorTitle="Invalid moisture content" prompt="Value should be between 0 and 100.&#10;Original value: 7.3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https://phyllis.nl/Biomass/View/3191</dc:description>
  <dcterms:created xsi:type="dcterms:W3CDTF">2026-03-04T04:04:09Z</dcterms:created>
  <dc:title>Phyllis2 #3191 Gerbera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