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92 grass pellets" sheetId="1" r:id="rId1"/>
  </sheets>
  <definedNames>
    <definedName name="w" localSheetId="0">IF(ISBLANK('Phyllis2 #3192 grass pellets'!$C$27),#N/A,'Phyllis2 #3192 grass pellets'!$C$27/100)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<sst xmlns="http://schemas.openxmlformats.org/spreadsheetml/2006/main" count="104" uniqueCount="104">
  <si>
    <t>Phyllis2</t>
  </si>
  <si>
    <t>https://phyllis.nl/Biomass/View/3192</t>
  </si>
  <si>
    <t>grass pellets (#3192)</t>
  </si>
  <si>
    <t>ID-number</t>
  </si>
  <si>
    <t>#3192</t>
  </si>
  <si>
    <t>Material</t>
  </si>
  <si>
    <t>grass pellets</t>
  </si>
  <si>
    <t>Alternative name</t>
  </si>
  <si>
    <t>Grass pellets</t>
  </si>
  <si>
    <t>Description</t>
  </si>
  <si>
    <t>EKO grass pellets 25-2-2003 1st bag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</si>
  <si>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</si>
  <si>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</si>
  <si>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other grass &gt; grass from nature reserve</t>
  </si>
  <si>
    <t>NTA 8003 classification &gt; [200] biomassa uit land- en tuinbouw &gt; [210] gras</t>
  </si>
  <si>
    <t>Sample date</t>
  </si>
  <si>
    <t>Ash type</t>
  </si>
  <si>
    <t>550°C</t>
  </si>
  <si>
    <t>Country</t>
  </si>
  <si>
    <t>Netherlands</t>
  </si>
  <si>
    <t>Production date</t>
  </si>
  <si>
    <t>Submitter</t>
  </si>
  <si>
    <t>Bakker, F.P.</t>
  </si>
  <si>
    <t>Submitter organisation</t>
  </si>
  <si>
    <t>ECN (Netherlands)</t>
  </si>
  <si>
    <t>Submission date</t>
  </si>
  <si>
    <t>Remarks</t>
  </si>
  <si>
    <t>ECN</t>
  </si>
  <si>
    <t>Literature</t>
  </si>
  <si>
    <t>ECN laboratories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</si>
  <si>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</si>
  <si>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</si>
  <si>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</si>
  <si>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</si>
  <si>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</si>
  <si>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</si>
  <si>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</si>
  <si>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</si>
  <si>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</si>
  <si>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</si>
  <si>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</si>
  <si>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</si>
  <si>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</si>
  <si>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</si>
  <si>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</si>
  <si>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</si>
  <si>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</si>
  <si>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</si>
  <si>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</si>
  <si>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</si>
  <si>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</si>
  <si>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</si>
  <si>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</si>
  <si>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</si>
  <si>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</si>
  <si>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</si>
  <si>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</si>
  <si>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B.N213</t>
  </si>
  <si>
    <t>Nitrogen</t>
  </si>
  <si>
    <t>Sulphur</t>
  </si>
  <si>
    <t>CEN/TS15289</t>
  </si>
  <si>
    <t>Total (with halides)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</si>
  <si>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</si>
  <si>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</si>
  <si>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</si>
  <si>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</si>
  <si>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</si>
  <si>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</si>
  <si>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</si>
  <si>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</si>
  <si>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Gross calorific value (HHV)</t>
  </si>
  <si>
    <t>HHVMilne</t>
  </si>
  <si>
    <t>Trace elements composition</t>
  </si>
  <si>
    <t>Aluminium (Al)</t>
  </si>
  <si>
    <t>mg/kg (dry)</t>
  </si>
  <si>
    <t>CEN/TS 15290</t>
  </si>
  <si>
    <t>Arsenic (As)</t>
  </si>
  <si>
    <t>CEN/TS 15297</t>
  </si>
  <si>
    <t>Boron (B)</t>
  </si>
  <si>
    <t>B.S221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</si>
  <si>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</si>
  <si>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</si>
  <si>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</si>
  <si>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</si>
  <si>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</si>
  <si>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</si>
  <si>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</si>
  <si>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</si>
  <si>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</si>
  <si>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</si>
  <si>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</si>
  <si>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</si>
  <si>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</si>
  <si>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</si>
  <si>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</si>
  <si>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</si>
  <si>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below detection limit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</si>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</sst>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9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20.1122856140137" customWidth="1"/>
    <col min="11" max="11" width="18.8621006011963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6">
        <v>39979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6">
        <v>37677</v>
      </c>
    </row>
    <row r="16" outlineLevel="1">
      <c r="A16" s="7" t="s">
        <v>21</v>
      </c>
      <c r="B16" s="0" t="s">
        <v>22</v>
      </c>
    </row>
    <row r="17" outlineLevel="1">
      <c r="A17" s="7" t="s">
        <v>23</v>
      </c>
      <c r="B17" s="0" t="s">
        <v>24</v>
      </c>
    </row>
    <row r="18" outlineLevel="1">
      <c r="A18" s="7" t="s">
        <v>25</v>
      </c>
      <c r="B18" s="6">
        <v>37690</v>
      </c>
    </row>
    <row r="19" outlineLevel="1">
      <c r="A19" s="7" t="s">
        <v>26</v>
      </c>
      <c r="B19" s="0" t="s">
        <v>27</v>
      </c>
    </row>
    <row r="20" outlineLevel="1">
      <c r="A20" s="7" t="s">
        <v>28</v>
      </c>
      <c r="B20" s="0" t="s">
        <v>29</v>
      </c>
    </row>
    <row r="21">
      <c r="A21" s="7"/>
    </row>
    <row r="22" s="1" customFormat="1">
      <c r="A22" s="9" t="s">
        <v>30</v>
      </c>
    </row>
    <row r="23" s="1" customFormat="1">
      <c r="A23" s="10" t="s">
        <v>31</v>
      </c>
      <c r="B23" s="10" t="s">
        <v>32</v>
      </c>
      <c r="C23" s="10" t="s">
        <v>33</v>
      </c>
      <c r="D23" s="10"/>
      <c r="E23" s="10"/>
      <c r="F23" s="10" t="s">
        <v>34</v>
      </c>
      <c r="G23" s="10" t="s">
        <v>35</v>
      </c>
      <c r="H23" s="10" t="s">
        <v>36</v>
      </c>
      <c r="I23" s="10" t="s">
        <v>37</v>
      </c>
      <c r="J23" s="10" t="s">
        <v>38</v>
      </c>
      <c r="K23" s="10" t="s">
        <v>26</v>
      </c>
      <c r="L23" s="10"/>
    </row>
    <row r="24" s="1" customFormat="1">
      <c r="A24" s="10"/>
      <c r="B24" s="10"/>
      <c r="C24" s="10" t="s">
        <v>39</v>
      </c>
      <c r="D24" s="10" t="s">
        <v>40</v>
      </c>
      <c r="E24" s="10" t="s">
        <v>41</v>
      </c>
      <c r="F24" s="10"/>
      <c r="G24" s="10"/>
      <c r="H24" s="10"/>
      <c r="I24" s="10"/>
      <c r="J24" s="10"/>
      <c r="K24" s="10"/>
      <c r="L24" s="10"/>
    </row>
    <row r="25">
      <c r="A25" s="7" t="s">
        <v>42</v>
      </c>
      <c r="I25" s="5"/>
    </row>
    <row r="26" outlineLevel="1">
      <c r="A26" s="11" t="s">
        <v>43</v>
      </c>
      <c r="I26" s="5"/>
    </row>
    <row r="27" outlineLevel="2">
      <c r="A27" s="12" t="s">
        <v>44</v>
      </c>
      <c r="B27" s="0" t="s">
        <v>45</v>
      </c>
      <c r="C27" s="13">
        <v>11.36</v>
      </c>
      <c r="D27" s="13"/>
      <c r="E27" s="13"/>
      <c r="F27" s="13"/>
      <c r="G27" s="13">
        <v>0.1</v>
      </c>
      <c r="H27" s="0" t="s">
        <v>27</v>
      </c>
      <c r="I27" s="5">
        <v>37677</v>
      </c>
      <c r="J27" s="0" t="s">
        <v>46</v>
      </c>
      <c r="K27" s="0" t="s">
        <v>46</v>
      </c>
    </row>
    <row r="28" outlineLevel="2">
      <c r="A28" s="12" t="s">
        <v>47</v>
      </c>
      <c r="B28" s="0" t="s">
        <v>45</v>
      </c>
      <c r="C28" s="13">
        <f>IFERROR(12.145*(1-w),"")</f>
        <v>10.765327999999998</v>
      </c>
      <c r="D28" s="13">
        <v>12.145</v>
      </c>
      <c r="E28" s="13">
        <v/>
      </c>
      <c r="F28" s="13">
        <v>0.17</v>
      </c>
      <c r="G28" s="13">
        <v>0.1</v>
      </c>
      <c r="H28" s="0" t="s">
        <v>27</v>
      </c>
      <c r="I28" s="5">
        <v>37678</v>
      </c>
      <c r="J28" s="0" t="s">
        <v>48</v>
      </c>
      <c r="K28" s="0" t="s">
        <v>48</v>
      </c>
    </row>
    <row r="29" outlineLevel="2">
      <c r="A29" s="12" t="s">
        <v>49</v>
      </c>
      <c r="B29" s="0" t="s">
        <v>45</v>
      </c>
      <c r="C29" s="13">
        <f>IFERROR(70.975*(1-w),"")</f>
        <v>62.91223999999999</v>
      </c>
      <c r="D29" s="13">
        <v>70.975</v>
      </c>
      <c r="E29" s="13">
        <v>80.786523248534522</v>
      </c>
      <c r="F29" s="13">
        <v>0.27</v>
      </c>
      <c r="G29" s="13">
        <v>0.1</v>
      </c>
      <c r="H29" s="0" t="s">
        <v>27</v>
      </c>
      <c r="I29" s="5">
        <v>37685</v>
      </c>
    </row>
    <row r="30" outlineLevel="2">
      <c r="A30" s="12" t="s">
        <v>50</v>
      </c>
      <c r="B30" s="0" t="s">
        <v>45</v>
      </c>
      <c r="C30" s="13">
        <f>IFERROR(16.88*(1-w),"")</f>
        <v>14.962432000000009</v>
      </c>
      <c r="D30" s="13">
        <v>16.88000000000001</v>
      </c>
      <c r="E30" s="13">
        <v>19.213476751465496</v>
      </c>
      <c r="F30" s="13"/>
      <c r="G30" s="13"/>
      <c r="I30" s="5"/>
      <c r="J30" s="0" t="s">
        <v>51</v>
      </c>
    </row>
    <row r="31" outlineLevel="1">
      <c r="A31" s="11" t="s">
        <v>52</v>
      </c>
      <c r="I31" s="5"/>
    </row>
    <row r="32" outlineLevel="2">
      <c r="A32" s="12" t="s">
        <v>53</v>
      </c>
      <c r="B32" s="0" t="s">
        <v>45</v>
      </c>
      <c r="C32" s="13">
        <f>IFERROR(44.14*(1-w),"")</f>
        <v>39.125696</v>
      </c>
      <c r="D32" s="13">
        <v>44.14</v>
      </c>
      <c r="E32" s="13">
        <v>50.241875818109392</v>
      </c>
      <c r="F32" s="13">
        <v>2.21</v>
      </c>
      <c r="G32" s="13">
        <v>0.1</v>
      </c>
      <c r="H32" s="0" t="s">
        <v>27</v>
      </c>
      <c r="I32" s="5">
        <v>37680</v>
      </c>
      <c r="J32" s="0" t="s">
        <v>54</v>
      </c>
      <c r="K32" s="0" t="s">
        <v>54</v>
      </c>
    </row>
    <row r="33" outlineLevel="2">
      <c r="A33" s="12" t="s">
        <v>55</v>
      </c>
      <c r="B33" s="0" t="s">
        <v>45</v>
      </c>
      <c r="C33" s="13">
        <f>IFERROR(5.595*(1-w),"")</f>
        <v>4.959408</v>
      </c>
      <c r="D33" s="13">
        <v>5.595</v>
      </c>
      <c r="E33" s="13">
        <v>6.3684480109270956</v>
      </c>
      <c r="F33" s="13">
        <v>1.39</v>
      </c>
      <c r="G33" s="13">
        <v>0.1</v>
      </c>
      <c r="H33" s="0" t="s">
        <v>27</v>
      </c>
      <c r="I33" s="5">
        <v>37708</v>
      </c>
      <c r="J33" s="0" t="s">
        <v>54</v>
      </c>
      <c r="K33" s="0" t="s">
        <v>54</v>
      </c>
    </row>
    <row r="34" outlineLevel="2">
      <c r="A34" s="12" t="s">
        <v>56</v>
      </c>
      <c r="B34" s="0" t="s">
        <v>45</v>
      </c>
      <c r="C34" s="13">
        <f>IFERROR(35.64*(1-w),"")</f>
        <v>31.591296</v>
      </c>
      <c r="D34" s="13">
        <v>35.64</v>
      </c>
      <c r="E34" s="13">
        <v>40.566843093733993</v>
      </c>
      <c r="F34" s="13">
        <v>0.17</v>
      </c>
      <c r="G34" s="13">
        <v>0.1</v>
      </c>
      <c r="H34" s="0" t="s">
        <v>27</v>
      </c>
      <c r="I34" s="5">
        <v>37685</v>
      </c>
      <c r="K34" s="0" t="s">
        <v>57</v>
      </c>
    </row>
    <row r="35" outlineLevel="2">
      <c r="A35" s="12" t="s">
        <v>58</v>
      </c>
      <c r="B35" s="0" t="s">
        <v>45</v>
      </c>
      <c r="C35" s="13">
        <f>IFERROR(2.495*(1-w),"")</f>
        <v>2.211568</v>
      </c>
      <c r="D35" s="13">
        <v>2.495</v>
      </c>
      <c r="E35" s="13">
        <v>2.8399066643901887</v>
      </c>
      <c r="F35" s="13">
        <v>2.55</v>
      </c>
      <c r="G35" s="13">
        <v>0.1</v>
      </c>
      <c r="H35" s="0" t="s">
        <v>27</v>
      </c>
      <c r="I35" s="5">
        <v>37680</v>
      </c>
      <c r="J35" s="0" t="s">
        <v>54</v>
      </c>
      <c r="K35" s="0" t="s">
        <v>54</v>
      </c>
    </row>
    <row r="36" outlineLevel="2">
      <c r="A36" s="12" t="s">
        <v>59</v>
      </c>
      <c r="B36" s="0" t="s">
        <v>45</v>
      </c>
      <c r="C36" s="13">
        <f>IFERROR(0.224*(1-w),"")</f>
        <v>0.1985536</v>
      </c>
      <c r="D36" s="13">
        <v>0.224</v>
      </c>
      <c r="E36" s="13">
        <v>0.25496556826589267</v>
      </c>
      <c r="F36" s="13">
        <v>9.45</v>
      </c>
      <c r="G36" s="13">
        <v>0.000606666666666667</v>
      </c>
      <c r="H36" s="0" t="s">
        <v>27</v>
      </c>
      <c r="I36" s="5">
        <v>37685</v>
      </c>
      <c r="J36" s="0" t="s">
        <v>60</v>
      </c>
      <c r="K36" s="0" t="s">
        <v>54</v>
      </c>
    </row>
    <row r="37" outlineLevel="2">
      <c r="A37" s="12" t="s">
        <v>61</v>
      </c>
      <c r="B37" s="0" t="s">
        <v>45</v>
      </c>
      <c r="C37" s="13">
        <f>IFERROR(100.869*(1-w)+w*100,"")</f>
        <v>100.77028159999999</v>
      </c>
      <c r="D37" s="13">
        <v>100.869</v>
      </c>
      <c r="E37" s="13">
        <v>100.98912981617438</v>
      </c>
      <c r="F37" s="13"/>
      <c r="G37" s="13"/>
      <c r="I37" s="5"/>
      <c r="J37" s="0" t="s">
        <v>51</v>
      </c>
    </row>
    <row r="38" outlineLevel="1">
      <c r="A38" s="11" t="s">
        <v>62</v>
      </c>
      <c r="I38" s="5"/>
    </row>
    <row r="39" outlineLevel="2">
      <c r="A39" s="12" t="s">
        <v>63</v>
      </c>
      <c r="B39" s="0" t="s">
        <v>64</v>
      </c>
      <c r="C39" s="14">
        <f>IFERROR(6300*(1-w),"")</f>
        <v>5584.32</v>
      </c>
      <c r="D39" s="14">
        <v>6300</v>
      </c>
      <c r="E39" s="14">
        <v>7170.9066074782313</v>
      </c>
      <c r="F39" s="14">
        <v>1.23</v>
      </c>
      <c r="G39" s="14">
        <v>10</v>
      </c>
      <c r="H39" s="0" t="s">
        <v>27</v>
      </c>
      <c r="I39" s="5">
        <v>37679</v>
      </c>
      <c r="J39" s="0" t="s">
        <v>65</v>
      </c>
      <c r="K39" s="0" t="s">
        <v>65</v>
      </c>
    </row>
    <row r="40" outlineLevel="1">
      <c r="A40" s="11" t="s">
        <v>66</v>
      </c>
      <c r="I40" s="5"/>
    </row>
    <row r="41" outlineLevel="2">
      <c r="A41" s="12" t="s">
        <v>67</v>
      </c>
      <c r="B41" s="0" t="s">
        <v>68</v>
      </c>
      <c r="C41" s="13">
        <f>IFERROR(17.35308*(1-w)-w*2.443,"")</f>
        <v>15.104245311999998</v>
      </c>
      <c r="D41" s="13">
        <v>17.35308</v>
      </c>
      <c r="E41" s="13">
        <v>19.751954925729894</v>
      </c>
      <c r="F41" s="13"/>
      <c r="G41" s="13"/>
      <c r="H41" s="0" t="s">
        <v>27</v>
      </c>
      <c r="I41" s="5">
        <v>37678</v>
      </c>
      <c r="K41" s="0" t="s">
        <v>69</v>
      </c>
    </row>
    <row r="42" outlineLevel="2">
      <c r="A42" s="12" t="s">
        <v>70</v>
      </c>
      <c r="B42" s="0" t="s">
        <v>68</v>
      </c>
      <c r="C42" s="13">
        <f>IFERROR(18.5735*(1-w),"")</f>
        <v>16.4635504</v>
      </c>
      <c r="D42" s="13">
        <v>18.5735</v>
      </c>
      <c r="E42" s="13">
        <v>21.141084741904276</v>
      </c>
      <c r="F42" s="13">
        <v>0.74</v>
      </c>
      <c r="G42" s="13">
        <v>0.1</v>
      </c>
      <c r="H42" s="0" t="s">
        <v>27</v>
      </c>
      <c r="I42" s="5">
        <v>37678</v>
      </c>
      <c r="J42" s="0" t="s">
        <v>69</v>
      </c>
      <c r="K42" s="0" t="s">
        <v>69</v>
      </c>
    </row>
    <row r="43" outlineLevel="2">
      <c r="A43" s="12" t="s">
        <v>71</v>
      </c>
      <c r="B43" s="0" t="s">
        <v>68</v>
      </c>
      <c r="C43" s="13">
        <f>IFERROR(17.724245556825*(1-w),"")</f>
        <v>15.710771261569679</v>
      </c>
      <c r="D43" s="13">
        <v>17.724245556825</v>
      </c>
      <c r="E43" s="13">
        <v>20.174430091429059</v>
      </c>
      <c r="F43" s="13"/>
      <c r="G43" s="13"/>
      <c r="I43" s="5"/>
      <c r="J43" s="0" t="s">
        <v>51</v>
      </c>
    </row>
    <row r="44" outlineLevel="1">
      <c r="A44" s="11" t="s">
        <v>72</v>
      </c>
      <c r="I44" s="5"/>
    </row>
    <row r="45" outlineLevel="2">
      <c r="A45" s="12" t="s">
        <v>73</v>
      </c>
      <c r="B45" s="0" t="s">
        <v>74</v>
      </c>
      <c r="C45" s="14">
        <v>1630</v>
      </c>
      <c r="D45" s="14"/>
      <c r="E45" s="14"/>
      <c r="F45" s="14">
        <v>0.2</v>
      </c>
      <c r="G45" s="14">
        <v>0</v>
      </c>
      <c r="H45" s="0" t="s">
        <v>27</v>
      </c>
      <c r="I45" s="5">
        <v>37685</v>
      </c>
      <c r="K45" s="0" t="s">
        <v>75</v>
      </c>
    </row>
    <row r="46" outlineLevel="2">
      <c r="A46" s="12" t="s">
        <v>76</v>
      </c>
      <c r="B46" s="0" t="s">
        <v>74</v>
      </c>
      <c r="C46" s="14">
        <v>1.4</v>
      </c>
      <c r="D46" s="14"/>
      <c r="E46" s="14"/>
      <c r="F46" s="14">
        <v>141.42</v>
      </c>
      <c r="G46" s="14">
        <v>2.5</v>
      </c>
      <c r="H46" s="0" t="s">
        <v>27</v>
      </c>
      <c r="I46" s="5">
        <v>37685</v>
      </c>
      <c r="K46" s="0" t="s">
        <v>77</v>
      </c>
    </row>
    <row r="47" outlineLevel="2">
      <c r="A47" s="12" t="s">
        <v>78</v>
      </c>
      <c r="B47" s="0" t="s">
        <v>74</v>
      </c>
      <c r="C47" s="14">
        <v>22.3375450398354</v>
      </c>
      <c r="D47" s="14"/>
      <c r="E47" s="14"/>
      <c r="F47" s="14">
        <v>8.57</v>
      </c>
      <c r="G47" s="14">
        <v>0.3</v>
      </c>
      <c r="H47" s="0" t="s">
        <v>27</v>
      </c>
      <c r="I47" s="5">
        <v>37685</v>
      </c>
      <c r="K47" s="0" t="s">
        <v>79</v>
      </c>
    </row>
    <row r="48" outlineLevel="2">
      <c r="A48" s="12" t="s">
        <v>80</v>
      </c>
      <c r="B48" s="0" t="s">
        <v>74</v>
      </c>
      <c r="C48" s="14">
        <v>11.65</v>
      </c>
      <c r="D48" s="14"/>
      <c r="E48" s="14"/>
      <c r="F48" s="14">
        <v>6.68</v>
      </c>
      <c r="G48" s="14">
        <v>0</v>
      </c>
      <c r="H48" s="0" t="s">
        <v>27</v>
      </c>
      <c r="I48" s="5">
        <v>37685</v>
      </c>
      <c r="K48" s="0" t="s">
        <v>77</v>
      </c>
    </row>
    <row r="49" outlineLevel="2">
      <c r="A49" s="12" t="s">
        <v>81</v>
      </c>
      <c r="B49" s="0" t="s">
        <v>74</v>
      </c>
      <c r="C49" s="14">
        <v>9467.5</v>
      </c>
      <c r="D49" s="14"/>
      <c r="E49" s="14"/>
      <c r="F49" s="14">
        <v>3.5</v>
      </c>
      <c r="G49" s="14">
        <v>0.6</v>
      </c>
      <c r="H49" s="0" t="s">
        <v>27</v>
      </c>
      <c r="I49" s="5">
        <v>37685</v>
      </c>
      <c r="K49" s="0" t="s">
        <v>75</v>
      </c>
    </row>
    <row r="50" outlineLevel="2">
      <c r="A50" s="12" t="s">
        <v>82</v>
      </c>
      <c r="B50" s="0" t="s">
        <v>74</v>
      </c>
      <c r="C50" s="14">
        <v>0.05</v>
      </c>
      <c r="D50" s="14"/>
      <c r="E50" s="14"/>
      <c r="F50" s="14">
        <v>141.42</v>
      </c>
      <c r="G50" s="14">
        <v>0.1</v>
      </c>
      <c r="H50" s="0" t="s">
        <v>27</v>
      </c>
      <c r="I50" s="5">
        <v>37685</v>
      </c>
      <c r="K50" s="0" t="s">
        <v>77</v>
      </c>
    </row>
    <row r="51" outlineLevel="2">
      <c r="A51" s="12" t="s">
        <v>83</v>
      </c>
      <c r="B51" s="0" t="s">
        <v>74</v>
      </c>
      <c r="C51" s="14">
        <v>0.3</v>
      </c>
      <c r="D51" s="14"/>
      <c r="E51" s="14"/>
      <c r="F51" s="14">
        <v>47.14</v>
      </c>
      <c r="G51" s="14">
        <v>0.5</v>
      </c>
      <c r="H51" s="0" t="s">
        <v>27</v>
      </c>
      <c r="I51" s="5">
        <v>37685</v>
      </c>
      <c r="K51" s="0" t="s">
        <v>77</v>
      </c>
    </row>
    <row r="52" outlineLevel="2">
      <c r="A52" s="12" t="s">
        <v>84</v>
      </c>
      <c r="B52" s="0" t="s">
        <v>74</v>
      </c>
      <c r="C52" s="14">
        <v>3.35</v>
      </c>
      <c r="D52" s="14"/>
      <c r="E52" s="14"/>
      <c r="F52" s="14">
        <v>2</v>
      </c>
      <c r="G52" s="14">
        <v>0.7</v>
      </c>
      <c r="H52" s="0" t="s">
        <v>27</v>
      </c>
      <c r="I52" s="5">
        <v>37685</v>
      </c>
      <c r="K52" s="0" t="s">
        <v>77</v>
      </c>
    </row>
    <row r="53" outlineLevel="2">
      <c r="A53" s="12" t="s">
        <v>85</v>
      </c>
      <c r="B53" s="0" t="s">
        <v>74</v>
      </c>
      <c r="C53" s="14">
        <v>6.15</v>
      </c>
      <c r="D53" s="14"/>
      <c r="E53" s="14"/>
      <c r="F53" s="14">
        <v>8.05</v>
      </c>
      <c r="G53" s="14">
        <v>0.2</v>
      </c>
      <c r="H53" s="0" t="s">
        <v>27</v>
      </c>
      <c r="I53" s="5">
        <v>37685</v>
      </c>
      <c r="K53" s="0" t="s">
        <v>77</v>
      </c>
    </row>
    <row r="54" outlineLevel="2">
      <c r="A54" s="12" t="s">
        <v>86</v>
      </c>
      <c r="B54" s="0" t="s">
        <v>74</v>
      </c>
      <c r="C54" s="14">
        <v>1023</v>
      </c>
      <c r="D54" s="14"/>
      <c r="E54" s="14"/>
      <c r="F54" s="14">
        <v>9</v>
      </c>
      <c r="G54" s="14">
        <v>0.2</v>
      </c>
      <c r="H54" s="0" t="s">
        <v>27</v>
      </c>
      <c r="I54" s="5">
        <v>37685</v>
      </c>
      <c r="K54" s="0" t="s">
        <v>75</v>
      </c>
    </row>
    <row r="55" outlineLevel="2">
      <c r="A55" s="12" t="s">
        <v>87</v>
      </c>
      <c r="B55" s="0" t="s">
        <v>74</v>
      </c>
      <c r="C55" s="14">
        <v>21932</v>
      </c>
      <c r="D55" s="14"/>
      <c r="E55" s="14"/>
      <c r="F55" s="14">
        <v>6</v>
      </c>
      <c r="G55" s="14">
        <v>3</v>
      </c>
      <c r="H55" s="0" t="s">
        <v>27</v>
      </c>
      <c r="I55" s="5">
        <v>37685</v>
      </c>
      <c r="K55" s="0" t="s">
        <v>75</v>
      </c>
    </row>
    <row r="56" outlineLevel="2">
      <c r="A56" s="12" t="s">
        <v>88</v>
      </c>
      <c r="B56" s="0" t="s">
        <v>74</v>
      </c>
      <c r="C56" s="14">
        <v>1436</v>
      </c>
      <c r="D56" s="14"/>
      <c r="E56" s="14"/>
      <c r="F56" s="14">
        <v>9</v>
      </c>
      <c r="G56" s="14">
        <v>0</v>
      </c>
      <c r="H56" s="0" t="s">
        <v>27</v>
      </c>
      <c r="I56" s="5">
        <v>37685</v>
      </c>
      <c r="K56" s="0" t="s">
        <v>75</v>
      </c>
    </row>
    <row r="57" outlineLevel="2">
      <c r="A57" s="12" t="s">
        <v>89</v>
      </c>
      <c r="B57" s="0" t="s">
        <v>74</v>
      </c>
      <c r="C57" s="14">
        <v>57.5</v>
      </c>
      <c r="D57" s="14"/>
      <c r="E57" s="14"/>
      <c r="F57" s="14">
        <v>20.27</v>
      </c>
      <c r="G57" s="14">
        <v>0.1</v>
      </c>
      <c r="H57" s="0" t="s">
        <v>27</v>
      </c>
      <c r="I57" s="5">
        <v>37685</v>
      </c>
      <c r="K57" s="0" t="s">
        <v>77</v>
      </c>
    </row>
    <row r="58" outlineLevel="2">
      <c r="A58" s="12" t="s">
        <v>90</v>
      </c>
      <c r="B58" s="0" t="s">
        <v>74</v>
      </c>
      <c r="C58" s="14">
        <v>3.1</v>
      </c>
      <c r="D58" s="14"/>
      <c r="E58" s="14"/>
      <c r="F58" s="14">
        <v>13.69</v>
      </c>
      <c r="G58" s="14">
        <v>0.4</v>
      </c>
      <c r="H58" s="0" t="s">
        <v>27</v>
      </c>
      <c r="I58" s="5">
        <v>37685</v>
      </c>
      <c r="K58" s="0" t="s">
        <v>77</v>
      </c>
    </row>
    <row r="59" outlineLevel="2">
      <c r="A59" s="12" t="s">
        <v>91</v>
      </c>
      <c r="B59" s="0" t="s">
        <v>74</v>
      </c>
      <c r="C59" s="14">
        <v>1457</v>
      </c>
      <c r="D59" s="14"/>
      <c r="E59" s="14"/>
      <c r="F59" s="14">
        <v>9</v>
      </c>
      <c r="G59" s="14">
        <v>1</v>
      </c>
      <c r="H59" s="0" t="s">
        <v>27</v>
      </c>
      <c r="I59" s="5">
        <v>37685</v>
      </c>
      <c r="K59" s="0" t="s">
        <v>75</v>
      </c>
    </row>
    <row r="60" outlineLevel="2">
      <c r="A60" s="12" t="s">
        <v>92</v>
      </c>
      <c r="B60" s="0" t="s">
        <v>74</v>
      </c>
      <c r="C60" s="14">
        <v>1.9</v>
      </c>
      <c r="D60" s="14"/>
      <c r="E60" s="14"/>
      <c r="F60" s="14"/>
      <c r="G60" s="14">
        <v>0.7</v>
      </c>
      <c r="H60" s="0" t="s">
        <v>27</v>
      </c>
      <c r="I60" s="5">
        <v>37685</v>
      </c>
      <c r="K60" s="0" t="s">
        <v>77</v>
      </c>
    </row>
    <row r="61" outlineLevel="2">
      <c r="A61" s="12" t="s">
        <v>93</v>
      </c>
      <c r="B61" s="0" t="s">
        <v>74</v>
      </c>
      <c r="C61" s="14">
        <v>2698</v>
      </c>
      <c r="D61" s="14"/>
      <c r="E61" s="14"/>
      <c r="F61" s="14">
        <v>9</v>
      </c>
      <c r="G61" s="14">
        <v>0.3</v>
      </c>
      <c r="H61" s="0" t="s">
        <v>27</v>
      </c>
      <c r="I61" s="5">
        <v>37685</v>
      </c>
      <c r="K61" s="0" t="s">
        <v>75</v>
      </c>
    </row>
    <row r="62" outlineLevel="2">
      <c r="A62" s="12" t="s">
        <v>94</v>
      </c>
      <c r="B62" s="0" t="s">
        <v>74</v>
      </c>
      <c r="C62" s="14">
        <v>1.2</v>
      </c>
      <c r="D62" s="14"/>
      <c r="E62" s="14"/>
      <c r="F62" s="14">
        <v>23.57</v>
      </c>
      <c r="G62" s="14">
        <v>2.2</v>
      </c>
      <c r="H62" s="0" t="s">
        <v>27</v>
      </c>
      <c r="I62" s="5">
        <v>37685</v>
      </c>
      <c r="K62" s="0" t="s">
        <v>77</v>
      </c>
    </row>
    <row r="63" outlineLevel="2">
      <c r="A63" s="12" t="s">
        <v>95</v>
      </c>
      <c r="B63" s="0" t="s">
        <v>74</v>
      </c>
      <c r="C63" s="14"/>
      <c r="D63" s="14"/>
      <c r="E63" s="14"/>
      <c r="F63" s="14"/>
      <c r="G63" s="14">
        <v>1.6</v>
      </c>
      <c r="H63" s="0" t="s">
        <v>27</v>
      </c>
      <c r="I63" s="5">
        <v>37685</v>
      </c>
      <c r="J63" s="0" t="s">
        <v>96</v>
      </c>
      <c r="K63" s="0" t="s">
        <v>79</v>
      </c>
    </row>
    <row r="64" outlineLevel="2">
      <c r="A64" s="12" t="s">
        <v>97</v>
      </c>
      <c r="B64" s="0" t="s">
        <v>74</v>
      </c>
      <c r="C64" s="14"/>
      <c r="D64" s="14"/>
      <c r="E64" s="14"/>
      <c r="F64" s="14"/>
      <c r="G64" s="14">
        <v>0.7</v>
      </c>
      <c r="H64" s="0" t="s">
        <v>27</v>
      </c>
      <c r="I64" s="5">
        <v>37685</v>
      </c>
      <c r="J64" s="0" t="s">
        <v>96</v>
      </c>
      <c r="K64" s="0" t="s">
        <v>77</v>
      </c>
    </row>
    <row r="65" outlineLevel="2">
      <c r="A65" s="12" t="s">
        <v>98</v>
      </c>
      <c r="B65" s="0" t="s">
        <v>74</v>
      </c>
      <c r="C65" s="14">
        <v>6927</v>
      </c>
      <c r="D65" s="14"/>
      <c r="E65" s="14"/>
      <c r="F65" s="14">
        <v>9</v>
      </c>
      <c r="G65" s="14">
        <v>8</v>
      </c>
      <c r="H65" s="0" t="s">
        <v>27</v>
      </c>
      <c r="I65" s="5">
        <v>37685</v>
      </c>
      <c r="K65" s="0" t="s">
        <v>75</v>
      </c>
    </row>
    <row r="66" outlineLevel="2">
      <c r="A66" s="12" t="s">
        <v>99</v>
      </c>
      <c r="B66" s="0" t="s">
        <v>74</v>
      </c>
      <c r="C66" s="14"/>
      <c r="D66" s="14"/>
      <c r="E66" s="14"/>
      <c r="F66" s="14"/>
      <c r="G66" s="14">
        <v>0.3</v>
      </c>
      <c r="H66" s="0" t="s">
        <v>27</v>
      </c>
      <c r="I66" s="5">
        <v>37685</v>
      </c>
      <c r="J66" s="0" t="s">
        <v>96</v>
      </c>
      <c r="K66" s="0" t="s">
        <v>79</v>
      </c>
    </row>
    <row r="67" outlineLevel="2">
      <c r="A67" s="12" t="s">
        <v>100</v>
      </c>
      <c r="B67" s="0" t="s">
        <v>74</v>
      </c>
      <c r="C67" s="14">
        <v>36.4959384868018</v>
      </c>
      <c r="D67" s="14"/>
      <c r="E67" s="14"/>
      <c r="F67" s="14">
        <v>8.96</v>
      </c>
      <c r="G67" s="14">
        <v>0</v>
      </c>
      <c r="H67" s="0" t="s">
        <v>27</v>
      </c>
      <c r="I67" s="5">
        <v>37685</v>
      </c>
      <c r="K67" s="0" t="s">
        <v>79</v>
      </c>
    </row>
    <row r="68" outlineLevel="2">
      <c r="A68" s="12" t="s">
        <v>101</v>
      </c>
      <c r="B68" s="0" t="s">
        <v>74</v>
      </c>
      <c r="C68" s="14">
        <v>55</v>
      </c>
      <c r="D68" s="14"/>
      <c r="E68" s="14"/>
      <c r="F68" s="14">
        <v>3</v>
      </c>
      <c r="G68" s="14">
        <v>0</v>
      </c>
      <c r="H68" s="0" t="s">
        <v>27</v>
      </c>
      <c r="I68" s="5">
        <v>37685</v>
      </c>
      <c r="K68" s="0" t="s">
        <v>75</v>
      </c>
    </row>
    <row r="69" outlineLevel="2">
      <c r="A69" s="12" t="s">
        <v>102</v>
      </c>
      <c r="B69" s="0" t="s">
        <v>74</v>
      </c>
      <c r="C69" s="14">
        <v>2.4</v>
      </c>
      <c r="D69" s="14"/>
      <c r="E69" s="14"/>
      <c r="F69" s="14">
        <v>11.79</v>
      </c>
      <c r="G69" s="14">
        <v>0.1</v>
      </c>
      <c r="H69" s="0" t="s">
        <v>27</v>
      </c>
      <c r="I69" s="5">
        <v>37685</v>
      </c>
      <c r="K69" s="0" t="s">
        <v>77</v>
      </c>
    </row>
    <row r="70" outlineLevel="2">
      <c r="A70" s="12" t="s">
        <v>103</v>
      </c>
      <c r="B70" s="0" t="s">
        <v>74</v>
      </c>
      <c r="C70" s="14">
        <v>24.75</v>
      </c>
      <c r="D70" s="14"/>
      <c r="E70" s="14"/>
      <c r="F70" s="14">
        <v>8.86</v>
      </c>
      <c r="G70" s="14">
        <v>0.1</v>
      </c>
      <c r="H70" s="0" t="s">
        <v>27</v>
      </c>
      <c r="I70" s="5">
        <v>37685</v>
      </c>
      <c r="K70" s="0" t="s">
        <v>77</v>
      </c>
    </row>
    <row r="71">
      <c r="I71" s="5"/>
    </row>
    <row r="72" s="1" customFormat="1"/>
  </sheetData>
  <mergeCells>
    <mergeCell ref="A9:A11"/>
    <mergeCell ref="C23:E23"/>
    <mergeCell ref="A23:A24"/>
    <mergeCell ref="B23:B24"/>
    <mergeCell ref="F23:F24"/>
    <mergeCell ref="G23:G24"/>
    <mergeCell ref="H23:H24"/>
    <mergeCell ref="I23:I24"/>
    <mergeCell ref="J23:J24"/>
    <mergeCell ref="K23:K2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</mergeCells>
  <dataValidations count="1">
    <dataValidation type="decimal" sqref="C27" errorStyle="stop" promptTitle="Enter moisture content" errorTitle="Invalid moisture content" prompt="Value should be between 0 and 100.&#10;Original value: 11.3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https://phyllis.nl/Biomass/View/3192</dc:description>
  <dcterms:created xsi:type="dcterms:W3CDTF">2026-03-04T04:25:14Z</dcterms:created>
  <dc:title>Phyllis2 #3192 grass pellets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