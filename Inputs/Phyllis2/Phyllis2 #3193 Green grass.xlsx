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3 Green grass" sheetId="1" r:id="rId1"/>
  </sheets>
  <definedNames>
    <definedName name="w" localSheetId="0">IF(ISBLANK('Phyllis2 #3193 Green grass'!$C$25),#N/A,'Phyllis2 #3193 Green grass'!$C$25/100)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<sst xmlns="http://schemas.openxmlformats.org/spreadsheetml/2006/main" count="99" uniqueCount="99">
  <si>
    <t>Phyllis2</t>
  </si>
  <si>
    <t>https://phyllis.nl/Biomass/View/3193</t>
  </si>
  <si>
    <t>Green grass (#3193)</t>
  </si>
  <si>
    <t>ID-number</t>
  </si>
  <si>
    <t>#3193</t>
  </si>
  <si>
    <t>Material</t>
  </si>
  <si>
    <t>Green grass</t>
  </si>
  <si>
    <t>Alternative name</t>
  </si>
  <si>
    <t>Description</t>
  </si>
  <si>
    <t>Groen gras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</si>
  <si>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</si>
  <si>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</si>
  <si>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other grass &gt; grass from nature reserve</t>
  </si>
  <si>
    <t>NTA 8003 classification &gt; [200] biomassa uit land- en tuinbouw &gt; [210] gras</t>
  </si>
  <si>
    <t>Sample date</t>
  </si>
  <si>
    <t>Sample location</t>
  </si>
  <si>
    <t>Netherlands</t>
  </si>
  <si>
    <t>Country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</si>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</sst>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37774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16</v>
      </c>
    </row>
    <row r="15" outlineLevel="1">
      <c r="A15" s="7" t="s">
        <v>18</v>
      </c>
      <c r="B15" s="6">
        <v>37712</v>
      </c>
    </row>
    <row r="16" outlineLevel="1">
      <c r="A16" s="7" t="s">
        <v>19</v>
      </c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 t="s">
        <v>23</v>
      </c>
      <c r="B18" s="6">
        <v>40093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33</v>
      </c>
      <c r="L21" s="10"/>
    </row>
    <row r="22" s="1" customFormat="1">
      <c r="A22" s="10"/>
      <c r="B22" s="10"/>
      <c r="C22" s="10" t="s">
        <v>34</v>
      </c>
      <c r="D22" s="10" t="s">
        <v>35</v>
      </c>
      <c r="E22" s="10" t="s">
        <v>36</v>
      </c>
      <c r="F22" s="10"/>
      <c r="G22" s="10"/>
      <c r="H22" s="10"/>
      <c r="I22" s="10"/>
      <c r="J22" s="10"/>
      <c r="K22" s="10"/>
      <c r="L22" s="10"/>
    </row>
    <row r="23">
      <c r="A23" s="7" t="s">
        <v>37</v>
      </c>
      <c r="I23" s="5"/>
    </row>
    <row r="24" outlineLevel="1">
      <c r="A24" s="11" t="s">
        <v>38</v>
      </c>
      <c r="I24" s="5"/>
    </row>
    <row r="25" outlineLevel="2">
      <c r="A25" s="12" t="s">
        <v>39</v>
      </c>
      <c r="B25" s="0" t="s">
        <v>40</v>
      </c>
      <c r="C25" s="13">
        <v>7.36</v>
      </c>
      <c r="D25" s="13"/>
      <c r="E25" s="13"/>
      <c r="F25" s="13"/>
      <c r="G25" s="13">
        <v>0.1</v>
      </c>
      <c r="H25" s="0" t="s">
        <v>41</v>
      </c>
      <c r="I25" s="5">
        <v>37680</v>
      </c>
      <c r="J25" s="0" t="s">
        <v>42</v>
      </c>
      <c r="K25" s="0" t="s">
        <v>42</v>
      </c>
    </row>
    <row r="26" outlineLevel="2">
      <c r="A26" s="12" t="s">
        <v>43</v>
      </c>
      <c r="B26" s="0" t="s">
        <v>40</v>
      </c>
      <c r="C26" s="13">
        <f>IFERROR(11.1*(1-w),"")</f>
        <v>10.28304</v>
      </c>
      <c r="D26" s="13">
        <v>11.1</v>
      </c>
      <c r="E26" s="13">
        <v/>
      </c>
      <c r="F26" s="13"/>
      <c r="G26" s="13">
        <v>0.1</v>
      </c>
      <c r="H26" s="0" t="s">
        <v>41</v>
      </c>
      <c r="I26" s="5">
        <v>37684</v>
      </c>
      <c r="J26" s="0" t="s">
        <v>44</v>
      </c>
      <c r="K26" s="0" t="s">
        <v>44</v>
      </c>
    </row>
    <row r="27" outlineLevel="2">
      <c r="A27" s="12" t="s">
        <v>45</v>
      </c>
      <c r="B27" s="0" t="s">
        <v>40</v>
      </c>
      <c r="C27" s="13">
        <f>IFERROR(10.71*(1-w),"")</f>
        <v>9.921744</v>
      </c>
      <c r="D27" s="13">
        <v>10.71</v>
      </c>
      <c r="E27" s="13">
        <v/>
      </c>
      <c r="F27" s="13"/>
      <c r="G27" s="13">
        <v>0.1</v>
      </c>
      <c r="H27" s="0" t="s">
        <v>41</v>
      </c>
      <c r="I27" s="5">
        <v>37684</v>
      </c>
      <c r="K27" s="0" t="s">
        <v>44</v>
      </c>
    </row>
    <row r="28" outlineLevel="2">
      <c r="A28" s="12" t="s">
        <v>46</v>
      </c>
      <c r="B28" s="0" t="s">
        <v>40</v>
      </c>
      <c r="C28" s="13">
        <f>IFERROR(70.88*(1-w),"")</f>
        <v>65.663232</v>
      </c>
      <c r="D28" s="13">
        <v>70.88</v>
      </c>
      <c r="E28" s="13">
        <v>79.730033745781768</v>
      </c>
      <c r="F28" s="13">
        <v>0.08</v>
      </c>
      <c r="G28" s="13">
        <v>0.1</v>
      </c>
      <c r="H28" s="0" t="s">
        <v>41</v>
      </c>
      <c r="I28" s="5">
        <v>37685</v>
      </c>
    </row>
    <row r="29" outlineLevel="2">
      <c r="A29" s="12" t="s">
        <v>47</v>
      </c>
      <c r="B29" s="0" t="s">
        <v>40</v>
      </c>
      <c r="C29" s="13">
        <f>IFERROR(18.02*(1-w),"")</f>
        <v>16.693728000000011</v>
      </c>
      <c r="D29" s="13">
        <v>18.02000000000001</v>
      </c>
      <c r="E29" s="13">
        <v>20.269966254218232</v>
      </c>
      <c r="F29" s="13"/>
      <c r="G29" s="13"/>
      <c r="I29" s="5"/>
      <c r="J29" s="0" t="s">
        <v>48</v>
      </c>
    </row>
    <row r="30" outlineLevel="1">
      <c r="A30" s="11" t="s">
        <v>49</v>
      </c>
      <c r="I30" s="5"/>
    </row>
    <row r="31" outlineLevel="2">
      <c r="A31" s="12" t="s">
        <v>50</v>
      </c>
      <c r="B31" s="0" t="s">
        <v>40</v>
      </c>
      <c r="C31" s="13">
        <f>IFERROR(43.95*(1-w),"")</f>
        <v>40.71528</v>
      </c>
      <c r="D31" s="13">
        <v>43.95</v>
      </c>
      <c r="E31" s="13">
        <v>49.437570303712036</v>
      </c>
      <c r="F31" s="13">
        <v>0.39</v>
      </c>
      <c r="G31" s="13">
        <v>0.1</v>
      </c>
      <c r="H31" s="0" t="s">
        <v>41</v>
      </c>
      <c r="I31" s="5">
        <v>37684</v>
      </c>
      <c r="J31" s="0" t="s">
        <v>51</v>
      </c>
      <c r="K31" s="0" t="s">
        <v>51</v>
      </c>
    </row>
    <row r="32" outlineLevel="2">
      <c r="A32" s="12" t="s">
        <v>52</v>
      </c>
      <c r="B32" s="0" t="s">
        <v>40</v>
      </c>
      <c r="C32" s="13">
        <f>IFERROR(5.89*(1-w),"")</f>
        <v>5.456496</v>
      </c>
      <c r="D32" s="13">
        <v>5.89</v>
      </c>
      <c r="E32" s="13">
        <v>6.6254218222722159</v>
      </c>
      <c r="F32" s="13">
        <v>1.92</v>
      </c>
      <c r="G32" s="13">
        <v>0.1</v>
      </c>
      <c r="H32" s="0" t="s">
        <v>41</v>
      </c>
      <c r="I32" s="5">
        <v>37684</v>
      </c>
      <c r="J32" s="0" t="s">
        <v>51</v>
      </c>
      <c r="K32" s="0" t="s">
        <v>51</v>
      </c>
    </row>
    <row r="33" outlineLevel="2">
      <c r="A33" s="12" t="s">
        <v>53</v>
      </c>
      <c r="B33" s="0" t="s">
        <v>40</v>
      </c>
      <c r="C33" s="13">
        <f>IFERROR(37.765*(1-w),"")</f>
        <v>34.985496</v>
      </c>
      <c r="D33" s="13">
        <v>37.765</v>
      </c>
      <c r="E33" s="13">
        <v>42.480314960629919</v>
      </c>
      <c r="F33" s="13">
        <v>0.95</v>
      </c>
      <c r="G33" s="13">
        <v>0.1</v>
      </c>
      <c r="H33" s="0" t="s">
        <v>41</v>
      </c>
      <c r="I33" s="5">
        <v>37685</v>
      </c>
      <c r="K33" s="0" t="s">
        <v>54</v>
      </c>
    </row>
    <row r="34" outlineLevel="2">
      <c r="A34" s="12" t="s">
        <v>55</v>
      </c>
      <c r="B34" s="0" t="s">
        <v>40</v>
      </c>
      <c r="C34" s="13">
        <f>IFERROR(2.805*(1-w),"")</f>
        <v>2.598552</v>
      </c>
      <c r="D34" s="13">
        <v>2.805</v>
      </c>
      <c r="E34" s="13">
        <v>3.1552305961754783</v>
      </c>
      <c r="F34" s="13">
        <v>0.76</v>
      </c>
      <c r="G34" s="13">
        <v>0.1</v>
      </c>
      <c r="H34" s="0" t="s">
        <v>41</v>
      </c>
      <c r="I34" s="5">
        <v>37684</v>
      </c>
      <c r="J34" s="0" t="s">
        <v>51</v>
      </c>
      <c r="K34" s="0" t="s">
        <v>51</v>
      </c>
    </row>
    <row r="35" outlineLevel="2">
      <c r="A35" s="12" t="s">
        <v>56</v>
      </c>
      <c r="B35" s="0" t="s">
        <v>40</v>
      </c>
      <c r="C35" s="13">
        <f>IFERROR(0.500285514537946*(1-w),"")</f>
        <v>0.46346450066795319</v>
      </c>
      <c r="D35" s="13">
        <v>0.500285514537946</v>
      </c>
      <c r="E35" s="13">
        <v>0.56275085999768959</v>
      </c>
      <c r="F35" s="13">
        <v>2.71</v>
      </c>
      <c r="G35" s="13">
        <v>0.000329231433980539</v>
      </c>
      <c r="H35" s="0" t="s">
        <v>41</v>
      </c>
      <c r="I35" s="5">
        <v>37705</v>
      </c>
      <c r="J35" s="0" t="s">
        <v>57</v>
      </c>
      <c r="K35" s="0" t="s">
        <v>51</v>
      </c>
    </row>
    <row r="36" outlineLevel="2">
      <c r="A36" s="12" t="s">
        <v>58</v>
      </c>
      <c r="B36" s="0" t="s">
        <v>40</v>
      </c>
      <c r="C36" s="13">
        <f>IFERROR(103.905935514538*(1-w)+w*100,"")</f>
        <v>103.61845866066797</v>
      </c>
      <c r="D36" s="13">
        <v>103.90593551453796</v>
      </c>
      <c r="E36" s="13">
        <v>104.39362825032391</v>
      </c>
      <c r="F36" s="13"/>
      <c r="G36" s="13"/>
      <c r="I36" s="5"/>
      <c r="J36" s="0" t="s">
        <v>48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4">
        <f>IFERROR(18956.5*(1-w),"")</f>
        <v>17561.3016</v>
      </c>
      <c r="D38" s="14">
        <v>18956.5</v>
      </c>
      <c r="E38" s="14">
        <v>21323.397075365578</v>
      </c>
      <c r="F38" s="14">
        <v>9.75</v>
      </c>
      <c r="G38" s="14">
        <v>12.5</v>
      </c>
      <c r="H38" s="0" t="s">
        <v>41</v>
      </c>
      <c r="I38" s="5">
        <v>37686</v>
      </c>
      <c r="J38" s="0" t="s">
        <v>62</v>
      </c>
      <c r="K38" s="0" t="s">
        <v>62</v>
      </c>
    </row>
    <row r="39" outlineLevel="1">
      <c r="A39" s="11" t="s">
        <v>63</v>
      </c>
      <c r="I39" s="5"/>
    </row>
    <row r="40" outlineLevel="2">
      <c r="A40" s="12" t="s">
        <v>64</v>
      </c>
      <c r="B40" s="0" t="s">
        <v>65</v>
      </c>
      <c r="C40" s="13">
        <f>IFERROR(18.943*(1-w)-w*2.443,"")</f>
        <v>17.3689904</v>
      </c>
      <c r="D40" s="13">
        <v>18.943</v>
      </c>
      <c r="E40" s="13">
        <v>21.308211473565805</v>
      </c>
      <c r="F40" s="13"/>
      <c r="G40" s="13">
        <v>1</v>
      </c>
      <c r="H40" s="0" t="s">
        <v>41</v>
      </c>
      <c r="I40" s="5">
        <v>37684</v>
      </c>
      <c r="J40" s="0" t="s">
        <v>66</v>
      </c>
      <c r="K40" s="0" t="s">
        <v>66</v>
      </c>
    </row>
    <row r="41" outlineLevel="2">
      <c r="A41" s="12" t="s">
        <v>67</v>
      </c>
      <c r="B41" s="0" t="s">
        <v>65</v>
      </c>
      <c r="C41" s="13">
        <f>IFERROR(17.7884707162973*(1-w),"")</f>
        <v>16.479239271577825</v>
      </c>
      <c r="D41" s="13">
        <v>17.788470716297308</v>
      </c>
      <c r="E41" s="13">
        <v>20.009528364788871</v>
      </c>
      <c r="F41" s="13"/>
      <c r="G41" s="13"/>
      <c r="I41" s="5"/>
      <c r="J41" s="0" t="s">
        <v>48</v>
      </c>
    </row>
    <row r="42" outlineLevel="1">
      <c r="A42" s="11" t="s">
        <v>68</v>
      </c>
      <c r="I42" s="5"/>
    </row>
    <row r="43" outlineLevel="2">
      <c r="A43" s="12" t="s">
        <v>69</v>
      </c>
      <c r="B43" s="0" t="s">
        <v>70</v>
      </c>
      <c r="C43" s="14">
        <v>535.125216660697</v>
      </c>
      <c r="D43" s="14"/>
      <c r="E43" s="14"/>
      <c r="F43" s="14">
        <v>3.24</v>
      </c>
      <c r="G43" s="14">
        <v>0.0539723662263179</v>
      </c>
      <c r="H43" s="0" t="s">
        <v>41</v>
      </c>
      <c r="I43" s="5">
        <v>37705</v>
      </c>
      <c r="K43" s="0" t="s">
        <v>71</v>
      </c>
    </row>
    <row r="44" outlineLevel="2">
      <c r="A44" s="12" t="s">
        <v>72</v>
      </c>
      <c r="B44" s="0" t="s">
        <v>70</v>
      </c>
      <c r="C44" s="14">
        <v>1.68393782626112</v>
      </c>
      <c r="D44" s="14"/>
      <c r="E44" s="14"/>
      <c r="F44" s="14">
        <v>38.07</v>
      </c>
      <c r="G44" s="14">
        <v>1.1550086372432</v>
      </c>
      <c r="H44" s="0" t="s">
        <v>41</v>
      </c>
      <c r="I44" s="5">
        <v>37705</v>
      </c>
      <c r="K44" s="0" t="s">
        <v>73</v>
      </c>
    </row>
    <row r="45" outlineLevel="2">
      <c r="A45" s="12" t="s">
        <v>74</v>
      </c>
      <c r="B45" s="0" t="s">
        <v>70</v>
      </c>
      <c r="C45" s="14">
        <v>5.46200346210337</v>
      </c>
      <c r="D45" s="14"/>
      <c r="E45" s="14"/>
      <c r="F45" s="14">
        <v>3.07</v>
      </c>
      <c r="G45" s="14">
        <v>0.226683938150535</v>
      </c>
      <c r="H45" s="0" t="s">
        <v>41</v>
      </c>
      <c r="I45" s="5">
        <v>37705</v>
      </c>
      <c r="K45" s="0" t="s">
        <v>75</v>
      </c>
    </row>
    <row r="46" outlineLevel="2">
      <c r="A46" s="12" t="s">
        <v>76</v>
      </c>
      <c r="B46" s="0" t="s">
        <v>70</v>
      </c>
      <c r="C46" s="14">
        <v>7.28626944055291</v>
      </c>
      <c r="D46" s="14"/>
      <c r="E46" s="14"/>
      <c r="F46" s="14">
        <v>1.05</v>
      </c>
      <c r="G46" s="14">
        <v>0.0431778929810543</v>
      </c>
      <c r="H46" s="0" t="s">
        <v>41</v>
      </c>
      <c r="I46" s="5">
        <v>37705</v>
      </c>
      <c r="K46" s="0" t="s">
        <v>73</v>
      </c>
    </row>
    <row r="47" outlineLevel="2">
      <c r="A47" s="12" t="s">
        <v>77</v>
      </c>
      <c r="B47" s="0" t="s">
        <v>70</v>
      </c>
      <c r="C47" s="14">
        <v>5974.65998270405</v>
      </c>
      <c r="D47" s="14"/>
      <c r="E47" s="14"/>
      <c r="F47" s="14">
        <v>3.44</v>
      </c>
      <c r="G47" s="14">
        <v>0.734024180677923</v>
      </c>
      <c r="H47" s="0" t="s">
        <v>41</v>
      </c>
      <c r="I47" s="5">
        <v>37705</v>
      </c>
      <c r="K47" s="0" t="s">
        <v>71</v>
      </c>
    </row>
    <row r="48" outlineLevel="2">
      <c r="A48" s="12" t="s">
        <v>78</v>
      </c>
      <c r="B48" s="0" t="s">
        <v>70</v>
      </c>
      <c r="C48" s="14">
        <v>0.0647668394715815</v>
      </c>
      <c r="D48" s="14"/>
      <c r="E48" s="14"/>
      <c r="F48" s="14">
        <v>94.28</v>
      </c>
      <c r="G48" s="14">
        <v>0.15112262543369</v>
      </c>
      <c r="H48" s="0" t="s">
        <v>41</v>
      </c>
      <c r="I48" s="5">
        <v>37705</v>
      </c>
      <c r="K48" s="0" t="s">
        <v>73</v>
      </c>
    </row>
    <row r="49" outlineLevel="2">
      <c r="A49" s="12" t="s">
        <v>79</v>
      </c>
      <c r="B49" s="0" t="s">
        <v>70</v>
      </c>
      <c r="C49" s="14">
        <v>0.161917098678954</v>
      </c>
      <c r="D49" s="14"/>
      <c r="E49" s="14"/>
      <c r="F49" s="14">
        <v>113.14</v>
      </c>
      <c r="G49" s="14">
        <v>0.647668394715815</v>
      </c>
      <c r="H49" s="0" t="s">
        <v>41</v>
      </c>
      <c r="I49" s="5">
        <v>37705</v>
      </c>
      <c r="K49" s="0" t="s">
        <v>73</v>
      </c>
    </row>
    <row r="50" outlineLevel="2">
      <c r="A50" s="12" t="s">
        <v>80</v>
      </c>
      <c r="B50" s="0" t="s">
        <v>70</v>
      </c>
      <c r="C50" s="14">
        <v>4.21524180227543</v>
      </c>
      <c r="D50" s="14"/>
      <c r="E50" s="14"/>
      <c r="F50" s="14">
        <v>3.08</v>
      </c>
      <c r="G50" s="14">
        <v>0.474956822791597</v>
      </c>
      <c r="H50" s="0" t="s">
        <v>41</v>
      </c>
      <c r="I50" s="5">
        <v>37705</v>
      </c>
      <c r="K50" s="0" t="s">
        <v>73</v>
      </c>
    </row>
    <row r="51" outlineLevel="2">
      <c r="A51" s="12" t="s">
        <v>81</v>
      </c>
      <c r="B51" s="0" t="s">
        <v>70</v>
      </c>
      <c r="C51" s="14">
        <v>7.09196892213817</v>
      </c>
      <c r="D51" s="14"/>
      <c r="E51" s="14"/>
      <c r="F51" s="14">
        <v>0.43</v>
      </c>
      <c r="G51" s="14">
        <v>0.107944732452636</v>
      </c>
      <c r="H51" s="0" t="s">
        <v>41</v>
      </c>
      <c r="I51" s="5">
        <v>37705</v>
      </c>
      <c r="K51" s="0" t="s">
        <v>73</v>
      </c>
    </row>
    <row r="52" outlineLevel="2">
      <c r="A52" s="12" t="s">
        <v>82</v>
      </c>
      <c r="B52" s="0" t="s">
        <v>70</v>
      </c>
      <c r="C52" s="14">
        <v>436.647237244157</v>
      </c>
      <c r="D52" s="14"/>
      <c r="E52" s="14"/>
      <c r="F52" s="14">
        <v>1.35</v>
      </c>
      <c r="G52" s="14">
        <v>2.51511226614641</v>
      </c>
      <c r="H52" s="0" t="s">
        <v>41</v>
      </c>
      <c r="I52" s="5">
        <v>37705</v>
      </c>
      <c r="K52" s="0" t="s">
        <v>71</v>
      </c>
    </row>
    <row r="53" outlineLevel="2">
      <c r="A53" s="12" t="s">
        <v>83</v>
      </c>
      <c r="B53" s="0" t="s">
        <v>70</v>
      </c>
      <c r="C53" s="14">
        <v>29251.381734731</v>
      </c>
      <c r="D53" s="14"/>
      <c r="E53" s="14"/>
      <c r="F53" s="14">
        <v>1.6</v>
      </c>
      <c r="G53" s="14">
        <v>13.0289292070331</v>
      </c>
      <c r="H53" s="0" t="s">
        <v>41</v>
      </c>
      <c r="I53" s="5">
        <v>37705</v>
      </c>
      <c r="K53" s="0" t="s">
        <v>71</v>
      </c>
    </row>
    <row r="54" outlineLevel="2">
      <c r="A54" s="12" t="s">
        <v>84</v>
      </c>
      <c r="B54" s="0" t="s">
        <v>70</v>
      </c>
      <c r="C54" s="14">
        <v>1802.08333593053</v>
      </c>
      <c r="D54" s="14"/>
      <c r="E54" s="14"/>
      <c r="F54" s="14">
        <v>1.3</v>
      </c>
      <c r="G54" s="14">
        <v>0.0215889464905272</v>
      </c>
      <c r="H54" s="0" t="s">
        <v>41</v>
      </c>
      <c r="I54" s="5">
        <v>37705</v>
      </c>
      <c r="K54" s="0" t="s">
        <v>71</v>
      </c>
    </row>
    <row r="55" outlineLevel="2">
      <c r="A55" s="12" t="s">
        <v>85</v>
      </c>
      <c r="B55" s="0" t="s">
        <v>70</v>
      </c>
      <c r="C55" s="14">
        <v>28.583765153458</v>
      </c>
      <c r="D55" s="14"/>
      <c r="E55" s="14"/>
      <c r="F55" s="14">
        <v>3.85</v>
      </c>
      <c r="G55" s="14">
        <v>0.194300518414744</v>
      </c>
      <c r="H55" s="0" t="s">
        <v>41</v>
      </c>
      <c r="I55" s="5">
        <v>37705</v>
      </c>
      <c r="K55" s="0" t="s">
        <v>73</v>
      </c>
    </row>
    <row r="56" outlineLevel="2">
      <c r="A56" s="12" t="s">
        <v>86</v>
      </c>
      <c r="B56" s="0" t="s">
        <v>70</v>
      </c>
      <c r="C56" s="14">
        <v>1.64075993328006</v>
      </c>
      <c r="D56" s="14"/>
      <c r="E56" s="14"/>
      <c r="F56" s="14">
        <v>19.54</v>
      </c>
      <c r="G56" s="14">
        <v>0.42098445656528</v>
      </c>
      <c r="H56" s="0" t="s">
        <v>41</v>
      </c>
      <c r="I56" s="5">
        <v>37705</v>
      </c>
      <c r="K56" s="0" t="s">
        <v>73</v>
      </c>
    </row>
    <row r="57" outlineLevel="2">
      <c r="A57" s="12" t="s">
        <v>87</v>
      </c>
      <c r="B57" s="0" t="s">
        <v>70</v>
      </c>
      <c r="C57" s="14">
        <v>2314.7128703481</v>
      </c>
      <c r="D57" s="14"/>
      <c r="E57" s="14"/>
      <c r="F57" s="14">
        <v>2.24</v>
      </c>
      <c r="G57" s="14">
        <v>0.528929189017915</v>
      </c>
      <c r="H57" s="0" t="s">
        <v>41</v>
      </c>
      <c r="I57" s="5">
        <v>37705</v>
      </c>
      <c r="K57" s="0" t="s">
        <v>71</v>
      </c>
    </row>
    <row r="58" outlineLevel="2">
      <c r="A58" s="12" t="s">
        <v>88</v>
      </c>
      <c r="B58" s="0" t="s">
        <v>70</v>
      </c>
      <c r="C58" s="14">
        <v>16.0729706621975</v>
      </c>
      <c r="D58" s="14"/>
      <c r="E58" s="14"/>
      <c r="F58" s="14">
        <v>5.98</v>
      </c>
      <c r="G58" s="14">
        <v>0.885146806111613</v>
      </c>
      <c r="H58" s="0" t="s">
        <v>41</v>
      </c>
      <c r="I58" s="5">
        <v>37705</v>
      </c>
      <c r="K58" s="0" t="s">
        <v>73</v>
      </c>
    </row>
    <row r="59" outlineLevel="2">
      <c r="A59" s="12" t="s">
        <v>89</v>
      </c>
      <c r="B59" s="0" t="s">
        <v>70</v>
      </c>
      <c r="C59" s="14">
        <v>4058.30635299916</v>
      </c>
      <c r="D59" s="14"/>
      <c r="E59" s="14"/>
      <c r="F59" s="14">
        <v>3.1</v>
      </c>
      <c r="G59" s="14">
        <v>0.507340242527388</v>
      </c>
      <c r="H59" s="0" t="s">
        <v>41</v>
      </c>
      <c r="I59" s="5">
        <v>37705</v>
      </c>
      <c r="K59" s="0" t="s">
        <v>71</v>
      </c>
    </row>
    <row r="60" outlineLevel="2">
      <c r="A60" s="12" t="s">
        <v>90</v>
      </c>
      <c r="B60" s="0" t="s">
        <v>70</v>
      </c>
      <c r="C60" s="14">
        <v>2.57987910561799</v>
      </c>
      <c r="D60" s="14"/>
      <c r="E60" s="14"/>
      <c r="F60" s="14">
        <v>20.71</v>
      </c>
      <c r="G60" s="14">
        <v>6.55224525987499</v>
      </c>
      <c r="H60" s="0" t="s">
        <v>41</v>
      </c>
      <c r="I60" s="5">
        <v>37705</v>
      </c>
      <c r="K60" s="0" t="s">
        <v>73</v>
      </c>
    </row>
    <row r="61" outlineLevel="2">
      <c r="A61" s="12" t="s">
        <v>91</v>
      </c>
      <c r="B61" s="0" t="s">
        <v>70</v>
      </c>
      <c r="C61" s="14">
        <v>-0.334628670603171</v>
      </c>
      <c r="D61" s="14"/>
      <c r="E61" s="14"/>
      <c r="F61" s="14">
        <v>-9.12</v>
      </c>
      <c r="G61" s="14">
        <v>2.13730570256219</v>
      </c>
      <c r="H61" s="0" t="s">
        <v>41</v>
      </c>
      <c r="I61" s="5">
        <v>37705</v>
      </c>
      <c r="K61" s="0" t="s">
        <v>75</v>
      </c>
    </row>
    <row r="62" outlineLevel="2">
      <c r="A62" s="12" t="s">
        <v>92</v>
      </c>
      <c r="B62" s="0" t="s">
        <v>70</v>
      </c>
      <c r="C62" s="14">
        <v>0.167314335301585</v>
      </c>
      <c r="D62" s="14"/>
      <c r="E62" s="14"/>
      <c r="F62" s="14">
        <v>223.54</v>
      </c>
      <c r="G62" s="14">
        <v>1.21977547671478</v>
      </c>
      <c r="H62" s="0" t="s">
        <v>41</v>
      </c>
      <c r="I62" s="5">
        <v>37705</v>
      </c>
      <c r="K62" s="0" t="s">
        <v>73</v>
      </c>
    </row>
    <row r="63" outlineLevel="2">
      <c r="A63" s="12" t="s">
        <v>93</v>
      </c>
      <c r="B63" s="0" t="s">
        <v>70</v>
      </c>
      <c r="C63" s="14">
        <v>12142.3521332165</v>
      </c>
      <c r="D63" s="14"/>
      <c r="E63" s="14"/>
      <c r="F63" s="14">
        <v>1.37</v>
      </c>
      <c r="G63" s="14">
        <v>13.6442141820132</v>
      </c>
      <c r="H63" s="0" t="s">
        <v>41</v>
      </c>
      <c r="I63" s="5">
        <v>37705</v>
      </c>
      <c r="K63" s="0" t="s">
        <v>71</v>
      </c>
    </row>
    <row r="64" outlineLevel="2">
      <c r="A64" s="12" t="s">
        <v>94</v>
      </c>
      <c r="B64" s="0" t="s">
        <v>70</v>
      </c>
      <c r="C64" s="14">
        <v>0.237478411395799</v>
      </c>
      <c r="D64" s="14"/>
      <c r="E64" s="14"/>
      <c r="F64" s="14">
        <v>70.71</v>
      </c>
      <c r="G64" s="14">
        <v>0.647668394715815</v>
      </c>
      <c r="H64" s="0" t="s">
        <v>41</v>
      </c>
      <c r="I64" s="5">
        <v>37705</v>
      </c>
      <c r="K64" s="0" t="s">
        <v>75</v>
      </c>
    </row>
    <row r="65" outlineLevel="2">
      <c r="A65" s="12" t="s">
        <v>95</v>
      </c>
      <c r="B65" s="0" t="s">
        <v>70</v>
      </c>
      <c r="C65" s="14">
        <v>19.5811744669081</v>
      </c>
      <c r="D65" s="14"/>
      <c r="E65" s="14"/>
      <c r="F65" s="14">
        <v>2.1</v>
      </c>
      <c r="G65" s="14">
        <v>0.0539723662263179</v>
      </c>
      <c r="H65" s="0" t="s">
        <v>41</v>
      </c>
      <c r="I65" s="5">
        <v>37705</v>
      </c>
      <c r="K65" s="0" t="s">
        <v>75</v>
      </c>
    </row>
    <row r="66" outlineLevel="2">
      <c r="A66" s="12" t="s">
        <v>96</v>
      </c>
      <c r="B66" s="0" t="s">
        <v>70</v>
      </c>
      <c r="C66" s="14">
        <v>22.1610535725261</v>
      </c>
      <c r="D66" s="14"/>
      <c r="E66" s="14"/>
      <c r="F66" s="14">
        <v>5.17</v>
      </c>
      <c r="G66" s="14">
        <v>0.107944732452636</v>
      </c>
      <c r="H66" s="0" t="s">
        <v>41</v>
      </c>
      <c r="I66" s="5">
        <v>37705</v>
      </c>
      <c r="K66" s="0" t="s">
        <v>71</v>
      </c>
    </row>
    <row r="67" outlineLevel="2">
      <c r="A67" s="12" t="s">
        <v>97</v>
      </c>
      <c r="B67" s="0" t="s">
        <v>70</v>
      </c>
      <c r="C67" s="14">
        <v>0.793393783526873</v>
      </c>
      <c r="D67" s="14"/>
      <c r="E67" s="14"/>
      <c r="F67" s="14">
        <v>0.96</v>
      </c>
      <c r="G67" s="14">
        <v>0.15112262543369</v>
      </c>
      <c r="H67" s="0" t="s">
        <v>41</v>
      </c>
      <c r="I67" s="5">
        <v>37705</v>
      </c>
      <c r="K67" s="0" t="s">
        <v>73</v>
      </c>
    </row>
    <row r="68" outlineLevel="2">
      <c r="A68" s="12" t="s">
        <v>98</v>
      </c>
      <c r="B68" s="0" t="s">
        <v>70</v>
      </c>
      <c r="C68" s="14">
        <v>26.764896411631</v>
      </c>
      <c r="D68" s="14"/>
      <c r="E68" s="14"/>
      <c r="F68" s="14">
        <v>3.62</v>
      </c>
      <c r="G68" s="14">
        <v>0.161917098678954</v>
      </c>
      <c r="H68" s="0" t="s">
        <v>41</v>
      </c>
      <c r="I68" s="5">
        <v>37705</v>
      </c>
      <c r="K68" s="0" t="s">
        <v>73</v>
      </c>
    </row>
    <row r="69">
      <c r="I69" s="5"/>
    </row>
    <row r="70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</mergeCells>
  <dataValidations count="1">
    <dataValidation type="decimal" sqref="C25" errorStyle="stop" promptTitle="Enter moisture content" errorTitle="Invalid moisture content" prompt="Value should be between 0 and 100.&#10;Original value: 7.3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https://phyllis.nl/Biomass/View/3193</dc:description>
  <dcterms:created xsi:type="dcterms:W3CDTF">2026-03-04T04:25:23Z</dcterms:created>
  <dc:title>Phyllis2 #3193 Green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