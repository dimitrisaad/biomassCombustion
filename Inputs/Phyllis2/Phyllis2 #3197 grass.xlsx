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97 grass" sheetId="1" r:id="rId1"/>
  </sheets>
  <definedNames>
    <definedName name="w" localSheetId="0">IF(ISBLANK('Phyllis2 #3197 grass'!$C$21),#N/A,'Phyllis2 #3197 grass'!$C$21/100)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<sst xmlns="http://schemas.openxmlformats.org/spreadsheetml/2006/main" count="97" uniqueCount="97">
  <si>
    <t>Phyllis2</t>
  </si>
  <si>
    <t>https://phyllis.nl/Biomass/View/3197</t>
  </si>
  <si>
    <t>grass (#3197)</t>
  </si>
  <si>
    <t>ID-number</t>
  </si>
  <si>
    <t>#3197</t>
  </si>
  <si>
    <t>Material</t>
  </si>
  <si>
    <t>grass</t>
  </si>
  <si>
    <t>Description</t>
  </si>
  <si>
    <t>grass from nature reserve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</si>
  <si>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</si>
  <si>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</si>
  <si>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other grass &gt; grass from nature reserve</t>
  </si>
  <si>
    <t>NTA 8003 classification &gt; [200] biomassa uit land- en tuinbouw &gt; [210] gras</t>
  </si>
  <si>
    <t>Country</t>
  </si>
  <si>
    <t>Netherlands</t>
  </si>
  <si>
    <t>Submitter</t>
  </si>
  <si>
    <t>F.P. bakker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</si>
  <si>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</si>
  <si>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</si>
  <si>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</si>
  <si>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</si>
  <si>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</si>
  <si>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</si>
  <si>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</si>
  <si>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</si>
  <si>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</si>
  <si>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</si>
  <si>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</si>
  <si>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</si>
  <si>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</si>
  <si>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</si>
  <si>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</si>
  <si>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</si>
  <si>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</si>
  <si>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</si>
  <si>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</si>
  <si>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</si>
  <si>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ECN</t>
  </si>
  <si>
    <t>CEN/TS 14774-1,2,3</t>
  </si>
  <si>
    <t>Ash content at 550°C</t>
  </si>
  <si>
    <t>CEN/TS 14775</t>
  </si>
  <si>
    <t>Ash content at 815°C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</si>
  <si>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</si>
  <si>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</si>
  <si>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</si>
  <si>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</si>
  <si>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</si>
  <si>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</si>
  <si>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</si>
  <si>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</si>
  <si>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B.N213</t>
  </si>
  <si>
    <t>Nitrogen</t>
  </si>
  <si>
    <t>Sulphur</t>
  </si>
  <si>
    <t>CEN/TS15289</t>
  </si>
  <si>
    <t>Total (with halides)</t>
  </si>
  <si>
    <t>Halides</t>
  </si>
  <si>
    <t>Bromine (Br)</t>
  </si>
  <si>
    <t>mg/kg</t>
  </si>
  <si>
    <t>B.N203</t>
  </si>
  <si>
    <t>Chlorine (Cl)</t>
  </si>
  <si>
    <t>CEN/TS 15289</t>
  </si>
  <si>
    <t>Heating value</t>
  </si>
  <si>
    <t>Net calorific value (LHV)</t>
  </si>
  <si>
    <t>MJ/kg</t>
  </si>
  <si>
    <t>CEN/TS 14918</t>
  </si>
  <si>
    <t>HHVMilne</t>
  </si>
  <si>
    <t>Trace elements composition</t>
  </si>
  <si>
    <t>Aluminium (Al)</t>
  </si>
  <si>
    <t>mg/kg (dry)</t>
  </si>
  <si>
    <t>CEN/TS 15290</t>
  </si>
  <si>
    <t>Arsenic (As)</t>
  </si>
  <si>
    <t>CEN/TS 15297</t>
  </si>
  <si>
    <t>Boron (B)</t>
  </si>
  <si>
    <t>B.S221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</si>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</sst>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9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18.8621006011963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8"/>
      <c r="B10" s="0" t="s">
        <v>12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6">
        <v>39979</v>
      </c>
    </row>
    <row r="15">
      <c r="A15" s="7"/>
    </row>
    <row r="16" s="1" customFormat="1">
      <c r="A16" s="9" t="s">
        <v>20</v>
      </c>
    </row>
    <row r="17" s="1" customFormat="1">
      <c r="A17" s="10" t="s">
        <v>21</v>
      </c>
      <c r="B17" s="10" t="s">
        <v>22</v>
      </c>
      <c r="C17" s="10" t="s">
        <v>23</v>
      </c>
      <c r="D17" s="10"/>
      <c r="E17" s="10"/>
      <c r="F17" s="10" t="s">
        <v>24</v>
      </c>
      <c r="G17" s="10" t="s">
        <v>25</v>
      </c>
      <c r="H17" s="10" t="s">
        <v>26</v>
      </c>
      <c r="I17" s="10" t="s">
        <v>27</v>
      </c>
      <c r="J17" s="10" t="s">
        <v>28</v>
      </c>
      <c r="K17" s="10" t="s">
        <v>29</v>
      </c>
      <c r="L17" s="10"/>
    </row>
    <row r="18" s="1" customFormat="1">
      <c r="A18" s="10"/>
      <c r="B18" s="10"/>
      <c r="C18" s="10" t="s">
        <v>30</v>
      </c>
      <c r="D18" s="10" t="s">
        <v>31</v>
      </c>
      <c r="E18" s="10" t="s">
        <v>32</v>
      </c>
      <c r="F18" s="10"/>
      <c r="G18" s="10"/>
      <c r="H18" s="10"/>
      <c r="I18" s="10"/>
      <c r="J18" s="10"/>
      <c r="K18" s="10"/>
      <c r="L18" s="10"/>
    </row>
    <row r="19">
      <c r="A19" s="7" t="s">
        <v>33</v>
      </c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36</v>
      </c>
      <c r="C21" s="13">
        <v>18.897</v>
      </c>
      <c r="D21" s="13"/>
      <c r="E21" s="13"/>
      <c r="F21" s="13"/>
      <c r="G21" s="13">
        <v>0.1</v>
      </c>
      <c r="H21" s="0" t="s">
        <v>37</v>
      </c>
      <c r="I21" s="5">
        <v>39622</v>
      </c>
      <c r="J21" s="0" t="s">
        <v>38</v>
      </c>
      <c r="K21" s="0" t="s">
        <v>38</v>
      </c>
    </row>
    <row r="22" outlineLevel="2">
      <c r="A22" s="12" t="s">
        <v>39</v>
      </c>
      <c r="B22" s="0" t="s">
        <v>36</v>
      </c>
      <c r="C22" s="13">
        <f>IFERROR(8.64*(1-w),"")</f>
        <v>7.0072992</v>
      </c>
      <c r="D22" s="13">
        <v>8.64</v>
      </c>
      <c r="E22" s="13">
        <v/>
      </c>
      <c r="F22" s="13"/>
      <c r="G22" s="13">
        <v>0.1</v>
      </c>
      <c r="H22" s="0" t="s">
        <v>37</v>
      </c>
      <c r="I22" s="5">
        <v>39644</v>
      </c>
      <c r="J22" s="0" t="s">
        <v>40</v>
      </c>
      <c r="K22" s="0" t="s">
        <v>40</v>
      </c>
    </row>
    <row r="23" outlineLevel="2">
      <c r="A23" s="12" t="s">
        <v>41</v>
      </c>
      <c r="B23" s="0" t="s">
        <v>36</v>
      </c>
      <c r="C23" s="13">
        <f>IFERROR(7.6*(1-w),"")</f>
        <v>6.163828</v>
      </c>
      <c r="D23" s="13">
        <v>7.6</v>
      </c>
      <c r="E23" s="13">
        <v/>
      </c>
      <c r="F23" s="13"/>
      <c r="G23" s="13">
        <v>0.1</v>
      </c>
      <c r="H23" s="0" t="s">
        <v>37</v>
      </c>
      <c r="I23" s="5">
        <v>39644</v>
      </c>
      <c r="K23" s="0" t="s">
        <v>40</v>
      </c>
    </row>
    <row r="24" outlineLevel="2">
      <c r="A24" s="12" t="s">
        <v>42</v>
      </c>
      <c r="B24" s="0" t="s">
        <v>36</v>
      </c>
      <c r="C24" s="13">
        <f>IFERROR(72.8*(1-w),"")</f>
        <v>59.042984</v>
      </c>
      <c r="D24" s="13">
        <v>72.8</v>
      </c>
      <c r="E24" s="13">
        <v>79.684763572679515</v>
      </c>
      <c r="F24" s="13"/>
      <c r="G24" s="13">
        <v>0.1</v>
      </c>
      <c r="H24" s="0" t="s">
        <v>37</v>
      </c>
      <c r="I24" s="5">
        <v>39644</v>
      </c>
    </row>
    <row r="25" outlineLevel="2">
      <c r="A25" s="12" t="s">
        <v>43</v>
      </c>
      <c r="B25" s="0" t="s">
        <v>36</v>
      </c>
      <c r="C25" s="13">
        <f>IFERROR(18.56*(1-w),"")</f>
        <v>15.052716800000002</v>
      </c>
      <c r="D25" s="13">
        <v>18.560000000000002</v>
      </c>
      <c r="E25" s="13">
        <v>20.315236427320492</v>
      </c>
      <c r="F25" s="13"/>
      <c r="G25" s="13"/>
      <c r="I25" s="5"/>
      <c r="J25" s="0" t="s">
        <v>44</v>
      </c>
    </row>
    <row r="26" outlineLevel="1">
      <c r="A26" s="11" t="s">
        <v>45</v>
      </c>
      <c r="I26" s="5"/>
    </row>
    <row r="27" outlineLevel="2">
      <c r="A27" s="12" t="s">
        <v>46</v>
      </c>
      <c r="B27" s="0" t="s">
        <v>36</v>
      </c>
      <c r="C27" s="13">
        <f>IFERROR(44.104*(1-w),"")</f>
        <v>35.76966712</v>
      </c>
      <c r="D27" s="13">
        <v>44.104</v>
      </c>
      <c r="E27" s="13">
        <v>48.274956217162874</v>
      </c>
      <c r="F27" s="13"/>
      <c r="G27" s="13">
        <v>0.1</v>
      </c>
      <c r="H27" s="0" t="s">
        <v>37</v>
      </c>
      <c r="I27" s="5">
        <v>39639</v>
      </c>
      <c r="J27" s="0" t="s">
        <v>47</v>
      </c>
      <c r="K27" s="0" t="s">
        <v>47</v>
      </c>
    </row>
    <row r="28" outlineLevel="2">
      <c r="A28" s="12" t="s">
        <v>48</v>
      </c>
      <c r="B28" s="0" t="s">
        <v>36</v>
      </c>
      <c r="C28" s="13">
        <f>IFERROR(5.73*(1-w),"")</f>
        <v>4.6472019000000007</v>
      </c>
      <c r="D28" s="13">
        <v>5.73</v>
      </c>
      <c r="E28" s="13">
        <v>6.2718914185639241</v>
      </c>
      <c r="F28" s="13"/>
      <c r="G28" s="13">
        <v>0.1</v>
      </c>
      <c r="H28" s="0" t="s">
        <v>37</v>
      </c>
      <c r="I28" s="5">
        <v>39639</v>
      </c>
      <c r="J28" s="0" t="s">
        <v>47</v>
      </c>
      <c r="K28" s="0" t="s">
        <v>47</v>
      </c>
    </row>
    <row r="29" outlineLevel="2">
      <c r="A29" s="12" t="s">
        <v>49</v>
      </c>
      <c r="B29" s="0" t="s">
        <v>36</v>
      </c>
      <c r="C29" s="13">
        <f>IFERROR(40.91*(1-w),"")</f>
        <v>33.1792373</v>
      </c>
      <c r="D29" s="13">
        <v>40.91</v>
      </c>
      <c r="E29" s="13">
        <v>44.778896672504374</v>
      </c>
      <c r="F29" s="13"/>
      <c r="G29" s="13">
        <v>0.1</v>
      </c>
      <c r="H29" s="0" t="s">
        <v>37</v>
      </c>
      <c r="I29" s="5">
        <v>39639</v>
      </c>
      <c r="K29" s="0" t="s">
        <v>50</v>
      </c>
    </row>
    <row r="30" outlineLevel="2">
      <c r="A30" s="12" t="s">
        <v>51</v>
      </c>
      <c r="B30" s="0" t="s">
        <v>36</v>
      </c>
      <c r="C30" s="13">
        <f>IFERROR(2.06*(1-w),"")</f>
        <v>1.6707218000000001</v>
      </c>
      <c r="D30" s="13">
        <v>2.06</v>
      </c>
      <c r="E30" s="13">
        <v>2.2548161120840633</v>
      </c>
      <c r="F30" s="13"/>
      <c r="G30" s="13">
        <v>0.1</v>
      </c>
      <c r="H30" s="0" t="s">
        <v>37</v>
      </c>
      <c r="I30" s="5">
        <v>39639</v>
      </c>
      <c r="J30" s="0" t="s">
        <v>47</v>
      </c>
      <c r="K30" s="0" t="s">
        <v>47</v>
      </c>
    </row>
    <row r="31" outlineLevel="2">
      <c r="A31" s="12" t="s">
        <v>52</v>
      </c>
      <c r="B31" s="0" t="s">
        <v>36</v>
      </c>
      <c r="C31" s="13">
        <f>IFERROR(0.229179929880839*(1-w),"")</f>
        <v>0.18587179853125685</v>
      </c>
      <c r="D31" s="13">
        <v>0.229179929880839</v>
      </c>
      <c r="E31" s="13">
        <v>0.25085368857359785</v>
      </c>
      <c r="F31" s="13"/>
      <c r="G31" s="13">
        <v>0.00124767973071774</v>
      </c>
      <c r="H31" s="0" t="s">
        <v>37</v>
      </c>
      <c r="I31" s="5">
        <v>39625</v>
      </c>
      <c r="J31" s="0" t="s">
        <v>53</v>
      </c>
      <c r="K31" s="0" t="s">
        <v>47</v>
      </c>
    </row>
    <row r="32" outlineLevel="2">
      <c r="A32" s="12" t="s">
        <v>54</v>
      </c>
      <c r="B32" s="0" t="s">
        <v>36</v>
      </c>
      <c r="C32" s="13">
        <f>IFERROR(102.087639929881*(1-w)+w*100,"")</f>
        <v>101.69313861233127</v>
      </c>
      <c r="D32" s="13">
        <v>102.08763992988085</v>
      </c>
      <c r="E32" s="13">
        <v>102.28506997578903</v>
      </c>
      <c r="F32" s="13"/>
      <c r="G32" s="13"/>
      <c r="I32" s="5"/>
      <c r="J32" s="0" t="s">
        <v>44</v>
      </c>
    </row>
    <row r="33" outlineLevel="1">
      <c r="A33" s="11" t="s">
        <v>55</v>
      </c>
      <c r="I33" s="5"/>
    </row>
    <row r="34" outlineLevel="2">
      <c r="A34" s="12" t="s">
        <v>56</v>
      </c>
      <c r="B34" s="0" t="s">
        <v>57</v>
      </c>
      <c r="C34" s="14">
        <f>IFERROR(12.1*(1-w),"")</f>
        <v>9.813463</v>
      </c>
      <c r="D34" s="14">
        <v>12.1</v>
      </c>
      <c r="E34" s="14">
        <v>13.244308231173379</v>
      </c>
      <c r="F34" s="14">
        <v>5.84</v>
      </c>
      <c r="G34" s="14">
        <v>5</v>
      </c>
      <c r="H34" s="0" t="s">
        <v>37</v>
      </c>
      <c r="I34" s="5">
        <v>39644</v>
      </c>
      <c r="K34" s="0" t="s">
        <v>58</v>
      </c>
    </row>
    <row r="35" outlineLevel="2">
      <c r="A35" s="12" t="s">
        <v>59</v>
      </c>
      <c r="B35" s="0" t="s">
        <v>57</v>
      </c>
      <c r="C35" s="14">
        <f>IFERROR(4132.5*(1-w),"")</f>
        <v>3351.581475</v>
      </c>
      <c r="D35" s="14">
        <v>4132.5</v>
      </c>
      <c r="E35" s="14">
        <v>4523.3143607705779</v>
      </c>
      <c r="F35" s="14">
        <v>1.76</v>
      </c>
      <c r="G35" s="14">
        <v>10</v>
      </c>
      <c r="H35" s="0" t="s">
        <v>37</v>
      </c>
      <c r="I35" s="5">
        <v>39644</v>
      </c>
      <c r="J35" s="0" t="s">
        <v>60</v>
      </c>
      <c r="K35" s="0" t="s">
        <v>60</v>
      </c>
    </row>
    <row r="36" outlineLevel="1">
      <c r="A36" s="11" t="s">
        <v>61</v>
      </c>
      <c r="I36" s="5"/>
    </row>
    <row r="37" outlineLevel="2">
      <c r="A37" s="12" t="s">
        <v>62</v>
      </c>
      <c r="B37" s="0" t="s">
        <v>63</v>
      </c>
      <c r="C37" s="13">
        <f>IFERROR(18.297*(1-w)-w*2.443,"")</f>
        <v>14.377762200000001</v>
      </c>
      <c r="D37" s="13">
        <v>18.297</v>
      </c>
      <c r="E37" s="13">
        <v>20.027364273204906</v>
      </c>
      <c r="F37" s="13">
        <v>0.05</v>
      </c>
      <c r="G37" s="13">
        <v>1</v>
      </c>
      <c r="H37" s="0" t="s">
        <v>37</v>
      </c>
      <c r="I37" s="5">
        <v>39645</v>
      </c>
      <c r="J37" s="0" t="s">
        <v>64</v>
      </c>
      <c r="K37" s="0" t="s">
        <v>64</v>
      </c>
    </row>
    <row r="38" outlineLevel="2">
      <c r="A38" s="12" t="s">
        <v>65</v>
      </c>
      <c r="B38" s="0" t="s">
        <v>63</v>
      </c>
      <c r="C38" s="13">
        <f>IFERROR(17.3530751319898*(1-w),"")</f>
        <v>14.073864524297711</v>
      </c>
      <c r="D38" s="13">
        <v>17.353075131989829</v>
      </c>
      <c r="E38" s="13">
        <v>18.994171554279585</v>
      </c>
      <c r="F38" s="13"/>
      <c r="G38" s="13"/>
      <c r="I38" s="5"/>
      <c r="J38" s="0" t="s">
        <v>44</v>
      </c>
    </row>
    <row r="39" outlineLevel="1">
      <c r="A39" s="11" t="s">
        <v>66</v>
      </c>
      <c r="I39" s="5"/>
    </row>
    <row r="40" outlineLevel="2">
      <c r="A40" s="12" t="s">
        <v>67</v>
      </c>
      <c r="B40" s="0" t="s">
        <v>68</v>
      </c>
      <c r="C40" s="14">
        <v>353.735370742166</v>
      </c>
      <c r="D40" s="14"/>
      <c r="E40" s="14"/>
      <c r="F40" s="14"/>
      <c r="G40" s="14">
        <v>0.308250000646734</v>
      </c>
      <c r="H40" s="0" t="s">
        <v>37</v>
      </c>
      <c r="I40" s="5">
        <v>39625</v>
      </c>
      <c r="K40" s="0" t="s">
        <v>69</v>
      </c>
    </row>
    <row r="41" outlineLevel="2">
      <c r="A41" s="12" t="s">
        <v>70</v>
      </c>
      <c r="B41" s="0" t="s">
        <v>68</v>
      </c>
      <c r="C41" s="14">
        <v>1.06236969679494</v>
      </c>
      <c r="D41" s="14"/>
      <c r="E41" s="14"/>
      <c r="F41" s="14"/>
      <c r="G41" s="14">
        <v>6.31226386144366</v>
      </c>
      <c r="H41" s="0" t="s">
        <v>37</v>
      </c>
      <c r="I41" s="5">
        <v>39625</v>
      </c>
      <c r="K41" s="0" t="s">
        <v>71</v>
      </c>
    </row>
    <row r="42" outlineLevel="2">
      <c r="A42" s="12" t="s">
        <v>72</v>
      </c>
      <c r="B42" s="0" t="s">
        <v>68</v>
      </c>
      <c r="C42" s="14">
        <v>6.16500001293469</v>
      </c>
      <c r="D42" s="14"/>
      <c r="E42" s="14"/>
      <c r="F42" s="14"/>
      <c r="G42" s="14">
        <v>0.406890000853689</v>
      </c>
      <c r="H42" s="0" t="s">
        <v>37</v>
      </c>
      <c r="I42" s="5">
        <v>39625</v>
      </c>
      <c r="K42" s="0" t="s">
        <v>73</v>
      </c>
    </row>
    <row r="43" outlineLevel="2">
      <c r="A43" s="12" t="s">
        <v>74</v>
      </c>
      <c r="B43" s="0" t="s">
        <v>68</v>
      </c>
      <c r="C43" s="14">
        <v>20.9835367193852</v>
      </c>
      <c r="D43" s="14"/>
      <c r="E43" s="14"/>
      <c r="F43" s="14"/>
      <c r="G43" s="14">
        <v>0.0149580162313832</v>
      </c>
      <c r="H43" s="0" t="s">
        <v>37</v>
      </c>
      <c r="I43" s="5">
        <v>39625</v>
      </c>
      <c r="K43" s="0" t="s">
        <v>71</v>
      </c>
    </row>
    <row r="44" outlineLevel="2">
      <c r="A44" s="12" t="s">
        <v>75</v>
      </c>
      <c r="B44" s="0" t="s">
        <v>68</v>
      </c>
      <c r="C44" s="14">
        <v>3296.34536191601</v>
      </c>
      <c r="D44" s="14"/>
      <c r="E44" s="14"/>
      <c r="F44" s="14"/>
      <c r="G44" s="14">
        <v>3.17108994695321</v>
      </c>
      <c r="H44" s="0" t="s">
        <v>37</v>
      </c>
      <c r="I44" s="5">
        <v>39625</v>
      </c>
      <c r="K44" s="0" t="s">
        <v>69</v>
      </c>
    </row>
    <row r="45" outlineLevel="2">
      <c r="A45" s="12" t="s">
        <v>76</v>
      </c>
      <c r="B45" s="0" t="s">
        <v>68</v>
      </c>
      <c r="C45" s="14">
        <v>0.157869490633223</v>
      </c>
      <c r="D45" s="14"/>
      <c r="E45" s="14"/>
      <c r="F45" s="14"/>
      <c r="G45" s="14">
        <v>0.284201445296278</v>
      </c>
      <c r="H45" s="0" t="s">
        <v>37</v>
      </c>
      <c r="I45" s="5">
        <v>39625</v>
      </c>
      <c r="K45" s="0" t="s">
        <v>71</v>
      </c>
    </row>
    <row r="46" outlineLevel="2">
      <c r="A46" s="12" t="s">
        <v>77</v>
      </c>
      <c r="B46" s="0" t="s">
        <v>68</v>
      </c>
      <c r="C46" s="14">
        <v>0.455675383253045</v>
      </c>
      <c r="D46" s="14"/>
      <c r="E46" s="14"/>
      <c r="F46" s="14"/>
      <c r="G46" s="14">
        <v>0.463697146872875</v>
      </c>
      <c r="H46" s="0" t="s">
        <v>37</v>
      </c>
      <c r="I46" s="5">
        <v>39625</v>
      </c>
      <c r="K46" s="0" t="s">
        <v>71</v>
      </c>
    </row>
    <row r="47" outlineLevel="2">
      <c r="A47" s="12" t="s">
        <v>78</v>
      </c>
      <c r="B47" s="0" t="s">
        <v>68</v>
      </c>
      <c r="C47" s="14">
        <v>4.13121378435363</v>
      </c>
      <c r="D47" s="14"/>
      <c r="E47" s="14"/>
      <c r="F47" s="14"/>
      <c r="G47" s="14">
        <v>0.239327519902129</v>
      </c>
      <c r="H47" s="0" t="s">
        <v>37</v>
      </c>
      <c r="I47" s="5">
        <v>39625</v>
      </c>
      <c r="K47" s="0" t="s">
        <v>71</v>
      </c>
    </row>
    <row r="48" outlineLevel="2">
      <c r="A48" s="12" t="s">
        <v>79</v>
      </c>
      <c r="B48" s="0" t="s">
        <v>68</v>
      </c>
      <c r="C48" s="14">
        <v>9.05973596406908</v>
      </c>
      <c r="D48" s="14"/>
      <c r="E48" s="14"/>
      <c r="F48" s="14"/>
      <c r="G48" s="14">
        <v>0.164537685345214</v>
      </c>
      <c r="H48" s="0" t="s">
        <v>37</v>
      </c>
      <c r="I48" s="5">
        <v>39625</v>
      </c>
      <c r="K48" s="0" t="s">
        <v>71</v>
      </c>
    </row>
    <row r="49" outlineLevel="2">
      <c r="A49" s="12" t="s">
        <v>80</v>
      </c>
      <c r="B49" s="0" t="s">
        <v>68</v>
      </c>
      <c r="C49" s="14">
        <v>289.291562760958</v>
      </c>
      <c r="D49" s="14"/>
      <c r="E49" s="14"/>
      <c r="F49" s="14"/>
      <c r="G49" s="14">
        <v>0.837646442957452</v>
      </c>
      <c r="H49" s="0" t="s">
        <v>37</v>
      </c>
      <c r="I49" s="5">
        <v>39625</v>
      </c>
      <c r="K49" s="0" t="s">
        <v>69</v>
      </c>
    </row>
    <row r="50" outlineLevel="2">
      <c r="A50" s="12" t="s">
        <v>81</v>
      </c>
      <c r="B50" s="0" t="s">
        <v>68</v>
      </c>
      <c r="C50" s="14">
        <v>31907.0525079437</v>
      </c>
      <c r="D50" s="14"/>
      <c r="E50" s="14"/>
      <c r="F50" s="14"/>
      <c r="G50" s="14">
        <v>3.45529139224949</v>
      </c>
      <c r="H50" s="0" t="s">
        <v>37</v>
      </c>
      <c r="I50" s="5">
        <v>39625</v>
      </c>
      <c r="K50" s="0" t="s">
        <v>69</v>
      </c>
    </row>
    <row r="51" outlineLevel="2">
      <c r="A51" s="12" t="s">
        <v>82</v>
      </c>
      <c r="B51" s="0" t="s">
        <v>68</v>
      </c>
      <c r="C51" s="14">
        <v>1576.30419330722</v>
      </c>
      <c r="D51" s="14"/>
      <c r="E51" s="14"/>
      <c r="F51" s="14"/>
      <c r="G51" s="14">
        <v>0.234270000491518</v>
      </c>
      <c r="H51" s="0" t="s">
        <v>37</v>
      </c>
      <c r="I51" s="5">
        <v>39625</v>
      </c>
      <c r="K51" s="0" t="s">
        <v>69</v>
      </c>
    </row>
    <row r="52" outlineLevel="2">
      <c r="A52" s="12" t="s">
        <v>83</v>
      </c>
      <c r="B52" s="0" t="s">
        <v>68</v>
      </c>
      <c r="C52" s="14">
        <v>56.8767220515821</v>
      </c>
      <c r="D52" s="14"/>
      <c r="E52" s="14"/>
      <c r="F52" s="14"/>
      <c r="G52" s="14">
        <v>0.119663759951065</v>
      </c>
      <c r="H52" s="0" t="s">
        <v>37</v>
      </c>
      <c r="I52" s="5">
        <v>39625</v>
      </c>
      <c r="K52" s="0" t="s">
        <v>71</v>
      </c>
    </row>
    <row r="53" outlineLevel="2">
      <c r="A53" s="12" t="s">
        <v>84</v>
      </c>
      <c r="B53" s="0" t="s">
        <v>68</v>
      </c>
      <c r="C53" s="14">
        <v>1.3358376662257</v>
      </c>
      <c r="D53" s="14"/>
      <c r="E53" s="14"/>
      <c r="F53" s="14"/>
      <c r="G53" s="14">
        <v>1.73512470424044</v>
      </c>
      <c r="H53" s="0" t="s">
        <v>37</v>
      </c>
      <c r="I53" s="5">
        <v>39625</v>
      </c>
      <c r="K53" s="0" t="s">
        <v>71</v>
      </c>
    </row>
    <row r="54" outlineLevel="2">
      <c r="A54" s="12" t="s">
        <v>85</v>
      </c>
      <c r="B54" s="0" t="s">
        <v>68</v>
      </c>
      <c r="C54" s="14">
        <v>482.324941011958</v>
      </c>
      <c r="D54" s="14"/>
      <c r="E54" s="14"/>
      <c r="F54" s="14"/>
      <c r="G54" s="14">
        <v>1.41795000297498</v>
      </c>
      <c r="H54" s="0" t="s">
        <v>37</v>
      </c>
      <c r="I54" s="5">
        <v>39625</v>
      </c>
      <c r="K54" s="0" t="s">
        <v>69</v>
      </c>
    </row>
    <row r="55" outlineLevel="2">
      <c r="A55" s="12" t="s">
        <v>86</v>
      </c>
      <c r="B55" s="0" t="s">
        <v>68</v>
      </c>
      <c r="C55" s="14">
        <v>3.89823446730382</v>
      </c>
      <c r="D55" s="14"/>
      <c r="E55" s="14"/>
      <c r="F55" s="14"/>
      <c r="G55" s="14">
        <v>0.822688426726069</v>
      </c>
      <c r="H55" s="0" t="s">
        <v>37</v>
      </c>
      <c r="I55" s="5">
        <v>39625</v>
      </c>
      <c r="K55" s="0" t="s">
        <v>71</v>
      </c>
    </row>
    <row r="56" outlineLevel="2">
      <c r="A56" s="12" t="s">
        <v>87</v>
      </c>
      <c r="B56" s="0" t="s">
        <v>68</v>
      </c>
      <c r="C56" s="14">
        <v>3357.05211704338</v>
      </c>
      <c r="D56" s="14"/>
      <c r="E56" s="14"/>
      <c r="F56" s="14"/>
      <c r="G56" s="14">
        <v>1.26999000266455</v>
      </c>
      <c r="H56" s="0" t="s">
        <v>37</v>
      </c>
      <c r="I56" s="5">
        <v>39625</v>
      </c>
      <c r="K56" s="0" t="s">
        <v>69</v>
      </c>
    </row>
    <row r="57" outlineLevel="2">
      <c r="A57" s="12" t="s">
        <v>88</v>
      </c>
      <c r="B57" s="0" t="s">
        <v>68</v>
      </c>
      <c r="C57" s="14">
        <v>0.354445099106655</v>
      </c>
      <c r="D57" s="14"/>
      <c r="E57" s="14"/>
      <c r="F57" s="14"/>
      <c r="G57" s="14">
        <v>6.32722187767504</v>
      </c>
      <c r="H57" s="0" t="s">
        <v>37</v>
      </c>
      <c r="I57" s="5">
        <v>39625</v>
      </c>
      <c r="K57" s="0" t="s">
        <v>71</v>
      </c>
    </row>
    <row r="58" outlineLevel="2">
      <c r="A58" s="12" t="s">
        <v>89</v>
      </c>
      <c r="B58" s="0" t="s">
        <v>68</v>
      </c>
      <c r="C58" s="14">
        <v>-0.981599939224479</v>
      </c>
      <c r="D58" s="14"/>
      <c r="E58" s="14"/>
      <c r="F58" s="14"/>
      <c r="G58" s="14">
        <v>1.70520867177767</v>
      </c>
      <c r="H58" s="0" t="s">
        <v>37</v>
      </c>
      <c r="I58" s="5">
        <v>39625</v>
      </c>
      <c r="K58" s="0" t="s">
        <v>73</v>
      </c>
    </row>
    <row r="59" outlineLevel="2">
      <c r="A59" s="12" t="s">
        <v>90</v>
      </c>
      <c r="B59" s="0" t="s">
        <v>68</v>
      </c>
      <c r="C59" s="14">
        <v>-0.864270340753311</v>
      </c>
      <c r="D59" s="14"/>
      <c r="E59" s="14"/>
      <c r="F59" s="14"/>
      <c r="G59" s="14">
        <v>3.15613193072183</v>
      </c>
      <c r="H59" s="0" t="s">
        <v>37</v>
      </c>
      <c r="I59" s="5">
        <v>39625</v>
      </c>
      <c r="K59" s="0" t="s">
        <v>71</v>
      </c>
    </row>
    <row r="60" outlineLevel="2">
      <c r="A60" s="12" t="s">
        <v>91</v>
      </c>
      <c r="B60" s="0" t="s">
        <v>68</v>
      </c>
      <c r="C60" s="14">
        <v>6238.81972308956</v>
      </c>
      <c r="D60" s="14"/>
      <c r="E60" s="14"/>
      <c r="F60" s="14"/>
      <c r="G60" s="14">
        <v>12.2806800257659</v>
      </c>
      <c r="H60" s="0" t="s">
        <v>37</v>
      </c>
      <c r="I60" s="5">
        <v>39625</v>
      </c>
      <c r="K60" s="0" t="s">
        <v>69</v>
      </c>
    </row>
    <row r="61" outlineLevel="2">
      <c r="A61" s="12" t="s">
        <v>92</v>
      </c>
      <c r="B61" s="0" t="s">
        <v>68</v>
      </c>
      <c r="C61" s="14">
        <v>0.281152990885882</v>
      </c>
      <c r="D61" s="14"/>
      <c r="E61" s="14"/>
      <c r="F61" s="14"/>
      <c r="G61" s="14">
        <v>0.643192725149472</v>
      </c>
      <c r="H61" s="0" t="s">
        <v>37</v>
      </c>
      <c r="I61" s="5">
        <v>39625</v>
      </c>
      <c r="K61" s="0" t="s">
        <v>73</v>
      </c>
    </row>
    <row r="62" outlineLevel="2">
      <c r="A62" s="12" t="s">
        <v>93</v>
      </c>
      <c r="B62" s="0" t="s">
        <v>68</v>
      </c>
      <c r="C62" s="14">
        <v>10.9179546096078</v>
      </c>
      <c r="D62" s="14"/>
      <c r="E62" s="14"/>
      <c r="F62" s="14"/>
      <c r="G62" s="14">
        <v>0</v>
      </c>
      <c r="H62" s="0" t="s">
        <v>37</v>
      </c>
      <c r="I62" s="5">
        <v>39625</v>
      </c>
      <c r="K62" s="0" t="s">
        <v>73</v>
      </c>
    </row>
    <row r="63" outlineLevel="2">
      <c r="A63" s="12" t="s">
        <v>94</v>
      </c>
      <c r="B63" s="0" t="s">
        <v>68</v>
      </c>
      <c r="C63" s="14">
        <v>8.59647601803612</v>
      </c>
      <c r="D63" s="14"/>
      <c r="E63" s="14"/>
      <c r="F63" s="14"/>
      <c r="G63" s="14">
        <v>0.134621776182448</v>
      </c>
      <c r="H63" s="0" t="s">
        <v>37</v>
      </c>
      <c r="I63" s="5">
        <v>39625</v>
      </c>
      <c r="K63" s="0" t="s">
        <v>69</v>
      </c>
    </row>
    <row r="64" outlineLevel="2">
      <c r="A64" s="12" t="s">
        <v>95</v>
      </c>
      <c r="B64" s="0" t="s">
        <v>68</v>
      </c>
      <c r="C64" s="14">
        <v>0.801450001681509</v>
      </c>
      <c r="D64" s="14"/>
      <c r="E64" s="14"/>
      <c r="F64" s="14"/>
      <c r="G64" s="14">
        <v>0.209411610739363</v>
      </c>
      <c r="H64" s="0" t="s">
        <v>37</v>
      </c>
      <c r="I64" s="5">
        <v>39625</v>
      </c>
      <c r="K64" s="0" t="s">
        <v>71</v>
      </c>
    </row>
    <row r="65" outlineLevel="2">
      <c r="A65" s="12" t="s">
        <v>96</v>
      </c>
      <c r="B65" s="0" t="s">
        <v>68</v>
      </c>
      <c r="C65" s="14">
        <v>40.7756627728707</v>
      </c>
      <c r="D65" s="14"/>
      <c r="E65" s="14"/>
      <c r="F65" s="14"/>
      <c r="G65" s="14">
        <v>0.373949296084577</v>
      </c>
      <c r="H65" s="0" t="s">
        <v>37</v>
      </c>
      <c r="I65" s="5">
        <v>39625</v>
      </c>
      <c r="K65" s="0" t="s">
        <v>71</v>
      </c>
    </row>
    <row r="66">
      <c r="I66" s="5"/>
    </row>
    <row r="67" s="1" customFormat="1"/>
  </sheetData>
  <mergeCells>
    <mergeCell ref="A8:A10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</mergeCells>
  <dataValidations count="1">
    <dataValidation type="decimal" sqref="C21" errorStyle="stop" promptTitle="Enter moisture content" errorTitle="Invalid moisture content" prompt="Value should be between 0 and 100.&#10;Original value: 18.89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https://phyllis.nl/Biomass/View/3197</dc:description>
  <dcterms:created xsi:type="dcterms:W3CDTF">2026-03-04T04:24:37Z</dcterms:created>
  <dc:title>Phyllis2 #3197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