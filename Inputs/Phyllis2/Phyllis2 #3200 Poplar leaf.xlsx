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200 Poplar leaf" sheetId="1" r:id="rId1"/>
  </sheets>
  <definedNames>
    <definedName name="w" localSheetId="0">IF(ISBLANK('Phyllis2 #3200 Poplar leaf'!$C$24),#N/A,'Phyllis2 #3200 Poplar leaf'!$C$24/100)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1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1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1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<sst xmlns="http://schemas.openxmlformats.org/spreadsheetml/2006/main" count="95" uniqueCount="95">
  <si>
    <t>Phyllis2</t>
  </si>
  <si>
    <t>https://phyllis.nl/Biomass/View/3200</t>
  </si>
  <si>
    <t>Poplar leaf (#3200)</t>
  </si>
  <si>
    <t>ID-number</t>
  </si>
  <si>
    <t>#3200</t>
  </si>
  <si>
    <t>Material</t>
  </si>
  <si>
    <t>Poplar leaf</t>
  </si>
  <si>
    <t>Alternative name</t>
  </si>
  <si>
    <t>Populier blad</t>
  </si>
  <si>
    <t>Latin name</t>
  </si>
  <si>
    <t>Populus I</t>
  </si>
  <si>
    <t>Description</t>
  </si>
  <si>
    <t>IPE</t>
  </si>
  <si>
    <t>Classification</t>
  </si>
  <si>
    <t>CEN/TS 14961 classification &gt; Solid biofuels &gt; Woody biomass &gt; Forest and plantation wood &gt; Landscape management woody biomass</t>
  </si>
  <si>
    <t>ECN Phyllis classification &gt; untreated wood &gt; leaves</t>
  </si>
  <si>
    <t>NTA 8003 classification &gt; [100] hout</t>
  </si>
  <si>
    <t>Country</t>
  </si>
  <si>
    <t>Netherlands</t>
  </si>
  <si>
    <t>Production date</t>
  </si>
  <si>
    <t>Submitter</t>
  </si>
  <si>
    <t>Bakker, F.P.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</si>
  <si>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</si>
  <si>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</si>
  <si>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</si>
  <si>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</si>
  <si>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</si>
  <si>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</si>
  <si>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</si>
  <si>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</si>
  <si>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</si>
  <si>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</si>
  <si>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</si>
  <si>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</si>
  <si>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</si>
  <si>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</si>
  <si>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</si>
  <si>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</si>
  <si>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</si>
  <si>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</si>
  <si>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</si>
  <si>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</si>
  <si>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ECN</t>
  </si>
  <si>
    <t>CEN/TS 14774-1,2,3</t>
  </si>
  <si>
    <t>Ash content at 550°C</t>
  </si>
  <si>
    <t>CEN/TS 14775</t>
  </si>
  <si>
    <t>Ash content at 815°C</t>
  </si>
  <si>
    <t>Ultimate analysis (macroelements)</t>
  </si>
  <si>
    <t>Carbon</t>
  </si>
  <si>
    <t>CEN/TS 15104</t>
  </si>
  <si>
    <t>Hydrogen</t>
  </si>
  <si>
    <t>Nitrogen</t>
  </si>
  <si>
    <t>Sulphur</t>
  </si>
  <si>
    <t>CEN/TS15289</t>
  </si>
  <si>
    <t>Total (with halides)</t>
  </si>
  <si>
    <t>Calculated</t>
  </si>
  <si>
    <t>Halides</t>
  </si>
  <si>
    <t>Chlorine (Cl)</t>
  </si>
  <si>
    <t>mg/kg</t>
  </si>
  <si>
    <t>CEN/TS 15289</t>
  </si>
  <si>
    <t>Trace elements composition</t>
  </si>
  <si>
    <t>Aluminium (Al)</t>
  </si>
  <si>
    <t>mg/kg (dry)</t>
  </si>
  <si>
    <t>CEN/TS 15290</t>
  </si>
  <si>
    <t>Arsenic (As)</t>
  </si>
  <si>
    <t>CEN/TS 15297</t>
  </si>
  <si>
    <t>Boron (B)</t>
  </si>
  <si>
    <t>B.S221</t>
  </si>
  <si>
    <t>Barium (Ba)</t>
  </si>
  <si>
    <t>Beryllium (Be)</t>
  </si>
  <si>
    <t>Calcium (Ca)</t>
  </si>
  <si>
    <t>Cadmium (Cd)</t>
  </si>
  <si>
    <t>Cobalt (Co)</t>
  </si>
  <si>
    <t>Chromium (Cr)</t>
  </si>
  <si>
    <t>Copper (Cu)</t>
  </si>
  <si>
    <t>Iron (Fe)</t>
  </si>
  <si>
    <t>Mercury (Hg)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</si>
  <si>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</si>
  <si>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</si>
  <si>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</si>
  <si>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</si>
  <si>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</si>
  <si>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</si>
  <si>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</si>
  <si>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</si>
  <si>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</si>
  <si>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B.S401</t>
  </si>
  <si>
    <t>Selenium (Se)</t>
  </si>
  <si>
    <t>Silicon (Si)</t>
  </si>
  <si>
    <t>Tin (Sn)</t>
  </si>
  <si>
    <t>B.S211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</si>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</sst>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20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1.4837522506714" customWidth="1"/>
    <col min="10" max="10" width="18.8621006011963" customWidth="1"/>
    <col min="11" max="11" width="18.8621006011963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8" t="s">
        <v>13</v>
      </c>
      <c r="B10" s="0" t="s">
        <v>14</v>
      </c>
    </row>
    <row r="11" outlineLevel="1">
      <c r="A11" s="8"/>
      <c r="B11" s="0" t="s">
        <v>15</v>
      </c>
    </row>
    <row r="12" outlineLevel="1">
      <c r="A12" s="8"/>
      <c r="B12" s="0" t="s">
        <v>16</v>
      </c>
    </row>
    <row r="13" outlineLevel="1">
      <c r="A13" s="7" t="s">
        <v>17</v>
      </c>
      <c r="B13" s="0" t="s">
        <v>18</v>
      </c>
    </row>
    <row r="14" outlineLevel="1">
      <c r="A14" s="7" t="s">
        <v>19</v>
      </c>
      <c r="B14" s="6">
        <v>39234</v>
      </c>
    </row>
    <row r="15" outlineLevel="1">
      <c r="A15" s="7" t="s">
        <v>20</v>
      </c>
      <c r="B15" s="0" t="s">
        <v>21</v>
      </c>
    </row>
    <row r="16" outlineLevel="1">
      <c r="A16" s="7" t="s">
        <v>22</v>
      </c>
      <c r="B16" s="0" t="s">
        <v>23</v>
      </c>
    </row>
    <row r="17" outlineLevel="1">
      <c r="A17" s="7" t="s">
        <v>24</v>
      </c>
      <c r="B17" s="6">
        <v>39988</v>
      </c>
    </row>
    <row r="18">
      <c r="A18" s="7"/>
    </row>
    <row r="19" s="1" customFormat="1">
      <c r="A19" s="9" t="s">
        <v>25</v>
      </c>
    </row>
    <row r="20" s="1" customFormat="1">
      <c r="A20" s="10" t="s">
        <v>26</v>
      </c>
      <c r="B20" s="10" t="s">
        <v>27</v>
      </c>
      <c r="C20" s="10" t="s">
        <v>28</v>
      </c>
      <c r="D20" s="10"/>
      <c r="E20" s="10"/>
      <c r="F20" s="10" t="s">
        <v>29</v>
      </c>
      <c r="G20" s="10" t="s">
        <v>30</v>
      </c>
      <c r="H20" s="10" t="s">
        <v>31</v>
      </c>
      <c r="I20" s="10" t="s">
        <v>32</v>
      </c>
      <c r="J20" s="10" t="s">
        <v>33</v>
      </c>
      <c r="K20" s="10" t="s">
        <v>34</v>
      </c>
      <c r="L20" s="10"/>
    </row>
    <row r="21" s="1" customFormat="1">
      <c r="A21" s="10"/>
      <c r="B21" s="10"/>
      <c r="C21" s="10" t="s">
        <v>35</v>
      </c>
      <c r="D21" s="10" t="s">
        <v>36</v>
      </c>
      <c r="E21" s="10" t="s">
        <v>37</v>
      </c>
      <c r="F21" s="10"/>
      <c r="G21" s="10"/>
      <c r="H21" s="10"/>
      <c r="I21" s="10"/>
      <c r="J21" s="10"/>
      <c r="K21" s="10"/>
      <c r="L21" s="10"/>
    </row>
    <row r="22">
      <c r="A22" s="7" t="s">
        <v>38</v>
      </c>
      <c r="I22" s="5"/>
    </row>
    <row r="23" outlineLevel="1">
      <c r="A23" s="11" t="s">
        <v>39</v>
      </c>
      <c r="I23" s="5"/>
    </row>
    <row r="24" outlineLevel="2">
      <c r="A24" s="12" t="s">
        <v>40</v>
      </c>
      <c r="B24" s="0" t="s">
        <v>41</v>
      </c>
      <c r="C24" s="13">
        <v>8.1</v>
      </c>
      <c r="D24" s="13"/>
      <c r="E24" s="13"/>
      <c r="F24" s="13"/>
      <c r="G24" s="13">
        <v>0.1</v>
      </c>
      <c r="H24" s="0" t="s">
        <v>42</v>
      </c>
      <c r="I24" s="5">
        <v>39238</v>
      </c>
      <c r="J24" s="0" t="s">
        <v>43</v>
      </c>
      <c r="K24" s="0" t="s">
        <v>43</v>
      </c>
    </row>
    <row r="25" outlineLevel="2">
      <c r="A25" s="12" t="s">
        <v>44</v>
      </c>
      <c r="B25" s="0" t="s">
        <v>41</v>
      </c>
      <c r="C25" s="13">
        <f>IFERROR(16.17*(1-w),"")</f>
        <v>14.860230000000001</v>
      </c>
      <c r="D25" s="13">
        <v>16.17</v>
      </c>
      <c r="E25" s="13">
        <v/>
      </c>
      <c r="F25" s="13"/>
      <c r="G25" s="13">
        <v>0.1</v>
      </c>
      <c r="H25" s="0" t="s">
        <v>42</v>
      </c>
      <c r="I25" s="5">
        <v>39241</v>
      </c>
      <c r="J25" s="0" t="s">
        <v>45</v>
      </c>
      <c r="K25" s="0" t="s">
        <v>45</v>
      </c>
    </row>
    <row r="26" outlineLevel="2">
      <c r="A26" s="12" t="s">
        <v>46</v>
      </c>
      <c r="B26" s="0" t="s">
        <v>41</v>
      </c>
      <c r="C26" s="13">
        <f>IFERROR(12.64*(1-w),"")</f>
        <v>11.61616</v>
      </c>
      <c r="D26" s="13">
        <v>12.64</v>
      </c>
      <c r="E26" s="13">
        <v/>
      </c>
      <c r="F26" s="13"/>
      <c r="G26" s="13">
        <v>0.1</v>
      </c>
      <c r="H26" s="0" t="s">
        <v>42</v>
      </c>
      <c r="I26" s="5">
        <v>39241</v>
      </c>
      <c r="K26" s="0" t="s">
        <v>45</v>
      </c>
    </row>
    <row r="27" outlineLevel="1">
      <c r="A27" s="11" t="s">
        <v>47</v>
      </c>
      <c r="I27" s="5"/>
    </row>
    <row r="28" outlineLevel="2">
      <c r="A28" s="12" t="s">
        <v>48</v>
      </c>
      <c r="B28" s="0" t="s">
        <v>41</v>
      </c>
      <c r="C28" s="13">
        <f>IFERROR(39.795*(1-w),"")</f>
        <v>36.571605000000005</v>
      </c>
      <c r="D28" s="13">
        <v>39.795</v>
      </c>
      <c r="E28" s="13">
        <v>47.471072408445664</v>
      </c>
      <c r="F28" s="13">
        <v>0.69</v>
      </c>
      <c r="G28" s="13">
        <v>0.1</v>
      </c>
      <c r="H28" s="0" t="s">
        <v>42</v>
      </c>
      <c r="I28" s="5">
        <v>39245</v>
      </c>
      <c r="J28" s="0" t="s">
        <v>49</v>
      </c>
      <c r="K28" s="0" t="s">
        <v>49</v>
      </c>
    </row>
    <row r="29" outlineLevel="2">
      <c r="A29" s="12" t="s">
        <v>50</v>
      </c>
      <c r="B29" s="0" t="s">
        <v>41</v>
      </c>
      <c r="C29" s="13">
        <f>IFERROR(5.38*(1-w),"")</f>
        <v>4.9442200000000005</v>
      </c>
      <c r="D29" s="13">
        <v>5.38</v>
      </c>
      <c r="E29" s="13">
        <v>6.4177502087558151</v>
      </c>
      <c r="F29" s="13">
        <v>2.63</v>
      </c>
      <c r="G29" s="13">
        <v>0.1</v>
      </c>
      <c r="H29" s="0" t="s">
        <v>42</v>
      </c>
      <c r="I29" s="5">
        <v>39245</v>
      </c>
      <c r="J29" s="0" t="s">
        <v>49</v>
      </c>
      <c r="K29" s="0" t="s">
        <v>49</v>
      </c>
    </row>
    <row r="30" outlineLevel="2">
      <c r="A30" s="12" t="s">
        <v>51</v>
      </c>
      <c r="B30" s="0" t="s">
        <v>41</v>
      </c>
      <c r="C30" s="13">
        <f>IFERROR(3.085*(1-w),"")</f>
        <v>2.835115</v>
      </c>
      <c r="D30" s="13">
        <v>3.085</v>
      </c>
      <c r="E30" s="13">
        <v>3.6800668018609088</v>
      </c>
      <c r="F30" s="13">
        <v>1.6</v>
      </c>
      <c r="G30" s="13">
        <v>0.1</v>
      </c>
      <c r="H30" s="0" t="s">
        <v>42</v>
      </c>
      <c r="I30" s="5">
        <v>39245</v>
      </c>
      <c r="J30" s="0" t="s">
        <v>49</v>
      </c>
      <c r="K30" s="0" t="s">
        <v>49</v>
      </c>
    </row>
    <row r="31" outlineLevel="2">
      <c r="A31" s="12" t="s">
        <v>52</v>
      </c>
      <c r="B31" s="0" t="s">
        <v>41</v>
      </c>
      <c r="C31" s="13">
        <f>IFERROR(0.239774756163948*(1-w),"")</f>
        <v>0.22035300091466822</v>
      </c>
      <c r="D31" s="13">
        <v>0.239774756163948</v>
      </c>
      <c r="E31" s="13">
        <v>0.28602499840623641</v>
      </c>
      <c r="F31" s="13">
        <v>1.94</v>
      </c>
      <c r="G31" s="13">
        <v>0.000551686618176842</v>
      </c>
      <c r="H31" s="0" t="s">
        <v>42</v>
      </c>
      <c r="I31" s="5">
        <v>39255</v>
      </c>
      <c r="J31" s="0" t="s">
        <v>53</v>
      </c>
      <c r="K31" s="0" t="s">
        <v>49</v>
      </c>
    </row>
    <row r="32" outlineLevel="2">
      <c r="A32" s="12" t="s">
        <v>54</v>
      </c>
      <c r="B32" s="0" t="s">
        <v>41</v>
      </c>
      <c r="C32" s="13">
        <f>IFERROR(66.594274756164*(1-w)+w*100,"")</f>
        <v>69.30013850091467</v>
      </c>
      <c r="D32" s="13">
        <v>66.594274756163955</v>
      </c>
      <c r="E32" s="13">
        <v>60.150631941028216</v>
      </c>
      <c r="F32" s="13"/>
      <c r="G32" s="13"/>
      <c r="I32" s="5"/>
      <c r="J32" s="0" t="s">
        <v>55</v>
      </c>
    </row>
    <row r="33" outlineLevel="1">
      <c r="A33" s="11" t="s">
        <v>56</v>
      </c>
      <c r="I33" s="5"/>
    </row>
    <row r="34" outlineLevel="2">
      <c r="A34" s="12" t="s">
        <v>57</v>
      </c>
      <c r="B34" s="0" t="s">
        <v>58</v>
      </c>
      <c r="C34" s="14">
        <f>IFERROR(19245*(1-w),"")</f>
        <v>17686.155000000002</v>
      </c>
      <c r="D34" s="14">
        <v>19245</v>
      </c>
      <c r="E34" s="14">
        <v>22957.175235595849</v>
      </c>
      <c r="F34" s="14"/>
      <c r="G34" s="14">
        <v>10</v>
      </c>
      <c r="H34" s="0" t="s">
        <v>42</v>
      </c>
      <c r="I34" s="5">
        <v>39255</v>
      </c>
      <c r="J34" s="0" t="s">
        <v>59</v>
      </c>
      <c r="K34" s="0" t="s">
        <v>59</v>
      </c>
    </row>
    <row r="35" outlineLevel="1">
      <c r="A35" s="11" t="s">
        <v>60</v>
      </c>
      <c r="I35" s="5"/>
    </row>
    <row r="36" outlineLevel="2">
      <c r="A36" s="12" t="s">
        <v>61</v>
      </c>
      <c r="B36" s="0" t="s">
        <v>62</v>
      </c>
      <c r="C36" s="14">
        <v>127.241567448736</v>
      </c>
      <c r="D36" s="14"/>
      <c r="E36" s="14"/>
      <c r="F36" s="14">
        <v>9.21</v>
      </c>
      <c r="G36" s="14">
        <v>0.0326441785903457</v>
      </c>
      <c r="H36" s="0" t="s">
        <v>42</v>
      </c>
      <c r="I36" s="5">
        <v>39255</v>
      </c>
      <c r="K36" s="0" t="s">
        <v>63</v>
      </c>
    </row>
    <row r="37" outlineLevel="2">
      <c r="A37" s="12" t="s">
        <v>64</v>
      </c>
      <c r="B37" s="0" t="s">
        <v>62</v>
      </c>
      <c r="C37" s="14">
        <v>0.0435255714537942</v>
      </c>
      <c r="D37" s="14"/>
      <c r="E37" s="14"/>
      <c r="F37" s="14"/>
      <c r="G37" s="14">
        <v>0.0108813928634486</v>
      </c>
      <c r="H37" s="0" t="s">
        <v>42</v>
      </c>
      <c r="I37" s="5">
        <v>39262</v>
      </c>
      <c r="K37" s="0" t="s">
        <v>65</v>
      </c>
    </row>
    <row r="38" outlineLevel="2">
      <c r="A38" s="12" t="s">
        <v>66</v>
      </c>
      <c r="B38" s="0" t="s">
        <v>62</v>
      </c>
      <c r="C38" s="14">
        <v>35.261153574005</v>
      </c>
      <c r="D38" s="14"/>
      <c r="E38" s="14"/>
      <c r="F38" s="14">
        <v>0.59</v>
      </c>
      <c r="G38" s="14">
        <v>0.315560393040008</v>
      </c>
      <c r="H38" s="0" t="s">
        <v>42</v>
      </c>
      <c r="I38" s="5">
        <v>39255</v>
      </c>
      <c r="K38" s="0" t="s">
        <v>67</v>
      </c>
    </row>
    <row r="39" outlineLevel="2">
      <c r="A39" s="12" t="s">
        <v>68</v>
      </c>
      <c r="B39" s="0" t="s">
        <v>62</v>
      </c>
      <c r="C39" s="14">
        <v>2.02230686367191</v>
      </c>
      <c r="D39" s="14"/>
      <c r="E39" s="14"/>
      <c r="F39" s="14">
        <v>3.16</v>
      </c>
      <c r="G39" s="14">
        <v>0.015233950008828</v>
      </c>
      <c r="H39" s="0" t="s">
        <v>42</v>
      </c>
      <c r="I39" s="5">
        <v>39255</v>
      </c>
      <c r="K39" s="0" t="s">
        <v>65</v>
      </c>
    </row>
    <row r="40" outlineLevel="2">
      <c r="A40" s="12" t="s">
        <v>69</v>
      </c>
      <c r="B40" s="0" t="s">
        <v>62</v>
      </c>
      <c r="C40" s="14">
        <v>0.00816104464758641</v>
      </c>
      <c r="D40" s="14"/>
      <c r="E40" s="14"/>
      <c r="F40" s="14">
        <v>9.43</v>
      </c>
      <c r="G40" s="14">
        <v>0.00217627857268971</v>
      </c>
      <c r="H40" s="0" t="s">
        <v>42</v>
      </c>
      <c r="I40" s="5">
        <v>39255</v>
      </c>
      <c r="K40" s="0" t="s">
        <v>65</v>
      </c>
    </row>
    <row r="41" outlineLevel="2">
      <c r="A41" s="12" t="s">
        <v>70</v>
      </c>
      <c r="B41" s="0" t="s">
        <v>62</v>
      </c>
      <c r="C41" s="14">
        <v>17111.1643800587</v>
      </c>
      <c r="D41" s="14"/>
      <c r="E41" s="14"/>
      <c r="F41" s="14">
        <v>1.64</v>
      </c>
      <c r="G41" s="14">
        <v>1.20783460784279</v>
      </c>
      <c r="H41" s="0" t="s">
        <v>42</v>
      </c>
      <c r="I41" s="5">
        <v>39255</v>
      </c>
      <c r="K41" s="0" t="s">
        <v>63</v>
      </c>
    </row>
    <row r="42" outlineLevel="2">
      <c r="A42" s="12" t="s">
        <v>71</v>
      </c>
      <c r="B42" s="0" t="s">
        <v>62</v>
      </c>
      <c r="C42" s="14">
        <v>0.143090316154348</v>
      </c>
      <c r="D42" s="14"/>
      <c r="E42" s="14"/>
      <c r="F42" s="14">
        <v>1.61</v>
      </c>
      <c r="G42" s="14">
        <v>0.0108813928634486</v>
      </c>
      <c r="H42" s="0" t="s">
        <v>42</v>
      </c>
      <c r="I42" s="5">
        <v>39255</v>
      </c>
      <c r="K42" s="0" t="s">
        <v>65</v>
      </c>
    </row>
    <row r="43" outlineLevel="2">
      <c r="A43" s="12" t="s">
        <v>72</v>
      </c>
      <c r="B43" s="0" t="s">
        <v>62</v>
      </c>
      <c r="C43" s="14">
        <v>0.140369967938486</v>
      </c>
      <c r="D43" s="14"/>
      <c r="E43" s="14"/>
      <c r="F43" s="14">
        <v>19.73</v>
      </c>
      <c r="G43" s="14">
        <v>0.0261153428722765</v>
      </c>
      <c r="H43" s="0" t="s">
        <v>42</v>
      </c>
      <c r="I43" s="5">
        <v>39255</v>
      </c>
      <c r="K43" s="0" t="s">
        <v>65</v>
      </c>
    </row>
    <row r="44" outlineLevel="2">
      <c r="A44" s="12" t="s">
        <v>73</v>
      </c>
      <c r="B44" s="0" t="s">
        <v>62</v>
      </c>
      <c r="C44" s="14">
        <v>0.439064202040149</v>
      </c>
      <c r="D44" s="14"/>
      <c r="E44" s="14"/>
      <c r="F44" s="14">
        <v>7.54</v>
      </c>
      <c r="G44" s="14">
        <v>0.0239390642995868</v>
      </c>
      <c r="H44" s="0" t="s">
        <v>42</v>
      </c>
      <c r="I44" s="5">
        <v>39255</v>
      </c>
      <c r="K44" s="0" t="s">
        <v>65</v>
      </c>
    </row>
    <row r="45" outlineLevel="2">
      <c r="A45" s="12" t="s">
        <v>74</v>
      </c>
      <c r="B45" s="0" t="s">
        <v>62</v>
      </c>
      <c r="C45" s="14">
        <v>4.48639827759984</v>
      </c>
      <c r="D45" s="14"/>
      <c r="E45" s="14"/>
      <c r="F45" s="14">
        <v>0.79</v>
      </c>
      <c r="G45" s="14">
        <v>0.0348204571630354</v>
      </c>
      <c r="H45" s="0" t="s">
        <v>42</v>
      </c>
      <c r="I45" s="5">
        <v>39255</v>
      </c>
      <c r="K45" s="0" t="s">
        <v>65</v>
      </c>
    </row>
    <row r="46" outlineLevel="2">
      <c r="A46" s="12" t="s">
        <v>75</v>
      </c>
      <c r="B46" s="0" t="s">
        <v>62</v>
      </c>
      <c r="C46" s="14">
        <v>204.575626529264</v>
      </c>
      <c r="D46" s="14"/>
      <c r="E46" s="14"/>
      <c r="F46" s="14">
        <v>11.35</v>
      </c>
      <c r="G46" s="14">
        <v>0.326441785903457</v>
      </c>
      <c r="H46" s="0" t="s">
        <v>42</v>
      </c>
      <c r="I46" s="5">
        <v>39255</v>
      </c>
      <c r="K46" s="0" t="s">
        <v>63</v>
      </c>
    </row>
    <row r="47" outlineLevel="2">
      <c r="A47" s="12" t="s">
        <v>76</v>
      </c>
      <c r="B47" s="0" t="s">
        <v>62</v>
      </c>
      <c r="C47" s="14">
        <v>0.0261153428722765</v>
      </c>
      <c r="D47" s="14"/>
      <c r="E47" s="14"/>
      <c r="F47" s="14"/>
      <c r="G47" s="14">
        <v>0.00652883571806913</v>
      </c>
      <c r="H47" s="0" t="s">
        <v>42</v>
      </c>
      <c r="I47" s="5">
        <v>39252</v>
      </c>
      <c r="K47" s="0" t="s">
        <v>65</v>
      </c>
    </row>
    <row r="48" outlineLevel="2">
      <c r="A48" s="12" t="s">
        <v>77</v>
      </c>
      <c r="B48" s="0" t="s">
        <v>62</v>
      </c>
      <c r="C48" s="14">
        <v>55045.1852121662</v>
      </c>
      <c r="D48" s="14"/>
      <c r="E48" s="14"/>
      <c r="F48" s="14">
        <v>0.57</v>
      </c>
      <c r="G48" s="14">
        <v>5.77801961049118</v>
      </c>
      <c r="H48" s="0" t="s">
        <v>42</v>
      </c>
      <c r="I48" s="5">
        <v>39255</v>
      </c>
      <c r="K48" s="0" t="s">
        <v>63</v>
      </c>
    </row>
    <row r="49" outlineLevel="2">
      <c r="A49" s="12" t="s">
        <v>78</v>
      </c>
      <c r="B49" s="0" t="s">
        <v>62</v>
      </c>
      <c r="C49" s="14">
        <v>3892.37215979132</v>
      </c>
      <c r="D49" s="14"/>
      <c r="E49" s="14"/>
      <c r="F49" s="14">
        <v>1.19</v>
      </c>
      <c r="G49" s="14">
        <v>0.0761697500441399</v>
      </c>
      <c r="H49" s="0" t="s">
        <v>42</v>
      </c>
      <c r="I49" s="5">
        <v>39255</v>
      </c>
      <c r="K49" s="0" t="s">
        <v>63</v>
      </c>
    </row>
    <row r="50" outlineLevel="2">
      <c r="A50" s="12" t="s">
        <v>79</v>
      </c>
      <c r="B50" s="0" t="s">
        <v>62</v>
      </c>
      <c r="C50" s="14">
        <v>96.9423290204631</v>
      </c>
      <c r="D50" s="14"/>
      <c r="E50" s="14"/>
      <c r="F50" s="14">
        <v>0.29</v>
      </c>
      <c r="G50" s="14">
        <v>0.0652883571806913</v>
      </c>
      <c r="H50" s="0" t="s">
        <v>42</v>
      </c>
      <c r="I50" s="5">
        <v>39255</v>
      </c>
      <c r="K50" s="0" t="s">
        <v>65</v>
      </c>
    </row>
    <row r="51" outlineLevel="2">
      <c r="A51" s="12" t="s">
        <v>80</v>
      </c>
      <c r="B51" s="0" t="s">
        <v>62</v>
      </c>
      <c r="C51" s="14">
        <v>0.383569098436561</v>
      </c>
      <c r="D51" s="14"/>
      <c r="E51" s="14"/>
      <c r="F51" s="14">
        <v>0.6</v>
      </c>
      <c r="G51" s="14">
        <v>0.0359085964493802</v>
      </c>
      <c r="H51" s="0" t="s">
        <v>42</v>
      </c>
      <c r="I51" s="5">
        <v>39255</v>
      </c>
      <c r="K51" s="0" t="s">
        <v>65</v>
      </c>
    </row>
    <row r="52" outlineLevel="2">
      <c r="A52" s="12" t="s">
        <v>81</v>
      </c>
      <c r="B52" s="0" t="s">
        <v>62</v>
      </c>
      <c r="C52" s="14">
        <v>3922.73124588034</v>
      </c>
      <c r="D52" s="14"/>
      <c r="E52" s="14"/>
      <c r="F52" s="14">
        <v>1.29</v>
      </c>
      <c r="G52" s="14">
        <v>1.17519042925244</v>
      </c>
      <c r="H52" s="0" t="s">
        <v>42</v>
      </c>
      <c r="I52" s="5">
        <v>39255</v>
      </c>
      <c r="K52" s="0" t="s">
        <v>63</v>
      </c>
    </row>
    <row r="53" outlineLevel="2">
      <c r="A53" s="12" t="s">
        <v>82</v>
      </c>
      <c r="B53" s="0" t="s">
        <v>62</v>
      </c>
      <c r="C53" s="14">
        <v>0.631120786080016</v>
      </c>
      <c r="D53" s="14"/>
      <c r="E53" s="14"/>
      <c r="F53" s="14">
        <v>4.63</v>
      </c>
      <c r="G53" s="14">
        <v>0.0467899893128288</v>
      </c>
      <c r="H53" s="0" t="s">
        <v>42</v>
      </c>
      <c r="I53" s="5">
        <v>39255</v>
      </c>
      <c r="K53" s="0" t="s">
        <v>65</v>
      </c>
    </row>
    <row r="54" outlineLevel="2">
      <c r="A54" s="12" t="s">
        <v>83</v>
      </c>
      <c r="B54" s="0" t="s">
        <v>62</v>
      </c>
      <c r="C54" s="14">
        <v>4553.15562281709</v>
      </c>
      <c r="D54" s="14"/>
      <c r="E54" s="14"/>
      <c r="F54" s="14">
        <v>0.51</v>
      </c>
      <c r="G54" s="14">
        <v>0.685527750397259</v>
      </c>
      <c r="H54" s="0" t="s">
        <v>42</v>
      </c>
      <c r="I54" s="5">
        <v>39255</v>
      </c>
      <c r="K54" s="0" t="s">
        <v>63</v>
      </c>
    </row>
    <row r="55" outlineLevel="2">
      <c r="A55" s="12" t="s">
        <v>84</v>
      </c>
      <c r="B55" s="0" t="s">
        <v>62</v>
      </c>
      <c r="C55" s="14">
        <v>0.921653975534092</v>
      </c>
      <c r="D55" s="14"/>
      <c r="E55" s="14"/>
      <c r="F55" s="14">
        <v>7.85</v>
      </c>
      <c r="G55" s="14">
        <v>0.124047878643313</v>
      </c>
      <c r="H55" s="0" t="s">
        <v>42</v>
      </c>
      <c r="I55" s="5">
        <v>39255</v>
      </c>
      <c r="K55" s="0" t="s">
        <v>65</v>
      </c>
    </row>
    <row r="56" outlineLevel="2">
      <c r="A56" s="12" t="s">
        <v>85</v>
      </c>
      <c r="B56" s="0" t="s">
        <v>62</v>
      </c>
      <c r="C56" s="14">
        <v>0.359085964493802</v>
      </c>
      <c r="D56" s="14"/>
      <c r="E56" s="14"/>
      <c r="F56" s="14">
        <v>30</v>
      </c>
      <c r="G56" s="14">
        <v>0.0652883571806913</v>
      </c>
      <c r="H56" s="0" t="s">
        <v>42</v>
      </c>
      <c r="I56" s="5">
        <v>39262</v>
      </c>
      <c r="K56" s="0" t="s">
        <v>86</v>
      </c>
    </row>
    <row r="57" outlineLevel="2">
      <c r="A57" s="12" t="s">
        <v>87</v>
      </c>
      <c r="B57" s="0" t="s">
        <v>62</v>
      </c>
      <c r="C57" s="14">
        <v>-0.0108813928634485</v>
      </c>
      <c r="D57" s="14"/>
      <c r="E57" s="14"/>
      <c r="F57" s="14">
        <v>-282.84</v>
      </c>
      <c r="G57" s="14">
        <v>0.0217627857268971</v>
      </c>
      <c r="H57" s="0" t="s">
        <v>42</v>
      </c>
      <c r="I57" s="5">
        <v>39262</v>
      </c>
      <c r="K57" s="0" t="s">
        <v>65</v>
      </c>
    </row>
    <row r="58" outlineLevel="2">
      <c r="A58" s="12" t="s">
        <v>88</v>
      </c>
      <c r="B58" s="0" t="s">
        <v>62</v>
      </c>
      <c r="C58" s="14">
        <v>701.474431638643</v>
      </c>
      <c r="D58" s="14"/>
      <c r="E58" s="14"/>
      <c r="F58" s="14">
        <v>5.74</v>
      </c>
      <c r="G58" s="14">
        <v>4.28726878819873</v>
      </c>
      <c r="H58" s="0" t="s">
        <v>42</v>
      </c>
      <c r="I58" s="5">
        <v>39255</v>
      </c>
      <c r="K58" s="0" t="s">
        <v>63</v>
      </c>
    </row>
    <row r="59" outlineLevel="2">
      <c r="A59" s="12" t="s">
        <v>89</v>
      </c>
      <c r="B59" s="0" t="s">
        <v>62</v>
      </c>
      <c r="C59" s="14">
        <v>0.149075082229245</v>
      </c>
      <c r="D59" s="14"/>
      <c r="E59" s="14"/>
      <c r="F59" s="14">
        <v>12.39</v>
      </c>
      <c r="G59" s="14">
        <v>0.128400435788693</v>
      </c>
      <c r="H59" s="0" t="s">
        <v>42</v>
      </c>
      <c r="I59" s="5">
        <v>39255</v>
      </c>
      <c r="K59" s="0" t="s">
        <v>90</v>
      </c>
    </row>
    <row r="60" outlineLevel="2">
      <c r="A60" s="12" t="s">
        <v>91</v>
      </c>
      <c r="B60" s="0" t="s">
        <v>62</v>
      </c>
      <c r="C60" s="14">
        <v>18.4766050821356</v>
      </c>
      <c r="D60" s="14"/>
      <c r="E60" s="14"/>
      <c r="F60" s="14">
        <v>0.25</v>
      </c>
      <c r="G60" s="14">
        <v>0.0217627857268971</v>
      </c>
      <c r="H60" s="0" t="s">
        <v>42</v>
      </c>
      <c r="I60" s="5">
        <v>39255</v>
      </c>
      <c r="K60" s="0" t="s">
        <v>67</v>
      </c>
    </row>
    <row r="61" outlineLevel="2">
      <c r="A61" s="12" t="s">
        <v>92</v>
      </c>
      <c r="B61" s="0" t="s">
        <v>62</v>
      </c>
      <c r="C61" s="14">
        <v>19.396082779097</v>
      </c>
      <c r="D61" s="14"/>
      <c r="E61" s="14"/>
      <c r="F61" s="14">
        <v>2.02</v>
      </c>
      <c r="G61" s="14">
        <v>0.108813928634486</v>
      </c>
      <c r="H61" s="0" t="s">
        <v>42</v>
      </c>
      <c r="I61" s="5">
        <v>39255</v>
      </c>
      <c r="K61" s="0" t="s">
        <v>63</v>
      </c>
    </row>
    <row r="62" outlineLevel="2">
      <c r="A62" s="12" t="s">
        <v>93</v>
      </c>
      <c r="B62" s="0" t="s">
        <v>62</v>
      </c>
      <c r="C62" s="14">
        <v>0.260609359079593</v>
      </c>
      <c r="D62" s="14"/>
      <c r="E62" s="14"/>
      <c r="F62" s="14">
        <v>15.65</v>
      </c>
      <c r="G62" s="14">
        <v>0.0848748643348987</v>
      </c>
      <c r="H62" s="0" t="s">
        <v>42</v>
      </c>
      <c r="I62" s="5">
        <v>39255</v>
      </c>
      <c r="K62" s="0" t="s">
        <v>65</v>
      </c>
    </row>
    <row r="63" outlineLevel="2">
      <c r="A63" s="12" t="s">
        <v>94</v>
      </c>
      <c r="B63" s="0" t="s">
        <v>62</v>
      </c>
      <c r="C63" s="14">
        <v>59.9238304990112</v>
      </c>
      <c r="D63" s="14"/>
      <c r="E63" s="14"/>
      <c r="F63" s="14">
        <v>4.24</v>
      </c>
      <c r="G63" s="14">
        <v>0.184983678678625</v>
      </c>
      <c r="H63" s="0" t="s">
        <v>42</v>
      </c>
      <c r="I63" s="5">
        <v>39255</v>
      </c>
      <c r="K63" s="0" t="s">
        <v>65</v>
      </c>
    </row>
    <row r="64">
      <c r="I64" s="5"/>
    </row>
    <row r="65" s="1" customFormat="1"/>
  </sheetData>
  <mergeCells>
    <mergeCell ref="A10:A12"/>
    <mergeCell ref="C20:E20"/>
    <mergeCell ref="A20:A21"/>
    <mergeCell ref="B20:B21"/>
    <mergeCell ref="F20:F21"/>
    <mergeCell ref="G20:G21"/>
    <mergeCell ref="H20:H21"/>
    <mergeCell ref="I20:I21"/>
    <mergeCell ref="J20:J21"/>
    <mergeCell ref="K20:K21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</mergeCells>
  <dataValidations count="1">
    <dataValidation type="decimal" sqref="C24" errorStyle="stop" promptTitle="Enter moisture content" errorTitle="Invalid moisture content" prompt="Value should be between 0 and 100.&#10;Original value: 8.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https://phyllis.nl/Biomass/View/3200</dc:description>
  <dcterms:created xsi:type="dcterms:W3CDTF">2026-03-19T07:08:59Z</dcterms:created>
  <dc:title>Phyllis2 #3200 Poplar leaf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