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1 wheat straw" sheetId="1" r:id="rId1"/>
  </sheets>
  <definedNames>
    <definedName name="w" localSheetId="0">IF(ISBLANK('Phyllis2 #3201 wheat straw'!$C$22),#N/A,'Phyllis2 #3201 wheat straw'!$C$22/100)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<sst xmlns="http://schemas.openxmlformats.org/spreadsheetml/2006/main" count="99" uniqueCount="99">
  <si>
    <t>Phyllis2</t>
  </si>
  <si>
    <t>https://phyllis.nl/Biomass/View/3201</t>
  </si>
  <si>
    <t>wheat straw (#3201)</t>
  </si>
  <si>
    <t>ID-number</t>
  </si>
  <si>
    <t>#3201</t>
  </si>
  <si>
    <t>Material</t>
  </si>
  <si>
    <t>wheat straw</t>
  </si>
  <si>
    <t>Description</t>
  </si>
  <si>
    <t>2006</t>
  </si>
  <si>
    <t>Classification</t>
  </si>
  <si>
    <t>CEN/TS 14961 classification &gt; Solid biofuels &gt; Herbaceous biomass &gt; Agriculture and Horticulture herb &gt; Grasses &gt; Straw parts</t>
  </si>
  <si>
    <t>ECN Phyllis classification &gt; straw (stalk/cob/ear) &gt; wheat &gt; wheat straw</t>
  </si>
  <si>
    <t>NTA 8003 classification &gt; [200] biomassa uit land- en tuinbouw &gt; [220] stro &gt; [223] tarwestro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</si>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</sst>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39276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39987</v>
      </c>
    </row>
    <row r="16">
      <c r="A16" s="7"/>
    </row>
    <row r="17" s="1" customFormat="1">
      <c r="A17" s="9" t="s">
        <v>21</v>
      </c>
    </row>
    <row r="18" s="1" customFormat="1">
      <c r="A18" s="10" t="s">
        <v>22</v>
      </c>
      <c r="B18" s="10" t="s">
        <v>23</v>
      </c>
      <c r="C18" s="10" t="s">
        <v>24</v>
      </c>
      <c r="D18" s="10"/>
      <c r="E18" s="10"/>
      <c r="F18" s="10" t="s">
        <v>25</v>
      </c>
      <c r="G18" s="10" t="s">
        <v>26</v>
      </c>
      <c r="H18" s="10" t="s">
        <v>27</v>
      </c>
      <c r="I18" s="10" t="s">
        <v>28</v>
      </c>
      <c r="J18" s="10" t="s">
        <v>29</v>
      </c>
      <c r="K18" s="10" t="s">
        <v>30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8.08</v>
      </c>
      <c r="D22" s="13"/>
      <c r="E22" s="13"/>
      <c r="F22" s="13"/>
      <c r="G22" s="13">
        <v>0.1</v>
      </c>
      <c r="H22" s="0" t="s">
        <v>38</v>
      </c>
      <c r="I22" s="5">
        <v>39280</v>
      </c>
      <c r="J22" s="0" t="s">
        <v>39</v>
      </c>
      <c r="K22" s="0" t="s">
        <v>39</v>
      </c>
    </row>
    <row r="23" outlineLevel="2">
      <c r="A23" s="12" t="s">
        <v>40</v>
      </c>
      <c r="B23" s="0" t="s">
        <v>37</v>
      </c>
      <c r="C23" s="13">
        <f>IFERROR(7.79*(1-w),"")</f>
        <v>7.1605680000000005</v>
      </c>
      <c r="D23" s="13">
        <v>7.79</v>
      </c>
      <c r="E23" s="13">
        <v/>
      </c>
      <c r="F23" s="13"/>
      <c r="G23" s="13">
        <v>0.1</v>
      </c>
      <c r="H23" s="0" t="s">
        <v>38</v>
      </c>
      <c r="I23" s="5">
        <v>39288</v>
      </c>
      <c r="J23" s="0" t="s">
        <v>41</v>
      </c>
      <c r="K23" s="0" t="s">
        <v>41</v>
      </c>
    </row>
    <row r="24" outlineLevel="2">
      <c r="A24" s="12" t="s">
        <v>42</v>
      </c>
      <c r="B24" s="0" t="s">
        <v>37</v>
      </c>
      <c r="C24" s="13">
        <f>IFERROR(7.9*(1-w),"")</f>
        <v>7.26168</v>
      </c>
      <c r="D24" s="13">
        <v>7.9</v>
      </c>
      <c r="E24" s="13">
        <v/>
      </c>
      <c r="F24" s="13"/>
      <c r="G24" s="13">
        <v>0.1</v>
      </c>
      <c r="H24" s="0" t="s">
        <v>38</v>
      </c>
      <c r="I24" s="5">
        <v>39288</v>
      </c>
      <c r="K24" s="0" t="s">
        <v>41</v>
      </c>
    </row>
    <row r="25" outlineLevel="2">
      <c r="A25" s="12" t="s">
        <v>43</v>
      </c>
      <c r="B25" s="0" t="s">
        <v>37</v>
      </c>
      <c r="C25" s="13">
        <f>IFERROR(76.155*(1-w),"")</f>
        <v>70.001676</v>
      </c>
      <c r="D25" s="13">
        <v>76.155</v>
      </c>
      <c r="E25" s="13">
        <v>82.588656327947078</v>
      </c>
      <c r="F25" s="13">
        <v>0.19</v>
      </c>
      <c r="G25" s="13">
        <v>0.1</v>
      </c>
      <c r="H25" s="0" t="s">
        <v>38</v>
      </c>
      <c r="I25" s="5">
        <v>39301</v>
      </c>
    </row>
    <row r="26" outlineLevel="2">
      <c r="A26" s="12" t="s">
        <v>44</v>
      </c>
      <c r="B26" s="0" t="s">
        <v>37</v>
      </c>
      <c r="C26" s="13">
        <f>IFERROR(16.055*(1-w),"")</f>
        <v>14.757755999999993</v>
      </c>
      <c r="D26" s="13">
        <v>16.054999999999993</v>
      </c>
      <c r="E26" s="13">
        <v>17.411343672052915</v>
      </c>
      <c r="F26" s="13"/>
      <c r="G26" s="13"/>
      <c r="I26" s="5"/>
      <c r="J26" s="0" t="s">
        <v>45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37</v>
      </c>
      <c r="C28" s="13">
        <f>IFERROR(42.765*(1-w),"")</f>
        <v>39.309588</v>
      </c>
      <c r="D28" s="13">
        <v>42.765</v>
      </c>
      <c r="E28" s="13">
        <v>46.377833206810543</v>
      </c>
      <c r="F28" s="13">
        <v>1.34</v>
      </c>
      <c r="G28" s="13">
        <v>0.1</v>
      </c>
      <c r="H28" s="0" t="s">
        <v>38</v>
      </c>
      <c r="I28" s="5">
        <v>39282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37</v>
      </c>
      <c r="C29" s="13">
        <f>IFERROR(5.895*(1-w),"")</f>
        <v>5.418684</v>
      </c>
      <c r="D29" s="13">
        <v>5.895</v>
      </c>
      <c r="E29" s="13">
        <v>6.3930159418718135</v>
      </c>
      <c r="F29" s="13">
        <v>0.36</v>
      </c>
      <c r="G29" s="13">
        <v>0.1</v>
      </c>
      <c r="H29" s="0" t="s">
        <v>38</v>
      </c>
      <c r="I29" s="5">
        <v>39282</v>
      </c>
      <c r="J29" s="0" t="s">
        <v>48</v>
      </c>
      <c r="K29" s="0" t="s">
        <v>48</v>
      </c>
    </row>
    <row r="30" outlineLevel="2">
      <c r="A30" s="12" t="s">
        <v>50</v>
      </c>
      <c r="B30" s="0" t="s">
        <v>37</v>
      </c>
      <c r="C30" s="13">
        <f>IFERROR(43.565*(1-w),"")</f>
        <v>40.044948</v>
      </c>
      <c r="D30" s="13">
        <v>43.565</v>
      </c>
      <c r="E30" s="13">
        <v>47.245418067454722</v>
      </c>
      <c r="F30" s="13">
        <v>0.34</v>
      </c>
      <c r="G30" s="13">
        <v>0.1</v>
      </c>
      <c r="H30" s="0" t="s">
        <v>38</v>
      </c>
      <c r="I30" s="5">
        <v>39307</v>
      </c>
      <c r="K30" s="0" t="s">
        <v>51</v>
      </c>
    </row>
    <row r="31" outlineLevel="2">
      <c r="A31" s="12" t="s">
        <v>52</v>
      </c>
      <c r="B31" s="0" t="s">
        <v>37</v>
      </c>
      <c r="C31" s="13">
        <f>IFERROR(0.34*(1-w),"")</f>
        <v>0.31252800000000003</v>
      </c>
      <c r="D31" s="13">
        <v>0.34</v>
      </c>
      <c r="E31" s="13">
        <v>0.36872356577377724</v>
      </c>
      <c r="F31" s="13">
        <v>12.48</v>
      </c>
      <c r="G31" s="13">
        <v>0.1</v>
      </c>
      <c r="H31" s="0" t="s">
        <v>38</v>
      </c>
      <c r="I31" s="5">
        <v>39282</v>
      </c>
      <c r="J31" s="0" t="s">
        <v>48</v>
      </c>
      <c r="K31" s="0" t="s">
        <v>48</v>
      </c>
    </row>
    <row r="32" outlineLevel="2">
      <c r="A32" s="12" t="s">
        <v>53</v>
      </c>
      <c r="B32" s="0" t="s">
        <v>37</v>
      </c>
      <c r="C32" s="13">
        <f>IFERROR(0.0666438206583494*(1-w),"")</f>
        <v>0.061258999949154763</v>
      </c>
      <c r="D32" s="13">
        <v>0.0666438206583494</v>
      </c>
      <c r="E32" s="13">
        <v>0.072273962323337368</v>
      </c>
      <c r="F32" s="13"/>
      <c r="G32" s="13">
        <v>0.000385117493152936</v>
      </c>
      <c r="H32" s="0" t="s">
        <v>38</v>
      </c>
      <c r="I32" s="5">
        <v>39308</v>
      </c>
      <c r="J32" s="0" t="s">
        <v>54</v>
      </c>
      <c r="K32" s="0" t="s">
        <v>48</v>
      </c>
    </row>
    <row r="33" outlineLevel="2">
      <c r="A33" s="12" t="s">
        <v>55</v>
      </c>
      <c r="B33" s="0" t="s">
        <v>37</v>
      </c>
      <c r="C33" s="13">
        <f>IFERROR(100.478503820658*(1-w)+w*100,"")</f>
        <v>100.43984071194916</v>
      </c>
      <c r="D33" s="13">
        <v>100.47850382065836</v>
      </c>
      <c r="E33" s="13">
        <v>100.51892833820447</v>
      </c>
      <c r="F33" s="13"/>
      <c r="G33" s="13"/>
      <c r="I33" s="5"/>
      <c r="J33" s="0" t="s">
        <v>45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4">
        <f>IFERROR(10*(1-w),"")</f>
        <v>9.192</v>
      </c>
      <c r="D35" s="14">
        <v>10</v>
      </c>
      <c r="E35" s="14">
        <v>10.844810758052272</v>
      </c>
      <c r="F35" s="14"/>
      <c r="G35" s="14">
        <v>10</v>
      </c>
      <c r="H35" s="0" t="s">
        <v>38</v>
      </c>
      <c r="I35" s="5">
        <v>39290</v>
      </c>
      <c r="K35" s="0" t="s">
        <v>59</v>
      </c>
    </row>
    <row r="36" outlineLevel="2">
      <c r="A36" s="12" t="s">
        <v>60</v>
      </c>
      <c r="B36" s="0" t="s">
        <v>58</v>
      </c>
      <c r="C36" s="14">
        <f>IFERROR(552*(1-w),"")</f>
        <v>507.39840000000004</v>
      </c>
      <c r="D36" s="14">
        <v>552</v>
      </c>
      <c r="E36" s="14">
        <v>598.63355384448539</v>
      </c>
      <c r="F36" s="14"/>
      <c r="G36" s="14">
        <v>10</v>
      </c>
      <c r="H36" s="0" t="s">
        <v>38</v>
      </c>
      <c r="I36" s="5">
        <v>39290</v>
      </c>
      <c r="J36" s="0" t="s">
        <v>61</v>
      </c>
      <c r="K36" s="0" t="s">
        <v>61</v>
      </c>
    </row>
    <row r="37" outlineLevel="2">
      <c r="A37" s="12" t="s">
        <v>62</v>
      </c>
      <c r="B37" s="0" t="s">
        <v>58</v>
      </c>
      <c r="C37" s="14">
        <f>IFERROR(6.6*(1-w),"")</f>
        <v>6.06672</v>
      </c>
      <c r="D37" s="14">
        <v>6.6</v>
      </c>
      <c r="E37" s="14">
        <v>7.1575751003144985</v>
      </c>
      <c r="F37" s="14"/>
      <c r="G37" s="14">
        <v>10</v>
      </c>
      <c r="H37" s="0" t="s">
        <v>38</v>
      </c>
      <c r="I37" s="5">
        <v>39289</v>
      </c>
      <c r="K37" s="0" t="s">
        <v>59</v>
      </c>
    </row>
    <row r="38" outlineLevel="1">
      <c r="A38" s="11" t="s">
        <v>63</v>
      </c>
      <c r="I38" s="5"/>
    </row>
    <row r="39" outlineLevel="2">
      <c r="A39" s="12" t="s">
        <v>64</v>
      </c>
      <c r="B39" s="0" t="s">
        <v>65</v>
      </c>
      <c r="C39" s="13">
        <f>IFERROR(17.787*(1-w)-w*2.443,"")</f>
        <v>16.152416</v>
      </c>
      <c r="D39" s="13">
        <v>17.787</v>
      </c>
      <c r="E39" s="13">
        <v>19.289664895347574</v>
      </c>
      <c r="F39" s="13"/>
      <c r="G39" s="13">
        <v>0.01</v>
      </c>
      <c r="H39" s="0" t="s">
        <v>38</v>
      </c>
      <c r="I39" s="5">
        <v>39288</v>
      </c>
      <c r="J39" s="0" t="s">
        <v>66</v>
      </c>
      <c r="K39" s="0" t="s">
        <v>66</v>
      </c>
    </row>
    <row r="40" outlineLevel="2">
      <c r="A40" s="12" t="s">
        <v>67</v>
      </c>
      <c r="B40" s="0" t="s">
        <v>65</v>
      </c>
      <c r="C40" s="13">
        <f>IFERROR(17.0021244333972*(1-w),"")</f>
        <v>15.628352779178677</v>
      </c>
      <c r="D40" s="13">
        <v>17.002124433397167</v>
      </c>
      <c r="E40" s="13">
        <v>18.438482196504896</v>
      </c>
      <c r="F40" s="13"/>
      <c r="G40" s="13"/>
      <c r="I40" s="5"/>
      <c r="J40" s="0" t="s">
        <v>45</v>
      </c>
    </row>
    <row r="41" outlineLevel="1">
      <c r="A41" s="11" t="s">
        <v>68</v>
      </c>
      <c r="I41" s="5"/>
    </row>
    <row r="42" outlineLevel="2">
      <c r="A42" s="12" t="s">
        <v>69</v>
      </c>
      <c r="B42" s="0" t="s">
        <v>70</v>
      </c>
      <c r="C42" s="14">
        <v>112.663185285079</v>
      </c>
      <c r="D42" s="14"/>
      <c r="E42" s="14"/>
      <c r="F42" s="14"/>
      <c r="G42" s="14">
        <v>0.239338555066796</v>
      </c>
      <c r="H42" s="0" t="s">
        <v>38</v>
      </c>
      <c r="I42" s="5">
        <v>39308</v>
      </c>
      <c r="K42" s="0" t="s">
        <v>71</v>
      </c>
    </row>
    <row r="43" outlineLevel="2">
      <c r="A43" s="12" t="s">
        <v>72</v>
      </c>
      <c r="B43" s="0" t="s">
        <v>70</v>
      </c>
      <c r="C43" s="14">
        <v>1.15317667441275</v>
      </c>
      <c r="D43" s="14"/>
      <c r="E43" s="14"/>
      <c r="F43" s="14"/>
      <c r="G43" s="14">
        <v>3.38337684662607</v>
      </c>
      <c r="H43" s="0" t="s">
        <v>38</v>
      </c>
      <c r="I43" s="5">
        <v>39308</v>
      </c>
      <c r="K43" s="0" t="s">
        <v>73</v>
      </c>
    </row>
    <row r="44" outlineLevel="2">
      <c r="A44" s="12" t="s">
        <v>74</v>
      </c>
      <c r="B44" s="0" t="s">
        <v>70</v>
      </c>
      <c r="C44" s="14">
        <v>3.0461270644865</v>
      </c>
      <c r="D44" s="14"/>
      <c r="E44" s="14"/>
      <c r="F44" s="14"/>
      <c r="G44" s="14">
        <v>0.130548302763707</v>
      </c>
      <c r="H44" s="0" t="s">
        <v>38</v>
      </c>
      <c r="I44" s="5">
        <v>39308</v>
      </c>
      <c r="K44" s="0" t="s">
        <v>75</v>
      </c>
    </row>
    <row r="45" outlineLevel="2">
      <c r="A45" s="12" t="s">
        <v>76</v>
      </c>
      <c r="B45" s="0" t="s">
        <v>70</v>
      </c>
      <c r="C45" s="14">
        <v>2.75239338326816</v>
      </c>
      <c r="D45" s="14"/>
      <c r="E45" s="14"/>
      <c r="F45" s="14"/>
      <c r="G45" s="14">
        <v>0</v>
      </c>
      <c r="H45" s="0" t="s">
        <v>38</v>
      </c>
      <c r="I45" s="5">
        <v>39308</v>
      </c>
      <c r="K45" s="0" t="s">
        <v>73</v>
      </c>
    </row>
    <row r="46" outlineLevel="2">
      <c r="A46" s="12" t="s">
        <v>77</v>
      </c>
      <c r="B46" s="0" t="s">
        <v>70</v>
      </c>
      <c r="C46" s="14">
        <v>3075.51131163356</v>
      </c>
      <c r="D46" s="14"/>
      <c r="E46" s="14"/>
      <c r="F46" s="14"/>
      <c r="G46" s="14">
        <v>0.652741513818535</v>
      </c>
      <c r="H46" s="0" t="s">
        <v>38</v>
      </c>
      <c r="I46" s="5">
        <v>39308</v>
      </c>
      <c r="K46" s="0" t="s">
        <v>71</v>
      </c>
    </row>
    <row r="47" outlineLevel="2">
      <c r="A47" s="12" t="s">
        <v>78</v>
      </c>
      <c r="B47" s="0" t="s">
        <v>70</v>
      </c>
      <c r="C47" s="14">
        <v>0.108790252303089</v>
      </c>
      <c r="D47" s="14"/>
      <c r="E47" s="14"/>
      <c r="F47" s="14"/>
      <c r="G47" s="14">
        <v>0.119669277533398</v>
      </c>
      <c r="H47" s="0" t="s">
        <v>38</v>
      </c>
      <c r="I47" s="5">
        <v>39308</v>
      </c>
      <c r="K47" s="0" t="s">
        <v>73</v>
      </c>
    </row>
    <row r="48" outlineLevel="2">
      <c r="A48" s="12" t="s">
        <v>79</v>
      </c>
      <c r="B48" s="0" t="s">
        <v>70</v>
      </c>
      <c r="C48" s="14">
        <v>6.37510878496103</v>
      </c>
      <c r="D48" s="14"/>
      <c r="E48" s="14"/>
      <c r="F48" s="14"/>
      <c r="G48" s="14">
        <v>0.870322018424714</v>
      </c>
      <c r="H48" s="0" t="s">
        <v>38</v>
      </c>
      <c r="I48" s="5">
        <v>39308</v>
      </c>
      <c r="K48" s="0" t="s">
        <v>73</v>
      </c>
    </row>
    <row r="49" outlineLevel="2">
      <c r="A49" s="12" t="s">
        <v>80</v>
      </c>
      <c r="B49" s="0" t="s">
        <v>70</v>
      </c>
      <c r="C49" s="14">
        <v>2.46953872728013</v>
      </c>
      <c r="D49" s="14"/>
      <c r="E49" s="14"/>
      <c r="F49" s="14"/>
      <c r="G49" s="14">
        <v>0.152306353224325</v>
      </c>
      <c r="H49" s="0" t="s">
        <v>38</v>
      </c>
      <c r="I49" s="5">
        <v>39308</v>
      </c>
      <c r="K49" s="0" t="s">
        <v>73</v>
      </c>
    </row>
    <row r="50" outlineLevel="2">
      <c r="A50" s="12" t="s">
        <v>81</v>
      </c>
      <c r="B50" s="0" t="s">
        <v>70</v>
      </c>
      <c r="C50" s="14">
        <v>5.0043516059421</v>
      </c>
      <c r="D50" s="14"/>
      <c r="E50" s="14"/>
      <c r="F50" s="14"/>
      <c r="G50" s="14">
        <v>0.0326370756909268</v>
      </c>
      <c r="H50" s="0" t="s">
        <v>38</v>
      </c>
      <c r="I50" s="5">
        <v>39308</v>
      </c>
      <c r="K50" s="0" t="s">
        <v>73</v>
      </c>
    </row>
    <row r="51" outlineLevel="2">
      <c r="A51" s="12" t="s">
        <v>82</v>
      </c>
      <c r="B51" s="0" t="s">
        <v>70</v>
      </c>
      <c r="C51" s="14">
        <v>178.318102549994</v>
      </c>
      <c r="D51" s="14"/>
      <c r="E51" s="14"/>
      <c r="F51" s="14"/>
      <c r="G51" s="14">
        <v>0.141427327994016</v>
      </c>
      <c r="H51" s="0" t="s">
        <v>38</v>
      </c>
      <c r="I51" s="5">
        <v>39308</v>
      </c>
      <c r="K51" s="0" t="s">
        <v>71</v>
      </c>
    </row>
    <row r="52" outlineLevel="2">
      <c r="A52" s="12" t="s">
        <v>83</v>
      </c>
      <c r="B52" s="0" t="s">
        <v>70</v>
      </c>
      <c r="C52" s="14">
        <v>3268.20060651279</v>
      </c>
      <c r="D52" s="14"/>
      <c r="E52" s="14"/>
      <c r="F52" s="14"/>
      <c r="G52" s="14">
        <v>4.39512619304481</v>
      </c>
      <c r="H52" s="0" t="s">
        <v>38</v>
      </c>
      <c r="I52" s="5">
        <v>39308</v>
      </c>
      <c r="K52" s="0" t="s">
        <v>71</v>
      </c>
    </row>
    <row r="53" outlineLevel="2">
      <c r="A53" s="12" t="s">
        <v>84</v>
      </c>
      <c r="B53" s="0" t="s">
        <v>70</v>
      </c>
      <c r="C53" s="14">
        <v>483.87728419368</v>
      </c>
      <c r="D53" s="14"/>
      <c r="E53" s="14"/>
      <c r="F53" s="14"/>
      <c r="G53" s="14">
        <v>0.0652741513818535</v>
      </c>
      <c r="H53" s="0" t="s">
        <v>38</v>
      </c>
      <c r="I53" s="5">
        <v>39308</v>
      </c>
      <c r="K53" s="0" t="s">
        <v>71</v>
      </c>
    </row>
    <row r="54" outlineLevel="2">
      <c r="A54" s="12" t="s">
        <v>85</v>
      </c>
      <c r="B54" s="0" t="s">
        <v>70</v>
      </c>
      <c r="C54" s="14">
        <v>15.9595300128632</v>
      </c>
      <c r="D54" s="14"/>
      <c r="E54" s="14"/>
      <c r="F54" s="14"/>
      <c r="G54" s="14">
        <v>0.0870322018424714</v>
      </c>
      <c r="H54" s="0" t="s">
        <v>38</v>
      </c>
      <c r="I54" s="5">
        <v>39308</v>
      </c>
      <c r="K54" s="0" t="s">
        <v>73</v>
      </c>
    </row>
    <row r="55" outlineLevel="2">
      <c r="A55" s="12" t="s">
        <v>86</v>
      </c>
      <c r="B55" s="0" t="s">
        <v>70</v>
      </c>
      <c r="C55" s="14">
        <v>0.728894690430698</v>
      </c>
      <c r="D55" s="14"/>
      <c r="E55" s="14"/>
      <c r="F55" s="14"/>
      <c r="G55" s="14">
        <v>1.03350739687935</v>
      </c>
      <c r="H55" s="0" t="s">
        <v>38</v>
      </c>
      <c r="I55" s="5">
        <v>39308</v>
      </c>
      <c r="K55" s="0" t="s">
        <v>73</v>
      </c>
    </row>
    <row r="56" outlineLevel="2">
      <c r="A56" s="12" t="s">
        <v>87</v>
      </c>
      <c r="B56" s="0" t="s">
        <v>70</v>
      </c>
      <c r="C56" s="14">
        <v>197.791557712247</v>
      </c>
      <c r="D56" s="14"/>
      <c r="E56" s="14"/>
      <c r="F56" s="14"/>
      <c r="G56" s="14">
        <v>0.848563967964096</v>
      </c>
      <c r="H56" s="0" t="s">
        <v>38</v>
      </c>
      <c r="I56" s="5">
        <v>39308</v>
      </c>
      <c r="K56" s="0" t="s">
        <v>71</v>
      </c>
    </row>
    <row r="57" outlineLevel="2">
      <c r="A57" s="12" t="s">
        <v>88</v>
      </c>
      <c r="B57" s="0" t="s">
        <v>70</v>
      </c>
      <c r="C57" s="14">
        <v>0.783289816582242</v>
      </c>
      <c r="D57" s="14"/>
      <c r="E57" s="14"/>
      <c r="F57" s="14"/>
      <c r="G57" s="14">
        <v>1.07702349780058</v>
      </c>
      <c r="H57" s="0" t="s">
        <v>38</v>
      </c>
      <c r="I57" s="5">
        <v>39308</v>
      </c>
      <c r="K57" s="0" t="s">
        <v>73</v>
      </c>
    </row>
    <row r="58" outlineLevel="2">
      <c r="A58" s="12" t="s">
        <v>89</v>
      </c>
      <c r="B58" s="0" t="s">
        <v>70</v>
      </c>
      <c r="C58" s="14">
        <v>392.787205940304</v>
      </c>
      <c r="D58" s="14"/>
      <c r="E58" s="14"/>
      <c r="F58" s="14"/>
      <c r="G58" s="14">
        <v>0.261096605527414</v>
      </c>
      <c r="H58" s="0" t="s">
        <v>38</v>
      </c>
      <c r="I58" s="5">
        <v>39308</v>
      </c>
      <c r="K58" s="0" t="s">
        <v>71</v>
      </c>
    </row>
    <row r="59" outlineLevel="2">
      <c r="A59" s="12" t="s">
        <v>90</v>
      </c>
      <c r="B59" s="0" t="s">
        <v>70</v>
      </c>
      <c r="C59" s="14">
        <v>-1.66449086023727</v>
      </c>
      <c r="D59" s="14"/>
      <c r="E59" s="14"/>
      <c r="F59" s="14"/>
      <c r="G59" s="14">
        <v>4.94995647979056</v>
      </c>
      <c r="H59" s="0" t="s">
        <v>38</v>
      </c>
      <c r="I59" s="5">
        <v>39308</v>
      </c>
      <c r="K59" s="0" t="s">
        <v>73</v>
      </c>
    </row>
    <row r="60" outlineLevel="2">
      <c r="A60" s="12" t="s">
        <v>91</v>
      </c>
      <c r="B60" s="0" t="s">
        <v>70</v>
      </c>
      <c r="C60" s="14">
        <v>0.630983463357917</v>
      </c>
      <c r="D60" s="14"/>
      <c r="E60" s="14"/>
      <c r="F60" s="14"/>
      <c r="G60" s="14">
        <v>0.761531766121625</v>
      </c>
      <c r="H60" s="0" t="s">
        <v>38</v>
      </c>
      <c r="I60" s="5">
        <v>39308</v>
      </c>
      <c r="K60" s="0" t="s">
        <v>75</v>
      </c>
    </row>
    <row r="61" outlineLevel="2">
      <c r="A61" s="12" t="s">
        <v>92</v>
      </c>
      <c r="B61" s="0" t="s">
        <v>70</v>
      </c>
      <c r="C61" s="14">
        <v>-0.0435161009212357</v>
      </c>
      <c r="D61" s="14"/>
      <c r="E61" s="14"/>
      <c r="F61" s="14"/>
      <c r="G61" s="14">
        <v>2.4369016515892</v>
      </c>
      <c r="H61" s="0" t="s">
        <v>38</v>
      </c>
      <c r="I61" s="5">
        <v>39308</v>
      </c>
      <c r="K61" s="0" t="s">
        <v>73</v>
      </c>
    </row>
    <row r="62" outlineLevel="2">
      <c r="A62" s="12" t="s">
        <v>93</v>
      </c>
      <c r="B62" s="0" t="s">
        <v>70</v>
      </c>
      <c r="C62" s="14">
        <v>31907.517379957</v>
      </c>
      <c r="D62" s="14"/>
      <c r="E62" s="14"/>
      <c r="F62" s="14"/>
      <c r="G62" s="14">
        <v>4.24281983982048</v>
      </c>
      <c r="H62" s="0" t="s">
        <v>38</v>
      </c>
      <c r="I62" s="5">
        <v>39308</v>
      </c>
      <c r="K62" s="0" t="s">
        <v>71</v>
      </c>
    </row>
    <row r="63" outlineLevel="2">
      <c r="A63" s="12" t="s">
        <v>94</v>
      </c>
      <c r="B63" s="0" t="s">
        <v>70</v>
      </c>
      <c r="C63" s="14">
        <v>-0.228459529836487</v>
      </c>
      <c r="D63" s="14"/>
      <c r="E63" s="14"/>
      <c r="F63" s="14"/>
      <c r="G63" s="14">
        <v>0.674499564279153</v>
      </c>
      <c r="H63" s="0" t="s">
        <v>38</v>
      </c>
      <c r="I63" s="5">
        <v>39308</v>
      </c>
      <c r="K63" s="0" t="s">
        <v>75</v>
      </c>
    </row>
    <row r="64" outlineLevel="2">
      <c r="A64" s="12" t="s">
        <v>95</v>
      </c>
      <c r="B64" s="0" t="s">
        <v>70</v>
      </c>
      <c r="C64" s="14">
        <v>13.4247171342012</v>
      </c>
      <c r="D64" s="14"/>
      <c r="E64" s="14"/>
      <c r="F64" s="14"/>
      <c r="G64" s="14">
        <v>0</v>
      </c>
      <c r="H64" s="0" t="s">
        <v>38</v>
      </c>
      <c r="I64" s="5">
        <v>39308</v>
      </c>
      <c r="K64" s="0" t="s">
        <v>75</v>
      </c>
    </row>
    <row r="65" outlineLevel="2">
      <c r="A65" s="12" t="s">
        <v>96</v>
      </c>
      <c r="B65" s="0" t="s">
        <v>70</v>
      </c>
      <c r="C65" s="14">
        <v>6.29895560834887</v>
      </c>
      <c r="D65" s="14"/>
      <c r="E65" s="14"/>
      <c r="F65" s="14"/>
      <c r="G65" s="14">
        <v>0.0761531766121625</v>
      </c>
      <c r="H65" s="0" t="s">
        <v>38</v>
      </c>
      <c r="I65" s="5">
        <v>39308</v>
      </c>
      <c r="K65" s="0" t="s">
        <v>71</v>
      </c>
    </row>
    <row r="66" outlineLevel="2">
      <c r="A66" s="12" t="s">
        <v>97</v>
      </c>
      <c r="B66" s="0" t="s">
        <v>70</v>
      </c>
      <c r="C66" s="14">
        <v>0.772410791351933</v>
      </c>
      <c r="D66" s="14"/>
      <c r="E66" s="14"/>
      <c r="F66" s="14"/>
      <c r="G66" s="14">
        <v>0.141427327994016</v>
      </c>
      <c r="H66" s="0" t="s">
        <v>38</v>
      </c>
      <c r="I66" s="5">
        <v>39308</v>
      </c>
      <c r="K66" s="0" t="s">
        <v>73</v>
      </c>
    </row>
    <row r="67" outlineLevel="2">
      <c r="A67" s="12" t="s">
        <v>98</v>
      </c>
      <c r="B67" s="0" t="s">
        <v>70</v>
      </c>
      <c r="C67" s="14">
        <v>9.69321148020525</v>
      </c>
      <c r="D67" s="14"/>
      <c r="E67" s="14"/>
      <c r="F67" s="14"/>
      <c r="G67" s="14">
        <v>0.163185378454634</v>
      </c>
      <c r="H67" s="0" t="s">
        <v>38</v>
      </c>
      <c r="I67" s="5">
        <v>39308</v>
      </c>
      <c r="K67" s="0" t="s">
        <v>73</v>
      </c>
    </row>
    <row r="68">
      <c r="I68" s="5"/>
    </row>
    <row r="69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</mergeCells>
  <dataValidations count="1">
    <dataValidation type="decimal" sqref="C22" errorStyle="stop" promptTitle="Enter moisture content" errorTitle="Invalid moisture content" prompt="Value should be between 0 and 100.&#10;Original value: 8.0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https://phyllis.nl/Biomass/View/3201</dc:description>
  <dcterms:created xsi:type="dcterms:W3CDTF">2026-03-17T06:16:34Z</dcterms:created>
  <dc:title>Phyllis2 #3201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