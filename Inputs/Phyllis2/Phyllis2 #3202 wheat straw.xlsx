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02 wheat straw" sheetId="1" r:id="rId1"/>
  </sheets>
  <definedNames>
    <definedName name="w" localSheetId="0">IF(ISBLANK('Phyllis2 #3202 wheat straw'!$C$22),#N/A,'Phyllis2 #3202 wheat straw'!$C$22/100)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<sst xmlns="http://schemas.openxmlformats.org/spreadsheetml/2006/main" count="99" uniqueCount="99">
  <si>
    <t>Phyllis2</t>
  </si>
  <si>
    <t>https://phyllis.nl/Biomass/View/3202</t>
  </si>
  <si>
    <t>wheat straw (#3202)</t>
  </si>
  <si>
    <t>ID-number</t>
  </si>
  <si>
    <t>#3202</t>
  </si>
  <si>
    <t>Material</t>
  </si>
  <si>
    <t>wheat straw</t>
  </si>
  <si>
    <t>Description</t>
  </si>
  <si>
    <t>2003</t>
  </si>
  <si>
    <t>Classification</t>
  </si>
  <si>
    <t>CEN/TS 14961 classification &gt; Solid biofuels &gt; Herbaceous biomass &gt; Agriculture and Horticulture herb &gt; Grasses &gt; Straw parts</t>
  </si>
  <si>
    <t>ECN Phyllis classification &gt; straw (stalk/cob/ear) &gt; wheat &gt; wheat straw</t>
  </si>
  <si>
    <t>NTA 8003 classification &gt; [200] biomassa uit land- en tuinbouw &gt; [220] stro &gt; [223] tarwestro</t>
  </si>
  <si>
    <t>Country</t>
  </si>
  <si>
    <t>Netherlands</t>
  </si>
  <si>
    <t>Production date</t>
  </si>
  <si>
    <t>Submitter</t>
  </si>
  <si>
    <t>Bakker, F.P.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</si>
  <si>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</si>
  <si>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</si>
  <si>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</si>
  <si>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</si>
  <si>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</si>
  <si>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</si>
  <si>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</si>
  <si>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</si>
  <si>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</si>
  <si>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</si>
  <si>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</si>
  <si>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</si>
  <si>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</si>
  <si>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</si>
  <si>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</si>
  <si>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</si>
  <si>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</si>
  <si>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</si>
  <si>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</si>
  <si>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</si>
  <si>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</si>
  <si>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</si>
  <si>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</si>
  <si>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</si>
  <si>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</si>
  <si>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</si>
  <si>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</si>
  <si>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</si>
  <si>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</si>
  <si>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</si>
  <si>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</si>
  <si>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</si>
  <si>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</si>
  <si>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</si>
  <si>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</si>
  <si>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</si>
  <si>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</si>
  <si>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</si>
  <si>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Halides</t>
  </si>
  <si>
    <t>Bromine (Br)</t>
  </si>
  <si>
    <t>mg/kg</t>
  </si>
  <si>
    <t>B.N203</t>
  </si>
  <si>
    <t>Chlorine (Cl)</t>
  </si>
  <si>
    <t>CEN/TS 15289</t>
  </si>
  <si>
    <t>Fluorine (F)</t>
  </si>
  <si>
    <t>Heating value</t>
  </si>
  <si>
    <t>Net calorific value (LHV)</t>
  </si>
  <si>
    <t>MJ/kg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</si>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</sst>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0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6">
        <v>39276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6">
        <v>39987</v>
      </c>
    </row>
    <row r="16">
      <c r="A16" s="7"/>
    </row>
    <row r="17" s="1" customFormat="1">
      <c r="A17" s="9" t="s">
        <v>21</v>
      </c>
    </row>
    <row r="18" s="1" customFormat="1">
      <c r="A18" s="10" t="s">
        <v>22</v>
      </c>
      <c r="B18" s="10" t="s">
        <v>23</v>
      </c>
      <c r="C18" s="10" t="s">
        <v>24</v>
      </c>
      <c r="D18" s="10"/>
      <c r="E18" s="10"/>
      <c r="F18" s="10" t="s">
        <v>25</v>
      </c>
      <c r="G18" s="10" t="s">
        <v>26</v>
      </c>
      <c r="H18" s="10" t="s">
        <v>27</v>
      </c>
      <c r="I18" s="10" t="s">
        <v>28</v>
      </c>
      <c r="J18" s="10" t="s">
        <v>29</v>
      </c>
      <c r="K18" s="10" t="s">
        <v>30</v>
      </c>
      <c r="L18" s="10"/>
    </row>
    <row r="19" s="1" customFormat="1">
      <c r="A19" s="10"/>
      <c r="B19" s="10"/>
      <c r="C19" s="10" t="s">
        <v>31</v>
      </c>
      <c r="D19" s="10" t="s">
        <v>32</v>
      </c>
      <c r="E19" s="10" t="s">
        <v>33</v>
      </c>
      <c r="F19" s="10"/>
      <c r="G19" s="10"/>
      <c r="H19" s="10"/>
      <c r="I19" s="10"/>
      <c r="J19" s="10"/>
      <c r="K19" s="10"/>
      <c r="L19" s="10"/>
    </row>
    <row r="20">
      <c r="A20" s="7" t="s">
        <v>34</v>
      </c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37</v>
      </c>
      <c r="C22" s="13">
        <v>8.15</v>
      </c>
      <c r="D22" s="13"/>
      <c r="E22" s="13"/>
      <c r="F22" s="13"/>
      <c r="G22" s="13">
        <v>0.1</v>
      </c>
      <c r="H22" s="0" t="s">
        <v>38</v>
      </c>
      <c r="I22" s="5">
        <v>39280</v>
      </c>
      <c r="J22" s="0" t="s">
        <v>39</v>
      </c>
      <c r="K22" s="0" t="s">
        <v>39</v>
      </c>
    </row>
    <row r="23" outlineLevel="2">
      <c r="A23" s="12" t="s">
        <v>40</v>
      </c>
      <c r="B23" s="0" t="s">
        <v>37</v>
      </c>
      <c r="C23" s="13">
        <f>IFERROR(10.315*(1-w),"")</f>
        <v>9.4743275</v>
      </c>
      <c r="D23" s="13">
        <v>10.315</v>
      </c>
      <c r="E23" s="13">
        <v/>
      </c>
      <c r="F23" s="13">
        <v>1.71</v>
      </c>
      <c r="G23" s="13">
        <v>0.1</v>
      </c>
      <c r="H23" s="0" t="s">
        <v>38</v>
      </c>
      <c r="I23" s="5">
        <v>39288</v>
      </c>
      <c r="J23" s="0" t="s">
        <v>41</v>
      </c>
      <c r="K23" s="0" t="s">
        <v>41</v>
      </c>
    </row>
    <row r="24" outlineLevel="2">
      <c r="A24" s="12" t="s">
        <v>42</v>
      </c>
      <c r="B24" s="0" t="s">
        <v>37</v>
      </c>
      <c r="C24" s="13">
        <f>IFERROR(9.805*(1-w),"")</f>
        <v>9.0058925</v>
      </c>
      <c r="D24" s="13">
        <v>9.805</v>
      </c>
      <c r="E24" s="13">
        <v/>
      </c>
      <c r="F24" s="13">
        <v>2.96</v>
      </c>
      <c r="G24" s="13">
        <v>0.1</v>
      </c>
      <c r="H24" s="0" t="s">
        <v>38</v>
      </c>
      <c r="I24" s="5">
        <v>39288</v>
      </c>
      <c r="K24" s="0" t="s">
        <v>41</v>
      </c>
    </row>
    <row r="25" outlineLevel="2">
      <c r="A25" s="12" t="s">
        <v>43</v>
      </c>
      <c r="B25" s="0" t="s">
        <v>37</v>
      </c>
      <c r="C25" s="13">
        <f>IFERROR(71.89*(1-w),"")</f>
        <v>66.030965</v>
      </c>
      <c r="D25" s="13">
        <v>71.89</v>
      </c>
      <c r="E25" s="13">
        <v>80.158331939566253</v>
      </c>
      <c r="F25" s="13">
        <v>0.3</v>
      </c>
      <c r="G25" s="13">
        <v>0.1</v>
      </c>
      <c r="H25" s="0" t="s">
        <v>38</v>
      </c>
      <c r="I25" s="5">
        <v>39301</v>
      </c>
    </row>
    <row r="26" outlineLevel="2">
      <c r="A26" s="12" t="s">
        <v>44</v>
      </c>
      <c r="B26" s="0" t="s">
        <v>37</v>
      </c>
      <c r="C26" s="13">
        <f>IFERROR(17.795*(1-w),"")</f>
        <v>16.344707500000002</v>
      </c>
      <c r="D26" s="13">
        <v>17.795</v>
      </c>
      <c r="E26" s="13">
        <v>19.84166806043374</v>
      </c>
      <c r="F26" s="13"/>
      <c r="G26" s="13"/>
      <c r="I26" s="5"/>
      <c r="J26" s="0" t="s">
        <v>45</v>
      </c>
    </row>
    <row r="27" outlineLevel="1">
      <c r="A27" s="11" t="s">
        <v>46</v>
      </c>
      <c r="I27" s="5"/>
    </row>
    <row r="28" outlineLevel="2">
      <c r="A28" s="12" t="s">
        <v>47</v>
      </c>
      <c r="B28" s="0" t="s">
        <v>37</v>
      </c>
      <c r="C28" s="13">
        <f>IFERROR(41.57*(1-w),"")</f>
        <v>38.182045</v>
      </c>
      <c r="D28" s="13">
        <v>41.57</v>
      </c>
      <c r="E28" s="13">
        <v>46.351117801193062</v>
      </c>
      <c r="F28" s="13">
        <v>0.07</v>
      </c>
      <c r="G28" s="13">
        <v>0.1</v>
      </c>
      <c r="H28" s="0" t="s">
        <v>38</v>
      </c>
      <c r="I28" s="5">
        <v>39282</v>
      </c>
      <c r="J28" s="0" t="s">
        <v>48</v>
      </c>
      <c r="K28" s="0" t="s">
        <v>48</v>
      </c>
    </row>
    <row r="29" outlineLevel="2">
      <c r="A29" s="12" t="s">
        <v>49</v>
      </c>
      <c r="B29" s="0" t="s">
        <v>37</v>
      </c>
      <c r="C29" s="13">
        <f>IFERROR(5.645*(1-w),"")</f>
        <v>5.1849324999999995</v>
      </c>
      <c r="D29" s="13">
        <v>5.645</v>
      </c>
      <c r="E29" s="13">
        <v>6.29425210458828</v>
      </c>
      <c r="F29" s="13">
        <v>1.88</v>
      </c>
      <c r="G29" s="13">
        <v>0.1</v>
      </c>
      <c r="H29" s="0" t="s">
        <v>38</v>
      </c>
      <c r="I29" s="5">
        <v>39282</v>
      </c>
      <c r="J29" s="0" t="s">
        <v>48</v>
      </c>
      <c r="K29" s="0" t="s">
        <v>48</v>
      </c>
    </row>
    <row r="30" outlineLevel="2">
      <c r="A30" s="12" t="s">
        <v>50</v>
      </c>
      <c r="B30" s="0" t="s">
        <v>37</v>
      </c>
      <c r="C30" s="13">
        <f>IFERROR(42.975*(1-w),"")</f>
        <v>39.4725375</v>
      </c>
      <c r="D30" s="13">
        <v>42.975</v>
      </c>
      <c r="E30" s="13">
        <v>47.9177119919719</v>
      </c>
      <c r="F30" s="13">
        <v>0.51</v>
      </c>
      <c r="G30" s="13">
        <v>0.1</v>
      </c>
      <c r="H30" s="0" t="s">
        <v>38</v>
      </c>
      <c r="I30" s="5">
        <v>39307</v>
      </c>
      <c r="K30" s="0" t="s">
        <v>51</v>
      </c>
    </row>
    <row r="31" outlineLevel="2">
      <c r="A31" s="12" t="s">
        <v>52</v>
      </c>
      <c r="B31" s="0" t="s">
        <v>37</v>
      </c>
      <c r="C31" s="13">
        <f>IFERROR(0.35*(1-w),"")</f>
        <v>0.32147499999999996</v>
      </c>
      <c r="D31" s="13">
        <v>0.35</v>
      </c>
      <c r="E31" s="13">
        <v>0.39025478062106256</v>
      </c>
      <c r="F31" s="13">
        <v>4.04</v>
      </c>
      <c r="G31" s="13">
        <v>0.1</v>
      </c>
      <c r="H31" s="0" t="s">
        <v>38</v>
      </c>
      <c r="I31" s="5">
        <v>39282</v>
      </c>
      <c r="J31" s="0" t="s">
        <v>48</v>
      </c>
      <c r="K31" s="0" t="s">
        <v>48</v>
      </c>
    </row>
    <row r="32" outlineLevel="2">
      <c r="A32" s="12" t="s">
        <v>53</v>
      </c>
      <c r="B32" s="0" t="s">
        <v>37</v>
      </c>
      <c r="C32" s="13">
        <f>IFERROR(0.127010342422966*(1-w),"")</f>
        <v>0.11665899951549426</v>
      </c>
      <c r="D32" s="13">
        <v>0.127010342422966</v>
      </c>
      <c r="E32" s="13">
        <v>0.14161826662537325</v>
      </c>
      <c r="F32" s="13"/>
      <c r="G32" s="13">
        <v>0.000385410994588757</v>
      </c>
      <c r="H32" s="0" t="s">
        <v>38</v>
      </c>
      <c r="I32" s="5">
        <v>39308</v>
      </c>
      <c r="J32" s="0" t="s">
        <v>54</v>
      </c>
      <c r="K32" s="0" t="s">
        <v>48</v>
      </c>
    </row>
    <row r="33" outlineLevel="2">
      <c r="A33" s="12" t="s">
        <v>55</v>
      </c>
      <c r="B33" s="0" t="s">
        <v>37</v>
      </c>
      <c r="C33" s="13">
        <f>IFERROR(101.266800342423*(1-w)+w*100,"")</f>
        <v>101.16355611451549</v>
      </c>
      <c r="D33" s="13">
        <v>101.26680034242295</v>
      </c>
      <c r="E33" s="13">
        <v>101.41249968492274</v>
      </c>
      <c r="F33" s="13"/>
      <c r="G33" s="13"/>
      <c r="I33" s="5"/>
      <c r="J33" s="0" t="s">
        <v>45</v>
      </c>
    </row>
    <row r="34" outlineLevel="1">
      <c r="A34" s="11" t="s">
        <v>56</v>
      </c>
      <c r="I34" s="5"/>
    </row>
    <row r="35" outlineLevel="2">
      <c r="A35" s="12" t="s">
        <v>57</v>
      </c>
      <c r="B35" s="0" t="s">
        <v>58</v>
      </c>
      <c r="C35" s="14">
        <f>IFERROR(29*(1-w),"")</f>
        <v>26.636499999999998</v>
      </c>
      <c r="D35" s="14">
        <v>29</v>
      </c>
      <c r="E35" s="14">
        <v>32.335396108602332</v>
      </c>
      <c r="F35" s="14"/>
      <c r="G35" s="14">
        <v>10</v>
      </c>
      <c r="H35" s="0" t="s">
        <v>38</v>
      </c>
      <c r="I35" s="5">
        <v>39290</v>
      </c>
      <c r="K35" s="0" t="s">
        <v>59</v>
      </c>
    </row>
    <row r="36" outlineLevel="2">
      <c r="A36" s="12" t="s">
        <v>60</v>
      </c>
      <c r="B36" s="0" t="s">
        <v>58</v>
      </c>
      <c r="C36" s="14">
        <f>IFERROR(2812*(1-w),"")</f>
        <v>2582.822</v>
      </c>
      <c r="D36" s="14">
        <v>2812</v>
      </c>
      <c r="E36" s="14">
        <v>3135.4184088755087</v>
      </c>
      <c r="F36" s="14"/>
      <c r="G36" s="14">
        <v>10</v>
      </c>
      <c r="H36" s="0" t="s">
        <v>38</v>
      </c>
      <c r="I36" s="5">
        <v>39290</v>
      </c>
      <c r="J36" s="0" t="s">
        <v>61</v>
      </c>
      <c r="K36" s="0" t="s">
        <v>61</v>
      </c>
    </row>
    <row r="37" outlineLevel="2">
      <c r="A37" s="12" t="s">
        <v>62</v>
      </c>
      <c r="B37" s="0" t="s">
        <v>58</v>
      </c>
      <c r="C37" s="14">
        <f>IFERROR(6.9*(1-w),"")</f>
        <v>6.33765</v>
      </c>
      <c r="D37" s="14">
        <v>6.9</v>
      </c>
      <c r="E37" s="14">
        <v>7.69359424652952</v>
      </c>
      <c r="F37" s="14"/>
      <c r="G37" s="14">
        <v>10</v>
      </c>
      <c r="H37" s="0" t="s">
        <v>38</v>
      </c>
      <c r="I37" s="5">
        <v>39289</v>
      </c>
      <c r="K37" s="0" t="s">
        <v>59</v>
      </c>
    </row>
    <row r="38" outlineLevel="1">
      <c r="A38" s="11" t="s">
        <v>63</v>
      </c>
      <c r="I38" s="5"/>
    </row>
    <row r="39" outlineLevel="2">
      <c r="A39" s="12" t="s">
        <v>64</v>
      </c>
      <c r="B39" s="0" t="s">
        <v>65</v>
      </c>
      <c r="C39" s="13">
        <f>IFERROR(17.055*(1-w)-w*2.443,"")</f>
        <v>15.465912999999999</v>
      </c>
      <c r="D39" s="13">
        <v>17.055</v>
      </c>
      <c r="E39" s="13">
        <v>19.016557952834923</v>
      </c>
      <c r="F39" s="13"/>
      <c r="G39" s="13">
        <v>0.01</v>
      </c>
      <c r="H39" s="0" t="s">
        <v>38</v>
      </c>
      <c r="I39" s="5">
        <v>39288</v>
      </c>
      <c r="J39" s="0" t="s">
        <v>66</v>
      </c>
      <c r="K39" s="0" t="s">
        <v>66</v>
      </c>
    </row>
    <row r="40" outlineLevel="2">
      <c r="A40" s="12" t="s">
        <v>67</v>
      </c>
      <c r="B40" s="0" t="s">
        <v>65</v>
      </c>
      <c r="C40" s="13">
        <f>IFERROR(16.3062324909152*(1-w),"")</f>
        <v>14.977274542905628</v>
      </c>
      <c r="D40" s="13">
        <v>16.306232490915217</v>
      </c>
      <c r="E40" s="13">
        <v>18.18167195285189</v>
      </c>
      <c r="F40" s="13"/>
      <c r="G40" s="13"/>
      <c r="I40" s="5"/>
      <c r="J40" s="0" t="s">
        <v>45</v>
      </c>
    </row>
    <row r="41" outlineLevel="1">
      <c r="A41" s="11" t="s">
        <v>68</v>
      </c>
      <c r="I41" s="5"/>
    </row>
    <row r="42" outlineLevel="2">
      <c r="A42" s="12" t="s">
        <v>69</v>
      </c>
      <c r="B42" s="0" t="s">
        <v>70</v>
      </c>
      <c r="C42" s="14">
        <v>28.5900924234485</v>
      </c>
      <c r="D42" s="14"/>
      <c r="E42" s="14"/>
      <c r="F42" s="14"/>
      <c r="G42" s="14">
        <v>0.239520957089058</v>
      </c>
      <c r="H42" s="0" t="s">
        <v>38</v>
      </c>
      <c r="I42" s="5">
        <v>39308</v>
      </c>
      <c r="K42" s="0" t="s">
        <v>71</v>
      </c>
    </row>
    <row r="43" outlineLevel="2">
      <c r="A43" s="12" t="s">
        <v>72</v>
      </c>
      <c r="B43" s="0" t="s">
        <v>70</v>
      </c>
      <c r="C43" s="14">
        <v>0.7838867686551</v>
      </c>
      <c r="D43" s="14"/>
      <c r="E43" s="14"/>
      <c r="F43" s="14"/>
      <c r="G43" s="14">
        <v>3.38595534794078</v>
      </c>
      <c r="H43" s="0" t="s">
        <v>38</v>
      </c>
      <c r="I43" s="5">
        <v>39308</v>
      </c>
      <c r="K43" s="0" t="s">
        <v>73</v>
      </c>
    </row>
    <row r="44" outlineLevel="2">
      <c r="A44" s="12" t="s">
        <v>74</v>
      </c>
      <c r="B44" s="0" t="s">
        <v>70</v>
      </c>
      <c r="C44" s="14">
        <v>3.49482851025399</v>
      </c>
      <c r="D44" s="14"/>
      <c r="E44" s="14"/>
      <c r="F44" s="14"/>
      <c r="G44" s="14">
        <v>0.13064779477585</v>
      </c>
      <c r="H44" s="0" t="s">
        <v>38</v>
      </c>
      <c r="I44" s="5">
        <v>39308</v>
      </c>
      <c r="K44" s="0" t="s">
        <v>75</v>
      </c>
    </row>
    <row r="45" outlineLevel="2">
      <c r="A45" s="12" t="s">
        <v>76</v>
      </c>
      <c r="B45" s="0" t="s">
        <v>70</v>
      </c>
      <c r="C45" s="14">
        <v>3.44039192909738</v>
      </c>
      <c r="D45" s="14"/>
      <c r="E45" s="14"/>
      <c r="F45" s="14"/>
      <c r="G45" s="14">
        <v>0</v>
      </c>
      <c r="H45" s="0" t="s">
        <v>38</v>
      </c>
      <c r="I45" s="5">
        <v>39308</v>
      </c>
      <c r="K45" s="0" t="s">
        <v>73</v>
      </c>
    </row>
    <row r="46" outlineLevel="2">
      <c r="A46" s="12" t="s">
        <v>77</v>
      </c>
      <c r="B46" s="0" t="s">
        <v>70</v>
      </c>
      <c r="C46" s="14">
        <v>3890.25583577556</v>
      </c>
      <c r="D46" s="14"/>
      <c r="E46" s="14"/>
      <c r="F46" s="14"/>
      <c r="G46" s="14">
        <v>0.65323897387925</v>
      </c>
      <c r="H46" s="0" t="s">
        <v>38</v>
      </c>
      <c r="I46" s="5">
        <v>39308</v>
      </c>
      <c r="K46" s="0" t="s">
        <v>71</v>
      </c>
    </row>
    <row r="47" outlineLevel="2">
      <c r="A47" s="12" t="s">
        <v>78</v>
      </c>
      <c r="B47" s="0" t="s">
        <v>70</v>
      </c>
      <c r="C47" s="14">
        <v>0.174197059701133</v>
      </c>
      <c r="D47" s="14"/>
      <c r="E47" s="14"/>
      <c r="F47" s="14"/>
      <c r="G47" s="14">
        <v>0.119760478544529</v>
      </c>
      <c r="H47" s="0" t="s">
        <v>38</v>
      </c>
      <c r="I47" s="5">
        <v>39308</v>
      </c>
      <c r="K47" s="0" t="s">
        <v>73</v>
      </c>
    </row>
    <row r="48" outlineLevel="2">
      <c r="A48" s="12" t="s">
        <v>79</v>
      </c>
      <c r="B48" s="0" t="s">
        <v>70</v>
      </c>
      <c r="C48" s="14">
        <v>4.95372888525098</v>
      </c>
      <c r="D48" s="14"/>
      <c r="E48" s="14"/>
      <c r="F48" s="14"/>
      <c r="G48" s="14">
        <v>0.870985298505667</v>
      </c>
      <c r="H48" s="0" t="s">
        <v>38</v>
      </c>
      <c r="I48" s="5">
        <v>39308</v>
      </c>
      <c r="K48" s="0" t="s">
        <v>73</v>
      </c>
    </row>
    <row r="49" outlineLevel="2">
      <c r="A49" s="12" t="s">
        <v>80</v>
      </c>
      <c r="B49" s="0" t="s">
        <v>70</v>
      </c>
      <c r="C49" s="14">
        <v>0.544365811566042</v>
      </c>
      <c r="D49" s="14"/>
      <c r="E49" s="14"/>
      <c r="F49" s="14"/>
      <c r="G49" s="14">
        <v>0.152422427238492</v>
      </c>
      <c r="H49" s="0" t="s">
        <v>38</v>
      </c>
      <c r="I49" s="5">
        <v>39308</v>
      </c>
      <c r="K49" s="0" t="s">
        <v>73</v>
      </c>
    </row>
    <row r="50" outlineLevel="2">
      <c r="A50" s="12" t="s">
        <v>81</v>
      </c>
      <c r="B50" s="0" t="s">
        <v>70</v>
      </c>
      <c r="C50" s="14">
        <v>2.3516603059653</v>
      </c>
      <c r="D50" s="14"/>
      <c r="E50" s="14"/>
      <c r="F50" s="14"/>
      <c r="G50" s="14">
        <v>0.0326619486939625</v>
      </c>
      <c r="H50" s="0" t="s">
        <v>38</v>
      </c>
      <c r="I50" s="5">
        <v>39308</v>
      </c>
      <c r="K50" s="0" t="s">
        <v>73</v>
      </c>
    </row>
    <row r="51" outlineLevel="2">
      <c r="A51" s="12" t="s">
        <v>82</v>
      </c>
      <c r="B51" s="0" t="s">
        <v>70</v>
      </c>
      <c r="C51" s="14">
        <v>64.0718560213231</v>
      </c>
      <c r="D51" s="14"/>
      <c r="E51" s="14"/>
      <c r="F51" s="14"/>
      <c r="G51" s="14">
        <v>0.141535111007171</v>
      </c>
      <c r="H51" s="0" t="s">
        <v>38</v>
      </c>
      <c r="I51" s="5">
        <v>39308</v>
      </c>
      <c r="K51" s="0" t="s">
        <v>71</v>
      </c>
    </row>
    <row r="52" outlineLevel="2">
      <c r="A52" s="12" t="s">
        <v>83</v>
      </c>
      <c r="B52" s="0" t="s">
        <v>70</v>
      </c>
      <c r="C52" s="14">
        <v>16021.8072279604</v>
      </c>
      <c r="D52" s="14"/>
      <c r="E52" s="14"/>
      <c r="F52" s="14"/>
      <c r="G52" s="14">
        <v>4.39847575745362</v>
      </c>
      <c r="H52" s="0" t="s">
        <v>38</v>
      </c>
      <c r="I52" s="5">
        <v>39308</v>
      </c>
      <c r="K52" s="0" t="s">
        <v>71</v>
      </c>
    </row>
    <row r="53" outlineLevel="2">
      <c r="A53" s="12" t="s">
        <v>84</v>
      </c>
      <c r="B53" s="0" t="s">
        <v>70</v>
      </c>
      <c r="C53" s="14">
        <v>925.465428927196</v>
      </c>
      <c r="D53" s="14"/>
      <c r="E53" s="14"/>
      <c r="F53" s="14"/>
      <c r="G53" s="14">
        <v>0.065323897387925</v>
      </c>
      <c r="H53" s="0" t="s">
        <v>38</v>
      </c>
      <c r="I53" s="5">
        <v>39308</v>
      </c>
      <c r="K53" s="0" t="s">
        <v>71</v>
      </c>
    </row>
    <row r="54" outlineLevel="2">
      <c r="A54" s="12" t="s">
        <v>85</v>
      </c>
      <c r="B54" s="0" t="s">
        <v>70</v>
      </c>
      <c r="C54" s="14">
        <v>15.6232987919454</v>
      </c>
      <c r="D54" s="14"/>
      <c r="E54" s="14"/>
      <c r="F54" s="14"/>
      <c r="G54" s="14">
        <v>0.0870985298505667</v>
      </c>
      <c r="H54" s="0" t="s">
        <v>38</v>
      </c>
      <c r="I54" s="5">
        <v>39308</v>
      </c>
      <c r="K54" s="0" t="s">
        <v>73</v>
      </c>
    </row>
    <row r="55" outlineLevel="2">
      <c r="A55" s="12" t="s">
        <v>86</v>
      </c>
      <c r="B55" s="0" t="s">
        <v>70</v>
      </c>
      <c r="C55" s="14">
        <v>2.19923787872681</v>
      </c>
      <c r="D55" s="14"/>
      <c r="E55" s="14"/>
      <c r="F55" s="14"/>
      <c r="G55" s="14">
        <v>1.03429504197548</v>
      </c>
      <c r="H55" s="0" t="s">
        <v>38</v>
      </c>
      <c r="I55" s="5">
        <v>39308</v>
      </c>
      <c r="K55" s="0" t="s">
        <v>73</v>
      </c>
    </row>
    <row r="56" outlineLevel="2">
      <c r="A56" s="12" t="s">
        <v>87</v>
      </c>
      <c r="B56" s="0" t="s">
        <v>70</v>
      </c>
      <c r="C56" s="14">
        <v>107.24006487851</v>
      </c>
      <c r="D56" s="14"/>
      <c r="E56" s="14"/>
      <c r="F56" s="14"/>
      <c r="G56" s="14">
        <v>0.849210666043025</v>
      </c>
      <c r="H56" s="0" t="s">
        <v>38</v>
      </c>
      <c r="I56" s="5">
        <v>39308</v>
      </c>
      <c r="K56" s="0" t="s">
        <v>71</v>
      </c>
    </row>
    <row r="57" outlineLevel="2">
      <c r="A57" s="12" t="s">
        <v>88</v>
      </c>
      <c r="B57" s="0" t="s">
        <v>70</v>
      </c>
      <c r="C57" s="14">
        <v>-0.0870985298505667</v>
      </c>
      <c r="D57" s="14"/>
      <c r="E57" s="14"/>
      <c r="F57" s="14"/>
      <c r="G57" s="14">
        <v>1.07784430690076</v>
      </c>
      <c r="H57" s="0" t="s">
        <v>38</v>
      </c>
      <c r="I57" s="5">
        <v>39308</v>
      </c>
      <c r="K57" s="0" t="s">
        <v>73</v>
      </c>
    </row>
    <row r="58" outlineLevel="2">
      <c r="A58" s="12" t="s">
        <v>89</v>
      </c>
      <c r="B58" s="0" t="s">
        <v>70</v>
      </c>
      <c r="C58" s="14">
        <v>581.44801064992</v>
      </c>
      <c r="D58" s="14"/>
      <c r="E58" s="14"/>
      <c r="F58" s="14"/>
      <c r="G58" s="14">
        <v>0.2612955895517</v>
      </c>
      <c r="H58" s="0" t="s">
        <v>38</v>
      </c>
      <c r="I58" s="5">
        <v>39308</v>
      </c>
      <c r="K58" s="0" t="s">
        <v>71</v>
      </c>
    </row>
    <row r="59" outlineLevel="2">
      <c r="A59" s="12" t="s">
        <v>90</v>
      </c>
      <c r="B59" s="0" t="s">
        <v>70</v>
      </c>
      <c r="C59" s="14">
        <v>-1.26292868283322</v>
      </c>
      <c r="D59" s="14"/>
      <c r="E59" s="14"/>
      <c r="F59" s="14"/>
      <c r="G59" s="14">
        <v>4.95372888525098</v>
      </c>
      <c r="H59" s="0" t="s">
        <v>38</v>
      </c>
      <c r="I59" s="5">
        <v>39308</v>
      </c>
      <c r="K59" s="0" t="s">
        <v>73</v>
      </c>
    </row>
    <row r="60" outlineLevel="2">
      <c r="A60" s="12" t="s">
        <v>91</v>
      </c>
      <c r="B60" s="0" t="s">
        <v>70</v>
      </c>
      <c r="C60" s="14">
        <v>-1.06695699066944</v>
      </c>
      <c r="D60" s="14"/>
      <c r="E60" s="14"/>
      <c r="F60" s="14"/>
      <c r="G60" s="14">
        <v>0.762112136192458</v>
      </c>
      <c r="H60" s="0" t="s">
        <v>38</v>
      </c>
      <c r="I60" s="5">
        <v>39308</v>
      </c>
      <c r="K60" s="0" t="s">
        <v>75</v>
      </c>
    </row>
    <row r="61" outlineLevel="2">
      <c r="A61" s="12" t="s">
        <v>92</v>
      </c>
      <c r="B61" s="0" t="s">
        <v>70</v>
      </c>
      <c r="C61" s="14">
        <v>-0.696788238804533</v>
      </c>
      <c r="D61" s="14"/>
      <c r="E61" s="14"/>
      <c r="F61" s="14"/>
      <c r="G61" s="14">
        <v>2.43875883581587</v>
      </c>
      <c r="H61" s="0" t="s">
        <v>38</v>
      </c>
      <c r="I61" s="5">
        <v>39308</v>
      </c>
      <c r="K61" s="0" t="s">
        <v>73</v>
      </c>
    </row>
    <row r="62" outlineLevel="2">
      <c r="A62" s="12" t="s">
        <v>93</v>
      </c>
      <c r="B62" s="0" t="s">
        <v>70</v>
      </c>
      <c r="C62" s="14">
        <v>33982.405955762</v>
      </c>
      <c r="D62" s="14"/>
      <c r="E62" s="14"/>
      <c r="F62" s="14"/>
      <c r="G62" s="14">
        <v>4.24605333021512</v>
      </c>
      <c r="H62" s="0" t="s">
        <v>38</v>
      </c>
      <c r="I62" s="5">
        <v>39308</v>
      </c>
      <c r="K62" s="0" t="s">
        <v>71</v>
      </c>
    </row>
    <row r="63" outlineLevel="2">
      <c r="A63" s="12" t="s">
        <v>94</v>
      </c>
      <c r="B63" s="0" t="s">
        <v>70</v>
      </c>
      <c r="C63" s="14">
        <v>-0.489929230409437</v>
      </c>
      <c r="D63" s="14"/>
      <c r="E63" s="14"/>
      <c r="F63" s="14"/>
      <c r="G63" s="14">
        <v>0.675013606341892</v>
      </c>
      <c r="H63" s="0" t="s">
        <v>38</v>
      </c>
      <c r="I63" s="5">
        <v>39308</v>
      </c>
      <c r="K63" s="0" t="s">
        <v>75</v>
      </c>
    </row>
    <row r="64" outlineLevel="2">
      <c r="A64" s="12" t="s">
        <v>95</v>
      </c>
      <c r="B64" s="0" t="s">
        <v>70</v>
      </c>
      <c r="C64" s="14">
        <v>18.7479585503345</v>
      </c>
      <c r="D64" s="14"/>
      <c r="E64" s="14"/>
      <c r="F64" s="14"/>
      <c r="G64" s="14">
        <v>0</v>
      </c>
      <c r="H64" s="0" t="s">
        <v>38</v>
      </c>
      <c r="I64" s="5">
        <v>39308</v>
      </c>
      <c r="K64" s="0" t="s">
        <v>75</v>
      </c>
    </row>
    <row r="65" outlineLevel="2">
      <c r="A65" s="12" t="s">
        <v>96</v>
      </c>
      <c r="B65" s="0" t="s">
        <v>70</v>
      </c>
      <c r="C65" s="14">
        <v>2.39520957089058</v>
      </c>
      <c r="D65" s="14"/>
      <c r="E65" s="14"/>
      <c r="F65" s="14"/>
      <c r="G65" s="14">
        <v>0.0762112136192458</v>
      </c>
      <c r="H65" s="0" t="s">
        <v>38</v>
      </c>
      <c r="I65" s="5">
        <v>39308</v>
      </c>
      <c r="K65" s="0" t="s">
        <v>71</v>
      </c>
    </row>
    <row r="66" outlineLevel="2">
      <c r="A66" s="12" t="s">
        <v>97</v>
      </c>
      <c r="B66" s="0" t="s">
        <v>70</v>
      </c>
      <c r="C66" s="14">
        <v>0.424605333021512</v>
      </c>
      <c r="D66" s="14"/>
      <c r="E66" s="14"/>
      <c r="F66" s="14"/>
      <c r="G66" s="14">
        <v>0.141535111007171</v>
      </c>
      <c r="H66" s="0" t="s">
        <v>38</v>
      </c>
      <c r="I66" s="5">
        <v>39308</v>
      </c>
      <c r="K66" s="0" t="s">
        <v>73</v>
      </c>
    </row>
    <row r="67" outlineLevel="2">
      <c r="A67" s="12" t="s">
        <v>98</v>
      </c>
      <c r="B67" s="0" t="s">
        <v>70</v>
      </c>
      <c r="C67" s="14">
        <v>8.52476860912421</v>
      </c>
      <c r="D67" s="14"/>
      <c r="E67" s="14"/>
      <c r="F67" s="14"/>
      <c r="G67" s="14">
        <v>0.163309743469812</v>
      </c>
      <c r="H67" s="0" t="s">
        <v>38</v>
      </c>
      <c r="I67" s="5">
        <v>39308</v>
      </c>
      <c r="K67" s="0" t="s">
        <v>73</v>
      </c>
    </row>
    <row r="68">
      <c r="I68" s="5"/>
    </row>
    <row r="69" s="1" customFormat="1"/>
  </sheetData>
  <mergeCells>
    <mergeCell ref="A8:A10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</mergeCells>
  <dataValidations count="1">
    <dataValidation type="decimal" sqref="C22" errorStyle="stop" promptTitle="Enter moisture content" errorTitle="Invalid moisture content" prompt="Value should be between 0 and 100.&#10;Original value: 8.1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https://phyllis.nl/Biomass/View/3202</dc:description>
  <dcterms:created xsi:type="dcterms:W3CDTF">2026-03-17T06:16:37Z</dcterms:created>
  <dc:title>Phyllis2 #3202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