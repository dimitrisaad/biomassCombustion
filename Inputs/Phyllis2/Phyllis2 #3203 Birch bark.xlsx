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3 Birch bark" sheetId="1" r:id="rId1"/>
  </sheets>
  <definedNames>
    <definedName name="w" localSheetId="0">IF(ISBLANK('Phyllis2 #3203 Birch bark'!$C$19),#N/A,'Phyllis2 #3203 Birch bark'!$C$19/100)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<sst xmlns="http://schemas.openxmlformats.org/spreadsheetml/2006/main" count="50" uniqueCount="50">
  <si>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</si>
  <si>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https://phyllis.nl/Biomass/View/3203</t>
  </si>
  <si>
    <t>Birch bark (#3203)</t>
  </si>
  <si>
    <t>ID-number</t>
  </si>
  <si>
    <t>#3203</t>
  </si>
  <si>
    <t>Material</t>
  </si>
  <si>
    <t>Birch bark</t>
  </si>
  <si>
    <t>Classification</t>
  </si>
  <si>
    <t>CEN/TS 14961 classification &gt; Solid biofuels &gt; Woody biomass &gt; Forest and plantation wood &gt; Bark</t>
  </si>
  <si>
    <t>ECN Phyllis classification &gt; untreated wood &gt; bark</t>
  </si>
  <si>
    <t>NTA 8003 classification &gt; [100] hout &gt; [110] vers hout &gt; [112] schors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</si>
  <si>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</si>
  <si>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</si>
  <si>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</si>
  <si>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</si>
  <si>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</si>
  <si>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</si>
  <si>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</si>
  <si>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</si>
  <si>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</si>
  <si>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</si>
  <si>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</si>
  <si>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</si>
  <si>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</si>
  <si>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</si>
  <si>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</si>
  <si>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</si>
  <si>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</si>
  <si>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</si>
  <si>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</si>
  <si>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</si>
  <si>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</si>
  <si>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</si>
  <si>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</si>
  <si>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Ultimate analysis (macroelements)</t>
  </si>
  <si>
    <t>Carbon</t>
  </si>
  <si>
    <t>CEN/TS 15104</t>
  </si>
  <si>
    <t>Hydrogen</t>
  </si>
  <si>
    <t>Nitrogen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</si>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</sst>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39889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46.3</v>
      </c>
      <c r="D19" s="13"/>
      <c r="E19" s="13"/>
      <c r="F19" s="13"/>
      <c r="G19" s="13"/>
      <c r="I19" s="5"/>
      <c r="J19" s="0" t="s">
        <v>33</v>
      </c>
    </row>
    <row r="20" outlineLevel="1">
      <c r="A20" s="11" t="s">
        <v>34</v>
      </c>
      <c r="I20" s="5"/>
    </row>
    <row r="21" outlineLevel="2">
      <c r="A21" s="12" t="s">
        <v>35</v>
      </c>
      <c r="B21" s="0" t="s">
        <v>32</v>
      </c>
      <c r="C21" s="13">
        <f>IFERROR(58*(1-w),"")</f>
        <v>31.146</v>
      </c>
      <c r="D21" s="13">
        <v>58</v>
      </c>
      <c r="E21" s="13">
        <v/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32</v>
      </c>
      <c r="C22" s="13">
        <f>IFERROR(6.9*(1-w),"")</f>
        <v>3.7053000000000003</v>
      </c>
      <c r="D22" s="13">
        <v>6.9</v>
      </c>
      <c r="E22" s="13">
        <v/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32</v>
      </c>
      <c r="C23" s="13">
        <f>IFERROR(0.45*(1-w),"")</f>
        <v>0.24165000000000003</v>
      </c>
      <c r="D23" s="13">
        <v>0.45</v>
      </c>
      <c r="E23" s="13">
        <v/>
      </c>
      <c r="F23" s="13"/>
      <c r="G23" s="13"/>
      <c r="I23" s="5"/>
      <c r="J23" s="0" t="s">
        <v>36</v>
      </c>
    </row>
    <row r="24" outlineLevel="2">
      <c r="A24" s="12" t="s">
        <v>39</v>
      </c>
      <c r="B24" s="0" t="s">
        <v>32</v>
      </c>
      <c r="C24" s="13">
        <f>IFERROR(65.3500008*(1-w)+w*100,"")</f>
        <v>81.3929504296</v>
      </c>
      <c r="D24" s="13">
        <v>65.3500008</v>
      </c>
      <c r="E24" s="13">
        <v/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43</v>
      </c>
      <c r="C26" s="14">
        <f>IFERROR(0.008*(1-w),"")</f>
        <v>0.004296</v>
      </c>
      <c r="D26" s="14">
        <v>0.008</v>
      </c>
      <c r="E26" s="14">
        <v/>
      </c>
      <c r="F26" s="14"/>
      <c r="G26" s="14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3">
        <f>IFERROR(23.24*(1-w)-w*2.443,"")</f>
        <v>11.348771</v>
      </c>
      <c r="D28" s="13">
        <v>23.24</v>
      </c>
      <c r="E28" s="13">
        <v/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47</v>
      </c>
      <c r="C29" s="13">
        <f>IFERROR(24.73*(1-w),"")</f>
        <v>13.28001</v>
      </c>
      <c r="D29" s="13">
        <v>24.73</v>
      </c>
      <c r="E29" s="13">
        <v/>
      </c>
      <c r="F29" s="13"/>
      <c r="G29" s="13"/>
      <c r="I29" s="5"/>
    </row>
    <row r="30">
      <c r="I30" s="5"/>
    </row>
    <row r="3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46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https://phyllis.nl/Biomass/View/3203</dc:description>
  <dcterms:created xsi:type="dcterms:W3CDTF">2026-03-19T04:18:48Z</dcterms:created>
  <dc:title>Phyllis2 #3203 Birch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