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5 Coniferous bark" sheetId="1" r:id="rId1"/>
  </sheets>
  <definedNames>
    <definedName name="w" localSheetId="0">IF(ISBLANK('Phyllis2 #3205 Coniferous bark'!$C$19),#N/A,'Phyllis2 #3205 Coniferous bark'!$C$19/100)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<sst xmlns="http://schemas.openxmlformats.org/spreadsheetml/2006/main" count="62" uniqueCount="62">
  <si>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</si>
  <si>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https://phyllis.nl/Biomass/View/3205</t>
  </si>
  <si>
    <t>Coniferous bark (#3205)</t>
  </si>
  <si>
    <t>ID-number</t>
  </si>
  <si>
    <t>#3205</t>
  </si>
  <si>
    <t>Material</t>
  </si>
  <si>
    <t>Coniferous bark</t>
  </si>
  <si>
    <t>Classification</t>
  </si>
  <si>
    <t>CEN/TS 14961 classification &gt; Solid biofuels &gt; Woody biomass &gt; Wood processing industry &gt; Chemically untreated wood residues &gt; Bark from industry operations</t>
  </si>
  <si>
    <t>ECN Phyllis classification &gt; untreated wood &gt; bark</t>
  </si>
  <si>
    <t>NTA 8003 classification &gt; [100] hout &gt; [110] vers hout &gt; [112] schors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</si>
  <si>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</si>
  <si>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</si>
  <si>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</si>
  <si>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</si>
  <si>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</si>
  <si>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</si>
  <si>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</si>
  <si>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</si>
  <si>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</si>
  <si>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</si>
  <si>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</si>
  <si>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</si>
  <si>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</si>
  <si>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</si>
  <si>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</si>
  <si>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</si>
  <si>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</si>
  <si>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</si>
  <si>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</si>
  <si>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</si>
  <si>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</si>
  <si>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</si>
  <si>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</si>
  <si>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</si>
  <si>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</si>
  <si>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Ash content at 815°C</t>
  </si>
  <si>
    <t>ISO 1171</t>
  </si>
  <si>
    <t>Ultimate analysis (macroelements)</t>
  </si>
  <si>
    <t>Nitrogen</t>
  </si>
  <si>
    <t>CEN/TS 15104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</si>
  <si>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</si>
  <si>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</si>
  <si>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</si>
  <si>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</si>
  <si>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</si>
  <si>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</si>
  <si>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</si>
  <si>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</si>
  <si>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</si>
  <si>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</si>
  <si>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</si>
  <si>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</si>
  <si>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</si>
  <si>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</si>
  <si>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</si>
  <si>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DEF (deformation temperature)</t>
  </si>
  <si>
    <t>°C</t>
  </si>
  <si>
    <t>&gt;1450</t>
  </si>
  <si>
    <t>HE (hemispherical temperature)</t>
  </si>
  <si>
    <t>&gt; 1450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</si>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</sst>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38994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72.6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IFERROR(3.1*(1-w),"")</f>
        <v>0.8494</v>
      </c>
      <c r="D20" s="13">
        <v>3.1</v>
      </c>
      <c r="E20" s="13">
        <v/>
      </c>
      <c r="F20" s="13"/>
      <c r="G20" s="13"/>
      <c r="I20" s="5"/>
      <c r="J20" s="0" t="s">
        <v>35</v>
      </c>
    </row>
    <row r="21" outlineLevel="2">
      <c r="A21" s="12" t="s">
        <v>36</v>
      </c>
      <c r="B21" s="0" t="s">
        <v>32</v>
      </c>
      <c r="C21" s="13">
        <f>IFERROR(2.5*(1-w),"")</f>
        <v>0.685</v>
      </c>
      <c r="D21" s="13">
        <v>2.5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32</v>
      </c>
      <c r="C23" s="13">
        <f>IFERROR(0.42*(1-w),"")</f>
        <v>0.11508</v>
      </c>
      <c r="D23" s="13">
        <v>0.42</v>
      </c>
      <c r="E23" s="13">
        <v>0.43343653250773995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32</v>
      </c>
      <c r="C24" s="13">
        <f>IFERROR(0.03*(1-w),"")</f>
        <v>0.00822</v>
      </c>
      <c r="D24" s="13">
        <v>0.03</v>
      </c>
      <c r="E24" s="13">
        <v>0.030959752321981424</v>
      </c>
      <c r="F24" s="13"/>
      <c r="G24" s="13"/>
      <c r="I24" s="5"/>
      <c r="J24" s="0" t="s">
        <v>42</v>
      </c>
    </row>
    <row r="25" outlineLevel="2">
      <c r="A25" s="12" t="s">
        <v>43</v>
      </c>
      <c r="B25" s="0" t="s">
        <v>32</v>
      </c>
      <c r="C25" s="13">
        <f>IFERROR(3.5500013*(1-w)+w*100,"")</f>
        <v>73.572700356199988</v>
      </c>
      <c r="D25" s="13">
        <v>3.5500013</v>
      </c>
      <c r="E25" s="13">
        <v>0.46439762641898846</v>
      </c>
      <c r="F25" s="13"/>
      <c r="G25" s="13"/>
      <c r="I25" s="5"/>
      <c r="J25" s="0" t="s">
        <v>44</v>
      </c>
    </row>
    <row r="26" outlineLevel="1">
      <c r="A26" s="11" t="s">
        <v>45</v>
      </c>
      <c r="I26" s="5"/>
    </row>
    <row r="27" outlineLevel="2">
      <c r="A27" s="12" t="s">
        <v>46</v>
      </c>
      <c r="B27" s="0" t="s">
        <v>47</v>
      </c>
      <c r="C27" s="14">
        <f>IFERROR(0.013*(1-w),"")</f>
        <v>0.003562</v>
      </c>
      <c r="D27" s="14">
        <v>0.013</v>
      </c>
      <c r="E27" s="14">
        <v>0.013415892672858616</v>
      </c>
      <c r="F27" s="14"/>
      <c r="G27" s="14"/>
      <c r="I27" s="5"/>
      <c r="J27" s="0" t="s">
        <v>48</v>
      </c>
    </row>
    <row r="28" outlineLevel="1">
      <c r="A28" s="11" t="s">
        <v>49</v>
      </c>
      <c r="I28" s="5"/>
    </row>
    <row r="29" outlineLevel="2">
      <c r="A29" s="12" t="s">
        <v>50</v>
      </c>
      <c r="B29" s="0" t="s">
        <v>51</v>
      </c>
      <c r="C29" s="13">
        <f>IFERROR(18.63*(1-w)-w*2.443,"")</f>
        <v>3.331002</v>
      </c>
      <c r="D29" s="13">
        <v>18.63</v>
      </c>
      <c r="E29" s="13">
        <v>19.226006191950464</v>
      </c>
      <c r="F29" s="13"/>
      <c r="G29" s="13"/>
      <c r="I29" s="5"/>
      <c r="J29" s="0" t="s">
        <v>52</v>
      </c>
    </row>
    <row r="30" outlineLevel="2">
      <c r="A30" s="12" t="s">
        <v>53</v>
      </c>
      <c r="B30" s="0" t="s">
        <v>51</v>
      </c>
      <c r="C30" s="13">
        <f>IFERROR(19.87*(1-w),"")</f>
        <v>5.4443800000000007</v>
      </c>
      <c r="D30" s="13">
        <v>19.87</v>
      </c>
      <c r="E30" s="13">
        <v>20.505675954592366</v>
      </c>
      <c r="F30" s="13"/>
      <c r="G30" s="13"/>
      <c r="I30" s="5"/>
    </row>
    <row r="31" outlineLevel="1">
      <c r="A31" s="11" t="s">
        <v>54</v>
      </c>
      <c r="I31" s="5"/>
    </row>
    <row r="32" outlineLevel="2">
      <c r="A32" s="15" t="s">
        <v>55</v>
      </c>
      <c r="I32" s="5"/>
    </row>
    <row r="33" outlineLevel="3">
      <c r="A33" s="16" t="s">
        <v>56</v>
      </c>
      <c r="B33" s="0" t="s">
        <v>57</v>
      </c>
      <c r="C33" s="17" t="s">
        <v>58</v>
      </c>
      <c r="D33" s="17"/>
      <c r="E33" s="17"/>
      <c r="F33" s="17"/>
      <c r="G33" s="17"/>
      <c r="I33" s="5"/>
    </row>
    <row r="34" outlineLevel="3">
      <c r="A34" s="16" t="s">
        <v>59</v>
      </c>
      <c r="B34" s="0" t="s">
        <v>57</v>
      </c>
      <c r="C34" s="17" t="s">
        <v>60</v>
      </c>
      <c r="D34" s="17"/>
      <c r="E34" s="17"/>
      <c r="F34" s="17"/>
      <c r="G34" s="17"/>
      <c r="I34" s="5"/>
    </row>
    <row r="35" outlineLevel="3">
      <c r="A35" s="16" t="s">
        <v>61</v>
      </c>
      <c r="B35" s="0" t="s">
        <v>57</v>
      </c>
      <c r="C35" s="17" t="s">
        <v>60</v>
      </c>
      <c r="D35" s="17"/>
      <c r="E35" s="17"/>
      <c r="F35" s="17"/>
      <c r="G35" s="17"/>
      <c r="I35" s="5"/>
    </row>
    <row r="36">
      <c r="I36" s="5"/>
    </row>
    <row r="37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&#10;Original value: 72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https://phyllis.nl/Biomass/View/3205</dc:description>
  <dcterms:created xsi:type="dcterms:W3CDTF">2026-03-19T04:18:52Z</dcterms:created>
  <dc:title>Phyllis2 #3205 Coniferous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