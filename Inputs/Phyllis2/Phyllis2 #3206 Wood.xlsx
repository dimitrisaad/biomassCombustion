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06 Wood" sheetId="1" r:id="rId1"/>
  </sheets>
  <definedNames>
    <definedName name="w" localSheetId="0">IF(ISBLANK('Phyllis2 #3206 Wood'!$C$19),#N/A,'Phyllis2 #3206 Wood'!$C$19/100)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<sst xmlns="http://schemas.openxmlformats.org/spreadsheetml/2006/main" count="62" uniqueCount="62">
  <si>
    <t>Phyllis2</t>
  </si>
  <si>
    <t>https://phyllis.nl/Biomass/View/3206</t>
  </si>
  <si>
    <t>Wood (#3206)</t>
  </si>
  <si>
    <t>ID-number</t>
  </si>
  <si>
    <t>#3206</t>
  </si>
  <si>
    <t>Material</t>
  </si>
  <si>
    <t>Wood</t>
  </si>
  <si>
    <t>Classification</t>
  </si>
  <si>
    <t>CEN/TS 14961 classification &gt; Solid biofuels &gt; Woody biomass &gt; Forest and plantation wood &gt; Whole trees without roots</t>
  </si>
  <si>
    <t>ECN Phyllis classification &gt; untreated wood</t>
  </si>
  <si>
    <t>NTA 8003 classification &gt; [100] hout &gt; [110] vers hout &gt; [119] overig vers hout</t>
  </si>
  <si>
    <t>Country</t>
  </si>
  <si>
    <t>Finland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</si>
  <si>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</si>
  <si>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</si>
  <si>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</si>
  <si>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</si>
  <si>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</si>
  <si>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</si>
  <si>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</si>
  <si>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</si>
  <si>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</si>
  <si>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</si>
  <si>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</si>
  <si>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</si>
  <si>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</si>
  <si>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</si>
  <si>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</si>
  <si>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</si>
  <si>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</si>
  <si>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</si>
  <si>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</si>
  <si>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</si>
  <si>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</si>
  <si>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550°C</t>
  </si>
  <si>
    <t>CEN/TS 14775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</si>
  <si>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</si>
  <si>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</si>
  <si>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</si>
  <si>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</si>
  <si>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</si>
  <si>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</si>
  <si>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</si>
  <si>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</si>
  <si>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Calculated</t>
  </si>
  <si>
    <t>Halides</t>
  </si>
  <si>
    <t>Chlorine (Cl)</t>
  </si>
  <si>
    <t>mg/kg</t>
  </si>
  <si>
    <t>CEN/TS 15289</t>
  </si>
  <si>
    <t>Heating value</t>
  </si>
  <si>
    <t>Net calorific value (LHV)</t>
  </si>
  <si>
    <t>MJ/kg</t>
  </si>
  <si>
    <t>CEN/TS 14918</t>
  </si>
  <si>
    <t>Gross calorific value (HHV)</t>
  </si>
  <si>
    <t>Ash melting behaviour</t>
  </si>
  <si>
    <t>European standard method</t>
  </si>
  <si>
    <t>DEF (deformation temperature)</t>
  </si>
  <si>
    <t>°C</t>
  </si>
  <si>
    <t>&gt;1450</t>
  </si>
  <si>
    <t>HE (hemispherical temperature)</t>
  </si>
  <si>
    <t>&gt; 1450</t>
  </si>
  <si>
    <t>FL (flow temperature)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</si>
</sst>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0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6">
        <v>39555</v>
      </c>
    </row>
    <row r="12" outlineLevel="1">
      <c r="A12" s="7" t="s">
        <v>14</v>
      </c>
      <c r="B12" s="0" t="s">
        <v>15</v>
      </c>
    </row>
    <row r="13">
      <c r="A13" s="7"/>
    </row>
    <row r="14" s="1" customFormat="1">
      <c r="A14" s="9" t="s">
        <v>16</v>
      </c>
    </row>
    <row r="15" s="1" customFormat="1">
      <c r="A15" s="10" t="s">
        <v>17</v>
      </c>
      <c r="B15" s="10" t="s">
        <v>18</v>
      </c>
      <c r="C15" s="10" t="s">
        <v>19</v>
      </c>
      <c r="D15" s="10"/>
      <c r="E15" s="10"/>
      <c r="F15" s="10" t="s">
        <v>20</v>
      </c>
      <c r="G15" s="10" t="s">
        <v>21</v>
      </c>
      <c r="H15" s="10" t="s">
        <v>22</v>
      </c>
      <c r="I15" s="10" t="s">
        <v>23</v>
      </c>
      <c r="J15" s="10" t="s">
        <v>24</v>
      </c>
      <c r="K15" s="10" t="s">
        <v>25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36.8</v>
      </c>
      <c r="D19" s="13"/>
      <c r="E19" s="13"/>
      <c r="F19" s="13"/>
      <c r="G19" s="13"/>
      <c r="I19" s="5"/>
      <c r="J19" s="0" t="s">
        <v>33</v>
      </c>
    </row>
    <row r="20" outlineLevel="2">
      <c r="A20" s="12" t="s">
        <v>34</v>
      </c>
      <c r="B20" s="0" t="s">
        <v>32</v>
      </c>
      <c r="C20" s="13">
        <f>IFERROR(1.1*(1-w),"")</f>
        <v>0.6952</v>
      </c>
      <c r="D20" s="13">
        <v>1.1</v>
      </c>
      <c r="E20" s="13">
        <v/>
      </c>
      <c r="F20" s="13"/>
      <c r="G20" s="13"/>
      <c r="I20" s="5"/>
      <c r="J20" s="0" t="s">
        <v>35</v>
      </c>
    </row>
    <row r="21" outlineLevel="1">
      <c r="A21" s="11" t="s">
        <v>36</v>
      </c>
      <c r="I21" s="5"/>
    </row>
    <row r="22" outlineLevel="2">
      <c r="A22" s="12" t="s">
        <v>37</v>
      </c>
      <c r="B22" s="0" t="s">
        <v>32</v>
      </c>
      <c r="C22" s="13">
        <f>IFERROR(51.6*(1-w),"")</f>
        <v>32.611200000000004</v>
      </c>
      <c r="D22" s="13">
        <v>51.6</v>
      </c>
      <c r="E22" s="13">
        <v>52.173913043478265</v>
      </c>
      <c r="F22" s="13"/>
      <c r="G22" s="13"/>
      <c r="I22" s="5"/>
      <c r="J22" s="0" t="s">
        <v>38</v>
      </c>
    </row>
    <row r="23" outlineLevel="2">
      <c r="A23" s="12" t="s">
        <v>39</v>
      </c>
      <c r="B23" s="0" t="s">
        <v>32</v>
      </c>
      <c r="C23" s="13">
        <f>IFERROR(6.3*(1-w),"")</f>
        <v>3.9816</v>
      </c>
      <c r="D23" s="13">
        <v>6.3</v>
      </c>
      <c r="E23" s="13">
        <v>6.3700707785642061</v>
      </c>
      <c r="F23" s="13"/>
      <c r="G23" s="13"/>
      <c r="I23" s="5"/>
      <c r="J23" s="0" t="s">
        <v>38</v>
      </c>
    </row>
    <row r="24" outlineLevel="2">
      <c r="A24" s="12" t="s">
        <v>40</v>
      </c>
      <c r="B24" s="0" t="s">
        <v>32</v>
      </c>
      <c r="C24" s="13">
        <f>IFERROR(0.24*(1-w),"")</f>
        <v>0.15168</v>
      </c>
      <c r="D24" s="13">
        <v>0.24</v>
      </c>
      <c r="E24" s="13">
        <v>0.24266936299292213</v>
      </c>
      <c r="F24" s="13"/>
      <c r="G24" s="13"/>
      <c r="I24" s="5"/>
      <c r="J24" s="0" t="s">
        <v>38</v>
      </c>
    </row>
    <row r="25" outlineLevel="2">
      <c r="A25" s="12" t="s">
        <v>41</v>
      </c>
      <c r="B25" s="0" t="s">
        <v>32</v>
      </c>
      <c r="C25" s="13">
        <f>IFERROR(0.02*(1-w),"")</f>
        <v>0.01264</v>
      </c>
      <c r="D25" s="13">
        <v>0.02</v>
      </c>
      <c r="E25" s="13">
        <v>0.020222446916076844</v>
      </c>
      <c r="F25" s="13"/>
      <c r="G25" s="13"/>
      <c r="I25" s="5"/>
      <c r="J25" s="0" t="s">
        <v>42</v>
      </c>
    </row>
    <row r="26" outlineLevel="2">
      <c r="A26" s="12" t="s">
        <v>43</v>
      </c>
      <c r="B26" s="0" t="s">
        <v>32</v>
      </c>
      <c r="C26" s="13">
        <f>IFERROR(59.2600011*(1-w)+w*100,"")</f>
        <v>74.2523206952</v>
      </c>
      <c r="D26" s="13">
        <v>59.260001100000004</v>
      </c>
      <c r="E26" s="13">
        <v>58.806876744186049</v>
      </c>
      <c r="F26" s="13"/>
      <c r="G26" s="13"/>
      <c r="I26" s="5"/>
      <c r="J26" s="0" t="s">
        <v>44</v>
      </c>
    </row>
    <row r="27" outlineLevel="1">
      <c r="A27" s="11" t="s">
        <v>45</v>
      </c>
      <c r="I27" s="5"/>
    </row>
    <row r="28" outlineLevel="2">
      <c r="A28" s="12" t="s">
        <v>46</v>
      </c>
      <c r="B28" s="0" t="s">
        <v>47</v>
      </c>
      <c r="C28" s="14">
        <f>IFERROR(0.011*(1-w),"")</f>
        <v>0.006952</v>
      </c>
      <c r="D28" s="14">
        <v>0.011</v>
      </c>
      <c r="E28" s="14">
        <v>0.011122345803842264</v>
      </c>
      <c r="F28" s="14"/>
      <c r="G28" s="14"/>
      <c r="I28" s="5"/>
      <c r="J28" s="0" t="s">
        <v>48</v>
      </c>
    </row>
    <row r="29" outlineLevel="1">
      <c r="A29" s="11" t="s">
        <v>49</v>
      </c>
      <c r="I29" s="5"/>
    </row>
    <row r="30" outlineLevel="2">
      <c r="A30" s="12" t="s">
        <v>50</v>
      </c>
      <c r="B30" s="0" t="s">
        <v>51</v>
      </c>
      <c r="C30" s="13">
        <f>IFERROR(19.51*(1-w)-w*2.443,"")</f>
        <v>11.431296</v>
      </c>
      <c r="D30" s="13">
        <v>19.51</v>
      </c>
      <c r="E30" s="13">
        <v>19.726996966632964</v>
      </c>
      <c r="F30" s="13"/>
      <c r="G30" s="13"/>
      <c r="I30" s="5"/>
      <c r="J30" s="0" t="s">
        <v>52</v>
      </c>
    </row>
    <row r="31" outlineLevel="2">
      <c r="A31" s="12" t="s">
        <v>53</v>
      </c>
      <c r="B31" s="0" t="s">
        <v>51</v>
      </c>
      <c r="C31" s="13">
        <f>IFERROR(20.88*(1-w),"")</f>
        <v>13.196159999999999</v>
      </c>
      <c r="D31" s="13">
        <v>20.88</v>
      </c>
      <c r="E31" s="13">
        <v>21.112234580384225</v>
      </c>
      <c r="F31" s="13"/>
      <c r="G31" s="13"/>
      <c r="I31" s="5"/>
    </row>
    <row r="32" outlineLevel="1">
      <c r="A32" s="11" t="s">
        <v>54</v>
      </c>
      <c r="I32" s="5"/>
    </row>
    <row r="33" outlineLevel="2">
      <c r="A33" s="15" t="s">
        <v>55</v>
      </c>
      <c r="I33" s="5"/>
    </row>
    <row r="34" outlineLevel="3">
      <c r="A34" s="16" t="s">
        <v>56</v>
      </c>
      <c r="B34" s="0" t="s">
        <v>57</v>
      </c>
      <c r="C34" s="17" t="s">
        <v>58</v>
      </c>
      <c r="D34" s="17"/>
      <c r="E34" s="17"/>
      <c r="F34" s="17"/>
      <c r="G34" s="17"/>
      <c r="I34" s="5"/>
    </row>
    <row r="35" outlineLevel="3">
      <c r="A35" s="16" t="s">
        <v>59</v>
      </c>
      <c r="B35" s="0" t="s">
        <v>57</v>
      </c>
      <c r="C35" s="17" t="s">
        <v>60</v>
      </c>
      <c r="D35" s="17"/>
      <c r="E35" s="17"/>
      <c r="F35" s="17"/>
      <c r="G35" s="17"/>
      <c r="I35" s="5"/>
    </row>
    <row r="36" outlineLevel="3">
      <c r="A36" s="16" t="s">
        <v>61</v>
      </c>
      <c r="B36" s="0" t="s">
        <v>57</v>
      </c>
      <c r="C36" s="17" t="s">
        <v>60</v>
      </c>
      <c r="D36" s="17"/>
      <c r="E36" s="17"/>
      <c r="F36" s="17"/>
      <c r="G36" s="17"/>
      <c r="I36" s="5"/>
    </row>
    <row r="37">
      <c r="I37" s="5"/>
    </row>
    <row r="38" s="1" customFormat="1"/>
  </sheetData>
  <mergeCells>
    <mergeCell ref="A7:A9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4:E34"/>
    <mergeCell ref="C35:E35"/>
    <mergeCell ref="C36:E36"/>
  </mergeCells>
  <dataValidations count="1">
    <dataValidation type="decimal" sqref="C19" errorStyle="stop" promptTitle="Enter moisture content" errorTitle="Invalid moisture content" prompt="Value should be between 0 and 100.&#10;Original value: 36.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https://phyllis.nl/Biomass/View/3206</dc:description>
  <dcterms:created xsi:type="dcterms:W3CDTF">2026-03-19T07:32:31Z</dcterms:created>
  <dc:title>Phyllis2 #3206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