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08 Wood pellet" sheetId="1" r:id="rId1"/>
  </sheets>
  <definedNames>
    <definedName name="w" localSheetId="0">IF(ISBLANK('Phyllis2 #3208 Wood pellet'!$C$19),#N/A,'Phyllis2 #3208 Wood pellet'!$C$19/100)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<sst xmlns="http://schemas.openxmlformats.org/spreadsheetml/2006/main" count="54" uniqueCount="54">
  <si>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</si>
  <si>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https://phyllis.nl/Biomass/View/3208</t>
  </si>
  <si>
    <t>Wood pellet (#3208)</t>
  </si>
  <si>
    <t>ID-number</t>
  </si>
  <si>
    <t>#3208</t>
  </si>
  <si>
    <t>Material</t>
  </si>
  <si>
    <t>Wood pellet</t>
  </si>
  <si>
    <t>Classification</t>
  </si>
  <si>
    <t>CEN/TS 14961 classification &gt; Solid biofuels &gt; Woody biomass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</si>
  <si>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</si>
  <si>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</si>
  <si>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</si>
  <si>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</si>
  <si>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</si>
  <si>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</si>
  <si>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</si>
  <si>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</si>
  <si>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</si>
  <si>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</si>
  <si>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</si>
  <si>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</si>
  <si>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</si>
  <si>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</si>
  <si>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</si>
  <si>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</si>
  <si>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</si>
  <si>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</si>
  <si>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</si>
  <si>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</si>
  <si>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</si>
  <si>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</si>
  <si>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</si>
  <si>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</si>
  <si>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</si>
  <si>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</si>
  <si>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</si>
  <si>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</si>
  <si>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</si>
  <si>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</si>
  <si>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</si>
  <si>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</si>
  <si>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</si>
  <si>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</si>
  <si>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</si>
  <si>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</si>
  <si>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</si>
  <si>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</si>
  <si>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</si>
  <si>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</si>
  <si>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Commonly used properties</t>
  </si>
  <si>
    <t>Mechanic durability</t>
  </si>
  <si>
    <t>CEN/TS 15210-1,2</t>
  </si>
  <si>
    <t>Amount of fines</t>
  </si>
  <si>
    <t>CEN/TS 15149-2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</si>
</sst>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39545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7.8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IFERROR(2.7*(1-w),"")</f>
        <v>2.4894000000000003</v>
      </c>
      <c r="D20" s="13">
        <v>2.7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IFERROR(50.1*(1-w),"")</f>
        <v>46.192200000000007</v>
      </c>
      <c r="D22" s="13">
        <v>50.1</v>
      </c>
      <c r="E22" s="13">
        <v>51.490236382322713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32</v>
      </c>
      <c r="C23" s="13">
        <f>IFERROR(6*(1-w),"")</f>
        <v>5.532</v>
      </c>
      <c r="D23" s="13">
        <v>6</v>
      </c>
      <c r="E23" s="13">
        <v>6.166495375128469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32</v>
      </c>
      <c r="C24" s="13">
        <f>IFERROR(0.16*(1-w),"")</f>
        <v>0.14752</v>
      </c>
      <c r="D24" s="13">
        <v>0.16</v>
      </c>
      <c r="E24" s="13">
        <v>0.16443987667009249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32</v>
      </c>
      <c r="C25" s="13">
        <f>IFERROR(58.96*(1-w)+w*100,"")</f>
        <v>62.161120000000004</v>
      </c>
      <c r="D25" s="13">
        <v>58.96</v>
      </c>
      <c r="E25" s="13">
        <v>57.821171634121271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f>IFERROR(18.85*(1-w)-w*2.443,"")</f>
        <v>17.189146000000004</v>
      </c>
      <c r="D27" s="13">
        <v>18.85</v>
      </c>
      <c r="E27" s="13">
        <v>19.373072970195274</v>
      </c>
      <c r="F27" s="13"/>
      <c r="G27" s="13"/>
      <c r="I27" s="5"/>
      <c r="J27" s="0" t="s">
        <v>46</v>
      </c>
    </row>
    <row r="28" outlineLevel="2">
      <c r="A28" s="12" t="s">
        <v>47</v>
      </c>
      <c r="B28" s="0" t="s">
        <v>45</v>
      </c>
      <c r="C28" s="13">
        <f>IFERROR(20.16*(1-w),"")</f>
        <v>18.58752</v>
      </c>
      <c r="D28" s="13">
        <v>20.16</v>
      </c>
      <c r="E28" s="13">
        <v>20.719424460431654</v>
      </c>
      <c r="F28" s="13"/>
      <c r="G28" s="13"/>
      <c r="I28" s="5"/>
    </row>
    <row r="29">
      <c r="A29" s="7" t="s">
        <v>48</v>
      </c>
      <c r="I29" s="5"/>
    </row>
    <row r="30" outlineLevel="1">
      <c r="A30" s="11" t="s">
        <v>49</v>
      </c>
      <c r="I30" s="5"/>
    </row>
    <row r="31" outlineLevel="2">
      <c r="A31" s="12" t="s">
        <v>50</v>
      </c>
      <c r="B31" s="0" t="s">
        <v>32</v>
      </c>
      <c r="C31" s="13">
        <v>97.3</v>
      </c>
      <c r="D31" s="13"/>
      <c r="E31" s="13"/>
      <c r="F31" s="13"/>
      <c r="G31" s="13"/>
      <c r="I31" s="5"/>
      <c r="J31" s="0" t="s">
        <v>51</v>
      </c>
    </row>
    <row r="32" outlineLevel="2">
      <c r="A32" s="12" t="s">
        <v>52</v>
      </c>
      <c r="B32" s="0" t="s">
        <v>32</v>
      </c>
      <c r="C32" s="13">
        <v>0.62</v>
      </c>
      <c r="D32" s="13"/>
      <c r="E32" s="13"/>
      <c r="F32" s="13"/>
      <c r="G32" s="13"/>
      <c r="I32" s="5"/>
      <c r="J32" s="0" t="s">
        <v>53</v>
      </c>
    </row>
    <row r="33">
      <c r="I33" s="5"/>
    </row>
    <row r="34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2:E32"/>
  </mergeCells>
  <dataValidations count="1">
    <dataValidation type="decimal" sqref="C19" errorStyle="stop" promptTitle="Enter moisture content" errorTitle="Invalid moisture content" prompt="Value should be between 0 and 100.&#10;Original value: 7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https://phyllis.nl/Biomass/View/3208</dc:description>
  <dcterms:created xsi:type="dcterms:W3CDTF">2026-03-19T07:32:58Z</dcterms:created>
  <dc:title>Phyllis2 #3208 Wood pellet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