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3209 Wood" sheetId="1" r:id="rId1"/>
  </sheets>
  <definedNames>
    <definedName name="w" localSheetId="0">IF(ISBLANK('Phyllis2 #3209 Wood'!$C$19),#N/A,'Phyllis2 #3209 Wood'!$C$19/100)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6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6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6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<sst xmlns="http://schemas.openxmlformats.org/spreadsheetml/2006/main" count="56" uniqueCount="56">
  <si>
    <t>Phyllis2</t>
  </si>
  <si>
    <t>https://phyllis.nl/Biomass/View/3209</t>
  </si>
  <si>
    <t>Wood (#3209)</t>
  </si>
  <si>
    <t>ID-number</t>
  </si>
  <si>
    <t>#3209</t>
  </si>
  <si>
    <t>Material</t>
  </si>
  <si>
    <t>Wood</t>
  </si>
  <si>
    <t>Classification</t>
  </si>
  <si>
    <t>CEN/TS 14961 classification &gt; Solid biofuels &gt; Woody biomass &gt; Wood processing industry &gt; Chemically untreated wood residues</t>
  </si>
  <si>
    <t>ECN Phyllis classification &gt; treated wood</t>
  </si>
  <si>
    <t>NTA 8003 classification &gt; [100] hout &gt; [110] vers hout &gt; [119] overig vers hout</t>
  </si>
  <si>
    <t>Country</t>
  </si>
  <si>
    <t>Finland</t>
  </si>
  <si>
    <t>Production date</t>
  </si>
  <si>
    <t>Submitter organisation</t>
  </si>
  <si>
    <t>ECN (Netherlands)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</si>
  <si>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</si>
  <si>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</si>
  <si>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</si>
  <si>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</si>
  <si>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</si>
  <si>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</si>
  <si>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</si>
  <si>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</si>
  <si>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</si>
  <si>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</si>
  <si>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</si>
  <si>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</si>
  <si>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</si>
  <si>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</si>
  <si>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</si>
  <si>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</si>
  <si>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</si>
  <si>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CEN/TS 14774-1,2,3</t>
  </si>
  <si>
    <t>Ash content at 815°C</t>
  </si>
  <si>
    <t>ISO 1171</t>
  </si>
  <si>
    <t>Ultimate analysis (macroelements)</t>
  </si>
  <si>
    <t>Carbon</t>
  </si>
  <si>
    <t>CEN/TS 15104</t>
  </si>
  <si>
    <t>Hydrogen</t>
  </si>
  <si>
    <t>Nitrogen</t>
  </si>
  <si>
    <t>Sulphur</t>
  </si>
  <si>
    <t>wt% (dry)</t>
  </si>
  <si>
    <t>&lt; 0.02</t>
  </si>
  <si>
    <t>CEN/TS15289</t>
  </si>
  <si>
    <t>Total (with halides)</t>
  </si>
  <si>
    <t>Calculated</t>
  </si>
  <si>
    <t>Halides</t>
  </si>
  <si>
    <t>Chlorine (Cl)</t>
  </si>
  <si>
    <t>mg/kg</t>
  </si>
  <si>
    <t>CEN/TS 15289</t>
  </si>
  <si>
    <t>Heating value</t>
  </si>
  <si>
    <t>Net calorific value (LHV)</t>
  </si>
  <si>
    <t>MJ/kg</t>
  </si>
  <si>
    <t>CEN/TS 14918</t>
  </si>
  <si>
    <t>Gross calorific value (HHV)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</si>
</sst>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0.00"/>
    <numFmt numFmtId="166" formatCode="#,0.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5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3209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2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8.8621006011963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8" t="s">
        <v>7</v>
      </c>
      <c r="B7" s="0" t="s">
        <v>8</v>
      </c>
    </row>
    <row r="8" outlineLevel="1">
      <c r="A8" s="8"/>
      <c r="B8" s="0" t="s">
        <v>9</v>
      </c>
    </row>
    <row r="9" outlineLevel="1">
      <c r="A9" s="8"/>
      <c r="B9" s="0" t="s">
        <v>10</v>
      </c>
    </row>
    <row r="10" outlineLevel="1">
      <c r="A10" s="7" t="s">
        <v>11</v>
      </c>
      <c r="B10" s="0" t="s">
        <v>12</v>
      </c>
    </row>
    <row r="11" outlineLevel="1">
      <c r="A11" s="7" t="s">
        <v>13</v>
      </c>
      <c r="B11" s="6">
        <v>39553</v>
      </c>
    </row>
    <row r="12" outlineLevel="1">
      <c r="A12" s="7" t="s">
        <v>14</v>
      </c>
      <c r="B12" s="0" t="s">
        <v>15</v>
      </c>
    </row>
    <row r="13">
      <c r="A13" s="7"/>
    </row>
    <row r="14" s="1" customFormat="1">
      <c r="A14" s="9" t="s">
        <v>16</v>
      </c>
    </row>
    <row r="15" s="1" customFormat="1">
      <c r="A15" s="10" t="s">
        <v>17</v>
      </c>
      <c r="B15" s="10" t="s">
        <v>18</v>
      </c>
      <c r="C15" s="10" t="s">
        <v>19</v>
      </c>
      <c r="D15" s="10"/>
      <c r="E15" s="10"/>
      <c r="F15" s="10" t="s">
        <v>20</v>
      </c>
      <c r="G15" s="10" t="s">
        <v>21</v>
      </c>
      <c r="H15" s="10" t="s">
        <v>22</v>
      </c>
      <c r="I15" s="10" t="s">
        <v>23</v>
      </c>
      <c r="J15" s="10" t="s">
        <v>24</v>
      </c>
      <c r="K15" s="10" t="s">
        <v>25</v>
      </c>
      <c r="L15" s="10"/>
    </row>
    <row r="16" s="1" customFormat="1">
      <c r="A16" s="10"/>
      <c r="B16" s="10"/>
      <c r="C16" s="10" t="s">
        <v>26</v>
      </c>
      <c r="D16" s="10" t="s">
        <v>27</v>
      </c>
      <c r="E16" s="10" t="s">
        <v>28</v>
      </c>
      <c r="F16" s="10"/>
      <c r="G16" s="10"/>
      <c r="H16" s="10"/>
      <c r="I16" s="10"/>
      <c r="J16" s="10"/>
      <c r="K16" s="10"/>
      <c r="L16" s="10"/>
    </row>
    <row r="17">
      <c r="A17" s="7" t="s">
        <v>29</v>
      </c>
      <c r="I17" s="5"/>
    </row>
    <row r="18" outlineLevel="1">
      <c r="A18" s="11" t="s">
        <v>30</v>
      </c>
      <c r="I18" s="5"/>
    </row>
    <row r="19" outlineLevel="2">
      <c r="A19" s="12" t="s">
        <v>31</v>
      </c>
      <c r="B19" s="0" t="s">
        <v>32</v>
      </c>
      <c r="C19" s="13">
        <v>6.7</v>
      </c>
      <c r="D19" s="13"/>
      <c r="E19" s="13"/>
      <c r="F19" s="13"/>
      <c r="G19" s="13"/>
      <c r="I19" s="5"/>
      <c r="J19" s="0" t="s">
        <v>33</v>
      </c>
    </row>
    <row r="20" outlineLevel="2">
      <c r="A20" s="12" t="s">
        <v>34</v>
      </c>
      <c r="B20" s="0" t="s">
        <v>32</v>
      </c>
      <c r="C20" s="13">
        <f>IFERROR(0.4*(1-w),"")</f>
        <v>0.37320000000000003</v>
      </c>
      <c r="D20" s="13">
        <v>0.4</v>
      </c>
      <c r="E20" s="13">
        <v/>
      </c>
      <c r="F20" s="13"/>
      <c r="G20" s="13"/>
      <c r="I20" s="5"/>
      <c r="J20" s="0" t="s">
        <v>35</v>
      </c>
    </row>
    <row r="21" outlineLevel="1">
      <c r="A21" s="11" t="s">
        <v>36</v>
      </c>
      <c r="I21" s="5"/>
    </row>
    <row r="22" outlineLevel="2">
      <c r="A22" s="12" t="s">
        <v>37</v>
      </c>
      <c r="B22" s="0" t="s">
        <v>32</v>
      </c>
      <c r="C22" s="13">
        <f>IFERROR(50.1*(1-w),"")</f>
        <v>46.743300000000005</v>
      </c>
      <c r="D22" s="13">
        <v>50.1</v>
      </c>
      <c r="E22" s="13">
        <v>50.30120481927711</v>
      </c>
      <c r="F22" s="13"/>
      <c r="G22" s="13"/>
      <c r="I22" s="5"/>
      <c r="J22" s="0" t="s">
        <v>38</v>
      </c>
    </row>
    <row r="23" outlineLevel="2">
      <c r="A23" s="12" t="s">
        <v>39</v>
      </c>
      <c r="B23" s="0" t="s">
        <v>32</v>
      </c>
      <c r="C23" s="13">
        <f>IFERROR(6.1*(1-w),"")</f>
        <v>5.6913</v>
      </c>
      <c r="D23" s="13">
        <v>6.1</v>
      </c>
      <c r="E23" s="13">
        <v>6.1244979919678713</v>
      </c>
      <c r="F23" s="13"/>
      <c r="G23" s="13"/>
      <c r="I23" s="5"/>
      <c r="J23" s="0" t="s">
        <v>38</v>
      </c>
    </row>
    <row r="24" outlineLevel="2">
      <c r="A24" s="12" t="s">
        <v>40</v>
      </c>
      <c r="B24" s="0" t="s">
        <v>32</v>
      </c>
      <c r="C24" s="13">
        <f>IFERROR(0.16*(1-w),"")</f>
        <v>0.14928000000000002</v>
      </c>
      <c r="D24" s="13">
        <v>0.16</v>
      </c>
      <c r="E24" s="13">
        <v>0.1606425702811245</v>
      </c>
      <c r="F24" s="13"/>
      <c r="G24" s="13"/>
      <c r="I24" s="5"/>
      <c r="J24" s="0" t="s">
        <v>38</v>
      </c>
    </row>
    <row r="25" outlineLevel="2">
      <c r="A25" s="12" t="s">
        <v>41</v>
      </c>
      <c r="B25" s="0" t="s">
        <v>42</v>
      </c>
      <c r="C25" s="13" t="s">
        <v>43</v>
      </c>
      <c r="D25" s="13"/>
      <c r="E25" s="13"/>
      <c r="F25" s="13"/>
      <c r="G25" s="13"/>
      <c r="I25" s="5"/>
      <c r="J25" s="0" t="s">
        <v>44</v>
      </c>
    </row>
    <row r="26" outlineLevel="2">
      <c r="A26" s="12" t="s">
        <v>45</v>
      </c>
      <c r="B26" s="0" t="s">
        <v>32</v>
      </c>
      <c r="C26" s="13">
        <f>IFERROR(56.760001*(1-w)+w*100,"")</f>
        <v>59.657080933</v>
      </c>
      <c r="D26" s="13">
        <v>56.760000999999995</v>
      </c>
      <c r="E26" s="13">
        <v>56.586346385542164</v>
      </c>
      <c r="F26" s="13"/>
      <c r="G26" s="13"/>
      <c r="I26" s="5"/>
      <c r="J26" s="0" t="s">
        <v>46</v>
      </c>
    </row>
    <row r="27" outlineLevel="1">
      <c r="A27" s="11" t="s">
        <v>47</v>
      </c>
      <c r="I27" s="5"/>
    </row>
    <row r="28" outlineLevel="2">
      <c r="A28" s="12" t="s">
        <v>48</v>
      </c>
      <c r="B28" s="0" t="s">
        <v>49</v>
      </c>
      <c r="C28" s="14">
        <f>IFERROR(0.01*(1-w),"")</f>
        <v>0.0093300000000000015</v>
      </c>
      <c r="D28" s="14">
        <v>0.01</v>
      </c>
      <c r="E28" s="14">
        <v>0.010040160642570281</v>
      </c>
      <c r="F28" s="14"/>
      <c r="G28" s="14"/>
      <c r="I28" s="5"/>
      <c r="J28" s="0" t="s">
        <v>50</v>
      </c>
    </row>
    <row r="29" outlineLevel="1">
      <c r="A29" s="11" t="s">
        <v>51</v>
      </c>
      <c r="I29" s="5"/>
    </row>
    <row r="30" outlineLevel="2">
      <c r="A30" s="12" t="s">
        <v>52</v>
      </c>
      <c r="B30" s="0" t="s">
        <v>53</v>
      </c>
      <c r="C30" s="13">
        <f>IFERROR(18.7*(1-w)-w*2.443,"")</f>
        <v>17.283419</v>
      </c>
      <c r="D30" s="13">
        <v>18.7</v>
      </c>
      <c r="E30" s="13">
        <v>18.775100401606426</v>
      </c>
      <c r="F30" s="13"/>
      <c r="G30" s="13"/>
      <c r="I30" s="5"/>
      <c r="J30" s="0" t="s">
        <v>54</v>
      </c>
    </row>
    <row r="31" outlineLevel="2">
      <c r="A31" s="12" t="s">
        <v>55</v>
      </c>
      <c r="B31" s="0" t="s">
        <v>53</v>
      </c>
      <c r="C31" s="13">
        <f>IFERROR(20.03*(1-w),"")</f>
        <v>18.687990000000003</v>
      </c>
      <c r="D31" s="13">
        <v>20.03</v>
      </c>
      <c r="E31" s="13">
        <v>20.110441767068274</v>
      </c>
      <c r="F31" s="13"/>
      <c r="G31" s="13"/>
      <c r="I31" s="5"/>
    </row>
    <row r="32">
      <c r="I32" s="5"/>
    </row>
    <row r="33" s="1" customFormat="1"/>
  </sheetData>
  <mergeCells>
    <mergeCell ref="A7:A9"/>
    <mergeCell ref="C15:E15"/>
    <mergeCell ref="A15:A16"/>
    <mergeCell ref="B15:B16"/>
    <mergeCell ref="F15:F16"/>
    <mergeCell ref="G15:G16"/>
    <mergeCell ref="H15:H16"/>
    <mergeCell ref="I15:I16"/>
    <mergeCell ref="J15:J16"/>
    <mergeCell ref="K15:K16"/>
    <mergeCell ref="C25:E25"/>
  </mergeCells>
  <dataValidations count="1">
    <dataValidation type="decimal" sqref="C19" errorStyle="stop" promptTitle="Enter moisture content" errorTitle="Invalid moisture content" prompt="Value should be between 0 and 100.&#10;Original value: 6.7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https://phyllis.nl/Biomass/View/3209</dc:description>
  <dcterms:created xsi:type="dcterms:W3CDTF">2026-03-19T04:12:46Z</dcterms:created>
  <dc:title>Phyllis2 #3209 Wood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