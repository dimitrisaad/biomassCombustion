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1 Bark" sheetId="1" r:id="rId1"/>
  </sheets>
  <definedNames>
    <definedName name="w" localSheetId="0">IF(ISBLANK('Phyllis2 #3211 Bark'!$C$19),#N/A,'Phyllis2 #3211 Bark'!$C$19/100)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<sst xmlns="http://schemas.openxmlformats.org/spreadsheetml/2006/main" count="54" uniqueCount="54">
  <si>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</si>
  <si>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https://phyllis.nl/Biomass/View/3211</t>
  </si>
  <si>
    <t>Bark (#3211)</t>
  </si>
  <si>
    <t>ID-number</t>
  </si>
  <si>
    <t>#3211</t>
  </si>
  <si>
    <t>Material</t>
  </si>
  <si>
    <t>Bark</t>
  </si>
  <si>
    <t>Classification</t>
  </si>
  <si>
    <t>CEN/TS 14961 classification &gt; Solid biofuels &gt; Woody biomass &gt; Forest and plantation wood &gt; Bark</t>
  </si>
  <si>
    <t>ECN Phyllis classification &gt; untreated wood &gt; bark</t>
  </si>
  <si>
    <t>NTA 8003 classification &gt; [100] hout &gt; [110] vers hout &gt; [112] schors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</si>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</sst>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39630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IFERROR(4.3*(1-w),"")</f>
        <v/>
      </c>
      <c r="D20" s="13">
        <v>4.3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34</v>
      </c>
      <c r="C22" s="13">
        <f>IFERROR(50.1*(1-w),"")</f>
        <v/>
      </c>
      <c r="D22" s="13">
        <v>50.1</v>
      </c>
      <c r="E22" s="13">
        <v>52.351097178683389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34</v>
      </c>
      <c r="C23" s="13">
        <f>IFERROR(6.1*(1-w),"")</f>
        <v/>
      </c>
      <c r="D23" s="13">
        <v>6.1</v>
      </c>
      <c r="E23" s="13">
        <v>6.3740856844305123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34</v>
      </c>
      <c r="C24" s="13">
        <f>IFERROR(0.33*(1-w),"")</f>
        <v/>
      </c>
      <c r="D24" s="13">
        <v>0.33</v>
      </c>
      <c r="E24" s="13">
        <v>0.34482758620689657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34</v>
      </c>
      <c r="C25" s="13">
        <f>IFERROR(0.02*(1-w),"")</f>
        <v/>
      </c>
      <c r="D25" s="13">
        <v>0.02</v>
      </c>
      <c r="E25" s="13">
        <v>0.020898641588296761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34</v>
      </c>
      <c r="C26" s="13">
        <f>IFERROR(60.8500016*(1-w)+w*100,"")</f>
        <v/>
      </c>
      <c r="D26" s="13">
        <v>60.8500016</v>
      </c>
      <c r="E26" s="13">
        <v>59.090910762800419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4">
        <f>IFERROR(0.016*(1-w),"")</f>
        <v/>
      </c>
      <c r="D28" s="14">
        <v>0.016</v>
      </c>
      <c r="E28" s="14">
        <v>0.01671891327063741</v>
      </c>
      <c r="F28" s="14"/>
      <c r="G28" s="14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51</v>
      </c>
      <c r="C30" s="13">
        <f>IFERROR(18.83*(1-w)-w*2.443,"")</f>
        <v/>
      </c>
      <c r="D30" s="13">
        <v>18.83</v>
      </c>
      <c r="E30" s="13">
        <v>19.6760710553814</v>
      </c>
      <c r="F30" s="13"/>
      <c r="G30" s="13"/>
      <c r="I30" s="5"/>
      <c r="J30" s="0" t="s">
        <v>52</v>
      </c>
    </row>
    <row r="31" outlineLevel="2">
      <c r="A31" s="12" t="s">
        <v>53</v>
      </c>
      <c r="B31" s="0" t="s">
        <v>51</v>
      </c>
      <c r="C31" s="13">
        <f>IFERROR(20.15*(1-w),"")</f>
        <v/>
      </c>
      <c r="D31" s="13">
        <v>20.15</v>
      </c>
      <c r="E31" s="13">
        <v>21.055381400208987</v>
      </c>
      <c r="F31" s="13"/>
      <c r="G31" s="13"/>
      <c r="I31" s="5"/>
    </row>
    <row r="32">
      <c r="I32" s="5"/>
    </row>
    <row r="33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https://phyllis.nl/Biomass/View/3211</dc:description>
  <dcterms:created xsi:type="dcterms:W3CDTF">2026-03-19T04:17:10Z</dcterms:created>
  <dc:title>Phyllis2 #3211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