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12 Wood" sheetId="1" r:id="rId1"/>
  </sheets>
  <definedNames>
    <definedName name="w" localSheetId="0">IF(ISBLANK('Phyllis2 #3212 Wood'!$C$19),#N/A,'Phyllis2 #3212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<sst xmlns="http://schemas.openxmlformats.org/spreadsheetml/2006/main" count="54" uniqueCount="54">
  <si>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</si>
  <si>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https://phyllis.nl/Biomass/View/3212</t>
  </si>
  <si>
    <t>Wood (#3212)</t>
  </si>
  <si>
    <t>ID-number</t>
  </si>
  <si>
    <t>#3212</t>
  </si>
  <si>
    <t>Material</t>
  </si>
  <si>
    <t>Wood</t>
  </si>
  <si>
    <t>Classification</t>
  </si>
  <si>
    <t>CEN/TS 14961 classification &gt; Solid biofuels &gt; Woody biomass &gt; Used wood</t>
  </si>
  <si>
    <t>ECN Phyllis classification &gt; 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</si>
  <si>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</si>
  <si>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</si>
  <si>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</si>
  <si>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</si>
  <si>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</si>
  <si>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</si>
  <si>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</si>
  <si>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</si>
  <si>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</si>
  <si>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</si>
  <si>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</si>
  <si>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</si>
  <si>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</si>
  <si>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</si>
  <si>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</si>
  <si>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</si>
  <si>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</si>
  <si>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</si>
  <si>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</si>
  <si>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</si>
  <si>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</si>
  <si>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</si>
  <si>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</si>
  <si>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815°C</t>
  </si>
  <si>
    <t>wt%</t>
  </si>
  <si>
    <t>ISO 1171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</si>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</sst>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39644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IFERROR(1.7*(1-w),"")</f>
        <v/>
      </c>
      <c r="D20" s="13">
        <v>1.7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34</v>
      </c>
      <c r="C22" s="13">
        <f>IFERROR(49.4*(1-w),"")</f>
        <v/>
      </c>
      <c r="D22" s="13">
        <v>49.4</v>
      </c>
      <c r="E22" s="13">
        <v>50.254323499491349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34</v>
      </c>
      <c r="C23" s="13">
        <f>IFERROR(6.2*(1-w),"")</f>
        <v/>
      </c>
      <c r="D23" s="13">
        <v>6.2</v>
      </c>
      <c r="E23" s="13">
        <v>6.3072227873855544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34</v>
      </c>
      <c r="C24" s="13">
        <f>IFERROR(0.64*(1-w),"")</f>
        <v/>
      </c>
      <c r="D24" s="13">
        <v>0.64</v>
      </c>
      <c r="E24" s="13">
        <v>0.65106815869786372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34</v>
      </c>
      <c r="C25" s="13">
        <f>IFERROR(0.03*(1-w),"")</f>
        <v/>
      </c>
      <c r="D25" s="13">
        <v>0.03</v>
      </c>
      <c r="E25" s="13">
        <v>0.030518819938962358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34</v>
      </c>
      <c r="C26" s="13">
        <f>IFERROR(57.9700035*(1-w)+w*100,"")</f>
        <v/>
      </c>
      <c r="D26" s="13">
        <v>57.970003500000004</v>
      </c>
      <c r="E26" s="13">
        <v>57.243136826042729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4">
        <f>IFERROR(0.035*(1-w),"")</f>
        <v/>
      </c>
      <c r="D28" s="14">
        <v>0.035</v>
      </c>
      <c r="E28" s="14">
        <v>0.035605289928789426</v>
      </c>
      <c r="F28" s="14"/>
      <c r="G28" s="14"/>
      <c r="I28" s="5"/>
      <c r="J28" s="0" t="s">
        <v>48</v>
      </c>
    </row>
    <row r="29" outlineLevel="1">
      <c r="A29" s="11" t="s">
        <v>49</v>
      </c>
      <c r="I29" s="5"/>
    </row>
    <row r="30" outlineLevel="2">
      <c r="A30" s="12" t="s">
        <v>50</v>
      </c>
      <c r="B30" s="0" t="s">
        <v>51</v>
      </c>
      <c r="C30" s="13">
        <f>IFERROR(18.57*(1-w)-w*2.443,"")</f>
        <v/>
      </c>
      <c r="D30" s="13">
        <v>18.57</v>
      </c>
      <c r="E30" s="13">
        <v>18.8911495422177</v>
      </c>
      <c r="F30" s="13"/>
      <c r="G30" s="13"/>
      <c r="I30" s="5"/>
      <c r="J30" s="0" t="s">
        <v>52</v>
      </c>
    </row>
    <row r="31" outlineLevel="2">
      <c r="A31" s="12" t="s">
        <v>53</v>
      </c>
      <c r="B31" s="0" t="s">
        <v>51</v>
      </c>
      <c r="C31" s="13">
        <f>IFERROR(19.92*(1-w),"")</f>
        <v/>
      </c>
      <c r="D31" s="13">
        <v>19.92</v>
      </c>
      <c r="E31" s="13">
        <v>20.26449643947101</v>
      </c>
      <c r="F31" s="13"/>
      <c r="G31" s="13"/>
      <c r="I31" s="5"/>
    </row>
    <row r="32">
      <c r="I32" s="5"/>
    </row>
    <row r="33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https://phyllis.nl/Biomass/View/3212</dc:description>
  <dcterms:created xsi:type="dcterms:W3CDTF">2026-03-19T04:12:53Z</dcterms:created>
  <dc:title>Phyllis2 #3212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