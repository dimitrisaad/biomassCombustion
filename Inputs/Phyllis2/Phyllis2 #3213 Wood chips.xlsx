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13 Wood chips" sheetId="1" r:id="rId1"/>
  </sheets>
  <definedNames>
    <definedName name="w" localSheetId="0">IF(ISBLANK('Phyllis2 #3213 Wood chips'!$C$19),#N/A,'Phyllis2 #3213 Wood chips'!$C$19/100)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<sst xmlns="http://schemas.openxmlformats.org/spreadsheetml/2006/main" count="60" uniqueCount="60">
  <si>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</si>
  <si>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https://phyllis.nl/Biomass/View/3213</t>
  </si>
  <si>
    <t>Wood chips (#3213)</t>
  </si>
  <si>
    <t>ID-number</t>
  </si>
  <si>
    <t>#3213</t>
  </si>
  <si>
    <t>Material</t>
  </si>
  <si>
    <t>Wood chips</t>
  </si>
  <si>
    <t>Classification</t>
  </si>
  <si>
    <t>CEN/TS 14961 classification &gt; Solid biofuels &gt; Woody biomass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</si>
  <si>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</si>
  <si>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</si>
  <si>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</si>
  <si>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</si>
  <si>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</si>
  <si>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</si>
  <si>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</si>
  <si>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</si>
  <si>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</si>
  <si>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</si>
  <si>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</si>
  <si>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</si>
  <si>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</si>
  <si>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</si>
  <si>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</si>
  <si>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</si>
  <si>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</si>
  <si>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</si>
  <si>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</si>
  <si>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</si>
  <si>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</si>
  <si>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</si>
  <si>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</si>
  <si>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</si>
  <si>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</si>
  <si>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</si>
  <si>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CEN/TS 14775</t>
  </si>
  <si>
    <t>Ash content at 815°C</t>
  </si>
  <si>
    <t>ISO 1171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</si>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</sst>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39767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IFERROR(1.7*(1-w),"")</f>
        <v/>
      </c>
      <c r="D20" s="13">
        <v>1.7</v>
      </c>
      <c r="E20" s="13">
        <v/>
      </c>
      <c r="F20" s="13"/>
      <c r="G20" s="13"/>
      <c r="I20" s="5"/>
      <c r="J20" s="0" t="s">
        <v>35</v>
      </c>
    </row>
    <row r="21" outlineLevel="2">
      <c r="A21" s="12" t="s">
        <v>36</v>
      </c>
      <c r="B21" s="0" t="s">
        <v>34</v>
      </c>
      <c r="C21" s="13">
        <f>IFERROR(1.4*(1-w),"")</f>
        <v/>
      </c>
      <c r="D21" s="13">
        <v>1.4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38</v>
      </c>
      <c r="B22" s="0" t="s">
        <v>34</v>
      </c>
      <c r="C22" s="13">
        <f>IFERROR(73.4*(1-w),"")</f>
        <v/>
      </c>
      <c r="D22" s="13">
        <v>73.4</v>
      </c>
      <c r="E22" s="13">
        <v>74.669379450661253</v>
      </c>
      <c r="F22" s="13"/>
      <c r="G22" s="13"/>
      <c r="I22" s="5"/>
    </row>
    <row r="23" outlineLevel="2">
      <c r="A23" s="12" t="s">
        <v>39</v>
      </c>
      <c r="B23" s="0" t="s">
        <v>34</v>
      </c>
      <c r="C23" s="13">
        <f>IFERROR(24.9*(1-w),"")</f>
        <v/>
      </c>
      <c r="D23" s="13">
        <v>24.899999999999991</v>
      </c>
      <c r="E23" s="13">
        <v>25.33062054933875</v>
      </c>
      <c r="F23" s="13"/>
      <c r="G23" s="13"/>
      <c r="I23" s="5"/>
      <c r="J23" s="0" t="s">
        <v>40</v>
      </c>
    </row>
    <row r="24" outlineLevel="1">
      <c r="A24" s="11" t="s">
        <v>41</v>
      </c>
      <c r="I24" s="5"/>
    </row>
    <row r="25" outlineLevel="2">
      <c r="A25" s="12" t="s">
        <v>42</v>
      </c>
      <c r="B25" s="0" t="s">
        <v>34</v>
      </c>
      <c r="C25" s="13">
        <f>IFERROR(53.6*(1-w),"")</f>
        <v/>
      </c>
      <c r="D25" s="13">
        <v>53.6</v>
      </c>
      <c r="E25" s="13">
        <v>54.526958290946084</v>
      </c>
      <c r="F25" s="13"/>
      <c r="G25" s="13"/>
      <c r="I25" s="5"/>
      <c r="J25" s="0" t="s">
        <v>43</v>
      </c>
    </row>
    <row r="26" outlineLevel="2">
      <c r="A26" s="12" t="s">
        <v>44</v>
      </c>
      <c r="B26" s="0" t="s">
        <v>34</v>
      </c>
      <c r="C26" s="13">
        <f>IFERROR(5.8*(1-w),"")</f>
        <v/>
      </c>
      <c r="D26" s="13">
        <v>5.8</v>
      </c>
      <c r="E26" s="13">
        <v>5.90030518819939</v>
      </c>
      <c r="F26" s="13"/>
      <c r="G26" s="13"/>
      <c r="I26" s="5"/>
      <c r="J26" s="0" t="s">
        <v>43</v>
      </c>
    </row>
    <row r="27" outlineLevel="2">
      <c r="A27" s="12" t="s">
        <v>45</v>
      </c>
      <c r="B27" s="0" t="s">
        <v>34</v>
      </c>
      <c r="C27" s="13">
        <f>IFERROR(38.9*(1-w),"")</f>
        <v/>
      </c>
      <c r="D27" s="13">
        <v>38.9</v>
      </c>
      <c r="E27" s="13">
        <v>39.572736520854527</v>
      </c>
      <c r="F27" s="13"/>
      <c r="G27" s="13"/>
      <c r="I27" s="5"/>
    </row>
    <row r="28" outlineLevel="2">
      <c r="A28" s="12" t="s">
        <v>46</v>
      </c>
      <c r="B28" s="0" t="s">
        <v>34</v>
      </c>
      <c r="C28" s="13">
        <f>IFERROR(0.29*(1-w),"")</f>
        <v/>
      </c>
      <c r="D28" s="13">
        <v>0.29</v>
      </c>
      <c r="E28" s="13">
        <v>0.29501525940996948</v>
      </c>
      <c r="F28" s="13"/>
      <c r="G28" s="13"/>
      <c r="I28" s="5"/>
      <c r="J28" s="0" t="s">
        <v>43</v>
      </c>
    </row>
    <row r="29" outlineLevel="2">
      <c r="A29" s="12" t="s">
        <v>47</v>
      </c>
      <c r="B29" s="0" t="s">
        <v>34</v>
      </c>
      <c r="C29" s="13">
        <f>IFERROR(0.02*(1-w),"")</f>
        <v/>
      </c>
      <c r="D29" s="13">
        <v>0.02</v>
      </c>
      <c r="E29" s="13">
        <v>0.020345879959308241</v>
      </c>
      <c r="F29" s="13"/>
      <c r="G29" s="13"/>
      <c r="I29" s="5"/>
      <c r="J29" s="0" t="s">
        <v>48</v>
      </c>
    </row>
    <row r="30" outlineLevel="2">
      <c r="A30" s="12" t="s">
        <v>49</v>
      </c>
      <c r="B30" s="0" t="s">
        <v>34</v>
      </c>
      <c r="C30" s="13">
        <f>IFERROR(100.3100008*(1-w)+w*100,"")</f>
        <v/>
      </c>
      <c r="D30" s="13">
        <v>100.3100008</v>
      </c>
      <c r="E30" s="13">
        <v>100.31536195320447</v>
      </c>
      <c r="F30" s="13"/>
      <c r="G30" s="13"/>
      <c r="I30" s="5"/>
      <c r="J30" s="0" t="s">
        <v>40</v>
      </c>
    </row>
    <row r="31" outlineLevel="1">
      <c r="A31" s="11" t="s">
        <v>50</v>
      </c>
      <c r="I31" s="5"/>
    </row>
    <row r="32" outlineLevel="2">
      <c r="A32" s="12" t="s">
        <v>51</v>
      </c>
      <c r="B32" s="0" t="s">
        <v>52</v>
      </c>
      <c r="C32" s="14">
        <f>IFERROR(0.008*(1-w),"")</f>
        <v/>
      </c>
      <c r="D32" s="14">
        <v>0.008</v>
      </c>
      <c r="E32" s="14">
        <v>0.0081383519837232958</v>
      </c>
      <c r="F32" s="14"/>
      <c r="G32" s="14"/>
      <c r="I32" s="5"/>
      <c r="J32" s="0" t="s">
        <v>53</v>
      </c>
    </row>
    <row r="33" outlineLevel="1">
      <c r="A33" s="11" t="s">
        <v>54</v>
      </c>
      <c r="I33" s="5"/>
    </row>
    <row r="34" outlineLevel="2">
      <c r="A34" s="12" t="s">
        <v>55</v>
      </c>
      <c r="B34" s="0" t="s">
        <v>56</v>
      </c>
      <c r="C34" s="13">
        <f>IFERROR(20.05*(1-w)-w*2.443,"")</f>
        <v/>
      </c>
      <c r="D34" s="13">
        <v>20.05</v>
      </c>
      <c r="E34" s="13">
        <v>20.396744659206512</v>
      </c>
      <c r="F34" s="13"/>
      <c r="G34" s="13"/>
      <c r="I34" s="5"/>
      <c r="J34" s="0" t="s">
        <v>57</v>
      </c>
    </row>
    <row r="35" outlineLevel="2">
      <c r="A35" s="12" t="s">
        <v>58</v>
      </c>
      <c r="B35" s="0" t="s">
        <v>56</v>
      </c>
      <c r="C35" s="13">
        <f>IFERROR(21.31*(1-w),"")</f>
        <v/>
      </c>
      <c r="D35" s="13">
        <v>21.31</v>
      </c>
      <c r="E35" s="13">
        <v>21.678535096642928</v>
      </c>
      <c r="F35" s="13"/>
      <c r="G35" s="13"/>
      <c r="I35" s="5"/>
    </row>
    <row r="36" outlineLevel="2">
      <c r="A36" s="12" t="s">
        <v>59</v>
      </c>
      <c r="B36" s="0" t="s">
        <v>56</v>
      </c>
      <c r="C36" s="13">
        <f>IFERROR(21.21820417*(1-w),"")</f>
        <v/>
      </c>
      <c r="D36" s="13">
        <v>21.218204170000007</v>
      </c>
      <c r="E36" s="13">
        <v>21.585151749745684</v>
      </c>
      <c r="F36" s="13"/>
      <c r="G36" s="13"/>
      <c r="I36" s="5"/>
      <c r="J36" s="0" t="s">
        <v>40</v>
      </c>
    </row>
    <row r="37">
      <c r="I37" s="5"/>
    </row>
    <row r="38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https://phyllis.nl/Biomass/View/3213</dc:description>
  <dcterms:created xsi:type="dcterms:W3CDTF">2026-03-19T07:32:44Z</dcterms:created>
  <dc:title>Phyllis2 #3213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