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3220 Seed hemp" sheetId="1" r:id="rId1"/>
  </sheets>
  <definedNames>
    <definedName name="w" localSheetId="0">IF(ISBLANK('Phyllis2 #3220 Seed hemp'!$C$27),#N/A,'Phyllis2 #3220 Seed hemp'!$C$27/100)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24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24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24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<sst xmlns="http://schemas.openxmlformats.org/spreadsheetml/2006/main" count="123" uniqueCount="123">
  <si>
    <t>Phyllis2</t>
  </si>
  <si>
    <t>https://phyllis.nl/Biomass/View/3220</t>
  </si>
  <si>
    <t>Seed hemp (#3220)</t>
  </si>
  <si>
    <t>ID-number</t>
  </si>
  <si>
    <t>#3220</t>
  </si>
  <si>
    <t>Material</t>
  </si>
  <si>
    <t>Seed hemp</t>
  </si>
  <si>
    <t>Alternative name</t>
  </si>
  <si>
    <t>Hemp</t>
  </si>
  <si>
    <t>Latin name</t>
  </si>
  <si>
    <t>Cannabis sativa L.</t>
  </si>
  <si>
    <t>Description</t>
  </si>
  <si>
    <t>Whole plant above ground</t>
  </si>
  <si>
    <t>Classification</t>
  </si>
  <si>
    <t>CEN/TS 14961 classification &gt; Solid biofuels &gt; Herbaceous biomass &gt; Agriculture and Horticulture herb &gt; Grasses &gt; Whole plant</t>
  </si>
  <si>
    <t>ECN Phyllis classification &gt; grass/plant &gt; hemp</t>
  </si>
  <si>
    <t>NTA 8003 classification &gt; [200] biomassa uit land- en tuinbouw &gt; [220] stro &gt; [225] hennep</t>
  </si>
  <si>
    <t>Sample date</t>
  </si>
  <si>
    <t>Sample location</t>
  </si>
  <si>
    <t>Degernäs</t>
  </si>
  <si>
    <t>Country</t>
  </si>
  <si>
    <t>Sweden</t>
  </si>
  <si>
    <t>Production date</t>
  </si>
  <si>
    <t>Submitter</t>
  </si>
  <si>
    <t>SLU; Nilsson, T.</t>
  </si>
  <si>
    <t>Submitter organisation</t>
  </si>
  <si>
    <t>ECN (Netherlands)</t>
  </si>
  <si>
    <t>Submission date</t>
  </si>
  <si>
    <t>Literature</t>
  </si>
  <si>
    <t>Finell et al. (2006): (In Swedish). BTK report 2006:13.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</si>
  <si>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</si>
  <si>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</si>
  <si>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</si>
  <si>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</si>
  <si>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</si>
  <si>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</si>
  <si>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</si>
  <si>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</si>
  <si>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</si>
  <si>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Remarks</t>
  </si>
  <si>
    <t>ar</t>
  </si>
  <si>
    <t>dry</t>
  </si>
  <si>
    <t>daf</t>
  </si>
  <si>
    <t>Main biomass properties</t>
  </si>
  <si>
    <t>Proximate analysis</t>
  </si>
  <si>
    <t>Moisture content</t>
  </si>
  <si>
    <t>wt% (ar)</t>
  </si>
  <si>
    <t>Ash content at 550°C</t>
  </si>
  <si>
    <t>wt%</t>
  </si>
  <si>
    <t>SLU, Röbäcksdalen</t>
  </si>
  <si>
    <t>CEN/TS 14775</t>
  </si>
  <si>
    <t>SS 18 71 71:1</t>
  </si>
  <si>
    <t>Ultimate analysis (macroelements)</t>
  </si>
  <si>
    <t>Carbon</t>
  </si>
  <si>
    <t>CEN/TS 15104</t>
  </si>
  <si>
    <t>Own method</t>
  </si>
  <si>
    <t>Hydrogen</t>
  </si>
  <si>
    <t>Oxygen</t>
  </si>
  <si>
    <t>Nitrogen</t>
  </si>
  <si>
    <t>Sulphur</t>
  </si>
  <si>
    <t>CEN/TS15289</t>
  </si>
  <si>
    <t>SS 18 71 77:1</t>
  </si>
  <si>
    <t>Total (with halides)</t>
  </si>
  <si>
    <t>Calculated</t>
  </si>
  <si>
    <t>Halides</t>
  </si>
  <si>
    <t>Chlorine (Cl)</t>
  </si>
  <si>
    <t>mg/kg</t>
  </si>
  <si>
    <t>CEN/TS 15289</t>
  </si>
  <si>
    <t>SS 18 71 54:1</t>
  </si>
  <si>
    <t>Heating value</t>
  </si>
  <si>
    <t>Net calorific value (LHV)</t>
  </si>
  <si>
    <t>MJ/kg</t>
  </si>
  <si>
    <t>CEN/TS 14918</t>
  </si>
  <si>
    <t>ISO 1928</t>
  </si>
  <si>
    <t>Gross calorific value (HHV)</t>
  </si>
  <si>
    <t>HHVMilne</t>
  </si>
  <si>
    <t>Trace elements composition</t>
  </si>
  <si>
    <t>Aluminium (Al)</t>
  </si>
  <si>
    <t>mg/kg (dry)</t>
  </si>
  <si>
    <t>AnalyCen, Lidköping</t>
  </si>
  <si>
    <t>NMKL 161 mod., ICP-MS</t>
  </si>
  <si>
    <t>Arsenic (As)</t>
  </si>
  <si>
    <t>NMKL 161 mod., ICP-AES</t>
  </si>
  <si>
    <t>Boron (B)</t>
  </si>
  <si>
    <t>SS028150-2</t>
  </si>
  <si>
    <t>Barium (Ba)</t>
  </si>
  <si>
    <t>Calcium (Ca)</t>
  </si>
  <si>
    <t>Cadmium (Cd)</t>
  </si>
  <si>
    <t>ALC208:902, ICP-MS</t>
  </si>
  <si>
    <t>Cobalt (Co)</t>
  </si>
  <si>
    <t>Chromium (Cr)</t>
  </si>
  <si>
    <t>Copper (Cu)</t>
  </si>
  <si>
    <t>Iron (Fe)</t>
  </si>
  <si>
    <t>Mercury (Hg)</t>
  </si>
  <si>
    <t>&lt;0.02</t>
  </si>
  <si>
    <t>NMKL 170 mod., AFS</t>
  </si>
  <si>
    <t>Potassium (K)</t>
  </si>
  <si>
    <t>Magnesium (Mg)</t>
  </si>
  <si>
    <t>Manganese (Mn)</t>
  </si>
  <si>
    <t>Molybdenium (Mo)</t>
  </si>
  <si>
    <t>Sodium (Na)</t>
  </si>
  <si>
    <t>Nickel (Ni)</t>
  </si>
  <si>
    <t>Phosphorus (P)</t>
  </si>
  <si>
    <t>Lead (Pb)</t>
  </si>
  <si>
    <t>Antimony (Sb)</t>
  </si>
  <si>
    <t>&lt;0.21</t>
  </si>
  <si>
    <t>Selenium (Se)</t>
  </si>
  <si>
    <t>&lt;0.05</t>
  </si>
  <si>
    <t>Silicon (Si)</t>
  </si>
  <si>
    <t>&lt;1100</t>
  </si>
  <si>
    <t>ALC208:201, AAS</t>
  </si>
  <si>
    <t>Tin (Sn)</t>
  </si>
  <si>
    <t>Titanium (Ti)</t>
  </si>
  <si>
    <t>&lt;11</t>
  </si>
  <si>
    <t>Vanadium (V)</t>
  </si>
  <si>
    <t>Zinc (Zn)</t>
  </si>
  <si>
    <t>ALC208:902, ICP-AES</t>
  </si>
  <si>
    <t>Ash melting behaviour</t>
  </si>
  <si>
    <t>European standard method</t>
  </si>
  <si>
    <t>SH (shrinkage temperature)</t>
  </si>
  <si>
    <t>°C</t>
  </si>
  <si>
    <t>HE (hemispherical temperature)</t>
  </si>
  <si>
    <t>FL (flow temperature)</t>
  </si>
</sst>
</file>

<file path=xl/styles.xml><?xml version="1.0" encoding="utf-8"?>
<styleSheet xmlns="http://schemas.openxmlformats.org/spreadsheetml/2006/main">
  <numFmts count="4">
    <numFmt numFmtId="164" formatCode="yyyy-mm-dd"/>
    <numFmt numFmtId="165" formatCode="#,0.00"/>
    <numFmt numFmtId="166" formatCode="#,0.0"/>
    <numFmt numFmtId="167" formatCode="#,0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8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164" applyNumberFormat="1" fontId="0" applyFont="1" xfId="0"/>
    <xf numFmtId="164" applyNumberFormat="1" fontId="0" applyFont="1" xfId="0">
      <alignment horizontal="left"/>
    </xf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5" applyNumberFormat="1" fontId="0" applyFont="1" xfId="0"/>
    <xf numFmtId="166" applyNumberFormat="1" fontId="0" applyFont="1" xfId="0"/>
    <xf numFmtId="0" applyNumberFormat="1" fontId="4" applyFont="1" xfId="0">
      <alignment indent="2"/>
    </xf>
    <xf numFmtId="0" applyNumberFormat="1" fontId="0" applyFont="1" xfId="0">
      <alignment indent="3"/>
    </xf>
    <xf numFmtId="167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3220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74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19.1188907623291" customWidth="1"/>
    <col min="9" max="9" width="9.140625" customWidth="1"/>
    <col min="10" max="10" width="13.8439645767212" customWidth="1"/>
    <col min="11" max="11" width="23.2684421539307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7" t="s">
        <v>3</v>
      </c>
      <c r="B5" s="0" t="s">
        <v>4</v>
      </c>
    </row>
    <row r="6" outlineLevel="1">
      <c r="A6" s="7" t="s">
        <v>5</v>
      </c>
      <c r="B6" s="0" t="s">
        <v>6</v>
      </c>
    </row>
    <row r="7" outlineLevel="1">
      <c r="A7" s="7" t="s">
        <v>7</v>
      </c>
      <c r="B7" s="0" t="s">
        <v>8</v>
      </c>
    </row>
    <row r="8" outlineLevel="1">
      <c r="A8" s="7" t="s">
        <v>9</v>
      </c>
      <c r="B8" s="0" t="s">
        <v>10</v>
      </c>
    </row>
    <row r="9" outlineLevel="1">
      <c r="A9" s="7" t="s">
        <v>11</v>
      </c>
      <c r="B9" s="0" t="s">
        <v>12</v>
      </c>
    </row>
    <row r="10" outlineLevel="1">
      <c r="A10" s="8" t="s">
        <v>13</v>
      </c>
      <c r="B10" s="0" t="s">
        <v>14</v>
      </c>
    </row>
    <row r="11" outlineLevel="1">
      <c r="A11" s="8"/>
      <c r="B11" s="0" t="s">
        <v>15</v>
      </c>
    </row>
    <row r="12" outlineLevel="1">
      <c r="A12" s="8"/>
      <c r="B12" s="0" t="s">
        <v>16</v>
      </c>
    </row>
    <row r="13" outlineLevel="1">
      <c r="A13" s="7" t="s">
        <v>17</v>
      </c>
      <c r="B13" s="6">
        <v>38443</v>
      </c>
    </row>
    <row r="14" outlineLevel="1">
      <c r="A14" s="7" t="s">
        <v>18</v>
      </c>
      <c r="B14" s="0" t="s">
        <v>19</v>
      </c>
    </row>
    <row r="15" outlineLevel="1">
      <c r="A15" s="7" t="s">
        <v>20</v>
      </c>
      <c r="B15" s="0" t="s">
        <v>21</v>
      </c>
    </row>
    <row r="16" outlineLevel="1">
      <c r="A16" s="7" t="s">
        <v>22</v>
      </c>
      <c r="B16" s="6">
        <v>38443</v>
      </c>
    </row>
    <row r="17" outlineLevel="1">
      <c r="A17" s="7" t="s">
        <v>23</v>
      </c>
      <c r="B17" s="0" t="s">
        <v>24</v>
      </c>
    </row>
    <row r="18" outlineLevel="1">
      <c r="A18" s="7" t="s">
        <v>25</v>
      </c>
      <c r="B18" s="0" t="s">
        <v>26</v>
      </c>
    </row>
    <row r="19" outlineLevel="1">
      <c r="A19" s="7" t="s">
        <v>27</v>
      </c>
      <c r="B19" s="6">
        <v>40095</v>
      </c>
    </row>
    <row r="20" outlineLevel="1">
      <c r="A20" s="7" t="s">
        <v>28</v>
      </c>
      <c r="B20" s="0" t="s">
        <v>29</v>
      </c>
    </row>
    <row r="21">
      <c r="A21" s="7"/>
    </row>
    <row r="22" s="1" customFormat="1">
      <c r="A22" s="9" t="s">
        <v>30</v>
      </c>
    </row>
    <row r="23" s="1" customFormat="1">
      <c r="A23" s="10" t="s">
        <v>31</v>
      </c>
      <c r="B23" s="10" t="s">
        <v>32</v>
      </c>
      <c r="C23" s="10" t="s">
        <v>33</v>
      </c>
      <c r="D23" s="10"/>
      <c r="E23" s="10"/>
      <c r="F23" s="10" t="s">
        <v>34</v>
      </c>
      <c r="G23" s="10" t="s">
        <v>35</v>
      </c>
      <c r="H23" s="10" t="s">
        <v>36</v>
      </c>
      <c r="I23" s="10" t="s">
        <v>37</v>
      </c>
      <c r="J23" s="10" t="s">
        <v>38</v>
      </c>
      <c r="K23" s="10" t="s">
        <v>39</v>
      </c>
      <c r="L23" s="10"/>
    </row>
    <row r="24" s="1" customFormat="1">
      <c r="A24" s="10"/>
      <c r="B24" s="10"/>
      <c r="C24" s="10" t="s">
        <v>40</v>
      </c>
      <c r="D24" s="10" t="s">
        <v>41</v>
      </c>
      <c r="E24" s="10" t="s">
        <v>42</v>
      </c>
      <c r="F24" s="10"/>
      <c r="G24" s="10"/>
      <c r="H24" s="10"/>
      <c r="I24" s="10"/>
      <c r="J24" s="10"/>
      <c r="K24" s="10"/>
      <c r="L24" s="10"/>
    </row>
    <row r="25">
      <c r="A25" s="7" t="s">
        <v>43</v>
      </c>
      <c r="I25" s="5"/>
    </row>
    <row r="26" outlineLevel="1">
      <c r="A26" s="11" t="s">
        <v>44</v>
      </c>
      <c r="I26" s="5"/>
    </row>
    <row r="27" outlineLevel="2">
      <c r="A27" s="12" t="s">
        <v>45</v>
      </c>
      <c r="B27" s="0" t="s">
        <v>46</v>
      </c>
      <c r="C27" s="13">
        <v/>
      </c>
      <c r="D27" s="13"/>
      <c r="E27" s="13"/>
      <c r="F27" s="13"/>
      <c r="G27" s="13"/>
      <c r="I27" s="5"/>
    </row>
    <row r="28" outlineLevel="2">
      <c r="A28" s="12" t="s">
        <v>47</v>
      </c>
      <c r="B28" s="0" t="s">
        <v>48</v>
      </c>
      <c r="C28" s="13">
        <f>IFERROR(2*(1-w),"")</f>
        <v/>
      </c>
      <c r="D28" s="13">
        <v>2</v>
      </c>
      <c r="E28" s="13">
        <v/>
      </c>
      <c r="F28" s="13"/>
      <c r="G28" s="13"/>
      <c r="H28" s="0" t="s">
        <v>49</v>
      </c>
      <c r="I28" s="5"/>
      <c r="J28" s="0" t="s">
        <v>50</v>
      </c>
      <c r="K28" s="0" t="s">
        <v>51</v>
      </c>
    </row>
    <row r="29" outlineLevel="1">
      <c r="A29" s="11" t="s">
        <v>52</v>
      </c>
      <c r="I29" s="5"/>
    </row>
    <row r="30" outlineLevel="2">
      <c r="A30" s="12" t="s">
        <v>53</v>
      </c>
      <c r="B30" s="0" t="s">
        <v>48</v>
      </c>
      <c r="C30" s="13">
        <f>IFERROR(48.8*(1-w),"")</f>
        <v/>
      </c>
      <c r="D30" s="13">
        <v>48.8</v>
      </c>
      <c r="E30" s="13">
        <v>49.795918367346935</v>
      </c>
      <c r="F30" s="13"/>
      <c r="G30" s="13"/>
      <c r="H30" s="0" t="s">
        <v>49</v>
      </c>
      <c r="I30" s="5"/>
      <c r="J30" s="0" t="s">
        <v>54</v>
      </c>
      <c r="K30" s="0" t="s">
        <v>55</v>
      </c>
    </row>
    <row r="31" outlineLevel="2">
      <c r="A31" s="12" t="s">
        <v>56</v>
      </c>
      <c r="B31" s="0" t="s">
        <v>48</v>
      </c>
      <c r="C31" s="13">
        <f>IFERROR(5.9*(1-w),"")</f>
        <v/>
      </c>
      <c r="D31" s="13">
        <v>5.9</v>
      </c>
      <c r="E31" s="13">
        <v>6.0204081632653068</v>
      </c>
      <c r="F31" s="13"/>
      <c r="G31" s="13"/>
      <c r="H31" s="0" t="s">
        <v>49</v>
      </c>
      <c r="I31" s="5"/>
      <c r="J31" s="0" t="s">
        <v>54</v>
      </c>
      <c r="K31" s="0" t="s">
        <v>55</v>
      </c>
    </row>
    <row r="32" outlineLevel="2">
      <c r="A32" s="12" t="s">
        <v>57</v>
      </c>
      <c r="B32" s="0" t="s">
        <v>48</v>
      </c>
      <c r="C32" s="13">
        <f>IFERROR(42.5*(1-w),"")</f>
        <v/>
      </c>
      <c r="D32" s="13">
        <v>42.5</v>
      </c>
      <c r="E32" s="13">
        <v>43.367346938775512</v>
      </c>
      <c r="F32" s="13"/>
      <c r="G32" s="13"/>
      <c r="H32" s="0" t="s">
        <v>49</v>
      </c>
      <c r="I32" s="5"/>
      <c r="K32" s="0" t="s">
        <v>55</v>
      </c>
    </row>
    <row r="33" outlineLevel="2">
      <c r="A33" s="12" t="s">
        <v>58</v>
      </c>
      <c r="B33" s="0" t="s">
        <v>48</v>
      </c>
      <c r="C33" s="13">
        <f>IFERROR(0.7*(1-w),"")</f>
        <v/>
      </c>
      <c r="D33" s="13">
        <v>0.7</v>
      </c>
      <c r="E33" s="13">
        <v>0.7142857142857143</v>
      </c>
      <c r="F33" s="13"/>
      <c r="G33" s="13"/>
      <c r="H33" s="0" t="s">
        <v>49</v>
      </c>
      <c r="I33" s="5"/>
      <c r="J33" s="0" t="s">
        <v>54</v>
      </c>
      <c r="K33" s="0" t="s">
        <v>55</v>
      </c>
    </row>
    <row r="34" outlineLevel="2">
      <c r="A34" s="12" t="s">
        <v>59</v>
      </c>
      <c r="B34" s="0" t="s">
        <v>48</v>
      </c>
      <c r="C34" s="13">
        <f>IFERROR(0.07*(1-w),"")</f>
        <v/>
      </c>
      <c r="D34" s="13">
        <v>0.07</v>
      </c>
      <c r="E34" s="13">
        <v>0.071428571428571438</v>
      </c>
      <c r="F34" s="13"/>
      <c r="G34" s="13"/>
      <c r="H34" s="0" t="s">
        <v>49</v>
      </c>
      <c r="I34" s="5"/>
      <c r="J34" s="0" t="s">
        <v>60</v>
      </c>
      <c r="K34" s="0" t="s">
        <v>61</v>
      </c>
    </row>
    <row r="35" outlineLevel="2">
      <c r="A35" s="12" t="s">
        <v>62</v>
      </c>
      <c r="B35" s="0" t="s">
        <v>48</v>
      </c>
      <c r="C35" s="13">
        <f>IFERROR(99.99*(1-w)+w*100,"")</f>
        <v/>
      </c>
      <c r="D35" s="13">
        <v>99.989999999999981</v>
      </c>
      <c r="E35" s="13">
        <v>99.989795918367335</v>
      </c>
      <c r="F35" s="13"/>
      <c r="G35" s="13"/>
      <c r="I35" s="5"/>
      <c r="J35" s="0" t="s">
        <v>63</v>
      </c>
    </row>
    <row r="36" outlineLevel="1">
      <c r="A36" s="11" t="s">
        <v>64</v>
      </c>
      <c r="I36" s="5"/>
    </row>
    <row r="37" outlineLevel="2">
      <c r="A37" s="12" t="s">
        <v>65</v>
      </c>
      <c r="B37" s="0" t="s">
        <v>66</v>
      </c>
      <c r="C37" s="14">
        <f>IFERROR(200*(1-w),"")</f>
        <v/>
      </c>
      <c r="D37" s="14">
        <v>200</v>
      </c>
      <c r="E37" s="14">
        <v>204.08163265306123</v>
      </c>
      <c r="F37" s="14"/>
      <c r="G37" s="14"/>
      <c r="H37" s="0" t="s">
        <v>49</v>
      </c>
      <c r="I37" s="5"/>
      <c r="J37" s="0" t="s">
        <v>67</v>
      </c>
      <c r="K37" s="0" t="s">
        <v>68</v>
      </c>
    </row>
    <row r="38" outlineLevel="1">
      <c r="A38" s="11" t="s">
        <v>69</v>
      </c>
      <c r="I38" s="5"/>
    </row>
    <row r="39" outlineLevel="2">
      <c r="A39" s="12" t="s">
        <v>70</v>
      </c>
      <c r="B39" s="0" t="s">
        <v>71</v>
      </c>
      <c r="C39" s="13">
        <f>IFERROR(18.16*(1-w)-w*2.443,"")</f>
        <v/>
      </c>
      <c r="D39" s="13">
        <v>18.16</v>
      </c>
      <c r="E39" s="13">
        <v>18.530612244897959</v>
      </c>
      <c r="F39" s="13"/>
      <c r="G39" s="13"/>
      <c r="H39" s="0" t="s">
        <v>49</v>
      </c>
      <c r="I39" s="5"/>
      <c r="J39" s="0" t="s">
        <v>72</v>
      </c>
      <c r="K39" s="0" t="s">
        <v>73</v>
      </c>
    </row>
    <row r="40" outlineLevel="2">
      <c r="A40" s="12" t="s">
        <v>74</v>
      </c>
      <c r="B40" s="0" t="s">
        <v>71</v>
      </c>
      <c r="C40" s="13">
        <f>IFERROR(19.44*(1-w),"")</f>
        <v/>
      </c>
      <c r="D40" s="13">
        <v>19.44</v>
      </c>
      <c r="E40" s="13">
        <v>19.836734693877553</v>
      </c>
      <c r="F40" s="13"/>
      <c r="G40" s="13"/>
      <c r="H40" s="0" t="s">
        <v>49</v>
      </c>
      <c r="I40" s="5"/>
      <c r="K40" s="0" t="s">
        <v>73</v>
      </c>
    </row>
    <row r="41" outlineLevel="2">
      <c r="A41" s="12" t="s">
        <v>75</v>
      </c>
      <c r="B41" s="0" t="s">
        <v>71</v>
      </c>
      <c r="C41" s="13">
        <f>IFERROR(19.231414*(1-w),"")</f>
        <v/>
      </c>
      <c r="D41" s="13">
        <v>19.231414</v>
      </c>
      <c r="E41" s="13">
        <v>19.623891836734696</v>
      </c>
      <c r="F41" s="13"/>
      <c r="G41" s="13"/>
      <c r="I41" s="5"/>
      <c r="J41" s="0" t="s">
        <v>63</v>
      </c>
    </row>
    <row r="42" outlineLevel="1">
      <c r="A42" s="11" t="s">
        <v>76</v>
      </c>
      <c r="I42" s="5"/>
    </row>
    <row r="43" outlineLevel="2">
      <c r="A43" s="12" t="s">
        <v>77</v>
      </c>
      <c r="B43" s="0" t="s">
        <v>78</v>
      </c>
      <c r="C43" s="14">
        <v>70</v>
      </c>
      <c r="D43" s="14"/>
      <c r="E43" s="14"/>
      <c r="F43" s="14"/>
      <c r="G43" s="14"/>
      <c r="H43" s="0" t="s">
        <v>79</v>
      </c>
      <c r="I43" s="5"/>
      <c r="K43" s="0" t="s">
        <v>80</v>
      </c>
    </row>
    <row r="44" outlineLevel="2">
      <c r="A44" s="12" t="s">
        <v>81</v>
      </c>
      <c r="B44" s="0" t="s">
        <v>78</v>
      </c>
      <c r="C44" s="14">
        <v>0.35</v>
      </c>
      <c r="D44" s="14"/>
      <c r="E44" s="14"/>
      <c r="F44" s="14"/>
      <c r="G44" s="14"/>
      <c r="H44" s="0" t="s">
        <v>79</v>
      </c>
      <c r="I44" s="5"/>
      <c r="K44" s="0" t="s">
        <v>82</v>
      </c>
    </row>
    <row r="45" outlineLevel="2">
      <c r="A45" s="12" t="s">
        <v>83</v>
      </c>
      <c r="B45" s="0" t="s">
        <v>78</v>
      </c>
      <c r="C45" s="14">
        <v>5.8</v>
      </c>
      <c r="D45" s="14"/>
      <c r="E45" s="14"/>
      <c r="F45" s="14"/>
      <c r="G45" s="14"/>
      <c r="H45" s="0" t="s">
        <v>79</v>
      </c>
      <c r="I45" s="5"/>
      <c r="K45" s="0" t="s">
        <v>84</v>
      </c>
    </row>
    <row r="46" outlineLevel="2">
      <c r="A46" s="12" t="s">
        <v>85</v>
      </c>
      <c r="B46" s="0" t="s">
        <v>78</v>
      </c>
      <c r="C46" s="14">
        <v>3.8</v>
      </c>
      <c r="D46" s="14"/>
      <c r="E46" s="14"/>
      <c r="F46" s="14"/>
      <c r="G46" s="14"/>
      <c r="H46" s="0" t="s">
        <v>79</v>
      </c>
      <c r="I46" s="5"/>
      <c r="K46" s="0" t="s">
        <v>80</v>
      </c>
    </row>
    <row r="47" outlineLevel="2">
      <c r="A47" s="12" t="s">
        <v>86</v>
      </c>
      <c r="B47" s="0" t="s">
        <v>78</v>
      </c>
      <c r="C47" s="14">
        <v>5200</v>
      </c>
      <c r="D47" s="14"/>
      <c r="E47" s="14"/>
      <c r="F47" s="14"/>
      <c r="G47" s="14"/>
      <c r="H47" s="0" t="s">
        <v>79</v>
      </c>
      <c r="I47" s="5"/>
      <c r="K47" s="0" t="s">
        <v>82</v>
      </c>
    </row>
    <row r="48" outlineLevel="2">
      <c r="A48" s="12" t="s">
        <v>87</v>
      </c>
      <c r="B48" s="0" t="s">
        <v>78</v>
      </c>
      <c r="C48" s="14">
        <v>0.11</v>
      </c>
      <c r="D48" s="14"/>
      <c r="E48" s="14"/>
      <c r="F48" s="14"/>
      <c r="G48" s="14"/>
      <c r="H48" s="0" t="s">
        <v>79</v>
      </c>
      <c r="I48" s="5"/>
      <c r="K48" s="0" t="s">
        <v>88</v>
      </c>
    </row>
    <row r="49" outlineLevel="2">
      <c r="A49" s="12" t="s">
        <v>89</v>
      </c>
      <c r="B49" s="0" t="s">
        <v>78</v>
      </c>
      <c r="C49" s="14">
        <v>0.15</v>
      </c>
      <c r="D49" s="14"/>
      <c r="E49" s="14"/>
      <c r="F49" s="14"/>
      <c r="G49" s="14"/>
      <c r="H49" s="0" t="s">
        <v>79</v>
      </c>
      <c r="I49" s="5"/>
      <c r="K49" s="0" t="s">
        <v>80</v>
      </c>
    </row>
    <row r="50" outlineLevel="2">
      <c r="A50" s="12" t="s">
        <v>90</v>
      </c>
      <c r="B50" s="0" t="s">
        <v>78</v>
      </c>
      <c r="C50" s="14">
        <v>1.3</v>
      </c>
      <c r="D50" s="14"/>
      <c r="E50" s="14"/>
      <c r="F50" s="14"/>
      <c r="G50" s="14"/>
      <c r="H50" s="0" t="s">
        <v>79</v>
      </c>
      <c r="I50" s="5"/>
      <c r="K50" s="0" t="s">
        <v>88</v>
      </c>
    </row>
    <row r="51" outlineLevel="2">
      <c r="A51" s="12" t="s">
        <v>91</v>
      </c>
      <c r="B51" s="0" t="s">
        <v>78</v>
      </c>
      <c r="C51" s="14">
        <v>6.1</v>
      </c>
      <c r="D51" s="14"/>
      <c r="E51" s="14"/>
      <c r="F51" s="14"/>
      <c r="G51" s="14"/>
      <c r="H51" s="0" t="s">
        <v>79</v>
      </c>
      <c r="I51" s="5"/>
      <c r="K51" s="0" t="s">
        <v>82</v>
      </c>
    </row>
    <row r="52" outlineLevel="2">
      <c r="A52" s="12" t="s">
        <v>92</v>
      </c>
      <c r="B52" s="0" t="s">
        <v>78</v>
      </c>
      <c r="C52" s="14">
        <v>130</v>
      </c>
      <c r="D52" s="14"/>
      <c r="E52" s="14"/>
      <c r="F52" s="14"/>
      <c r="G52" s="14"/>
      <c r="H52" s="0" t="s">
        <v>79</v>
      </c>
      <c r="I52" s="5"/>
      <c r="K52" s="0" t="s">
        <v>82</v>
      </c>
    </row>
    <row r="53" outlineLevel="2">
      <c r="A53" s="12" t="s">
        <v>93</v>
      </c>
      <c r="B53" s="0" t="s">
        <v>78</v>
      </c>
      <c r="C53" s="14" t="s">
        <v>94</v>
      </c>
      <c r="D53" s="14"/>
      <c r="E53" s="14"/>
      <c r="F53" s="14"/>
      <c r="G53" s="14"/>
      <c r="H53" s="0" t="s">
        <v>79</v>
      </c>
      <c r="I53" s="5"/>
      <c r="K53" s="0" t="s">
        <v>95</v>
      </c>
    </row>
    <row r="54" outlineLevel="2">
      <c r="A54" s="12" t="s">
        <v>96</v>
      </c>
      <c r="B54" s="0" t="s">
        <v>78</v>
      </c>
      <c r="C54" s="14">
        <v>970</v>
      </c>
      <c r="D54" s="14"/>
      <c r="E54" s="14"/>
      <c r="F54" s="14"/>
      <c r="G54" s="14"/>
      <c r="H54" s="0" t="s">
        <v>79</v>
      </c>
      <c r="I54" s="5"/>
      <c r="K54" s="0" t="s">
        <v>82</v>
      </c>
    </row>
    <row r="55" outlineLevel="2">
      <c r="A55" s="12" t="s">
        <v>97</v>
      </c>
      <c r="B55" s="0" t="s">
        <v>78</v>
      </c>
      <c r="C55" s="14">
        <v>480</v>
      </c>
      <c r="D55" s="14"/>
      <c r="E55" s="14"/>
      <c r="F55" s="14"/>
      <c r="G55" s="14"/>
      <c r="H55" s="0" t="s">
        <v>79</v>
      </c>
      <c r="I55" s="5"/>
      <c r="K55" s="0" t="s">
        <v>82</v>
      </c>
    </row>
    <row r="56" outlineLevel="2">
      <c r="A56" s="12" t="s">
        <v>98</v>
      </c>
      <c r="B56" s="0" t="s">
        <v>78</v>
      </c>
      <c r="C56" s="14">
        <v>64</v>
      </c>
      <c r="D56" s="14"/>
      <c r="E56" s="14"/>
      <c r="F56" s="14"/>
      <c r="G56" s="14"/>
      <c r="H56" s="0" t="s">
        <v>79</v>
      </c>
      <c r="I56" s="5"/>
      <c r="K56" s="0" t="s">
        <v>82</v>
      </c>
    </row>
    <row r="57" outlineLevel="2">
      <c r="A57" s="12" t="s">
        <v>99</v>
      </c>
      <c r="B57" s="0" t="s">
        <v>78</v>
      </c>
      <c r="C57" s="14">
        <v>0.33</v>
      </c>
      <c r="D57" s="14"/>
      <c r="E57" s="14"/>
      <c r="F57" s="14"/>
      <c r="G57" s="14"/>
      <c r="H57" s="0" t="s">
        <v>79</v>
      </c>
      <c r="I57" s="5"/>
      <c r="K57" s="0" t="s">
        <v>88</v>
      </c>
    </row>
    <row r="58" outlineLevel="2">
      <c r="A58" s="12" t="s">
        <v>100</v>
      </c>
      <c r="B58" s="0" t="s">
        <v>78</v>
      </c>
      <c r="C58" s="14">
        <v>72</v>
      </c>
      <c r="D58" s="14"/>
      <c r="E58" s="14"/>
      <c r="F58" s="14"/>
      <c r="G58" s="14"/>
      <c r="H58" s="0" t="s">
        <v>79</v>
      </c>
      <c r="I58" s="5"/>
      <c r="K58" s="0" t="s">
        <v>82</v>
      </c>
    </row>
    <row r="59" outlineLevel="2">
      <c r="A59" s="12" t="s">
        <v>101</v>
      </c>
      <c r="B59" s="0" t="s">
        <v>78</v>
      </c>
      <c r="C59" s="14">
        <v>0.74</v>
      </c>
      <c r="D59" s="14"/>
      <c r="E59" s="14"/>
      <c r="F59" s="14"/>
      <c r="G59" s="14"/>
      <c r="H59" s="0" t="s">
        <v>79</v>
      </c>
      <c r="I59" s="5"/>
      <c r="K59" s="0" t="s">
        <v>88</v>
      </c>
    </row>
    <row r="60" outlineLevel="2">
      <c r="A60" s="12" t="s">
        <v>102</v>
      </c>
      <c r="B60" s="0" t="s">
        <v>78</v>
      </c>
      <c r="C60" s="14">
        <v>740</v>
      </c>
      <c r="D60" s="14"/>
      <c r="E60" s="14"/>
      <c r="F60" s="14"/>
      <c r="G60" s="14"/>
      <c r="H60" s="0" t="s">
        <v>79</v>
      </c>
      <c r="I60" s="5"/>
      <c r="K60" s="0" t="s">
        <v>82</v>
      </c>
    </row>
    <row r="61" outlineLevel="2">
      <c r="A61" s="12" t="s">
        <v>103</v>
      </c>
      <c r="B61" s="0" t="s">
        <v>78</v>
      </c>
      <c r="C61" s="14">
        <v>0.75</v>
      </c>
      <c r="D61" s="14"/>
      <c r="E61" s="14"/>
      <c r="F61" s="14"/>
      <c r="G61" s="14"/>
      <c r="H61" s="0" t="s">
        <v>79</v>
      </c>
      <c r="I61" s="5"/>
      <c r="K61" s="0" t="s">
        <v>88</v>
      </c>
    </row>
    <row r="62" outlineLevel="2">
      <c r="A62" s="12" t="s">
        <v>104</v>
      </c>
      <c r="B62" s="0" t="s">
        <v>78</v>
      </c>
      <c r="C62" s="14" t="s">
        <v>105</v>
      </c>
      <c r="D62" s="14"/>
      <c r="E62" s="14"/>
      <c r="F62" s="14"/>
      <c r="G62" s="14"/>
      <c r="H62" s="0" t="s">
        <v>79</v>
      </c>
      <c r="I62" s="5"/>
      <c r="K62" s="0" t="s">
        <v>80</v>
      </c>
    </row>
    <row r="63" outlineLevel="2">
      <c r="A63" s="12" t="s">
        <v>106</v>
      </c>
      <c r="B63" s="0" t="s">
        <v>78</v>
      </c>
      <c r="C63" s="14" t="s">
        <v>107</v>
      </c>
      <c r="D63" s="14"/>
      <c r="E63" s="14"/>
      <c r="F63" s="14"/>
      <c r="G63" s="14"/>
      <c r="H63" s="0" t="s">
        <v>79</v>
      </c>
      <c r="I63" s="5"/>
      <c r="K63" s="0" t="s">
        <v>88</v>
      </c>
    </row>
    <row r="64" outlineLevel="2">
      <c r="A64" s="12" t="s">
        <v>108</v>
      </c>
      <c r="B64" s="0" t="s">
        <v>78</v>
      </c>
      <c r="C64" s="14" t="s">
        <v>109</v>
      </c>
      <c r="D64" s="14"/>
      <c r="E64" s="14"/>
      <c r="F64" s="14"/>
      <c r="G64" s="14"/>
      <c r="H64" s="0" t="s">
        <v>79</v>
      </c>
      <c r="I64" s="5"/>
      <c r="K64" s="0" t="s">
        <v>110</v>
      </c>
    </row>
    <row r="65" outlineLevel="2">
      <c r="A65" s="12" t="s">
        <v>111</v>
      </c>
      <c r="B65" s="0" t="s">
        <v>78</v>
      </c>
      <c r="C65" s="14">
        <v>0.06</v>
      </c>
      <c r="D65" s="14"/>
      <c r="E65" s="14"/>
      <c r="F65" s="14"/>
      <c r="G65" s="14"/>
      <c r="H65" s="0" t="s">
        <v>79</v>
      </c>
      <c r="I65" s="5"/>
      <c r="K65" s="0" t="s">
        <v>88</v>
      </c>
    </row>
    <row r="66" outlineLevel="2">
      <c r="A66" s="12" t="s">
        <v>112</v>
      </c>
      <c r="B66" s="0" t="s">
        <v>78</v>
      </c>
      <c r="C66" s="14" t="s">
        <v>113</v>
      </c>
      <c r="D66" s="14"/>
      <c r="E66" s="14"/>
      <c r="F66" s="14"/>
      <c r="G66" s="14"/>
      <c r="H66" s="0" t="s">
        <v>79</v>
      </c>
      <c r="I66" s="5"/>
      <c r="K66" s="0" t="s">
        <v>82</v>
      </c>
    </row>
    <row r="67" outlineLevel="2">
      <c r="A67" s="12" t="s">
        <v>114</v>
      </c>
      <c r="B67" s="0" t="s">
        <v>78</v>
      </c>
      <c r="C67" s="14">
        <v>0.71</v>
      </c>
      <c r="D67" s="14"/>
      <c r="E67" s="14"/>
      <c r="F67" s="14"/>
      <c r="G67" s="14"/>
      <c r="H67" s="0" t="s">
        <v>79</v>
      </c>
      <c r="I67" s="5"/>
      <c r="K67" s="0" t="s">
        <v>88</v>
      </c>
    </row>
    <row r="68" outlineLevel="2">
      <c r="A68" s="12" t="s">
        <v>115</v>
      </c>
      <c r="B68" s="0" t="s">
        <v>78</v>
      </c>
      <c r="C68" s="14">
        <v>20</v>
      </c>
      <c r="D68" s="14"/>
      <c r="E68" s="14"/>
      <c r="F68" s="14"/>
      <c r="G68" s="14"/>
      <c r="H68" s="0" t="s">
        <v>79</v>
      </c>
      <c r="I68" s="5"/>
      <c r="K68" s="0" t="s">
        <v>116</v>
      </c>
    </row>
    <row r="69" outlineLevel="1">
      <c r="A69" s="11" t="s">
        <v>117</v>
      </c>
      <c r="I69" s="5"/>
    </row>
    <row r="70" outlineLevel="2">
      <c r="A70" s="15" t="s">
        <v>118</v>
      </c>
      <c r="I70" s="5"/>
    </row>
    <row r="71" outlineLevel="3">
      <c r="A71" s="16" t="s">
        <v>119</v>
      </c>
      <c r="B71" s="0" t="s">
        <v>120</v>
      </c>
      <c r="C71" s="17">
        <v>1620</v>
      </c>
      <c r="D71" s="17"/>
      <c r="E71" s="17"/>
      <c r="F71" s="17"/>
      <c r="G71" s="17"/>
      <c r="I71" s="5"/>
    </row>
    <row r="72" outlineLevel="3">
      <c r="A72" s="16" t="s">
        <v>121</v>
      </c>
      <c r="B72" s="0" t="s">
        <v>120</v>
      </c>
      <c r="C72" s="17">
        <v>1620</v>
      </c>
      <c r="D72" s="17"/>
      <c r="E72" s="17"/>
      <c r="F72" s="17"/>
      <c r="G72" s="17"/>
      <c r="I72" s="5"/>
    </row>
    <row r="73" outlineLevel="3">
      <c r="A73" s="16" t="s">
        <v>122</v>
      </c>
      <c r="B73" s="0" t="s">
        <v>120</v>
      </c>
      <c r="C73" s="17">
        <v>1620</v>
      </c>
      <c r="D73" s="17"/>
      <c r="E73" s="17"/>
      <c r="F73" s="17"/>
      <c r="G73" s="17"/>
      <c r="I73" s="5"/>
    </row>
    <row r="74">
      <c r="I74" s="5"/>
    </row>
    <row r="75" s="1" customFormat="1"/>
  </sheetData>
  <mergeCells>
    <mergeCell ref="A10:A12"/>
    <mergeCell ref="C23:E23"/>
    <mergeCell ref="A23:A24"/>
    <mergeCell ref="B23:B24"/>
    <mergeCell ref="F23:F24"/>
    <mergeCell ref="G23:G24"/>
    <mergeCell ref="H23:H24"/>
    <mergeCell ref="I23:I24"/>
    <mergeCell ref="J23:J24"/>
    <mergeCell ref="K23:K24"/>
    <mergeCell ref="C43:E43"/>
    <mergeCell ref="C44:E44"/>
    <mergeCell ref="C45:E45"/>
    <mergeCell ref="C46:E46"/>
    <mergeCell ref="C47:E47"/>
    <mergeCell ref="C48:E48"/>
    <mergeCell ref="C49:E49"/>
    <mergeCell ref="C50:E50"/>
    <mergeCell ref="C51:E51"/>
    <mergeCell ref="C52:E52"/>
    <mergeCell ref="C53:E53"/>
    <mergeCell ref="C54:E54"/>
    <mergeCell ref="C55:E55"/>
    <mergeCell ref="C56:E56"/>
    <mergeCell ref="C57:E57"/>
    <mergeCell ref="C58:E58"/>
    <mergeCell ref="C59:E59"/>
    <mergeCell ref="C60:E60"/>
    <mergeCell ref="C61:E61"/>
    <mergeCell ref="C62:E62"/>
    <mergeCell ref="C63:E63"/>
    <mergeCell ref="C64:E64"/>
    <mergeCell ref="C65:E65"/>
    <mergeCell ref="C66:E66"/>
    <mergeCell ref="C67:E67"/>
    <mergeCell ref="C68:E68"/>
    <mergeCell ref="C71:E71"/>
    <mergeCell ref="C72:E72"/>
    <mergeCell ref="C73:E73"/>
  </mergeCells>
  <dataValidations count="1">
    <dataValidation type="decimal" sqref="C27" errorStyle="stop" promptTitle="Enter moisture content" errorTitle="Invalid moisture content" prompt="Value should be between 0 and 100.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https://phyllis.nl/Biomass/View/3220</dc:description>
  <dcterms:created xsi:type="dcterms:W3CDTF">2026-03-04T04:07:04Z</dcterms:created>
  <dc:title>Phyllis2 #3220 Seed hemp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