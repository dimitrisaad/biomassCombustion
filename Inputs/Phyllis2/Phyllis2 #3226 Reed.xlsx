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26 Reed" sheetId="1" r:id="rId1"/>
  </sheets>
  <definedNames>
    <definedName name="w" localSheetId="0">IF(ISBLANK('Phyllis2 #3226 Reed'!$C$23),#N/A,'Phyllis2 #3226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<sst xmlns="http://schemas.openxmlformats.org/spreadsheetml/2006/main" count="75" uniqueCount="75">
  <si>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</si>
  <si>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https://phyllis.nl/Biomass/View/3226</t>
  </si>
  <si>
    <t>Reed (#3226)</t>
  </si>
  <si>
    <t>ID-number</t>
  </si>
  <si>
    <t>#3226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</si>
  <si>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</si>
  <si>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</si>
  <si>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</si>
  <si>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</si>
  <si>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</si>
  <si>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</si>
  <si>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</si>
  <si>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Summer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</si>
  <si>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</si>
  <si>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</si>
  <si>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</si>
  <si>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</si>
  <si>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</si>
  <si>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Väike Väin; Linnuse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</si>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</sst>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2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39276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IFERROR(6.5*(1-w),"")</f>
        <v/>
      </c>
      <c r="D24" s="13">
        <v>6.5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IFERROR(75.2*(1-w),"")</f>
        <v/>
      </c>
      <c r="D25" s="13">
        <v>75.2</v>
      </c>
      <c r="E25" s="13">
        <v>80.427807486631011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IFERROR(18.3*(1-w),"")</f>
        <v/>
      </c>
      <c r="D26" s="13">
        <v>18.299999999999997</v>
      </c>
      <c r="E26" s="13">
        <v>19.572192513368979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IFERROR(45.98*(1-w),"")</f>
        <v/>
      </c>
      <c r="D28" s="13">
        <v>45.98</v>
      </c>
      <c r="E28" s="13">
        <v>49.17647058823529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IFERROR(7.93*(1-w),"")</f>
        <v/>
      </c>
      <c r="D29" s="13">
        <v>7.93</v>
      </c>
      <c r="E29" s="13">
        <v>8.4812834224598923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IFERROR(1.55*(1-w),"")</f>
        <v/>
      </c>
      <c r="D30" s="13">
        <v>1.55</v>
      </c>
      <c r="E30" s="13">
        <v>1.6577540106951871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IFERROR(0.14*(1-w),"")</f>
        <v/>
      </c>
      <c r="D31" s="13">
        <v>0.14</v>
      </c>
      <c r="E31" s="13">
        <v>0.14973262032085563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IFERROR(62.1*(1-w)+w*100,"")</f>
        <v/>
      </c>
      <c r="D32" s="13">
        <v>62.099999999999994</v>
      </c>
      <c r="E32" s="13">
        <v>59.465240641711219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IFERROR(18.69*(1-w),"")</f>
        <v/>
      </c>
      <c r="D34" s="13">
        <v>18.69</v>
      </c>
      <c r="E34" s="13">
        <v>19.989304812834224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320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1546.07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122.75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15409.56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1395.4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1837.4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12035.6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750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>
        <v>865</v>
      </c>
      <c r="D46" s="17"/>
      <c r="E46" s="17"/>
      <c r="F46" s="17"/>
      <c r="G46" s="17"/>
      <c r="I46" s="5"/>
    </row>
    <row r="47" outlineLevel="3">
      <c r="A47" s="16" t="s">
        <v>73</v>
      </c>
      <c r="B47" s="0" t="s">
        <v>71</v>
      </c>
      <c r="C47" s="17">
        <v>990</v>
      </c>
      <c r="D47" s="17"/>
      <c r="E47" s="17"/>
      <c r="F47" s="17"/>
      <c r="G47" s="17"/>
      <c r="I47" s="5"/>
    </row>
    <row r="48" outlineLevel="3">
      <c r="A48" s="16" t="s">
        <v>74</v>
      </c>
      <c r="B48" s="0" t="s">
        <v>71</v>
      </c>
      <c r="C48" s="17">
        <v>1070</v>
      </c>
      <c r="D48" s="17"/>
      <c r="E48" s="17"/>
      <c r="F48" s="17"/>
      <c r="G48" s="17"/>
      <c r="I48" s="5"/>
    </row>
    <row r="49">
      <c r="I49" s="5"/>
    </row>
    <row r="50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https://phyllis.nl/Biomass/View/3226</dc:description>
  <dcterms:created xsi:type="dcterms:W3CDTF">2026-03-04T04:35:12Z</dcterms:created>
  <dc:title>Phyllis2 #3226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