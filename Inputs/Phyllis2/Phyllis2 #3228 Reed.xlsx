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8 Reed" sheetId="1" r:id="rId1"/>
  </sheets>
  <definedNames>
    <definedName name="w" localSheetId="0">IF(ISBLANK('Phyllis2 #3228 Reed'!$C$23),#N/A,'Phyllis2 #3228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<sst xmlns="http://schemas.openxmlformats.org/spreadsheetml/2006/main" count="75" uniqueCount="75">
  <si>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</si>
  <si>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https://phyllis.nl/Biomass/View/3228</t>
  </si>
  <si>
    <t>Reed (#3228)</t>
  </si>
  <si>
    <t>ID-number</t>
  </si>
  <si>
    <t>#3228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</si>
  <si>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</si>
  <si>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</si>
  <si>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</si>
  <si>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</si>
  <si>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</si>
  <si>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</si>
  <si>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</si>
  <si>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</si>
  <si>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</si>
  <si>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</si>
  <si>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</si>
  <si>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</si>
  <si>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</si>
  <si>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Matsalu RP; Kiideva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</si>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</sst>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39280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IFERROR(7.4*(1-w),"")</f>
        <v/>
      </c>
      <c r="D24" s="13">
        <v>7.4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IFERROR(74.7*(1-w),"")</f>
        <v/>
      </c>
      <c r="D25" s="13">
        <v>74.7</v>
      </c>
      <c r="E25" s="13">
        <v>80.6695464362851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IFERROR(17.9*(1-w),"")</f>
        <v/>
      </c>
      <c r="D26" s="13">
        <v>17.899999999999991</v>
      </c>
      <c r="E26" s="13">
        <v>19.330453563714894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IFERROR(45.95*(1-w),"")</f>
        <v/>
      </c>
      <c r="D28" s="13">
        <v>45.95</v>
      </c>
      <c r="E28" s="13">
        <v>49.622030237581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IFERROR(7.81*(1-w),"")</f>
        <v/>
      </c>
      <c r="D29" s="13">
        <v>7.81</v>
      </c>
      <c r="E29" s="13">
        <v>8.4341252699784022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IFERROR(1.52*(1-w),"")</f>
        <v/>
      </c>
      <c r="D30" s="13">
        <v>1.52</v>
      </c>
      <c r="E30" s="13">
        <v>1.6414686825053997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IFERROR(0.19*(1-w),"")</f>
        <v/>
      </c>
      <c r="D31" s="13">
        <v>0.19</v>
      </c>
      <c r="E31" s="13">
        <v>0.20518358531317496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IFERROR(62.87*(1-w)+w*100,"")</f>
        <v/>
      </c>
      <c r="D32" s="13">
        <v>62.870000000000005</v>
      </c>
      <c r="E32" s="13">
        <v>59.90280777537798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IFERROR(18.73*(1-w),"")</f>
        <v/>
      </c>
      <c r="D34" s="13">
        <v>18.73</v>
      </c>
      <c r="E34" s="13">
        <v>20.226781857451407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243</v>
      </c>
      <c r="D36" s="14"/>
      <c r="E36" s="14"/>
      <c r="F36" s="14"/>
      <c r="G36" s="14"/>
      <c r="I36" s="5"/>
    </row>
    <row r="37" outlineLevel="2">
      <c r="A37" s="12" t="s">
        <v>62</v>
      </c>
      <c r="B37" s="0" t="s">
        <v>61</v>
      </c>
      <c r="C37" s="14">
        <v>1834.14</v>
      </c>
      <c r="D37" s="14"/>
      <c r="E37" s="14"/>
      <c r="F37" s="14"/>
      <c r="G37" s="14"/>
      <c r="I37" s="5"/>
    </row>
    <row r="38" outlineLevel="2">
      <c r="A38" s="12" t="s">
        <v>63</v>
      </c>
      <c r="B38" s="0" t="s">
        <v>61</v>
      </c>
      <c r="C38" s="14">
        <v>129.4</v>
      </c>
      <c r="D38" s="14"/>
      <c r="E38" s="14"/>
      <c r="F38" s="14"/>
      <c r="G38" s="14"/>
      <c r="I38" s="5"/>
    </row>
    <row r="39" outlineLevel="2">
      <c r="A39" s="12" t="s">
        <v>64</v>
      </c>
      <c r="B39" s="0" t="s">
        <v>61</v>
      </c>
      <c r="C39" s="14">
        <v>17874.78</v>
      </c>
      <c r="D39" s="14"/>
      <c r="E39" s="14"/>
      <c r="F39" s="14"/>
      <c r="G39" s="14"/>
      <c r="I39" s="5"/>
    </row>
    <row r="40" outlineLevel="2">
      <c r="A40" s="12" t="s">
        <v>65</v>
      </c>
      <c r="B40" s="0" t="s">
        <v>61</v>
      </c>
      <c r="C40" s="14">
        <v>1646.63</v>
      </c>
      <c r="D40" s="14"/>
      <c r="E40" s="14"/>
      <c r="F40" s="14"/>
      <c r="G40" s="14"/>
      <c r="I40" s="5"/>
    </row>
    <row r="41" outlineLevel="2">
      <c r="A41" s="12" t="s">
        <v>66</v>
      </c>
      <c r="B41" s="0" t="s">
        <v>61</v>
      </c>
      <c r="C41" s="14">
        <v>1131.01</v>
      </c>
      <c r="D41" s="14"/>
      <c r="E41" s="14"/>
      <c r="F41" s="14"/>
      <c r="G41" s="14"/>
      <c r="I41" s="5"/>
    </row>
    <row r="42" outlineLevel="2">
      <c r="A42" s="12" t="s">
        <v>67</v>
      </c>
      <c r="B42" s="0" t="s">
        <v>61</v>
      </c>
      <c r="C42" s="14">
        <v>13760.87</v>
      </c>
      <c r="D42" s="14"/>
      <c r="E42" s="14"/>
      <c r="F42" s="14"/>
      <c r="G42" s="14"/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705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800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1040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1150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https://phyllis.nl/Biomass/View/3228</dc:description>
  <dcterms:created xsi:type="dcterms:W3CDTF">2026-03-04T04:35:19Z</dcterms:created>
  <dc:title>Phyllis2 #3228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