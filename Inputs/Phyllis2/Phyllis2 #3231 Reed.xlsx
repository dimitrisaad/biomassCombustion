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31 Reed" sheetId="1" r:id="rId1"/>
  </sheets>
  <definedNames>
    <definedName name="w" localSheetId="0">IF(ISBLANK('Phyllis2 #3231 Reed'!$C$23),#N/A,'Phyllis2 #3231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<sst xmlns="http://schemas.openxmlformats.org/spreadsheetml/2006/main" count="75" uniqueCount="75">
  <si>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</si>
  <si>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https://phyllis.nl/Biomass/View/3231</t>
  </si>
  <si>
    <t>Reed (#3231)</t>
  </si>
  <si>
    <t>ID-number</t>
  </si>
  <si>
    <t>#3231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</si>
  <si>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</si>
  <si>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</si>
  <si>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</si>
  <si>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</si>
  <si>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</si>
  <si>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</si>
  <si>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</si>
  <si>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Summer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</si>
  <si>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</si>
  <si>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</si>
  <si>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</si>
  <si>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</si>
  <si>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</si>
  <si>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Haapsalu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</si>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</sst>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3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39280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IFERROR(6.2*(1-w),"")</f>
        <v/>
      </c>
      <c r="D24" s="13">
        <v>6.2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IFERROR(75.7*(1-w),"")</f>
        <v/>
      </c>
      <c r="D25" s="13">
        <v>75.7</v>
      </c>
      <c r="E25" s="13">
        <v>80.7036247334755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IFERROR(18.1*(1-w),"")</f>
        <v/>
      </c>
      <c r="D26" s="13">
        <v>18.099999999999994</v>
      </c>
      <c r="E26" s="13">
        <v>19.296375266524514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IFERROR(46.44*(1-w),"")</f>
        <v/>
      </c>
      <c r="D28" s="13">
        <v>46.44</v>
      </c>
      <c r="E28" s="13">
        <v>49.50959488272921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IFERROR(8.56*(1-w),"")</f>
        <v/>
      </c>
      <c r="D29" s="13">
        <v>8.56</v>
      </c>
      <c r="E29" s="13">
        <v>9.12579957356077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IFERROR(1.56*(1-w),"")</f>
        <v/>
      </c>
      <c r="D30" s="13">
        <v>1.56</v>
      </c>
      <c r="E30" s="13">
        <v>1.6631130063965887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IFERROR(0.15*(1-w),"")</f>
        <v/>
      </c>
      <c r="D31" s="13">
        <v>0.15</v>
      </c>
      <c r="E31" s="13">
        <v>0.15991471215351813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IFERROR(62.91*(1-w)+w*100,"")</f>
        <v/>
      </c>
      <c r="D32" s="13">
        <v>62.910000000000004</v>
      </c>
      <c r="E32" s="13">
        <v>60.458422174840088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IFERROR(18.81*(1-w),"")</f>
        <v/>
      </c>
      <c r="D34" s="13">
        <v>18.81</v>
      </c>
      <c r="E34" s="13">
        <v>20.053304904051174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315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1713.86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104.08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17810.89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1170.23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777.4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10115.02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665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>
        <v>915</v>
      </c>
      <c r="D46" s="17"/>
      <c r="E46" s="17"/>
      <c r="F46" s="17"/>
      <c r="G46" s="17"/>
      <c r="I46" s="5"/>
    </row>
    <row r="47" outlineLevel="3">
      <c r="A47" s="16" t="s">
        <v>73</v>
      </c>
      <c r="B47" s="0" t="s">
        <v>71</v>
      </c>
      <c r="C47" s="17">
        <v>1010</v>
      </c>
      <c r="D47" s="17"/>
      <c r="E47" s="17"/>
      <c r="F47" s="17"/>
      <c r="G47" s="17"/>
      <c r="I47" s="5"/>
    </row>
    <row r="48" outlineLevel="3">
      <c r="A48" s="16" t="s">
        <v>74</v>
      </c>
      <c r="B48" s="0" t="s">
        <v>71</v>
      </c>
      <c r="C48" s="17">
        <v>1070</v>
      </c>
      <c r="D48" s="17"/>
      <c r="E48" s="17"/>
      <c r="F48" s="17"/>
      <c r="G48" s="17"/>
      <c r="I48" s="5"/>
    </row>
    <row r="49">
      <c r="I49" s="5"/>
    </row>
    <row r="50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https://phyllis.nl/Biomass/View/3231</dc:description>
  <dcterms:created xsi:type="dcterms:W3CDTF">2026-03-04T04:35:30Z</dcterms:created>
  <dc:title>Phyllis2 #3231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