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32 Reed" sheetId="1" r:id="rId1"/>
  </sheets>
  <definedNames>
    <definedName name="w" localSheetId="0">IF(ISBLANK('Phyllis2 #3232 Reed'!$C$23),#N/A,'Phyllis2 #3232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<sst xmlns="http://schemas.openxmlformats.org/spreadsheetml/2006/main" count="75" uniqueCount="75">
  <si>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</si>
  <si>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https://phyllis.nl/Biomass/View/3232</t>
  </si>
  <si>
    <t>Reed (#3232)</t>
  </si>
  <si>
    <t>ID-number</t>
  </si>
  <si>
    <t>#3232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</si>
  <si>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</si>
  <si>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</si>
  <si>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</si>
  <si>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</si>
  <si>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</si>
  <si>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</si>
  <si>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</si>
  <si>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Summer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</si>
  <si>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</si>
  <si>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</si>
  <si>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</si>
  <si>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</si>
  <si>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</si>
  <si>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Hiiumaa; Orjaku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</si>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</sst>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3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39298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IFERROR(7.1*(1-w),"")</f>
        <v/>
      </c>
      <c r="D24" s="13">
        <v>7.1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IFERROR(74.3*(1-w),"")</f>
        <v/>
      </c>
      <c r="D25" s="13">
        <v>74.3</v>
      </c>
      <c r="E25" s="13">
        <v>79.97847147470398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IFERROR(18.6*(1-w),"")</f>
        <v/>
      </c>
      <c r="D26" s="13">
        <v>18.600000000000009</v>
      </c>
      <c r="E26" s="13">
        <v>20.021528525296027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IFERROR(47.03*(1-w),"")</f>
        <v/>
      </c>
      <c r="D28" s="13">
        <v>47.03</v>
      </c>
      <c r="E28" s="13">
        <v>50.624327233584495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IFERROR(5.74*(1-w),"")</f>
        <v/>
      </c>
      <c r="D29" s="13">
        <v>5.74</v>
      </c>
      <c r="E29" s="13">
        <v>6.1786867599569426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IFERROR(1.28*(1-w),"")</f>
        <v/>
      </c>
      <c r="D30" s="13">
        <v>1.28</v>
      </c>
      <c r="E30" s="13">
        <v>1.3778256189451021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IFERROR(0.19*(1-w),"")</f>
        <v/>
      </c>
      <c r="D31" s="13">
        <v>0.19</v>
      </c>
      <c r="E31" s="13">
        <v>0.20452099031216361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IFERROR(61.34*(1-w)+w*100,"")</f>
        <v/>
      </c>
      <c r="D32" s="13">
        <v>61.34</v>
      </c>
      <c r="E32" s="13">
        <v>58.385360602798706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IFERROR(18.65*(1-w),"")</f>
        <v/>
      </c>
      <c r="D34" s="13">
        <v>18.65</v>
      </c>
      <c r="E34" s="13">
        <v>20.075349838536059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370</v>
      </c>
      <c r="D36" s="14"/>
      <c r="E36" s="14"/>
      <c r="F36" s="14"/>
      <c r="G36" s="14"/>
      <c r="H36" s="0" t="s">
        <v>43</v>
      </c>
      <c r="I36" s="5"/>
    </row>
    <row r="37" outlineLevel="2">
      <c r="A37" s="12" t="s">
        <v>62</v>
      </c>
      <c r="B37" s="0" t="s">
        <v>61</v>
      </c>
      <c r="C37" s="14">
        <v>1782</v>
      </c>
      <c r="D37" s="14"/>
      <c r="E37" s="14"/>
      <c r="F37" s="14"/>
      <c r="G37" s="14"/>
      <c r="H37" s="0" t="s">
        <v>43</v>
      </c>
      <c r="I37" s="5"/>
    </row>
    <row r="38" outlineLevel="2">
      <c r="A38" s="12" t="s">
        <v>63</v>
      </c>
      <c r="B38" s="0" t="s">
        <v>61</v>
      </c>
      <c r="C38" s="14">
        <v>120.02</v>
      </c>
      <c r="D38" s="14"/>
      <c r="E38" s="14"/>
      <c r="F38" s="14"/>
      <c r="G38" s="14"/>
      <c r="H38" s="0" t="s">
        <v>43</v>
      </c>
      <c r="I38" s="5"/>
    </row>
    <row r="39" outlineLevel="2">
      <c r="A39" s="12" t="s">
        <v>64</v>
      </c>
      <c r="B39" s="0" t="s">
        <v>61</v>
      </c>
      <c r="C39" s="14">
        <v>14036.51</v>
      </c>
      <c r="D39" s="14"/>
      <c r="E39" s="14"/>
      <c r="F39" s="14"/>
      <c r="G39" s="14"/>
      <c r="H39" s="0" t="s">
        <v>43</v>
      </c>
      <c r="I39" s="5"/>
    </row>
    <row r="40" outlineLevel="2">
      <c r="A40" s="12" t="s">
        <v>65</v>
      </c>
      <c r="B40" s="0" t="s">
        <v>61</v>
      </c>
      <c r="C40" s="14">
        <v>1249.71</v>
      </c>
      <c r="D40" s="14"/>
      <c r="E40" s="14"/>
      <c r="F40" s="14"/>
      <c r="G40" s="14"/>
      <c r="H40" s="0" t="s">
        <v>43</v>
      </c>
      <c r="I40" s="5"/>
    </row>
    <row r="41" outlineLevel="2">
      <c r="A41" s="12" t="s">
        <v>66</v>
      </c>
      <c r="B41" s="0" t="s">
        <v>61</v>
      </c>
      <c r="C41" s="14">
        <v>1997.88</v>
      </c>
      <c r="D41" s="14"/>
      <c r="E41" s="14"/>
      <c r="F41" s="14"/>
      <c r="G41" s="14"/>
      <c r="H41" s="0" t="s">
        <v>43</v>
      </c>
      <c r="I41" s="5"/>
    </row>
    <row r="42" outlineLevel="2">
      <c r="A42" s="12" t="s">
        <v>67</v>
      </c>
      <c r="B42" s="0" t="s">
        <v>61</v>
      </c>
      <c r="C42" s="14">
        <v>13519.66</v>
      </c>
      <c r="D42" s="14"/>
      <c r="E42" s="14"/>
      <c r="F42" s="14"/>
      <c r="G42" s="14"/>
      <c r="H42" s="0" t="s">
        <v>43</v>
      </c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670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>
        <v>875</v>
      </c>
      <c r="D46" s="17"/>
      <c r="E46" s="17"/>
      <c r="F46" s="17"/>
      <c r="G46" s="17"/>
      <c r="I46" s="5"/>
    </row>
    <row r="47" outlineLevel="3">
      <c r="A47" s="16" t="s">
        <v>73</v>
      </c>
      <c r="B47" s="0" t="s">
        <v>71</v>
      </c>
      <c r="C47" s="17">
        <v>1040</v>
      </c>
      <c r="D47" s="17"/>
      <c r="E47" s="17"/>
      <c r="F47" s="17"/>
      <c r="G47" s="17"/>
      <c r="I47" s="5"/>
    </row>
    <row r="48" outlineLevel="3">
      <c r="A48" s="16" t="s">
        <v>74</v>
      </c>
      <c r="B48" s="0" t="s">
        <v>71</v>
      </c>
      <c r="C48" s="17">
        <v>1090</v>
      </c>
      <c r="D48" s="17"/>
      <c r="E48" s="17"/>
      <c r="F48" s="17"/>
      <c r="G48" s="17"/>
      <c r="I48" s="5"/>
    </row>
    <row r="49">
      <c r="I49" s="5"/>
    </row>
    <row r="50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  <mergeCell ref="C47:E47"/>
    <mergeCell ref="C48:E48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https://phyllis.nl/Biomass/View/3232</dc:description>
  <dcterms:created xsi:type="dcterms:W3CDTF">2026-03-04T04:35:34Z</dcterms:created>
  <dc:title>Phyllis2 #3232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