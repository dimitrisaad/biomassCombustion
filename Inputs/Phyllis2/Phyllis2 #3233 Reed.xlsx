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3 Reed" sheetId="1" r:id="rId1"/>
  </sheets>
  <definedNames>
    <definedName name="w" localSheetId="0">IF(ISBLANK('Phyllis2 #3233 Reed'!$C$23),#N/A,'Phyllis2 #3233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<sst xmlns="http://schemas.openxmlformats.org/spreadsheetml/2006/main" count="75" uniqueCount="75">
  <si>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</si>
  <si>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https://phyllis.nl/Biomass/View/3233</t>
  </si>
  <si>
    <t>Reed (#3233)</t>
  </si>
  <si>
    <t>ID-number</t>
  </si>
  <si>
    <t>#3233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</si>
  <si>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</si>
  <si>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</si>
  <si>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</si>
  <si>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</si>
  <si>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</si>
  <si>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</si>
  <si>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</si>
  <si>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</si>
  <si>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</si>
  <si>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</si>
  <si>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</si>
  <si>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</si>
  <si>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</si>
  <si>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Võrtsijärv; Vaibla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</si>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</sst>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39278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IFERROR(5.8*(1-w),"")</f>
        <v/>
      </c>
      <c r="D24" s="13">
        <v>5.8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IFERROR(76.8*(1-w),"")</f>
        <v/>
      </c>
      <c r="D25" s="13">
        <v>76.8</v>
      </c>
      <c r="E25" s="13">
        <v>81.528662420382162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IFERROR(17.4*(1-w),"")</f>
        <v/>
      </c>
      <c r="D26" s="13">
        <v>17.400000000000006</v>
      </c>
      <c r="E26" s="13">
        <v>18.471337579617842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IFERROR(47.14*(1-w),"")</f>
        <v/>
      </c>
      <c r="D28" s="13">
        <v>47.14</v>
      </c>
      <c r="E28" s="13">
        <v>50.042462845010618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IFERROR(5.63*(1-w),"")</f>
        <v/>
      </c>
      <c r="D29" s="13">
        <v>5.63</v>
      </c>
      <c r="E29" s="13">
        <v>5.9766454352441611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IFERROR(1.4*(1-w),"")</f>
        <v/>
      </c>
      <c r="D30" s="13">
        <v>1.4</v>
      </c>
      <c r="E30" s="13">
        <v>1.4861995753715498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IFERROR(0.21*(1-w),"")</f>
        <v/>
      </c>
      <c r="D31" s="13">
        <v>0.21</v>
      </c>
      <c r="E31" s="13">
        <v>0.22292993630573249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IFERROR(60.18*(1-w)+w*100,"")</f>
        <v/>
      </c>
      <c r="D32" s="13">
        <v>60.18</v>
      </c>
      <c r="E32" s="13">
        <v>57.728237791932067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IFERROR(18.65*(1-w),"")</f>
        <v/>
      </c>
      <c r="D34" s="13">
        <v>18.65</v>
      </c>
      <c r="E34" s="13">
        <v>19.798301486199573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519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3057.43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146.04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10929.79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1168.18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645.48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13141.67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740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890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1030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1080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https://phyllis.nl/Biomass/View/3233</dc:description>
  <dcterms:created xsi:type="dcterms:W3CDTF">2026-03-04T04:35:38Z</dcterms:created>
  <dc:title>Phyllis2 #3233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