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4 Reed" sheetId="1" r:id="rId1"/>
  </sheets>
  <definedNames>
    <definedName name="w" localSheetId="0">IF(ISBLANK('Phyllis2 #3234 Reed'!$C$23),#N/A,'Phyllis2 #3234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<sst xmlns="http://schemas.openxmlformats.org/spreadsheetml/2006/main" count="74" uniqueCount="74">
  <si>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</si>
  <si>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https://phyllis.nl/Biomass/View/3234</t>
  </si>
  <si>
    <t>Reed (#3234)</t>
  </si>
  <si>
    <t>ID-number</t>
  </si>
  <si>
    <t>#3234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</si>
  <si>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</si>
  <si>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</si>
  <si>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</si>
  <si>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</si>
  <si>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</si>
  <si>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</si>
  <si>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</si>
  <si>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</si>
  <si>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</si>
  <si>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</si>
  <si>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</si>
  <si>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</si>
  <si>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</si>
  <si>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Peipsi lake; Popovitsa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</si>
  <si>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</si>
  <si>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</si>
  <si>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</si>
  <si>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</si>
  <si>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</si>
  <si>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</si>
  <si>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</si>
  <si>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</si>
  <si>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</si>
  <si>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</si>
  <si>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</si>
  <si>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</si>
  <si>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</si>
  <si>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</si>
  <si>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</si>
  <si>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</si>
  <si>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</si>
  <si>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</si>
  <si>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</si>
  <si>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</si>
  <si>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</si>
  <si>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</si>
  <si>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</si>
  <si>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</si>
  <si>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</si>
  <si>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</si>
  <si>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</si>
  <si>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</si>
  <si>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</si>
  <si>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</si>
  <si>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</si>
  <si>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</si>
  <si>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</si>
  <si>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</si>
  <si>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</si>
  <si>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</si>
  <si>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</si>
  <si>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</si>
  <si>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</si>
  <si>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</si>
  <si>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</si>
  <si>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</si>
  <si>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</si>
  <si>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</si>
  <si>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</si>
  <si>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</si>
  <si>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</si>
  <si>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</si>
  <si>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</si>
  <si>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</si>
  <si>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</si>
  <si>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</si>
  <si>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</si>
  <si>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</si>
  <si>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&gt;1350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</si>
</sst>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39199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IFERROR(3.8*(1-w),"")</f>
        <v/>
      </c>
      <c r="D24" s="13">
        <v>3.8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IFERROR(83.1*(1-w),"")</f>
        <v/>
      </c>
      <c r="D25" s="13">
        <v>83.1</v>
      </c>
      <c r="E25" s="13">
        <v>86.382536382536387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IFERROR(13.1*(1-w),"")</f>
        <v/>
      </c>
      <c r="D26" s="13">
        <v>13.100000000000009</v>
      </c>
      <c r="E26" s="13">
        <v>13.617463617463628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IFERROR(46.92*(1-w),"")</f>
        <v/>
      </c>
      <c r="D28" s="13">
        <v>46.92</v>
      </c>
      <c r="E28" s="13">
        <v>48.773388773388774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IFERROR(7.34*(1-w),"")</f>
        <v/>
      </c>
      <c r="D29" s="13">
        <v>7.34</v>
      </c>
      <c r="E29" s="13">
        <v>7.62993762993763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IFERROR(0.24*(1-w),"")</f>
        <v/>
      </c>
      <c r="D30" s="13">
        <v>0.24</v>
      </c>
      <c r="E30" s="13">
        <v>0.24948024948024947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IFERROR(0.04*(1-w),"")</f>
        <v/>
      </c>
      <c r="D31" s="13">
        <v>0.04</v>
      </c>
      <c r="E31" s="13">
        <v>0.041580041580041582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IFERROR(58.34*(1-w)+w*100,"")</f>
        <v/>
      </c>
      <c r="D32" s="13">
        <v>58.34</v>
      </c>
      <c r="E32" s="13">
        <v>56.6943866943867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IFERROR(18.23*(1-w),"")</f>
        <v/>
      </c>
      <c r="D34" s="13">
        <v>18.23</v>
      </c>
      <c r="E34" s="13">
        <v>18.950103950103951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191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1199.71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183.39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1154.07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151.24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259.38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15415.33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1050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 t="s">
        <v>73</v>
      </c>
      <c r="D46" s="17"/>
      <c r="E46" s="17"/>
      <c r="F46" s="17"/>
      <c r="G46" s="17"/>
      <c r="I46" s="5"/>
    </row>
    <row r="47">
      <c r="I47" s="5"/>
    </row>
    <row r="48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https://phyllis.nl/Biomass/View/3234</dc:description>
  <dcterms:created xsi:type="dcterms:W3CDTF">2026-03-04T04:35:40Z</dcterms:created>
  <dc:title>Phyllis2 #3234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