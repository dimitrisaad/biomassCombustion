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6 Reed" sheetId="1" r:id="rId1"/>
  </sheets>
  <definedNames>
    <definedName name="w" localSheetId="0">IF(ISBLANK('Phyllis2 #3236 Reed'!$C$23),#N/A,'Phyllis2 #3236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<sst xmlns="http://schemas.openxmlformats.org/spreadsheetml/2006/main" count="73" uniqueCount="73">
  <si>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</si>
  <si>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https://phyllis.nl/Biomass/View/3236</t>
  </si>
  <si>
    <t>Reed (#3236)</t>
  </si>
  <si>
    <t>ID-number</t>
  </si>
  <si>
    <t>#3236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</si>
  <si>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</si>
  <si>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</si>
  <si>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</si>
  <si>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</si>
  <si>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</si>
  <si>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</si>
  <si>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</si>
  <si>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</si>
  <si>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</si>
  <si>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</si>
  <si>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</si>
  <si>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</si>
  <si>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</si>
  <si>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Väike Väin; Linnuse, Pöide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</si>
  <si>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</si>
  <si>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</si>
  <si>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</si>
  <si>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</si>
  <si>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</si>
  <si>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</si>
  <si>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</si>
  <si>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</si>
  <si>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</si>
  <si>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</si>
  <si>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</si>
  <si>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</si>
  <si>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</si>
  <si>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</si>
  <si>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</si>
  <si>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</si>
  <si>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</si>
  <si>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</si>
  <si>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</si>
  <si>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</si>
  <si>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</si>
  <si>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</si>
  <si>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</si>
  <si>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</si>
  <si>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</si>
  <si>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</si>
  <si>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</si>
  <si>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</si>
  <si>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</si>
  <si>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</si>
  <si>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</si>
  <si>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</si>
  <si>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</si>
  <si>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</si>
  <si>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</si>
  <si>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</si>
  <si>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</si>
  <si>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</si>
  <si>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</si>
  <si>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</si>
  <si>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</si>
  <si>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</si>
  <si>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</si>
  <si>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</si>
  <si>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</si>
  <si>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</si>
  <si>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</si>
  <si>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</si>
  <si>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</si>
  <si>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</si>
  <si>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</si>
  <si>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</si>
  <si>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</si>
  <si>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&gt;1350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</si>
</sst>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39204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IFERROR(3.5*(1-w),"")</f>
        <v/>
      </c>
      <c r="D24" s="13">
        <v>3.5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IFERROR(83.6*(1-w),"")</f>
        <v/>
      </c>
      <c r="D25" s="13">
        <v>83.6</v>
      </c>
      <c r="E25" s="13">
        <v>86.6321243523316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IFERROR(12.9*(1-w),"")</f>
        <v/>
      </c>
      <c r="D26" s="13">
        <v>12.900000000000006</v>
      </c>
      <c r="E26" s="13">
        <v>13.3678756476684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IFERROR(46.43*(1-w),"")</f>
        <v/>
      </c>
      <c r="D28" s="13">
        <v>46.43</v>
      </c>
      <c r="E28" s="13">
        <v>48.1139896373057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IFERROR(7.29*(1-w),"")</f>
        <v/>
      </c>
      <c r="D29" s="13">
        <v>7.29</v>
      </c>
      <c r="E29" s="13">
        <v>7.55440414507772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IFERROR(0.26*(1-w),"")</f>
        <v/>
      </c>
      <c r="D30" s="13">
        <v>0.26</v>
      </c>
      <c r="E30" s="13">
        <v>0.26943005181347152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IFERROR(0.02*(1-w),"")</f>
        <v/>
      </c>
      <c r="D31" s="13">
        <v>0.02</v>
      </c>
      <c r="E31" s="13">
        <v>0.02072538860103627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IFERROR(57.5*(1-w)+w*100,"")</f>
        <v/>
      </c>
      <c r="D32" s="13">
        <v>57.5</v>
      </c>
      <c r="E32" s="13">
        <v>55.958549222797927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IFERROR(18.28*(1-w),"")</f>
        <v/>
      </c>
      <c r="D34" s="13">
        <v>18.28</v>
      </c>
      <c r="E34" s="13">
        <v>18.943005181347154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202</v>
      </c>
      <c r="D36" s="14"/>
      <c r="E36" s="14"/>
      <c r="F36" s="14"/>
      <c r="G36" s="14"/>
      <c r="I36" s="5"/>
    </row>
    <row r="37" outlineLevel="2">
      <c r="A37" s="12" t="s">
        <v>62</v>
      </c>
      <c r="B37" s="0" t="s">
        <v>61</v>
      </c>
      <c r="C37" s="14">
        <v>1265</v>
      </c>
      <c r="D37" s="14"/>
      <c r="E37" s="14"/>
      <c r="F37" s="14"/>
      <c r="G37" s="14"/>
      <c r="I37" s="5"/>
    </row>
    <row r="38" outlineLevel="2">
      <c r="A38" s="12" t="s">
        <v>63</v>
      </c>
      <c r="B38" s="0" t="s">
        <v>61</v>
      </c>
      <c r="C38" s="14">
        <v>80.78</v>
      </c>
      <c r="D38" s="14"/>
      <c r="E38" s="14"/>
      <c r="F38" s="14"/>
      <c r="G38" s="14"/>
      <c r="I38" s="5"/>
    </row>
    <row r="39" outlineLevel="2">
      <c r="A39" s="12" t="s">
        <v>64</v>
      </c>
      <c r="B39" s="0" t="s">
        <v>61</v>
      </c>
      <c r="C39" s="14">
        <v>551.81</v>
      </c>
      <c r="D39" s="14"/>
      <c r="E39" s="14"/>
      <c r="F39" s="14"/>
      <c r="G39" s="14"/>
      <c r="I39" s="5"/>
    </row>
    <row r="40" outlineLevel="2">
      <c r="A40" s="12" t="s">
        <v>65</v>
      </c>
      <c r="B40" s="0" t="s">
        <v>61</v>
      </c>
      <c r="C40" s="14">
        <v>455.89</v>
      </c>
      <c r="D40" s="14"/>
      <c r="E40" s="14"/>
      <c r="F40" s="14"/>
      <c r="G40" s="14"/>
      <c r="I40" s="5"/>
    </row>
    <row r="41" outlineLevel="2">
      <c r="A41" s="12" t="s">
        <v>66</v>
      </c>
      <c r="B41" s="0" t="s">
        <v>61</v>
      </c>
      <c r="C41" s="14">
        <v>394.71</v>
      </c>
      <c r="D41" s="14"/>
      <c r="E41" s="14"/>
      <c r="F41" s="14"/>
      <c r="G41" s="14"/>
      <c r="I41" s="5"/>
    </row>
    <row r="42" outlineLevel="2">
      <c r="A42" s="12" t="s">
        <v>67</v>
      </c>
      <c r="B42" s="0" t="s">
        <v>61</v>
      </c>
      <c r="C42" s="14">
        <v>14047.8</v>
      </c>
      <c r="D42" s="14"/>
      <c r="E42" s="14"/>
      <c r="F42" s="14"/>
      <c r="G42" s="14"/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 t="s">
        <v>72</v>
      </c>
      <c r="D45" s="17"/>
      <c r="E45" s="17"/>
      <c r="F45" s="17"/>
      <c r="G45" s="17"/>
      <c r="I45" s="5"/>
    </row>
    <row r="46">
      <c r="I46" s="5"/>
    </row>
    <row r="47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https://phyllis.nl/Biomass/View/3236</dc:description>
  <dcterms:created xsi:type="dcterms:W3CDTF">2026-03-04T04:35:48Z</dcterms:created>
  <dc:title>Phyllis2 #3236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