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39 Reed" sheetId="1" r:id="rId1"/>
  </sheets>
  <definedNames>
    <definedName name="w" localSheetId="0">IF(ISBLANK('Phyllis2 #3239 Reed'!$C$23),#N/A,'Phyllis2 #3239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<sst xmlns="http://schemas.openxmlformats.org/spreadsheetml/2006/main" count="75" uniqueCount="75">
  <si>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</si>
  <si>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https://phyllis.nl/Biomass/View/3239</t>
  </si>
  <si>
    <t>Reed (#3239)</t>
  </si>
  <si>
    <t>ID-number</t>
  </si>
  <si>
    <t>#3239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</si>
  <si>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</si>
  <si>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</si>
  <si>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</si>
  <si>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</si>
  <si>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</si>
  <si>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</si>
  <si>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</si>
  <si>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Winter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</si>
  <si>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</si>
  <si>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</si>
  <si>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</si>
  <si>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</si>
  <si>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</si>
  <si>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Pärnu; Pulgoja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</si>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</sst>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39190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IFERROR(2.6*(1-w),"")</f>
        <v/>
      </c>
      <c r="D24" s="13">
        <v>2.6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IFERROR(81.6*(1-w),"")</f>
        <v/>
      </c>
      <c r="D25" s="13">
        <v>81.6</v>
      </c>
      <c r="E25" s="13">
        <v>83.778234086242293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IFERROR(15.8*(1-w),"")</f>
        <v/>
      </c>
      <c r="D26" s="13">
        <v>15.800000000000011</v>
      </c>
      <c r="E26" s="13">
        <v>16.221765913757711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IFERROR(47.26*(1-w),"")</f>
        <v/>
      </c>
      <c r="D28" s="13">
        <v>47.26</v>
      </c>
      <c r="E28" s="13">
        <v>48.521560574948666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IFERROR(7.19*(1-w),"")</f>
        <v/>
      </c>
      <c r="D29" s="13">
        <v>7.19</v>
      </c>
      <c r="E29" s="13">
        <v>7.3819301848049284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IFERROR(0.25*(1-w),"")</f>
        <v/>
      </c>
      <c r="D30" s="13">
        <v>0.25</v>
      </c>
      <c r="E30" s="13">
        <v>0.25667351129363453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IFERROR(0.03*(1-w),"")</f>
        <v/>
      </c>
      <c r="D31" s="13">
        <v>0.03</v>
      </c>
      <c r="E31" s="13">
        <v>0.030800821355236138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IFERROR(57.33*(1-w)+w*100,"")</f>
        <v/>
      </c>
      <c r="D32" s="13">
        <v>57.33</v>
      </c>
      <c r="E32" s="13">
        <v>56.190965092402465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IFERROR(18.57*(1-w),"")</f>
        <v/>
      </c>
      <c r="D34" s="13">
        <v>18.57</v>
      </c>
      <c r="E34" s="13">
        <v>19.06570841889117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227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1014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105.48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653.71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495.45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964.52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8919.9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1130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>
        <v>1240</v>
      </c>
      <c r="D46" s="17"/>
      <c r="E46" s="17"/>
      <c r="F46" s="17"/>
      <c r="G46" s="17"/>
      <c r="I46" s="5"/>
    </row>
    <row r="47" outlineLevel="3">
      <c r="A47" s="16" t="s">
        <v>73</v>
      </c>
      <c r="B47" s="0" t="s">
        <v>71</v>
      </c>
      <c r="C47" s="17">
        <v>1300</v>
      </c>
      <c r="D47" s="17"/>
      <c r="E47" s="17"/>
      <c r="F47" s="17"/>
      <c r="G47" s="17"/>
      <c r="I47" s="5"/>
    </row>
    <row r="48" outlineLevel="3">
      <c r="A48" s="16" t="s">
        <v>74</v>
      </c>
      <c r="B48" s="0" t="s">
        <v>71</v>
      </c>
      <c r="C48" s="17">
        <v>1330</v>
      </c>
      <c r="D48" s="17"/>
      <c r="E48" s="17"/>
      <c r="F48" s="17"/>
      <c r="G48" s="17"/>
      <c r="I48" s="5"/>
    </row>
    <row r="49">
      <c r="I49" s="5"/>
    </row>
    <row r="50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https://phyllis.nl/Biomass/View/3239</dc:description>
  <dcterms:created xsi:type="dcterms:W3CDTF">2026-03-04T04:36:02Z</dcterms:created>
  <dc:title>Phyllis2 #3239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