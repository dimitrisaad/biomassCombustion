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242 Reed" sheetId="1" r:id="rId1"/>
  </sheets>
  <definedNames>
    <definedName name="w" localSheetId="0">IF(ISBLANK('Phyllis2 #3242 Reed'!$C$23),#N/A,'Phyllis2 #3242 Reed'!$C$23/100)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0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0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0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<sst xmlns="http://schemas.openxmlformats.org/spreadsheetml/2006/main" count="73" uniqueCount="73">
  <si>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</si>
  <si>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https://phyllis.nl/Biomass/View/3242</t>
  </si>
  <si>
    <t>Reed (#3242)</t>
  </si>
  <si>
    <t>ID-number</t>
  </si>
  <si>
    <t>#3242</t>
  </si>
  <si>
    <t>Material</t>
  </si>
  <si>
    <t>Reed</t>
  </si>
  <si>
    <t>Alternative name</t>
  </si>
  <si>
    <t>Pilliroog</t>
  </si>
  <si>
    <t>Latin name</t>
  </si>
  <si>
    <t>Phragmatis Australis</t>
  </si>
  <si>
    <t>Description</t>
  </si>
  <si>
    <t>Winter harvest</t>
  </si>
  <si>
    <t>Classification</t>
  </si>
  <si>
    <t>CEN/TS 14961 classification &gt; Solid biofuels &gt; Herbaceous biomass &gt; Agriculture and Horticulture herb &gt; Grasses &gt; Whole plant</t>
  </si>
  <si>
    <t>ECN Phyllis classification &gt; grass/plant &gt; reed &gt; reed</t>
  </si>
  <si>
    <t>NTA 8003 classification &gt; [200] biomassa uit land- en tuinbouw &gt; [210] gras &gt; [219] overig gras</t>
  </si>
  <si>
    <t>Sample location</t>
  </si>
  <si>
    <t>Hiiumaa; Orjaku</t>
  </si>
  <si>
    <t>Country</t>
  </si>
  <si>
    <t>Estonia</t>
  </si>
  <si>
    <t>Production date</t>
  </si>
  <si>
    <t>Submitter organisation</t>
  </si>
  <si>
    <t>ECN (Netherlands)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</si>
  <si>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</si>
  <si>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</si>
  <si>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</si>
  <si>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</si>
  <si>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</si>
  <si>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</si>
  <si>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</si>
  <si>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</si>
  <si>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</si>
  <si>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</si>
  <si>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</si>
  <si>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</si>
  <si>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</si>
  <si>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</si>
  <si>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</si>
  <si>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</si>
  <si>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</si>
  <si>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</si>
  <si>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</si>
  <si>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TUT</t>
  </si>
  <si>
    <t>CEN/TS 14775</t>
  </si>
  <si>
    <t>Volatile matter</t>
  </si>
  <si>
    <t>Fixed carbon</t>
  </si>
  <si>
    <t>Calculated</t>
  </si>
  <si>
    <t>Ultimate analysis (macroelements)</t>
  </si>
  <si>
    <t>Carbon</t>
  </si>
  <si>
    <t>CEN/TS 15104</t>
  </si>
  <si>
    <t>Hydrogen</t>
  </si>
  <si>
    <t>Nitrogen</t>
  </si>
  <si>
    <t>Sulphur</t>
  </si>
  <si>
    <t>CEN/TS15289</t>
  </si>
  <si>
    <t>Total (with halides)</t>
  </si>
  <si>
    <t>Heating value</t>
  </si>
  <si>
    <t>Gross calorific value (HHV)</t>
  </si>
  <si>
    <t>MJ/kg</t>
  </si>
  <si>
    <t>Trace elements composition</t>
  </si>
  <si>
    <t>Aluminium (Al)</t>
  </si>
  <si>
    <t>mg/kg (dry)</t>
  </si>
  <si>
    <t>Calcium (Ca)</t>
  </si>
  <si>
    <t>Iron (Fe)</t>
  </si>
  <si>
    <t>Potassium (K)</t>
  </si>
  <si>
    <t>Magnesium (Mg)</t>
  </si>
  <si>
    <t>Sodium (Na)</t>
  </si>
  <si>
    <t>Silicon (Si)</t>
  </si>
  <si>
    <t>Ash melting behaviour</t>
  </si>
  <si>
    <t>European standard method</t>
  </si>
  <si>
    <t>SH (shrinkage temperature)</t>
  </si>
  <si>
    <t>°C</t>
  </si>
  <si>
    <t>&gt;1360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</si>
</sst>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24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6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439645767212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7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8" t="s">
        <v>13</v>
      </c>
      <c r="B10" s="0" t="s">
        <v>14</v>
      </c>
    </row>
    <row r="11" outlineLevel="1">
      <c r="A11" s="8"/>
      <c r="B11" s="0" t="s">
        <v>15</v>
      </c>
    </row>
    <row r="12" outlineLevel="1">
      <c r="A12" s="8"/>
      <c r="B12" s="0" t="s">
        <v>16</v>
      </c>
    </row>
    <row r="13" outlineLevel="1">
      <c r="A13" s="7" t="s">
        <v>17</v>
      </c>
      <c r="B13" s="0" t="s">
        <v>18</v>
      </c>
    </row>
    <row r="14" outlineLevel="1">
      <c r="A14" s="7" t="s">
        <v>19</v>
      </c>
      <c r="B14" s="0" t="s">
        <v>20</v>
      </c>
    </row>
    <row r="15" outlineLevel="1">
      <c r="A15" s="7" t="s">
        <v>21</v>
      </c>
      <c r="B15" s="6">
        <v>39212</v>
      </c>
    </row>
    <row r="16" outlineLevel="1">
      <c r="A16" s="7" t="s">
        <v>22</v>
      </c>
      <c r="B16" s="0" t="s">
        <v>23</v>
      </c>
    </row>
    <row r="17">
      <c r="A17" s="7"/>
    </row>
    <row r="18" s="1" customFormat="1">
      <c r="A18" s="9" t="s">
        <v>24</v>
      </c>
    </row>
    <row r="19" s="1" customFormat="1">
      <c r="A19" s="10" t="s">
        <v>25</v>
      </c>
      <c r="B19" s="10" t="s">
        <v>26</v>
      </c>
      <c r="C19" s="10" t="s">
        <v>27</v>
      </c>
      <c r="D19" s="10"/>
      <c r="E19" s="10"/>
      <c r="F19" s="10" t="s">
        <v>28</v>
      </c>
      <c r="G19" s="10" t="s">
        <v>29</v>
      </c>
      <c r="H19" s="10" t="s">
        <v>30</v>
      </c>
      <c r="I19" s="10" t="s">
        <v>31</v>
      </c>
      <c r="J19" s="10" t="s">
        <v>32</v>
      </c>
      <c r="K19" s="10" t="s">
        <v>33</v>
      </c>
      <c r="L19" s="10"/>
    </row>
    <row r="20" s="1" customFormat="1">
      <c r="A20" s="10"/>
      <c r="B20" s="10"/>
      <c r="C20" s="10" t="s">
        <v>34</v>
      </c>
      <c r="D20" s="10" t="s">
        <v>35</v>
      </c>
      <c r="E20" s="10" t="s">
        <v>36</v>
      </c>
      <c r="F20" s="10"/>
      <c r="G20" s="10"/>
      <c r="H20" s="10"/>
      <c r="I20" s="10"/>
      <c r="J20" s="10"/>
      <c r="K20" s="10"/>
      <c r="L20" s="10"/>
    </row>
    <row r="21">
      <c r="A21" s="7" t="s">
        <v>37</v>
      </c>
      <c r="I21" s="5"/>
    </row>
    <row r="22" outlineLevel="1">
      <c r="A22" s="11" t="s">
        <v>38</v>
      </c>
      <c r="I22" s="5"/>
    </row>
    <row r="23" outlineLevel="2">
      <c r="A23" s="12" t="s">
        <v>39</v>
      </c>
      <c r="B23" s="0" t="s">
        <v>40</v>
      </c>
      <c r="C23" s="13">
        <v/>
      </c>
      <c r="D23" s="13"/>
      <c r="E23" s="13"/>
      <c r="F23" s="13"/>
      <c r="G23" s="13"/>
      <c r="I23" s="5"/>
    </row>
    <row r="24" outlineLevel="2">
      <c r="A24" s="12" t="s">
        <v>41</v>
      </c>
      <c r="B24" s="0" t="s">
        <v>42</v>
      </c>
      <c r="C24" s="13">
        <f>IFERROR(3.4*(1-w),"")</f>
        <v/>
      </c>
      <c r="D24" s="13">
        <v>3.4</v>
      </c>
      <c r="E24" s="13">
        <v/>
      </c>
      <c r="F24" s="13"/>
      <c r="G24" s="13"/>
      <c r="H24" s="0" t="s">
        <v>43</v>
      </c>
      <c r="I24" s="5"/>
      <c r="J24" s="0" t="s">
        <v>44</v>
      </c>
    </row>
    <row r="25" outlineLevel="2">
      <c r="A25" s="12" t="s">
        <v>45</v>
      </c>
      <c r="B25" s="0" t="s">
        <v>42</v>
      </c>
      <c r="C25" s="13">
        <f>IFERROR(82.1*(1-w),"")</f>
        <v/>
      </c>
      <c r="D25" s="13">
        <v>82.1</v>
      </c>
      <c r="E25" s="13">
        <v>84.989648033126286</v>
      </c>
      <c r="F25" s="13"/>
      <c r="G25" s="13"/>
      <c r="H25" s="0" t="s">
        <v>43</v>
      </c>
      <c r="I25" s="5"/>
    </row>
    <row r="26" outlineLevel="2">
      <c r="A26" s="12" t="s">
        <v>46</v>
      </c>
      <c r="B26" s="0" t="s">
        <v>42</v>
      </c>
      <c r="C26" s="13">
        <f>IFERROR(14.5*(1-w),"")</f>
        <v/>
      </c>
      <c r="D26" s="13">
        <v>14.5</v>
      </c>
      <c r="E26" s="13">
        <v>15.010351966873706</v>
      </c>
      <c r="F26" s="13"/>
      <c r="G26" s="13"/>
      <c r="I26" s="5"/>
      <c r="J26" s="0" t="s">
        <v>47</v>
      </c>
    </row>
    <row r="27" outlineLevel="1">
      <c r="A27" s="11" t="s">
        <v>48</v>
      </c>
      <c r="I27" s="5"/>
    </row>
    <row r="28" outlineLevel="2">
      <c r="A28" s="12" t="s">
        <v>49</v>
      </c>
      <c r="B28" s="0" t="s">
        <v>42</v>
      </c>
      <c r="C28" s="13">
        <f>IFERROR(47.09*(1-w),"")</f>
        <v/>
      </c>
      <c r="D28" s="13">
        <v>47.09</v>
      </c>
      <c r="E28" s="13">
        <v>48.747412008281579</v>
      </c>
      <c r="F28" s="13"/>
      <c r="G28" s="13"/>
      <c r="H28" s="0" t="s">
        <v>43</v>
      </c>
      <c r="I28" s="5"/>
      <c r="J28" s="0" t="s">
        <v>50</v>
      </c>
    </row>
    <row r="29" outlineLevel="2">
      <c r="A29" s="12" t="s">
        <v>51</v>
      </c>
      <c r="B29" s="0" t="s">
        <v>42</v>
      </c>
      <c r="C29" s="13">
        <f>IFERROR(7.35*(1-w),"")</f>
        <v/>
      </c>
      <c r="D29" s="13">
        <v>7.35</v>
      </c>
      <c r="E29" s="13">
        <v>7.6086956521739131</v>
      </c>
      <c r="F29" s="13"/>
      <c r="G29" s="13"/>
      <c r="H29" s="0" t="s">
        <v>43</v>
      </c>
      <c r="I29" s="5"/>
      <c r="J29" s="0" t="s">
        <v>50</v>
      </c>
    </row>
    <row r="30" outlineLevel="2">
      <c r="A30" s="12" t="s">
        <v>52</v>
      </c>
      <c r="B30" s="0" t="s">
        <v>42</v>
      </c>
      <c r="C30" s="13">
        <f>IFERROR(0.36*(1-w),"")</f>
        <v/>
      </c>
      <c r="D30" s="13">
        <v>0.36</v>
      </c>
      <c r="E30" s="13">
        <v>0.37267080745341613</v>
      </c>
      <c r="F30" s="13"/>
      <c r="G30" s="13"/>
      <c r="H30" s="0" t="s">
        <v>43</v>
      </c>
      <c r="I30" s="5"/>
      <c r="J30" s="0" t="s">
        <v>50</v>
      </c>
    </row>
    <row r="31" outlineLevel="2">
      <c r="A31" s="12" t="s">
        <v>53</v>
      </c>
      <c r="B31" s="0" t="s">
        <v>42</v>
      </c>
      <c r="C31" s="13">
        <f>IFERROR(0.02*(1-w),"")</f>
        <v/>
      </c>
      <c r="D31" s="13">
        <v>0.02</v>
      </c>
      <c r="E31" s="13">
        <v>0.020703933747412008</v>
      </c>
      <c r="F31" s="13"/>
      <c r="G31" s="13"/>
      <c r="H31" s="0" t="s">
        <v>43</v>
      </c>
      <c r="I31" s="5"/>
      <c r="J31" s="0" t="s">
        <v>54</v>
      </c>
    </row>
    <row r="32" outlineLevel="2">
      <c r="A32" s="12" t="s">
        <v>55</v>
      </c>
      <c r="B32" s="0" t="s">
        <v>42</v>
      </c>
      <c r="C32" s="13">
        <f>IFERROR(58.22*(1-w)+w*100,"")</f>
        <v/>
      </c>
      <c r="D32" s="13">
        <v>58.220000000000006</v>
      </c>
      <c r="E32" s="13">
        <v>56.749482401656323</v>
      </c>
      <c r="F32" s="13"/>
      <c r="G32" s="13"/>
      <c r="I32" s="5"/>
      <c r="J32" s="0" t="s">
        <v>47</v>
      </c>
    </row>
    <row r="33" outlineLevel="1">
      <c r="A33" s="11" t="s">
        <v>56</v>
      </c>
      <c r="I33" s="5"/>
    </row>
    <row r="34" outlineLevel="2">
      <c r="A34" s="12" t="s">
        <v>57</v>
      </c>
      <c r="B34" s="0" t="s">
        <v>58</v>
      </c>
      <c r="C34" s="13">
        <f>IFERROR(18.42*(1-w),"")</f>
        <v/>
      </c>
      <c r="D34" s="13">
        <v>18.42</v>
      </c>
      <c r="E34" s="13">
        <v>19.06832298136646</v>
      </c>
      <c r="F34" s="13"/>
      <c r="G34" s="13"/>
      <c r="H34" s="0" t="s">
        <v>43</v>
      </c>
      <c r="I34" s="5"/>
    </row>
    <row r="35" outlineLevel="1">
      <c r="A35" s="11" t="s">
        <v>59</v>
      </c>
      <c r="I35" s="5"/>
    </row>
    <row r="36" outlineLevel="2">
      <c r="A36" s="12" t="s">
        <v>60</v>
      </c>
      <c r="B36" s="0" t="s">
        <v>61</v>
      </c>
      <c r="C36" s="14">
        <v>235.717771675167</v>
      </c>
      <c r="D36" s="14"/>
      <c r="E36" s="14"/>
      <c r="F36" s="14"/>
      <c r="G36" s="14"/>
      <c r="H36" s="0" t="s">
        <v>43</v>
      </c>
      <c r="I36" s="5"/>
    </row>
    <row r="37" outlineLevel="2">
      <c r="A37" s="12" t="s">
        <v>62</v>
      </c>
      <c r="B37" s="0" t="s">
        <v>61</v>
      </c>
      <c r="C37" s="14">
        <v>791.71</v>
      </c>
      <c r="D37" s="14"/>
      <c r="E37" s="14"/>
      <c r="F37" s="14"/>
      <c r="G37" s="14"/>
      <c r="H37" s="0" t="s">
        <v>43</v>
      </c>
      <c r="I37" s="5"/>
    </row>
    <row r="38" outlineLevel="2">
      <c r="A38" s="12" t="s">
        <v>63</v>
      </c>
      <c r="B38" s="0" t="s">
        <v>61</v>
      </c>
      <c r="C38" s="14">
        <v>109.39</v>
      </c>
      <c r="D38" s="14"/>
      <c r="E38" s="14"/>
      <c r="F38" s="14"/>
      <c r="G38" s="14"/>
      <c r="H38" s="0" t="s">
        <v>43</v>
      </c>
      <c r="I38" s="5"/>
    </row>
    <row r="39" outlineLevel="2">
      <c r="A39" s="12" t="s">
        <v>64</v>
      </c>
      <c r="B39" s="0" t="s">
        <v>61</v>
      </c>
      <c r="C39" s="14">
        <v>770.21</v>
      </c>
      <c r="D39" s="14"/>
      <c r="E39" s="14"/>
      <c r="F39" s="14"/>
      <c r="G39" s="14"/>
      <c r="H39" s="0" t="s">
        <v>43</v>
      </c>
      <c r="I39" s="5"/>
    </row>
    <row r="40" outlineLevel="2">
      <c r="A40" s="12" t="s">
        <v>65</v>
      </c>
      <c r="B40" s="0" t="s">
        <v>61</v>
      </c>
      <c r="C40" s="14">
        <v>319.85</v>
      </c>
      <c r="D40" s="14"/>
      <c r="E40" s="14"/>
      <c r="F40" s="14"/>
      <c r="G40" s="14"/>
      <c r="H40" s="0" t="s">
        <v>43</v>
      </c>
      <c r="I40" s="5"/>
    </row>
    <row r="41" outlineLevel="2">
      <c r="A41" s="12" t="s">
        <v>66</v>
      </c>
      <c r="B41" s="0" t="s">
        <v>61</v>
      </c>
      <c r="C41" s="14">
        <v>706.32</v>
      </c>
      <c r="D41" s="14"/>
      <c r="E41" s="14"/>
      <c r="F41" s="14"/>
      <c r="G41" s="14"/>
      <c r="H41" s="0" t="s">
        <v>43</v>
      </c>
      <c r="I41" s="5"/>
    </row>
    <row r="42" outlineLevel="2">
      <c r="A42" s="12" t="s">
        <v>67</v>
      </c>
      <c r="B42" s="0" t="s">
        <v>61</v>
      </c>
      <c r="C42" s="14">
        <v>13002.74</v>
      </c>
      <c r="D42" s="14"/>
      <c r="E42" s="14"/>
      <c r="F42" s="14"/>
      <c r="G42" s="14"/>
      <c r="H42" s="0" t="s">
        <v>43</v>
      </c>
      <c r="I42" s="5"/>
    </row>
    <row r="43" outlineLevel="1">
      <c r="A43" s="11" t="s">
        <v>68</v>
      </c>
      <c r="I43" s="5"/>
    </row>
    <row r="44" outlineLevel="2">
      <c r="A44" s="15" t="s">
        <v>69</v>
      </c>
      <c r="I44" s="5"/>
    </row>
    <row r="45" outlineLevel="3">
      <c r="A45" s="16" t="s">
        <v>70</v>
      </c>
      <c r="B45" s="0" t="s">
        <v>71</v>
      </c>
      <c r="C45" s="17" t="s">
        <v>72</v>
      </c>
      <c r="D45" s="17"/>
      <c r="E45" s="17"/>
      <c r="F45" s="17"/>
      <c r="G45" s="17"/>
      <c r="I45" s="5"/>
    </row>
    <row r="46">
      <c r="I46" s="5"/>
    </row>
    <row r="47" s="1" customFormat="1"/>
  </sheetData>
  <mergeCells>
    <mergeCell ref="A10:A12"/>
    <mergeCell ref="C19:E19"/>
    <mergeCell ref="A19:A20"/>
    <mergeCell ref="B19:B20"/>
    <mergeCell ref="F19:F20"/>
    <mergeCell ref="G19:G20"/>
    <mergeCell ref="H19:H20"/>
    <mergeCell ref="I19:I20"/>
    <mergeCell ref="J19:J20"/>
    <mergeCell ref="K19:K20"/>
    <mergeCell ref="C36:E36"/>
    <mergeCell ref="C37:E37"/>
    <mergeCell ref="C38:E38"/>
    <mergeCell ref="C39:E39"/>
    <mergeCell ref="C40:E40"/>
    <mergeCell ref="C41:E41"/>
    <mergeCell ref="C42:E42"/>
    <mergeCell ref="C45:E45"/>
  </mergeCells>
  <dataValidations count="1">
    <dataValidation type="decimal" sqref="C23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https://phyllis.nl/Biomass/View/3242</dc:description>
  <dcterms:created xsi:type="dcterms:W3CDTF">2026-03-04T04:36:12Z</dcterms:created>
  <dc:title>Phyllis2 #3242 Reed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