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45 wood pellets" sheetId="1" r:id="rId1"/>
  </sheets>
  <definedNames>
    <definedName name="w" localSheetId="0">IF(ISBLANK('Phyllis2 #3245 wood pellets'!$C$21),#N/A,'Phyllis2 #3245 wood pellets'!$C$21/100)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<sst xmlns="http://schemas.openxmlformats.org/spreadsheetml/2006/main" count="73" uniqueCount="73">
  <si>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</si>
  <si>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https://phyllis.nl/Biomass/View/3245</t>
  </si>
  <si>
    <t>wood pellets (#3245)</t>
  </si>
  <si>
    <t>ID-number</t>
  </si>
  <si>
    <t>#3245</t>
  </si>
  <si>
    <t>Material</t>
  </si>
  <si>
    <t>wood pellets</t>
  </si>
  <si>
    <t>Alternative name</t>
  </si>
  <si>
    <t>Wooden pellets</t>
  </si>
  <si>
    <t>Classification</t>
  </si>
  <si>
    <t>CEN/TS 14961 classification &gt; Solid biofuels &gt; Woody biomass &gt; Forest and plantation wood &gt; Whole trees without roots &gt; Deciduous</t>
  </si>
  <si>
    <t>ECN Phyllis classification &gt; untreated wood &gt; other hard wood &gt; hard wood</t>
  </si>
  <si>
    <t>NTA 8003 classification &gt; [100] hout &gt; [110] vers hout &gt; [120] loofhout &gt; [125] hard loofhout</t>
  </si>
  <si>
    <t>Sample location</t>
  </si>
  <si>
    <t>Port of Klaipeda</t>
  </si>
  <si>
    <t>Country</t>
  </si>
  <si>
    <t>Lithuania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</si>
  <si>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</si>
  <si>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</si>
  <si>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</si>
  <si>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</si>
  <si>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</si>
  <si>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</si>
  <si>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</si>
  <si>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</si>
  <si>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</si>
  <si>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</si>
  <si>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</si>
  <si>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</si>
  <si>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</si>
  <si>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</si>
  <si>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</si>
  <si>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</si>
  <si>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</si>
  <si>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</si>
  <si>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</si>
  <si>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</si>
  <si>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TUT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</si>
  <si>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</si>
  <si>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</si>
  <si>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</si>
  <si>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</si>
  <si>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</si>
  <si>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</si>
  <si>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</si>
  <si>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Sulphur</t>
  </si>
  <si>
    <t>wt% (dry)</t>
  </si>
  <si>
    <t>&lt;0.05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</si>
  <si>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</si>
  <si>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</si>
  <si>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</si>
  <si>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</si>
  <si>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</si>
  <si>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</si>
  <si>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</si>
  <si>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</si>
  <si>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</si>
  <si>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</si>
  <si>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</si>
  <si>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</si>
  <si>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</si>
  <si>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</si>
  <si>
    <t>Physical Properties</t>
  </si>
  <si>
    <t>Particle size distribution</t>
  </si>
  <si>
    <t>&lt;0.25 mm</t>
  </si>
  <si>
    <t>CEN/TS 15149-1,2</t>
  </si>
  <si>
    <t>0.25-0.5 mm</t>
  </si>
  <si>
    <t>0.5-1.0 mm</t>
  </si>
  <si>
    <t>1.0-1.4 mm</t>
  </si>
  <si>
    <t>1.4-2.0 mm</t>
  </si>
  <si>
    <t>2.0-2.8 mm</t>
  </si>
  <si>
    <t>2.8-3.15 mm</t>
  </si>
  <si>
    <t>3.15-8 mm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</si>
</sst>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40026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9.9</v>
      </c>
      <c r="D21" s="13"/>
      <c r="E21" s="13"/>
      <c r="F21" s="13"/>
      <c r="G21" s="13"/>
      <c r="H21" s="0" t="s">
        <v>37</v>
      </c>
      <c r="I21" s="5"/>
      <c r="J21" s="0" t="s">
        <v>38</v>
      </c>
    </row>
    <row r="22" outlineLevel="2">
      <c r="A22" s="12" t="s">
        <v>39</v>
      </c>
      <c r="B22" s="0" t="s">
        <v>36</v>
      </c>
      <c r="C22" s="13">
        <f>IFERROR(0.4*(1-w),"")</f>
        <v>0.36040000000000005</v>
      </c>
      <c r="D22" s="13">
        <v>0.4</v>
      </c>
      <c r="E22" s="13">
        <v/>
      </c>
      <c r="F22" s="13"/>
      <c r="G22" s="13"/>
      <c r="H22" s="0" t="s">
        <v>37</v>
      </c>
      <c r="I22" s="5"/>
      <c r="J22" s="0" t="s">
        <v>40</v>
      </c>
    </row>
    <row r="23" outlineLevel="2">
      <c r="A23" s="12" t="s">
        <v>41</v>
      </c>
      <c r="B23" s="0" t="s">
        <v>36</v>
      </c>
      <c r="C23" s="13">
        <f>IFERROR(85.8*(1-w),"")</f>
        <v>77.3058</v>
      </c>
      <c r="D23" s="13">
        <v>85.8</v>
      </c>
      <c r="E23" s="13">
        <v>86.144578313253</v>
      </c>
      <c r="F23" s="13"/>
      <c r="G23" s="13"/>
      <c r="H23" s="0" t="s">
        <v>37</v>
      </c>
      <c r="I23" s="5"/>
    </row>
    <row r="24" outlineLevel="2">
      <c r="A24" s="12" t="s">
        <v>42</v>
      </c>
      <c r="B24" s="0" t="s">
        <v>36</v>
      </c>
      <c r="C24" s="13">
        <f>IFERROR(13.8*(1-w),"")</f>
        <v>12.433799999999998</v>
      </c>
      <c r="D24" s="13">
        <v>13.799999999999997</v>
      </c>
      <c r="E24" s="13">
        <v>13.855421686746984</v>
      </c>
      <c r="F24" s="13"/>
      <c r="G24" s="13"/>
      <c r="I24" s="5"/>
      <c r="J24" s="0" t="s">
        <v>43</v>
      </c>
    </row>
    <row r="25" outlineLevel="1">
      <c r="A25" s="11" t="s">
        <v>44</v>
      </c>
      <c r="I25" s="5"/>
    </row>
    <row r="26" outlineLevel="2">
      <c r="A26" s="12" t="s">
        <v>45</v>
      </c>
      <c r="B26" s="0" t="s">
        <v>46</v>
      </c>
      <c r="C26" s="13" t="s">
        <v>47</v>
      </c>
      <c r="D26" s="13"/>
      <c r="E26" s="13"/>
      <c r="F26" s="13"/>
      <c r="G26" s="13"/>
      <c r="H26" s="0" t="s">
        <v>37</v>
      </c>
      <c r="I26" s="5"/>
      <c r="J26" s="0" t="s">
        <v>48</v>
      </c>
    </row>
    <row r="27" outlineLevel="2">
      <c r="A27" s="12" t="s">
        <v>49</v>
      </c>
      <c r="B27" s="0" t="s">
        <v>36</v>
      </c>
      <c r="C27" s="13">
        <f>IFERROR(0.4*(1-w)+w*100,"")</f>
        <v>10.2604</v>
      </c>
      <c r="D27" s="13">
        <v>0.4</v>
      </c>
      <c r="E27" s="13">
        <v>0</v>
      </c>
      <c r="F27" s="13"/>
      <c r="G27" s="13"/>
      <c r="I27" s="5"/>
      <c r="J27" s="0" t="s">
        <v>43</v>
      </c>
    </row>
    <row r="28" outlineLevel="1">
      <c r="A28" s="11" t="s">
        <v>50</v>
      </c>
      <c r="I28" s="5"/>
    </row>
    <row r="29" outlineLevel="2">
      <c r="A29" s="12" t="s">
        <v>51</v>
      </c>
      <c r="B29" s="0" t="s">
        <v>52</v>
      </c>
      <c r="C29" s="13">
        <f>IFERROR(17.22*(1-w)-w*2.443,"")</f>
        <v>15.273363</v>
      </c>
      <c r="D29" s="13">
        <v>17.22</v>
      </c>
      <c r="E29" s="13">
        <v>17.289156626506024</v>
      </c>
      <c r="F29" s="13"/>
      <c r="G29" s="13"/>
      <c r="H29" s="0" t="s">
        <v>37</v>
      </c>
      <c r="I29" s="5"/>
      <c r="J29" s="0" t="s">
        <v>53</v>
      </c>
    </row>
    <row r="30" outlineLevel="2">
      <c r="A30" s="12" t="s">
        <v>54</v>
      </c>
      <c r="B30" s="0" t="s">
        <v>52</v>
      </c>
      <c r="C30" s="13">
        <f>IFERROR(20.67*(1-w),"")</f>
        <v>18.62367</v>
      </c>
      <c r="D30" s="13">
        <v>20.67</v>
      </c>
      <c r="E30" s="13">
        <v>20.753012048192772</v>
      </c>
      <c r="F30" s="13"/>
      <c r="G30" s="13"/>
      <c r="H30" s="0" t="s">
        <v>37</v>
      </c>
      <c r="I30" s="5"/>
    </row>
    <row r="31" outlineLevel="1">
      <c r="A31" s="11" t="s">
        <v>55</v>
      </c>
      <c r="I31" s="5"/>
    </row>
    <row r="32" outlineLevel="2">
      <c r="A32" s="14" t="s">
        <v>56</v>
      </c>
      <c r="I32" s="5"/>
    </row>
    <row r="33" outlineLevel="3">
      <c r="A33" s="15" t="s">
        <v>57</v>
      </c>
      <c r="B33" s="0" t="s">
        <v>58</v>
      </c>
      <c r="C33" s="16">
        <v>1000</v>
      </c>
      <c r="D33" s="16"/>
      <c r="E33" s="16"/>
      <c r="F33" s="16"/>
      <c r="G33" s="16"/>
      <c r="I33" s="5"/>
    </row>
    <row r="34" outlineLevel="3">
      <c r="A34" s="15" t="s">
        <v>59</v>
      </c>
      <c r="B34" s="0" t="s">
        <v>58</v>
      </c>
      <c r="C34" s="16">
        <v>1120</v>
      </c>
      <c r="D34" s="16"/>
      <c r="E34" s="16"/>
      <c r="F34" s="16"/>
      <c r="G34" s="16"/>
      <c r="I34" s="5"/>
    </row>
    <row r="35" outlineLevel="3">
      <c r="A35" s="15" t="s">
        <v>60</v>
      </c>
      <c r="B35" s="0" t="s">
        <v>58</v>
      </c>
      <c r="C35" s="16">
        <v>1300</v>
      </c>
      <c r="D35" s="16"/>
      <c r="E35" s="16"/>
      <c r="F35" s="16"/>
      <c r="G35" s="16"/>
      <c r="I35" s="5"/>
    </row>
    <row r="36" outlineLevel="3">
      <c r="A36" s="15" t="s">
        <v>61</v>
      </c>
      <c r="B36" s="0" t="s">
        <v>58</v>
      </c>
      <c r="C36" s="16">
        <v>1310</v>
      </c>
      <c r="D36" s="16"/>
      <c r="E36" s="16"/>
      <c r="F36" s="16"/>
      <c r="G36" s="16"/>
      <c r="I36" s="5"/>
    </row>
    <row r="37">
      <c r="A37" s="7" t="s">
        <v>62</v>
      </c>
      <c r="I37" s="5"/>
    </row>
    <row r="38" outlineLevel="1">
      <c r="A38" s="11" t="s">
        <v>63</v>
      </c>
      <c r="I38" s="5"/>
    </row>
    <row r="39" outlineLevel="2">
      <c r="A39" s="12" t="s">
        <v>64</v>
      </c>
      <c r="B39" s="0" t="s">
        <v>36</v>
      </c>
      <c r="C39" s="13">
        <v>13.8</v>
      </c>
      <c r="D39" s="13"/>
      <c r="E39" s="13"/>
      <c r="F39" s="13"/>
      <c r="G39" s="13"/>
      <c r="I39" s="5"/>
      <c r="J39" s="0" t="s">
        <v>65</v>
      </c>
    </row>
    <row r="40" outlineLevel="2">
      <c r="A40" s="12" t="s">
        <v>66</v>
      </c>
      <c r="B40" s="0" t="s">
        <v>36</v>
      </c>
      <c r="C40" s="13">
        <v>18</v>
      </c>
      <c r="D40" s="13"/>
      <c r="E40" s="13"/>
      <c r="F40" s="13"/>
      <c r="G40" s="13"/>
      <c r="I40" s="5"/>
      <c r="J40" s="0" t="s">
        <v>65</v>
      </c>
    </row>
    <row r="41" outlineLevel="2">
      <c r="A41" s="12" t="s">
        <v>67</v>
      </c>
      <c r="B41" s="0" t="s">
        <v>36</v>
      </c>
      <c r="C41" s="13">
        <v>33</v>
      </c>
      <c r="D41" s="13"/>
      <c r="E41" s="13"/>
      <c r="F41" s="13"/>
      <c r="G41" s="13"/>
      <c r="I41" s="5"/>
      <c r="J41" s="0" t="s">
        <v>65</v>
      </c>
    </row>
    <row r="42" outlineLevel="2">
      <c r="A42" s="12" t="s">
        <v>68</v>
      </c>
      <c r="B42" s="0" t="s">
        <v>36</v>
      </c>
      <c r="C42" s="13">
        <v>15.5</v>
      </c>
      <c r="D42" s="13"/>
      <c r="E42" s="13"/>
      <c r="F42" s="13"/>
      <c r="G42" s="13"/>
      <c r="I42" s="5"/>
      <c r="J42" s="0" t="s">
        <v>65</v>
      </c>
    </row>
    <row r="43" outlineLevel="2">
      <c r="A43" s="12" t="s">
        <v>69</v>
      </c>
      <c r="B43" s="0" t="s">
        <v>36</v>
      </c>
      <c r="C43" s="13">
        <v>11.5</v>
      </c>
      <c r="D43" s="13"/>
      <c r="E43" s="13"/>
      <c r="F43" s="13"/>
      <c r="G43" s="13"/>
      <c r="I43" s="5"/>
      <c r="J43" s="0" t="s">
        <v>65</v>
      </c>
    </row>
    <row r="44" outlineLevel="2">
      <c r="A44" s="12" t="s">
        <v>70</v>
      </c>
      <c r="B44" s="0" t="s">
        <v>36</v>
      </c>
      <c r="C44" s="13">
        <v>2.9</v>
      </c>
      <c r="D44" s="13"/>
      <c r="E44" s="13"/>
      <c r="F44" s="13"/>
      <c r="G44" s="13"/>
      <c r="I44" s="5"/>
      <c r="J44" s="0" t="s">
        <v>65</v>
      </c>
    </row>
    <row r="45" outlineLevel="2">
      <c r="A45" s="12" t="s">
        <v>71</v>
      </c>
      <c r="B45" s="0" t="s">
        <v>36</v>
      </c>
      <c r="C45" s="13">
        <v>0.1</v>
      </c>
      <c r="D45" s="13"/>
      <c r="E45" s="13"/>
      <c r="F45" s="13"/>
      <c r="G45" s="13"/>
      <c r="I45" s="5"/>
      <c r="J45" s="0" t="s">
        <v>65</v>
      </c>
    </row>
    <row r="46" outlineLevel="2">
      <c r="A46" s="12" t="s">
        <v>72</v>
      </c>
      <c r="B46" s="0" t="s">
        <v>36</v>
      </c>
      <c r="C46" s="13">
        <v>5.2</v>
      </c>
      <c r="D46" s="13"/>
      <c r="E46" s="13"/>
      <c r="F46" s="13"/>
      <c r="G46" s="13"/>
      <c r="I46" s="5"/>
      <c r="J46" s="0" t="s">
        <v>65</v>
      </c>
    </row>
    <row r="47">
      <c r="I47" s="5"/>
    </row>
    <row r="48" s="1" customFormat="1"/>
  </sheetData>
  <mergeCells>
    <mergeCell ref="A8:A10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26:E26"/>
    <mergeCell ref="C33:E33"/>
    <mergeCell ref="C34:E34"/>
    <mergeCell ref="C35:E35"/>
    <mergeCell ref="C36:E36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21" errorStyle="stop" promptTitle="Enter moisture content" errorTitle="Invalid moisture content" prompt="Value should be between 0 and 100.&#10;Original value: 9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https://phyllis.nl/Biomass/View/3245</dc:description>
  <dcterms:created xsi:type="dcterms:W3CDTF">2026-03-19T07:12:15Z</dcterms:created>
  <dc:title>Phyllis2 #3245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