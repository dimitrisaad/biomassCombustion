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61 Spruce wood" sheetId="1" r:id="rId1"/>
  </sheets>
  <definedNames>
    <definedName name="w" localSheetId="0">IF(ISBLANK('Phyllis2 #3261 Spruce wood'!$C$21),#N/A,'Phyllis2 #3261 Spruce wood'!$C$21/100)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<sst xmlns="http://schemas.openxmlformats.org/spreadsheetml/2006/main" count="55" uniqueCount="55">
  <si>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</si>
  <si>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https://phyllis.nl/Biomass/View/3261</t>
  </si>
  <si>
    <t>Spruce wood (#3261)</t>
  </si>
  <si>
    <t>ID-number</t>
  </si>
  <si>
    <t>#3261</t>
  </si>
  <si>
    <t>Material</t>
  </si>
  <si>
    <t>Spruce wood</t>
  </si>
  <si>
    <t>Classification</t>
  </si>
  <si>
    <t>CEN/TS 14961 classification &gt; Solid biofuels &gt; Woody biomass</t>
  </si>
  <si>
    <t>ECN Phyllis classification &gt; untreated wood &gt; fir/pine/spruce &gt; wood, spruce</t>
  </si>
  <si>
    <t>NTA 8003 classification &gt; [100] hout &gt; [110] vers hout &gt; [130] naaldhout &gt; [131] naaldhout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</si>
  <si>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</si>
  <si>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</si>
  <si>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</si>
  <si>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</si>
  <si>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</si>
  <si>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</si>
  <si>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</si>
  <si>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</si>
  <si>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</si>
  <si>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</si>
  <si>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</si>
  <si>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</si>
  <si>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</si>
  <si>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</si>
  <si>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</si>
  <si>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</si>
  <si>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</si>
  <si>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</si>
  <si>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</si>
  <si>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</si>
  <si>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</si>
  <si>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</si>
  <si>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</si>
  <si>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</si>
  <si>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</si>
  <si>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</si>
  <si>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</si>
  <si>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</si>
  <si>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</si>
  <si>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</si>
  <si>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</si>
  <si>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</si>
  <si>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</si>
  <si>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</si>
  <si>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</si>
  <si>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</si>
  <si>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wt% (dry)</t>
  </si>
  <si>
    <t>&lt;0,1</t>
  </si>
  <si>
    <t>Total (with halides)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</si>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</sst>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39965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39965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11.2</v>
      </c>
      <c r="D21" s="13"/>
      <c r="E21" s="13"/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IFERROR(2.6*(1-w),"")</f>
        <v>2.3088</v>
      </c>
      <c r="D22" s="13">
        <v>2.6</v>
      </c>
      <c r="E22" s="13">
        <v/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35</v>
      </c>
      <c r="C23" s="13">
        <f>IFERROR(81.6*(1-w),"")</f>
        <v>72.460799999999992</v>
      </c>
      <c r="D23" s="13">
        <v>81.6</v>
      </c>
      <c r="E23" s="13">
        <v>83.778234086242293</v>
      </c>
      <c r="F23" s="13"/>
      <c r="G23" s="13"/>
      <c r="I23" s="5"/>
    </row>
    <row r="24" outlineLevel="2">
      <c r="A24" s="12" t="s">
        <v>40</v>
      </c>
      <c r="B24" s="0" t="s">
        <v>35</v>
      </c>
      <c r="C24" s="13">
        <f>IFERROR(15.8*(1-w),"")</f>
        <v>14.030400000000011</v>
      </c>
      <c r="D24" s="13">
        <v>15.800000000000011</v>
      </c>
      <c r="E24" s="13">
        <v>16.221765913757711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35</v>
      </c>
      <c r="C26" s="13">
        <f>IFERROR(48.8*(1-w),"")</f>
        <v>43.334399999999995</v>
      </c>
      <c r="D26" s="13">
        <v>48.8</v>
      </c>
      <c r="E26" s="13">
        <v>50.102669404517449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35</v>
      </c>
      <c r="C27" s="13">
        <f>IFERROR(5.8*(1-w),"")</f>
        <v>5.1504</v>
      </c>
      <c r="D27" s="13">
        <v>5.8</v>
      </c>
      <c r="E27" s="13">
        <v>5.95482546201232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47</v>
      </c>
      <c r="C28" s="13" t="s">
        <v>48</v>
      </c>
      <c r="D28" s="13"/>
      <c r="E28" s="13"/>
      <c r="F28" s="13"/>
      <c r="G28" s="13"/>
      <c r="I28" s="5"/>
      <c r="J28" s="0" t="s">
        <v>44</v>
      </c>
    </row>
    <row r="29" outlineLevel="2">
      <c r="A29" s="12" t="s">
        <v>49</v>
      </c>
      <c r="B29" s="0" t="s">
        <v>35</v>
      </c>
      <c r="C29" s="13">
        <f>IFERROR(57.2*(1-w)+w*100,"")</f>
        <v>61.9936</v>
      </c>
      <c r="D29" s="13">
        <v>57.199999999999996</v>
      </c>
      <c r="E29" s="13">
        <v>56.057494866529773</v>
      </c>
      <c r="F29" s="13"/>
      <c r="G29" s="13"/>
      <c r="I29" s="5"/>
      <c r="J29" s="0" t="s">
        <v>41</v>
      </c>
    </row>
    <row r="30" outlineLevel="1">
      <c r="A30" s="11" t="s">
        <v>50</v>
      </c>
      <c r="I30" s="5"/>
    </row>
    <row r="31" outlineLevel="2">
      <c r="A31" s="12" t="s">
        <v>51</v>
      </c>
      <c r="B31" s="0" t="s">
        <v>52</v>
      </c>
      <c r="C31" s="13">
        <f>IFERROR(18.5*(1-w)-w*2.443,"")</f>
        <v>16.154384</v>
      </c>
      <c r="D31" s="13">
        <v>18.5</v>
      </c>
      <c r="E31" s="13">
        <v>18.993839835728952</v>
      </c>
      <c r="F31" s="13"/>
      <c r="G31" s="13"/>
      <c r="I31" s="5"/>
      <c r="J31" s="0" t="s">
        <v>53</v>
      </c>
    </row>
    <row r="32" outlineLevel="2">
      <c r="A32" s="12" t="s">
        <v>54</v>
      </c>
      <c r="B32" s="0" t="s">
        <v>52</v>
      </c>
      <c r="C32" s="13">
        <f>IFERROR(19.77*(1-w),"")</f>
        <v>17.55576</v>
      </c>
      <c r="D32" s="13">
        <v>19.77</v>
      </c>
      <c r="E32" s="13">
        <v>20.297741273100616</v>
      </c>
      <c r="F32" s="13"/>
      <c r="G32" s="13"/>
      <c r="I32" s="5"/>
    </row>
    <row r="33">
      <c r="I33" s="5"/>
    </row>
    <row r="34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28:E28"/>
  </mergeCells>
  <dataValidations count="1">
    <dataValidation type="decimal" sqref="C21" errorStyle="stop" promptTitle="Enter moisture content" errorTitle="Invalid moisture content" prompt="Value should be between 0 and 100.&#10;Original value: 11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https://phyllis.nl/Biomass/View/3261</dc:description>
  <dcterms:created xsi:type="dcterms:W3CDTF">2026-03-19T07:02:43Z</dcterms:created>
  <dc:title>Phyllis2 #3261 Spruce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