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2 Barley Straw" sheetId="1" r:id="rId1"/>
  </sheets>
  <definedNames>
    <definedName name="w" localSheetId="0">IF(ISBLANK('Phyllis2 #3272 Barley Straw'!$C$22),#N/A,'Phyllis2 #3272 Barley Straw'!$C$22/100)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<sst xmlns="http://schemas.openxmlformats.org/spreadsheetml/2006/main" count="51" uniqueCount="51">
  <si>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</si>
  <si>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https://phyllis.nl/Biomass/View/3272</t>
  </si>
  <si>
    <t>Barley Straw (#3272)</t>
  </si>
  <si>
    <t>ID-number</t>
  </si>
  <si>
    <t>#3272</t>
  </si>
  <si>
    <t>Material</t>
  </si>
  <si>
    <t>Barley Straw</t>
  </si>
  <si>
    <t>Alternative name</t>
  </si>
  <si>
    <t>Barley</t>
  </si>
  <si>
    <t>Classification</t>
  </si>
  <si>
    <t>CEN/TS 14961 classification &gt; Solid biofuels &gt; Herbaceous biomass &gt; Agriculture and Horticulture herb &gt; Cereal crops &gt; Straw parts</t>
  </si>
  <si>
    <t>ECN Phyllis classification &gt; straw (stalk/cob/ear) &gt; barley &gt; barley</t>
  </si>
  <si>
    <t>NTA 8003 classification &gt; [200] biomassa uit land- en tuinbouw &gt; [220] stro &gt; [222] gerstestro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</si>
  <si>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</si>
  <si>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</si>
  <si>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</si>
  <si>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</si>
  <si>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</si>
  <si>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</si>
  <si>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</si>
  <si>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</si>
  <si>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</si>
  <si>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</si>
  <si>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</si>
  <si>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</si>
  <si>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</si>
  <si>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</si>
  <si>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</si>
  <si>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</si>
  <si>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</si>
  <si>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</si>
  <si>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</si>
  <si>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</si>
  <si>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</si>
  <si>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</si>
  <si>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</si>
  <si>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</si>
  <si>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</si>
  <si>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</si>
  <si>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</si>
  <si>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</si>
  <si>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</si>
  <si>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</si>
  <si>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</si>
  <si>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</si>
  <si>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Total (with halides)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</si>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</sst>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39150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39965</v>
      </c>
    </row>
    <row r="16">
      <c r="A16" s="7"/>
    </row>
    <row r="17" s="1" customFormat="1">
      <c r="A17" s="9" t="s">
        <v>21</v>
      </c>
    </row>
    <row r="18" s="1" customFormat="1">
      <c r="A18" s="10" t="s">
        <v>22</v>
      </c>
      <c r="B18" s="10" t="s">
        <v>23</v>
      </c>
      <c r="C18" s="10" t="s">
        <v>24</v>
      </c>
      <c r="D18" s="10"/>
      <c r="E18" s="10"/>
      <c r="F18" s="10" t="s">
        <v>25</v>
      </c>
      <c r="G18" s="10" t="s">
        <v>26</v>
      </c>
      <c r="H18" s="10" t="s">
        <v>27</v>
      </c>
      <c r="I18" s="10" t="s">
        <v>28</v>
      </c>
      <c r="J18" s="10" t="s">
        <v>29</v>
      </c>
      <c r="K18" s="10" t="s">
        <v>30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76.5</v>
      </c>
      <c r="D22" s="13"/>
      <c r="E22" s="13"/>
      <c r="F22" s="13"/>
      <c r="G22" s="13"/>
      <c r="H22" s="0" t="s">
        <v>17</v>
      </c>
      <c r="I22" s="5"/>
      <c r="J22" s="0" t="s">
        <v>38</v>
      </c>
    </row>
    <row r="23" outlineLevel="2">
      <c r="A23" s="12" t="s">
        <v>39</v>
      </c>
      <c r="B23" s="0" t="s">
        <v>37</v>
      </c>
      <c r="C23" s="13">
        <f>IFERROR(9.5*(1-w),"")</f>
        <v>2.2325</v>
      </c>
      <c r="D23" s="13">
        <v>9.5</v>
      </c>
      <c r="E23" s="13">
        <v/>
      </c>
      <c r="F23" s="13"/>
      <c r="G23" s="13"/>
      <c r="H23" s="0" t="s">
        <v>17</v>
      </c>
      <c r="I23" s="5"/>
      <c r="J23" s="0" t="s">
        <v>40</v>
      </c>
    </row>
    <row r="24" outlineLevel="2">
      <c r="A24" s="12" t="s">
        <v>41</v>
      </c>
      <c r="B24" s="0" t="s">
        <v>37</v>
      </c>
      <c r="C24" s="13">
        <f>IFERROR(63.3*(1-w),"")</f>
        <v>14.875499999999999</v>
      </c>
      <c r="D24" s="13">
        <v>63.3</v>
      </c>
      <c r="E24" s="13">
        <v>69.944751381215468</v>
      </c>
      <c r="F24" s="13"/>
      <c r="G24" s="13"/>
      <c r="H24" s="0" t="s">
        <v>17</v>
      </c>
      <c r="I24" s="5"/>
    </row>
    <row r="25" outlineLevel="2">
      <c r="A25" s="12" t="s">
        <v>42</v>
      </c>
      <c r="B25" s="0" t="s">
        <v>37</v>
      </c>
      <c r="C25" s="13">
        <f>IFERROR(27.2*(1-w),"")</f>
        <v>6.392</v>
      </c>
      <c r="D25" s="13">
        <v>27.200000000000003</v>
      </c>
      <c r="E25" s="13">
        <v>30.055248618784532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37</v>
      </c>
      <c r="C27" s="13">
        <f>IFERROR(9.5*(1-w)+w*100,"")</f>
        <v>78.7325</v>
      </c>
      <c r="D27" s="13">
        <v>9.5</v>
      </c>
      <c r="E27" s="13">
        <v>0</v>
      </c>
      <c r="F27" s="13"/>
      <c r="G27" s="13"/>
      <c r="I27" s="5"/>
      <c r="J27" s="0" t="s">
        <v>43</v>
      </c>
    </row>
    <row r="28" outlineLevel="1">
      <c r="A28" s="11" t="s">
        <v>46</v>
      </c>
      <c r="I28" s="5"/>
    </row>
    <row r="29" outlineLevel="2">
      <c r="A29" s="12" t="s">
        <v>47</v>
      </c>
      <c r="B29" s="0" t="s">
        <v>48</v>
      </c>
      <c r="C29" s="13">
        <f>IFERROR(20.77*(1-w)-w*2.443,"")</f>
        <v>3.0120549999999993</v>
      </c>
      <c r="D29" s="13">
        <v>20.77</v>
      </c>
      <c r="E29" s="13">
        <v>22.950276243093921</v>
      </c>
      <c r="F29" s="13"/>
      <c r="G29" s="13"/>
      <c r="H29" s="0" t="s">
        <v>17</v>
      </c>
      <c r="I29" s="5"/>
      <c r="J29" s="0" t="s">
        <v>49</v>
      </c>
    </row>
    <row r="30" outlineLevel="2">
      <c r="A30" s="12" t="s">
        <v>50</v>
      </c>
      <c r="B30" s="0" t="s">
        <v>48</v>
      </c>
      <c r="C30" s="13">
        <f>IFERROR(21.93*(1-w),"")</f>
        <v>5.15355</v>
      </c>
      <c r="D30" s="13">
        <v>21.93</v>
      </c>
      <c r="E30" s="13">
        <v>24.232044198895025</v>
      </c>
      <c r="F30" s="13"/>
      <c r="G30" s="13"/>
      <c r="H30" s="0" t="s">
        <v>17</v>
      </c>
      <c r="I30" s="5"/>
    </row>
    <row r="31">
      <c r="I31" s="5"/>
    </row>
    <row r="32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</mergeCells>
  <dataValidations count="1">
    <dataValidation type="decimal" sqref="C22" errorStyle="stop" promptTitle="Enter moisture content" errorTitle="Invalid moisture content" prompt="Value should be between 0 and 100.&#10;Original value: 76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https://phyllis.nl/Biomass/View/3272</dc:description>
  <dcterms:created xsi:type="dcterms:W3CDTF">2026-03-17T06:04:18Z</dcterms:created>
  <dc:title>Phyllis2 #3272 Barley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