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4 Used wood, chemi" sheetId="1" r:id="rId1"/>
  </sheets>
  <definedNames>
    <definedName name="w" localSheetId="0">IF(ISBLANK('Phyllis2 #3274 Used wood, chemi'!$C$24),#N/A,'Phyllis2 #3274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<sst xmlns="http://schemas.openxmlformats.org/spreadsheetml/2006/main" count="86" uniqueCount="86">
  <si>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</si>
  <si>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https://phyllis.nl/Biomass/View/3274</t>
  </si>
  <si>
    <t>Used wood, chemically treated (class C) (#3274)</t>
  </si>
  <si>
    <t>ID-number</t>
  </si>
  <si>
    <t>#3274</t>
  </si>
  <si>
    <t>Material</t>
  </si>
  <si>
    <t>Used wood, chemically treated (class C)</t>
  </si>
  <si>
    <t>Alternative name</t>
  </si>
  <si>
    <t>Recycled wood</t>
  </si>
  <si>
    <t>Description</t>
  </si>
  <si>
    <t>Elevated Pb and Zn levels compared to natural wood</t>
  </si>
  <si>
    <t>Classification</t>
  </si>
  <si>
    <t>CEN/TS 14961 classification &gt; Solid biofuels &gt; Woody biomass &gt; Used wood &gt; Chemically treated wood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</si>
  <si>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</si>
  <si>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</si>
  <si>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</si>
  <si>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</si>
  <si>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</si>
  <si>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</si>
  <si>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</si>
  <si>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</si>
  <si>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</si>
  <si>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</si>
  <si>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</si>
  <si>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</si>
  <si>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</si>
  <si>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</si>
  <si>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</si>
  <si>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</si>
  <si>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</si>
  <si>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</si>
  <si>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</si>
  <si>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</si>
  <si>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</si>
  <si>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</si>
  <si>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</si>
  <si>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</si>
  <si>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</si>
  <si>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</si>
  <si>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</si>
  <si>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</si>
  <si>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</si>
  <si>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</si>
  <si>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</si>
  <si>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</si>
  <si>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</si>
  <si>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</si>
  <si>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</si>
  <si>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</si>
  <si>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</si>
  <si>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</si>
  <si>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</si>
  <si>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</si>
  <si>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</si>
  <si>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</si>
  <si>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</si>
  <si>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</si>
  <si>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</si>
  <si>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</si>
  <si>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</si>
  <si>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</si>
  <si>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</si>
  <si>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</si>
  <si>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</si>
  <si>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</si>
  <si>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</si>
  <si>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</si>
  <si>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</si>
  <si>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</si>
  <si>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</si>
  <si>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</si>
  <si>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</si>
  <si>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</si>
  <si>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</si>
  <si>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</si>
  <si>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</si>
  <si>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Potassium (K)</t>
  </si>
  <si>
    <t>Manganese (Mn)</t>
  </si>
  <si>
    <t>Sodium (Na)</t>
  </si>
  <si>
    <t>Nickel (Ni)</t>
  </si>
  <si>
    <t>Lead (Pb)</t>
  </si>
  <si>
    <t>Antimony (Sb)</t>
  </si>
  <si>
    <t>&lt;0.5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</si>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</sst>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39876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39876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39994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24.9</v>
      </c>
      <c r="D24" s="13"/>
      <c r="E24" s="13"/>
      <c r="F24" s="13"/>
      <c r="G24" s="13"/>
      <c r="H24" s="0" t="s">
        <v>41</v>
      </c>
      <c r="I24" s="5">
        <v>39898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IFERROR(1.6*(1-w),"")</f>
        <v>1.2016</v>
      </c>
      <c r="D25" s="13">
        <v>1.6</v>
      </c>
      <c r="E25" s="13">
        <v/>
      </c>
      <c r="F25" s="13"/>
      <c r="G25" s="13"/>
      <c r="H25" s="0" t="s">
        <v>41</v>
      </c>
      <c r="I25" s="5">
        <v>39898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IFERROR(49.4*(1-w),"")</f>
        <v>37.099399999999996</v>
      </c>
      <c r="D27" s="13">
        <v>49.4</v>
      </c>
      <c r="E27" s="13">
        <v>50.203252032520325</v>
      </c>
      <c r="F27" s="13"/>
      <c r="G27" s="13"/>
      <c r="H27" s="0" t="s">
        <v>41</v>
      </c>
      <c r="I27" s="5">
        <v>39898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IFERROR(6.1*(1-w),"")</f>
        <v>4.5811</v>
      </c>
      <c r="D28" s="13">
        <v>6.1</v>
      </c>
      <c r="E28" s="13">
        <v>6.1991869918699187</v>
      </c>
      <c r="F28" s="13"/>
      <c r="G28" s="13"/>
      <c r="H28" s="0" t="s">
        <v>41</v>
      </c>
      <c r="I28" s="5">
        <v>39898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IFERROR(0.55*(1-w),"")</f>
        <v>0.41305000000000003</v>
      </c>
      <c r="D29" s="13">
        <v>0.55</v>
      </c>
      <c r="E29" s="13">
        <v>0.55894308943089432</v>
      </c>
      <c r="F29" s="13"/>
      <c r="G29" s="13"/>
      <c r="H29" s="0" t="s">
        <v>41</v>
      </c>
      <c r="I29" s="5">
        <v>39898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40</v>
      </c>
      <c r="C30" s="13">
        <f>IFERROR(0.03*(1-w),"")</f>
        <v>0.022529999999999998</v>
      </c>
      <c r="D30" s="13">
        <v>0.03</v>
      </c>
      <c r="E30" s="13">
        <v>0.03048780487804878</v>
      </c>
      <c r="F30" s="13"/>
      <c r="G30" s="13"/>
      <c r="H30" s="0" t="s">
        <v>41</v>
      </c>
      <c r="I30" s="5">
        <v>39898</v>
      </c>
      <c r="J30" s="0" t="s">
        <v>54</v>
      </c>
      <c r="K30" s="0" t="s">
        <v>55</v>
      </c>
    </row>
    <row r="31" outlineLevel="2">
      <c r="A31" s="12" t="s">
        <v>56</v>
      </c>
      <c r="B31" s="0" t="s">
        <v>40</v>
      </c>
      <c r="C31" s="13">
        <f>IFERROR(57.692*(1-w)+w*100,"")</f>
        <v>68.226692</v>
      </c>
      <c r="D31" s="13">
        <v>57.692</v>
      </c>
      <c r="E31" s="13">
        <v>57.0040650406504</v>
      </c>
      <c r="F31" s="13"/>
      <c r="G31" s="13"/>
      <c r="I31" s="5"/>
      <c r="J31" s="0" t="s">
        <v>57</v>
      </c>
    </row>
    <row r="32" outlineLevel="1">
      <c r="A32" s="11" t="s">
        <v>58</v>
      </c>
      <c r="I32" s="5"/>
    </row>
    <row r="33" outlineLevel="2">
      <c r="A33" s="12" t="s">
        <v>59</v>
      </c>
      <c r="B33" s="0" t="s">
        <v>60</v>
      </c>
      <c r="C33" s="14">
        <f>IFERROR(120*(1-w),"")</f>
        <v>90.12</v>
      </c>
      <c r="D33" s="14">
        <v>120</v>
      </c>
      <c r="E33" s="14">
        <v>121.95121951219512</v>
      </c>
      <c r="F33" s="14"/>
      <c r="G33" s="14"/>
      <c r="H33" s="0" t="s">
        <v>41</v>
      </c>
      <c r="I33" s="5">
        <v>39898</v>
      </c>
      <c r="J33" s="0" t="s">
        <v>61</v>
      </c>
      <c r="K33" s="0" t="s">
        <v>55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IFERROR(18.75*(1-w)-w*2.443,"")</f>
        <v>13.472943</v>
      </c>
      <c r="D35" s="13">
        <v>18.75</v>
      </c>
      <c r="E35" s="13">
        <v>19.054878048780488</v>
      </c>
      <c r="F35" s="13"/>
      <c r="G35" s="13"/>
      <c r="H35" s="0" t="s">
        <v>41</v>
      </c>
      <c r="I35" s="5">
        <v>39898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IFERROR(20.08*(1-w),"")</f>
        <v>15.080079999999999</v>
      </c>
      <c r="D36" s="13">
        <v>20.08</v>
      </c>
      <c r="E36" s="13">
        <v>20.40650406504065</v>
      </c>
      <c r="F36" s="13"/>
      <c r="G36" s="13"/>
      <c r="H36" s="0" t="s">
        <v>41</v>
      </c>
      <c r="I36" s="5">
        <v>39898</v>
      </c>
      <c r="K36" s="0" t="s">
        <v>66</v>
      </c>
    </row>
    <row r="37" outlineLevel="1">
      <c r="A37" s="11" t="s">
        <v>68</v>
      </c>
      <c r="I37" s="5"/>
    </row>
    <row r="38" outlineLevel="2">
      <c r="A38" s="12" t="s">
        <v>69</v>
      </c>
      <c r="B38" s="0" t="s">
        <v>70</v>
      </c>
      <c r="C38" s="14">
        <v>1.5</v>
      </c>
      <c r="D38" s="14"/>
      <c r="E38" s="14"/>
      <c r="F38" s="14"/>
      <c r="G38" s="14"/>
      <c r="H38" s="0" t="s">
        <v>41</v>
      </c>
      <c r="I38" s="5">
        <v>39898</v>
      </c>
      <c r="K38" s="0" t="s">
        <v>55</v>
      </c>
    </row>
    <row r="39" outlineLevel="2">
      <c r="A39" s="12" t="s">
        <v>71</v>
      </c>
      <c r="B39" s="0" t="s">
        <v>70</v>
      </c>
      <c r="C39" s="14">
        <v>0.23</v>
      </c>
      <c r="D39" s="14"/>
      <c r="E39" s="14"/>
      <c r="F39" s="14"/>
      <c r="G39" s="14"/>
      <c r="H39" s="0" t="s">
        <v>41</v>
      </c>
      <c r="I39" s="5">
        <v>39898</v>
      </c>
      <c r="K39" s="0" t="s">
        <v>55</v>
      </c>
    </row>
    <row r="40" outlineLevel="2">
      <c r="A40" s="12" t="s">
        <v>72</v>
      </c>
      <c r="B40" s="0" t="s">
        <v>70</v>
      </c>
      <c r="C40" s="14">
        <v>1.2</v>
      </c>
      <c r="D40" s="14"/>
      <c r="E40" s="14"/>
      <c r="F40" s="14"/>
      <c r="G40" s="14"/>
      <c r="H40" s="0" t="s">
        <v>41</v>
      </c>
      <c r="I40" s="5">
        <v>39898</v>
      </c>
      <c r="K40" s="0" t="s">
        <v>55</v>
      </c>
    </row>
    <row r="41" outlineLevel="2">
      <c r="A41" s="12" t="s">
        <v>73</v>
      </c>
      <c r="B41" s="0" t="s">
        <v>70</v>
      </c>
      <c r="C41" s="14">
        <v>14</v>
      </c>
      <c r="D41" s="14"/>
      <c r="E41" s="14"/>
      <c r="F41" s="14"/>
      <c r="G41" s="14"/>
      <c r="H41" s="0" t="s">
        <v>41</v>
      </c>
      <c r="I41" s="5">
        <v>39898</v>
      </c>
      <c r="K41" s="0" t="s">
        <v>55</v>
      </c>
    </row>
    <row r="42" outlineLevel="2">
      <c r="A42" s="12" t="s">
        <v>74</v>
      </c>
      <c r="B42" s="0" t="s">
        <v>70</v>
      </c>
      <c r="C42" s="14">
        <v>9</v>
      </c>
      <c r="D42" s="14"/>
      <c r="E42" s="14"/>
      <c r="F42" s="14"/>
      <c r="G42" s="14"/>
      <c r="H42" s="0" t="s">
        <v>41</v>
      </c>
      <c r="I42" s="5">
        <v>39898</v>
      </c>
      <c r="K42" s="0" t="s">
        <v>55</v>
      </c>
    </row>
    <row r="43" outlineLevel="2">
      <c r="A43" s="12" t="s">
        <v>75</v>
      </c>
      <c r="B43" s="0" t="s">
        <v>70</v>
      </c>
      <c r="C43" s="14">
        <v>0.01</v>
      </c>
      <c r="D43" s="14"/>
      <c r="E43" s="14"/>
      <c r="F43" s="14"/>
      <c r="G43" s="14"/>
      <c r="H43" s="0" t="s">
        <v>41</v>
      </c>
      <c r="I43" s="5">
        <v>39898</v>
      </c>
      <c r="K43" s="0" t="s">
        <v>55</v>
      </c>
    </row>
    <row r="44" outlineLevel="2">
      <c r="A44" s="12" t="s">
        <v>76</v>
      </c>
      <c r="B44" s="0" t="s">
        <v>70</v>
      </c>
      <c r="C44" s="14">
        <v>700</v>
      </c>
      <c r="D44" s="14"/>
      <c r="E44" s="14"/>
      <c r="F44" s="14"/>
      <c r="G44" s="14"/>
      <c r="H44" s="0" t="s">
        <v>41</v>
      </c>
      <c r="I44" s="5">
        <v>39898</v>
      </c>
      <c r="K44" s="0" t="s">
        <v>55</v>
      </c>
    </row>
    <row r="45" outlineLevel="2">
      <c r="A45" s="12" t="s">
        <v>77</v>
      </c>
      <c r="B45" s="0" t="s">
        <v>70</v>
      </c>
      <c r="C45" s="14">
        <v>120</v>
      </c>
      <c r="D45" s="14"/>
      <c r="E45" s="14"/>
      <c r="F45" s="14"/>
      <c r="G45" s="14"/>
      <c r="H45" s="0" t="s">
        <v>41</v>
      </c>
      <c r="I45" s="5">
        <v>39898</v>
      </c>
      <c r="K45" s="0" t="s">
        <v>55</v>
      </c>
    </row>
    <row r="46" outlineLevel="2">
      <c r="A46" s="12" t="s">
        <v>78</v>
      </c>
      <c r="B46" s="0" t="s">
        <v>70</v>
      </c>
      <c r="C46" s="14">
        <v>1100</v>
      </c>
      <c r="D46" s="14"/>
      <c r="E46" s="14"/>
      <c r="F46" s="14"/>
      <c r="G46" s="14"/>
      <c r="H46" s="0" t="s">
        <v>41</v>
      </c>
      <c r="I46" s="5">
        <v>39898</v>
      </c>
      <c r="K46" s="0" t="s">
        <v>55</v>
      </c>
    </row>
    <row r="47" outlineLevel="2">
      <c r="A47" s="12" t="s">
        <v>79</v>
      </c>
      <c r="B47" s="0" t="s">
        <v>70</v>
      </c>
      <c r="C47" s="14">
        <v>5.4</v>
      </c>
      <c r="D47" s="14"/>
      <c r="E47" s="14"/>
      <c r="F47" s="14"/>
      <c r="G47" s="14"/>
      <c r="H47" s="0" t="s">
        <v>41</v>
      </c>
      <c r="I47" s="5">
        <v>39898</v>
      </c>
      <c r="K47" s="0" t="s">
        <v>55</v>
      </c>
    </row>
    <row r="48" outlineLevel="2">
      <c r="A48" s="12" t="s">
        <v>80</v>
      </c>
      <c r="B48" s="0" t="s">
        <v>70</v>
      </c>
      <c r="C48" s="14">
        <v>150</v>
      </c>
      <c r="D48" s="14"/>
      <c r="E48" s="14"/>
      <c r="F48" s="14"/>
      <c r="G48" s="14"/>
      <c r="H48" s="0" t="s">
        <v>41</v>
      </c>
      <c r="I48" s="5">
        <v>39898</v>
      </c>
      <c r="K48" s="0" t="s">
        <v>55</v>
      </c>
    </row>
    <row r="49" outlineLevel="2">
      <c r="A49" s="12" t="s">
        <v>81</v>
      </c>
      <c r="B49" s="0" t="s">
        <v>70</v>
      </c>
      <c r="C49" s="14" t="s">
        <v>82</v>
      </c>
      <c r="D49" s="14"/>
      <c r="E49" s="14"/>
      <c r="F49" s="14"/>
      <c r="G49" s="14"/>
      <c r="H49" s="0" t="s">
        <v>41</v>
      </c>
      <c r="I49" s="5">
        <v>39898</v>
      </c>
    </row>
    <row r="50" outlineLevel="2">
      <c r="A50" s="12" t="s">
        <v>83</v>
      </c>
      <c r="B50" s="0" t="s">
        <v>70</v>
      </c>
      <c r="C50" s="14" t="s">
        <v>82</v>
      </c>
      <c r="D50" s="14"/>
      <c r="E50" s="14"/>
      <c r="F50" s="14"/>
      <c r="G50" s="14"/>
      <c r="H50" s="0" t="s">
        <v>41</v>
      </c>
      <c r="I50" s="5">
        <v>39898</v>
      </c>
    </row>
    <row r="51" outlineLevel="2">
      <c r="A51" s="12" t="s">
        <v>84</v>
      </c>
      <c r="B51" s="0" t="s">
        <v>70</v>
      </c>
      <c r="C51" s="14">
        <v>1.6</v>
      </c>
      <c r="D51" s="14"/>
      <c r="E51" s="14"/>
      <c r="F51" s="14"/>
      <c r="G51" s="14"/>
      <c r="H51" s="0" t="s">
        <v>41</v>
      </c>
      <c r="I51" s="5">
        <v>39898</v>
      </c>
      <c r="K51" s="0" t="s">
        <v>55</v>
      </c>
    </row>
    <row r="52" outlineLevel="2">
      <c r="A52" s="12" t="s">
        <v>85</v>
      </c>
      <c r="B52" s="0" t="s">
        <v>70</v>
      </c>
      <c r="C52" s="14">
        <v>310</v>
      </c>
      <c r="D52" s="14"/>
      <c r="E52" s="14"/>
      <c r="F52" s="14"/>
      <c r="G52" s="14"/>
      <c r="H52" s="0" t="s">
        <v>41</v>
      </c>
      <c r="I52" s="5">
        <v>39898</v>
      </c>
      <c r="K52" s="0" t="s">
        <v>55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24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https://phyllis.nl/Biomass/View/3274</dc:description>
  <dcterms:created xsi:type="dcterms:W3CDTF">2026-03-19T04:11:28Z</dcterms:created>
  <dc:title>Phyllis2 #3274 Used wood, chemically treated (class C)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