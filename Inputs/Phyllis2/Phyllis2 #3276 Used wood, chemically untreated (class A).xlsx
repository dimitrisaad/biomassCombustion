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76 Used wood, chemi" sheetId="1" r:id="rId1"/>
  </sheets>
  <definedNames>
    <definedName name="w" localSheetId="0">IF(ISBLANK('Phyllis2 #3276 Used wood, chemi'!$C$23),#N/A,'Phyllis2 #3276 Used wood, chemi'!$C$23/100)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<sst xmlns="http://schemas.openxmlformats.org/spreadsheetml/2006/main" count="87" uniqueCount="87">
  <si>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</si>
  <si>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https://phyllis.nl/Biomass/View/3276</t>
  </si>
  <si>
    <t>Used wood, chemically untreated (class A) (#3276)</t>
  </si>
  <si>
    <t>ID-number</t>
  </si>
  <si>
    <t>#3276</t>
  </si>
  <si>
    <t>Material</t>
  </si>
  <si>
    <t>Used wood, chemically untreated (class A)</t>
  </si>
  <si>
    <t>Alternative name</t>
  </si>
  <si>
    <t>Recycled wood</t>
  </si>
  <si>
    <t>Classification</t>
  </si>
  <si>
    <t>CEN/TS 14961 classification &gt; Solid biofuels &gt; Woody biomass &gt; Used wood &gt; Chemically untreated wood</t>
  </si>
  <si>
    <t>ECN Phyllis classification &gt; treated wood</t>
  </si>
  <si>
    <t>NTA 8003 classification &gt; [100] hout &gt; [150] verwerkt hout &gt; [160] onbehandeld (A-hout)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</si>
  <si>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</si>
  <si>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</si>
  <si>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</si>
  <si>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</si>
  <si>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</si>
  <si>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</si>
  <si>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</si>
  <si>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</si>
  <si>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</si>
  <si>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</si>
  <si>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</si>
  <si>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</si>
  <si>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</si>
  <si>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</si>
  <si>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</si>
  <si>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</si>
  <si>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</si>
  <si>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</si>
  <si>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</si>
  <si>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</si>
  <si>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</si>
  <si>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</si>
  <si>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</si>
  <si>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</si>
  <si>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</si>
  <si>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</si>
  <si>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</si>
  <si>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</si>
  <si>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</si>
  <si>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</si>
  <si>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</si>
  <si>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</si>
  <si>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</si>
  <si>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</si>
  <si>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</si>
  <si>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</si>
  <si>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</si>
  <si>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</si>
  <si>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</si>
  <si>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wt% (dry)</t>
  </si>
  <si>
    <t>&lt;0.02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</si>
  <si>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</si>
  <si>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</si>
  <si>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</si>
  <si>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</si>
  <si>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</si>
  <si>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</si>
  <si>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</si>
  <si>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</si>
  <si>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</si>
  <si>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</si>
  <si>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</si>
  <si>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</si>
  <si>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</si>
  <si>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</si>
  <si>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</si>
  <si>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</si>
  <si>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</si>
  <si>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</si>
  <si>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</si>
  <si>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&lt;0.5</t>
  </si>
  <si>
    <t>Chromium (Cr)</t>
  </si>
  <si>
    <t>Copper (Cu)</t>
  </si>
  <si>
    <t>Mercury (Hg)</t>
  </si>
  <si>
    <t>&lt;0.01</t>
  </si>
  <si>
    <t>Potassium (K)</t>
  </si>
  <si>
    <t>Manganese (Mn)</t>
  </si>
  <si>
    <t>Sodium (Na)</t>
  </si>
  <si>
    <t>Nickel (Ni)</t>
  </si>
  <si>
    <t>Lead (Pb)</t>
  </si>
  <si>
    <t>Antimony (Sb)</t>
  </si>
  <si>
    <t>Thallium (Tl)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</si>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</sst>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39847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39847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39993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33.6</v>
      </c>
      <c r="D23" s="13"/>
      <c r="E23" s="13"/>
      <c r="F23" s="13"/>
      <c r="G23" s="13"/>
      <c r="H23" s="0" t="s">
        <v>39</v>
      </c>
      <c r="I23" s="5">
        <v>39875</v>
      </c>
      <c r="J23" s="0" t="s">
        <v>40</v>
      </c>
      <c r="K23" s="0" t="s">
        <v>41</v>
      </c>
    </row>
    <row r="24" outlineLevel="2">
      <c r="A24" s="12" t="s">
        <v>42</v>
      </c>
      <c r="B24" s="0" t="s">
        <v>38</v>
      </c>
      <c r="C24" s="13">
        <f>IFERROR(1*(1-w),"")</f>
        <v>0.66399999999999992</v>
      </c>
      <c r="D24" s="13">
        <v>1</v>
      </c>
      <c r="E24" s="13">
        <v/>
      </c>
      <c r="F24" s="13"/>
      <c r="G24" s="13"/>
      <c r="H24" s="0" t="s">
        <v>39</v>
      </c>
      <c r="I24" s="5">
        <v>39875</v>
      </c>
      <c r="J24" s="0" t="s">
        <v>43</v>
      </c>
      <c r="K24" s="0" t="s">
        <v>44</v>
      </c>
    </row>
    <row r="25" outlineLevel="1">
      <c r="A25" s="11" t="s">
        <v>45</v>
      </c>
      <c r="I25" s="5"/>
    </row>
    <row r="26" outlineLevel="2">
      <c r="A26" s="12" t="s">
        <v>46</v>
      </c>
      <c r="B26" s="0" t="s">
        <v>38</v>
      </c>
      <c r="C26" s="13">
        <f>IFERROR(50.2*(1-w),"")</f>
        <v>33.3328</v>
      </c>
      <c r="D26" s="13">
        <v>50.2</v>
      </c>
      <c r="E26" s="13">
        <v>50.707070707070713</v>
      </c>
      <c r="F26" s="13"/>
      <c r="G26" s="13"/>
      <c r="H26" s="0" t="s">
        <v>39</v>
      </c>
      <c r="I26" s="5">
        <v>39875</v>
      </c>
      <c r="J26" s="0" t="s">
        <v>47</v>
      </c>
      <c r="K26" s="0" t="s">
        <v>48</v>
      </c>
    </row>
    <row r="27" outlineLevel="2">
      <c r="A27" s="12" t="s">
        <v>49</v>
      </c>
      <c r="B27" s="0" t="s">
        <v>38</v>
      </c>
      <c r="C27" s="13">
        <f>IFERROR(6.1*(1-w),"")</f>
        <v>4.0503999999999989</v>
      </c>
      <c r="D27" s="13">
        <v>6.1</v>
      </c>
      <c r="E27" s="13">
        <v>6.1616161616161609</v>
      </c>
      <c r="F27" s="13"/>
      <c r="G27" s="13"/>
      <c r="H27" s="0" t="s">
        <v>39</v>
      </c>
      <c r="I27" s="5">
        <v>39875</v>
      </c>
      <c r="J27" s="0" t="s">
        <v>47</v>
      </c>
      <c r="K27" s="0" t="s">
        <v>48</v>
      </c>
    </row>
    <row r="28" outlineLevel="2">
      <c r="A28" s="12" t="s">
        <v>50</v>
      </c>
      <c r="B28" s="0" t="s">
        <v>38</v>
      </c>
      <c r="C28" s="13">
        <f>IFERROR(0.2*(1-w),"")</f>
        <v>0.1328</v>
      </c>
      <c r="D28" s="13">
        <v>0.2</v>
      </c>
      <c r="E28" s="13">
        <v>0.20202020202020204</v>
      </c>
      <c r="F28" s="13"/>
      <c r="G28" s="13"/>
      <c r="H28" s="0" t="s">
        <v>39</v>
      </c>
      <c r="I28" s="5">
        <v>39875</v>
      </c>
      <c r="J28" s="0" t="s">
        <v>47</v>
      </c>
      <c r="K28" s="0" t="s">
        <v>48</v>
      </c>
    </row>
    <row r="29" outlineLevel="2">
      <c r="A29" s="12" t="s">
        <v>51</v>
      </c>
      <c r="B29" s="0" t="s">
        <v>52</v>
      </c>
      <c r="C29" s="13" t="s">
        <v>53</v>
      </c>
      <c r="D29" s="13"/>
      <c r="E29" s="13"/>
      <c r="F29" s="13"/>
      <c r="G29" s="13"/>
      <c r="H29" s="0" t="s">
        <v>39</v>
      </c>
      <c r="I29" s="5">
        <v>39875</v>
      </c>
      <c r="J29" s="0" t="s">
        <v>54</v>
      </c>
      <c r="K29" s="0" t="s">
        <v>55</v>
      </c>
    </row>
    <row r="30" outlineLevel="2">
      <c r="A30" s="12" t="s">
        <v>56</v>
      </c>
      <c r="B30" s="0" t="s">
        <v>38</v>
      </c>
      <c r="C30" s="13">
        <f>IFERROR(57.51*(1-w)+w*100,"")</f>
        <v>71.78664</v>
      </c>
      <c r="D30" s="13">
        <v>57.510000000000005</v>
      </c>
      <c r="E30" s="13">
        <v>57.080808080808083</v>
      </c>
      <c r="F30" s="13"/>
      <c r="G30" s="13"/>
      <c r="I30" s="5"/>
      <c r="J30" s="0" t="s">
        <v>57</v>
      </c>
    </row>
    <row r="31" outlineLevel="1">
      <c r="A31" s="11" t="s">
        <v>58</v>
      </c>
      <c r="I31" s="5"/>
    </row>
    <row r="32" outlineLevel="2">
      <c r="A32" s="12" t="s">
        <v>59</v>
      </c>
      <c r="B32" s="0" t="s">
        <v>60</v>
      </c>
      <c r="C32" s="14">
        <f>IFERROR(100*(1-w),"")</f>
        <v>66.399999999999991</v>
      </c>
      <c r="D32" s="14">
        <v>100</v>
      </c>
      <c r="E32" s="14">
        <v>101.01010101010101</v>
      </c>
      <c r="F32" s="14"/>
      <c r="G32" s="14"/>
      <c r="H32" s="0" t="s">
        <v>39</v>
      </c>
      <c r="I32" s="5">
        <v>39875</v>
      </c>
      <c r="J32" s="0" t="s">
        <v>61</v>
      </c>
      <c r="K32" s="0" t="s">
        <v>55</v>
      </c>
    </row>
    <row r="33" outlineLevel="1">
      <c r="A33" s="11" t="s">
        <v>62</v>
      </c>
      <c r="I33" s="5"/>
    </row>
    <row r="34" outlineLevel="2">
      <c r="A34" s="12" t="s">
        <v>63</v>
      </c>
      <c r="B34" s="0" t="s">
        <v>64</v>
      </c>
      <c r="C34" s="13">
        <f>IFERROR(18.97*(1-w)-w*2.443,"")</f>
        <v>11.775231999999997</v>
      </c>
      <c r="D34" s="13">
        <v>18.97</v>
      </c>
      <c r="E34" s="13">
        <v>19.161616161616159</v>
      </c>
      <c r="F34" s="13"/>
      <c r="G34" s="13"/>
      <c r="H34" s="0" t="s">
        <v>39</v>
      </c>
      <c r="I34" s="5">
        <v>39875</v>
      </c>
      <c r="J34" s="0" t="s">
        <v>65</v>
      </c>
      <c r="K34" s="0" t="s">
        <v>66</v>
      </c>
    </row>
    <row r="35" outlineLevel="2">
      <c r="A35" s="12" t="s">
        <v>67</v>
      </c>
      <c r="B35" s="0" t="s">
        <v>64</v>
      </c>
      <c r="C35" s="13">
        <f>IFERROR(20.3*(1-w),"")</f>
        <v>13.479199999999999</v>
      </c>
      <c r="D35" s="13">
        <v>20.3</v>
      </c>
      <c r="E35" s="13">
        <v>20.505050505050505</v>
      </c>
      <c r="F35" s="13"/>
      <c r="G35" s="13"/>
      <c r="H35" s="0" t="s">
        <v>39</v>
      </c>
      <c r="I35" s="5">
        <v>39875</v>
      </c>
      <c r="K35" s="0" t="s">
        <v>66</v>
      </c>
    </row>
    <row r="36" outlineLevel="1">
      <c r="A36" s="11" t="s">
        <v>68</v>
      </c>
      <c r="I36" s="5"/>
    </row>
    <row r="37" outlineLevel="2">
      <c r="A37" s="12" t="s">
        <v>69</v>
      </c>
      <c r="B37" s="0" t="s">
        <v>70</v>
      </c>
      <c r="C37" s="14">
        <v>3.9</v>
      </c>
      <c r="D37" s="14"/>
      <c r="E37" s="14"/>
      <c r="F37" s="14"/>
      <c r="G37" s="14"/>
      <c r="H37" s="0" t="s">
        <v>39</v>
      </c>
      <c r="I37" s="5">
        <v>39875</v>
      </c>
      <c r="K37" s="0" t="s">
        <v>55</v>
      </c>
    </row>
    <row r="38" outlineLevel="2">
      <c r="A38" s="12" t="s">
        <v>71</v>
      </c>
      <c r="B38" s="0" t="s">
        <v>70</v>
      </c>
      <c r="C38" s="14">
        <v>0.12</v>
      </c>
      <c r="D38" s="14"/>
      <c r="E38" s="14"/>
      <c r="F38" s="14"/>
      <c r="G38" s="14"/>
      <c r="H38" s="0" t="s">
        <v>39</v>
      </c>
      <c r="I38" s="5">
        <v>39875</v>
      </c>
      <c r="K38" s="0" t="s">
        <v>55</v>
      </c>
    </row>
    <row r="39" outlineLevel="2">
      <c r="A39" s="12" t="s">
        <v>72</v>
      </c>
      <c r="B39" s="0" t="s">
        <v>70</v>
      </c>
      <c r="C39" s="14" t="s">
        <v>73</v>
      </c>
      <c r="D39" s="14"/>
      <c r="E39" s="14"/>
      <c r="F39" s="14"/>
      <c r="G39" s="14"/>
      <c r="H39" s="0" t="s">
        <v>39</v>
      </c>
      <c r="I39" s="5">
        <v>39875</v>
      </c>
      <c r="K39" s="0" t="s">
        <v>55</v>
      </c>
    </row>
    <row r="40" outlineLevel="2">
      <c r="A40" s="12" t="s">
        <v>74</v>
      </c>
      <c r="B40" s="0" t="s">
        <v>70</v>
      </c>
      <c r="C40" s="14">
        <v>26</v>
      </c>
      <c r="D40" s="14"/>
      <c r="E40" s="14"/>
      <c r="F40" s="14"/>
      <c r="G40" s="14"/>
      <c r="H40" s="0" t="s">
        <v>39</v>
      </c>
      <c r="I40" s="5">
        <v>39875</v>
      </c>
      <c r="K40" s="0" t="s">
        <v>55</v>
      </c>
    </row>
    <row r="41" outlineLevel="2">
      <c r="A41" s="12" t="s">
        <v>75</v>
      </c>
      <c r="B41" s="0" t="s">
        <v>70</v>
      </c>
      <c r="C41" s="14">
        <v>8</v>
      </c>
      <c r="D41" s="14"/>
      <c r="E41" s="14"/>
      <c r="F41" s="14"/>
      <c r="G41" s="14"/>
      <c r="H41" s="0" t="s">
        <v>39</v>
      </c>
      <c r="I41" s="5">
        <v>39875</v>
      </c>
      <c r="K41" s="0" t="s">
        <v>55</v>
      </c>
    </row>
    <row r="42" outlineLevel="2">
      <c r="A42" s="12" t="s">
        <v>76</v>
      </c>
      <c r="B42" s="0" t="s">
        <v>70</v>
      </c>
      <c r="C42" s="14" t="s">
        <v>77</v>
      </c>
      <c r="D42" s="14"/>
      <c r="E42" s="14"/>
      <c r="F42" s="14"/>
      <c r="G42" s="14"/>
      <c r="H42" s="0" t="s">
        <v>39</v>
      </c>
      <c r="I42" s="5">
        <v>39875</v>
      </c>
      <c r="K42" s="0" t="s">
        <v>55</v>
      </c>
    </row>
    <row r="43" outlineLevel="2">
      <c r="A43" s="12" t="s">
        <v>78</v>
      </c>
      <c r="B43" s="0" t="s">
        <v>70</v>
      </c>
      <c r="C43" s="14">
        <v>610</v>
      </c>
      <c r="D43" s="14"/>
      <c r="E43" s="14"/>
      <c r="F43" s="14"/>
      <c r="G43" s="14"/>
      <c r="H43" s="0" t="s">
        <v>39</v>
      </c>
      <c r="I43" s="5">
        <v>39875</v>
      </c>
      <c r="K43" s="0" t="s">
        <v>55</v>
      </c>
    </row>
    <row r="44" outlineLevel="2">
      <c r="A44" s="12" t="s">
        <v>79</v>
      </c>
      <c r="B44" s="0" t="s">
        <v>70</v>
      </c>
      <c r="C44" s="14">
        <v>100</v>
      </c>
      <c r="D44" s="14"/>
      <c r="E44" s="14"/>
      <c r="F44" s="14"/>
      <c r="G44" s="14"/>
      <c r="H44" s="0" t="s">
        <v>39</v>
      </c>
      <c r="I44" s="5">
        <v>39875</v>
      </c>
      <c r="K44" s="0" t="s">
        <v>55</v>
      </c>
    </row>
    <row r="45" outlineLevel="2">
      <c r="A45" s="12" t="s">
        <v>80</v>
      </c>
      <c r="B45" s="0" t="s">
        <v>70</v>
      </c>
      <c r="C45" s="14">
        <v>280</v>
      </c>
      <c r="D45" s="14"/>
      <c r="E45" s="14"/>
      <c r="F45" s="14"/>
      <c r="G45" s="14"/>
      <c r="H45" s="0" t="s">
        <v>39</v>
      </c>
      <c r="I45" s="5">
        <v>39875</v>
      </c>
      <c r="K45" s="0" t="s">
        <v>55</v>
      </c>
    </row>
    <row r="46" outlineLevel="2">
      <c r="A46" s="12" t="s">
        <v>81</v>
      </c>
      <c r="B46" s="0" t="s">
        <v>70</v>
      </c>
      <c r="C46" s="14">
        <v>11</v>
      </c>
      <c r="D46" s="14"/>
      <c r="E46" s="14"/>
      <c r="F46" s="14"/>
      <c r="G46" s="14"/>
      <c r="H46" s="0" t="s">
        <v>39</v>
      </c>
      <c r="I46" s="5">
        <v>39875</v>
      </c>
      <c r="K46" s="0" t="s">
        <v>55</v>
      </c>
    </row>
    <row r="47" outlineLevel="2">
      <c r="A47" s="12" t="s">
        <v>82</v>
      </c>
      <c r="B47" s="0" t="s">
        <v>70</v>
      </c>
      <c r="C47" s="14">
        <v>2.1</v>
      </c>
      <c r="D47" s="14"/>
      <c r="E47" s="14"/>
      <c r="F47" s="14"/>
      <c r="G47" s="14"/>
      <c r="H47" s="0" t="s">
        <v>39</v>
      </c>
      <c r="I47" s="5">
        <v>39875</v>
      </c>
      <c r="K47" s="0" t="s">
        <v>55</v>
      </c>
    </row>
    <row r="48" outlineLevel="2">
      <c r="A48" s="12" t="s">
        <v>83</v>
      </c>
      <c r="B48" s="0" t="s">
        <v>70</v>
      </c>
      <c r="C48" s="14" t="s">
        <v>73</v>
      </c>
      <c r="D48" s="14"/>
      <c r="E48" s="14"/>
      <c r="F48" s="14"/>
      <c r="G48" s="14"/>
      <c r="H48" s="0" t="s">
        <v>39</v>
      </c>
      <c r="I48" s="5">
        <v>39875</v>
      </c>
    </row>
    <row r="49" outlineLevel="2">
      <c r="A49" s="12" t="s">
        <v>84</v>
      </c>
      <c r="B49" s="0" t="s">
        <v>70</v>
      </c>
      <c r="C49" s="14" t="s">
        <v>73</v>
      </c>
      <c r="D49" s="14"/>
      <c r="E49" s="14"/>
      <c r="F49" s="14"/>
      <c r="G49" s="14"/>
      <c r="H49" s="0" t="s">
        <v>39</v>
      </c>
      <c r="I49" s="5">
        <v>39875</v>
      </c>
    </row>
    <row r="50" outlineLevel="2">
      <c r="A50" s="12" t="s">
        <v>85</v>
      </c>
      <c r="B50" s="0" t="s">
        <v>70</v>
      </c>
      <c r="C50" s="14">
        <v>0.72</v>
      </c>
      <c r="D50" s="14"/>
      <c r="E50" s="14"/>
      <c r="F50" s="14"/>
      <c r="G50" s="14"/>
      <c r="H50" s="0" t="s">
        <v>39</v>
      </c>
      <c r="I50" s="5">
        <v>39875</v>
      </c>
      <c r="K50" s="0" t="s">
        <v>55</v>
      </c>
    </row>
    <row r="51" outlineLevel="2">
      <c r="A51" s="12" t="s">
        <v>86</v>
      </c>
      <c r="B51" s="0" t="s">
        <v>70</v>
      </c>
      <c r="C51" s="14">
        <v>42</v>
      </c>
      <c r="D51" s="14"/>
      <c r="E51" s="14"/>
      <c r="F51" s="14"/>
      <c r="G51" s="14"/>
      <c r="H51" s="0" t="s">
        <v>39</v>
      </c>
      <c r="I51" s="5">
        <v>39875</v>
      </c>
      <c r="K51" s="0" t="s">
        <v>55</v>
      </c>
    </row>
    <row r="52">
      <c r="I52" s="5"/>
    </row>
    <row r="53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9:E29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3" errorStyle="stop" promptTitle="Enter moisture content" errorTitle="Invalid moisture content" prompt="Value should be between 0 and 100.&#10;Original value: 33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https://phyllis.nl/Biomass/View/3276</dc:description>
  <dcterms:created xsi:type="dcterms:W3CDTF">2026-03-19T04:12:10Z</dcterms:created>
  <dc:title>Phyllis2 #3276 Used wood, chemically untreated (class A)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