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80 Used wood, chemi" sheetId="1" r:id="rId1"/>
  </sheets>
  <definedNames>
    <definedName name="w" localSheetId="0">IF(ISBLANK('Phyllis2 #3280 Used wood, chemi'!$C$24),#N/A,'Phyllis2 #3280 Used wood, chemi'!$C$24/100)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1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1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1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<sst xmlns="http://schemas.openxmlformats.org/spreadsheetml/2006/main" count="86" uniqueCount="86">
  <si>
    <t>Phyllis2</t>
  </si>
  <si>
    <t>https://phyllis.nl/Biomass/View/3280</t>
  </si>
  <si>
    <t>Used wood, chemically treated (class C) (#3280)</t>
  </si>
  <si>
    <t>ID-number</t>
  </si>
  <si>
    <t>#3280</t>
  </si>
  <si>
    <t>Material</t>
  </si>
  <si>
    <t>Used wood, chemically treated (class C)</t>
  </si>
  <si>
    <t>Alternative name</t>
  </si>
  <si>
    <t>Recycled wood</t>
  </si>
  <si>
    <t>Description</t>
  </si>
  <si>
    <t>Elevated As and Zn level compared to natural wood</t>
  </si>
  <si>
    <t>Classification</t>
  </si>
  <si>
    <t>CEN/TS 14961 classification &gt; Solid biofuels &gt; Woody biomass &gt; Used wood &gt; Chemically treated wood</t>
  </si>
  <si>
    <t>ECN Phyllis classification &gt; treated wood &gt; salt impregnated</t>
  </si>
  <si>
    <t>NTA 8003 classification &gt; [100] hout &gt; [150] verwerkt hout &gt; [180] geïmpregneerd hout (C-hout) &gt; [182] geïmpregneerd hout: zware metalen</t>
  </si>
  <si>
    <t>Sample date</t>
  </si>
  <si>
    <t>Country</t>
  </si>
  <si>
    <t>Finland</t>
  </si>
  <si>
    <t>Production date</t>
  </si>
  <si>
    <t>Submitter</t>
  </si>
  <si>
    <t>Camilla Wiik, VTT, Finland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</si>
  <si>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</si>
  <si>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</si>
  <si>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</si>
  <si>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</si>
  <si>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</si>
  <si>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</si>
  <si>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</si>
  <si>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</si>
  <si>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</si>
  <si>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</si>
  <si>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</si>
  <si>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</si>
  <si>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</si>
  <si>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</si>
  <si>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</si>
  <si>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</si>
  <si>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</si>
  <si>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</si>
  <si>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</si>
  <si>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</si>
  <si>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ENAS Oy, Finland</t>
  </si>
  <si>
    <t>CEN/TS 14774-1,2,3</t>
  </si>
  <si>
    <t>CEN/TS 14774-2:2004 Solid biofuels - Methods for the determination of moisture content - Oven dry method - Part 2: Total moisture - Simplified method</t>
  </si>
  <si>
    <t>Ash content at 550°C</t>
  </si>
  <si>
    <t>CEN/TS 14775</t>
  </si>
  <si>
    <t>CEN/TS 14775 2004 Solid biofuels - Method for the determination of ash content</t>
  </si>
  <si>
    <t>Ultimate analysis (macroelements)</t>
  </si>
  <si>
    <t>Carbon</t>
  </si>
  <si>
    <t>CEN/TS 15104</t>
  </si>
  <si>
    <t>CEN/TS 15104:2005 Solid biofuels - Determination of total content of carbon, hydrogen and nitrogen - Instrumental methods</t>
  </si>
  <si>
    <t>Hydrogen</t>
  </si>
  <si>
    <t>Nitrogen</t>
  </si>
  <si>
    <t>Sulphur</t>
  </si>
  <si>
    <t>CEN/TS15289</t>
  </si>
  <si>
    <t>Own method</t>
  </si>
  <si>
    <t>Total (with halides)</t>
  </si>
  <si>
    <t>Calculated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</si>
  <si>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</si>
  <si>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</si>
  <si>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</si>
  <si>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</si>
  <si>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</si>
  <si>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</si>
  <si>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</si>
  <si>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</si>
  <si>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CEN/TS 14918:2005 Solid Biofuels - Method for the determination of calorific value</t>
  </si>
  <si>
    <t>Gross calorific value (HHV)</t>
  </si>
  <si>
    <t>Trace elements composition</t>
  </si>
  <si>
    <t>Arsenic (As)</t>
  </si>
  <si>
    <t>mg/kg (dry)</t>
  </si>
  <si>
    <t>Cadmium (Cd)</t>
  </si>
  <si>
    <t>Cobalt (Co)</t>
  </si>
  <si>
    <t>Chromium (Cr)</t>
  </si>
  <si>
    <t>Copper (Cu)</t>
  </si>
  <si>
    <t>Mercury (Hg)</t>
  </si>
  <si>
    <t>Potassium (K)</t>
  </si>
  <si>
    <t>Manganese (Mn)</t>
  </si>
  <si>
    <t>Sodium (Na)</t>
  </si>
  <si>
    <t>Nickel (Ni)</t>
  </si>
  <si>
    <t>Lead (Pb)</t>
  </si>
  <si>
    <t>Antimony (Sb)</t>
  </si>
  <si>
    <t>&lt;0.5</t>
  </si>
  <si>
    <t>Thallium (Tl)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</si>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</sst>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8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6.4364128112793" customWidth="1"/>
    <col min="9" max="9" width="11.4837522506714" customWidth="1"/>
    <col min="10" max="10" width="18.8621006011963" customWidth="1"/>
    <col min="11" max="11" width="135.3196563720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6">
        <v>39631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6">
        <v>39631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6">
        <v>39994</v>
      </c>
    </row>
    <row r="18">
      <c r="A18" s="7"/>
    </row>
    <row r="19" s="1" customFormat="1">
      <c r="A19" s="9" t="s">
        <v>24</v>
      </c>
    </row>
    <row r="20" s="1" customFormat="1">
      <c r="A20" s="10" t="s">
        <v>25</v>
      </c>
      <c r="B20" s="10" t="s">
        <v>26</v>
      </c>
      <c r="C20" s="10" t="s">
        <v>27</v>
      </c>
      <c r="D20" s="10"/>
      <c r="E20" s="10"/>
      <c r="F20" s="10" t="s">
        <v>28</v>
      </c>
      <c r="G20" s="10" t="s">
        <v>29</v>
      </c>
      <c r="H20" s="10" t="s">
        <v>30</v>
      </c>
      <c r="I20" s="10" t="s">
        <v>31</v>
      </c>
      <c r="J20" s="10" t="s">
        <v>32</v>
      </c>
      <c r="K20" s="10" t="s">
        <v>33</v>
      </c>
      <c r="L20" s="10"/>
    </row>
    <row r="21" s="1" customFormat="1">
      <c r="A21" s="10"/>
      <c r="B21" s="10"/>
      <c r="C21" s="10" t="s">
        <v>34</v>
      </c>
      <c r="D21" s="10" t="s">
        <v>35</v>
      </c>
      <c r="E21" s="10" t="s">
        <v>36</v>
      </c>
      <c r="F21" s="10"/>
      <c r="G21" s="10"/>
      <c r="H21" s="10"/>
      <c r="I21" s="10"/>
      <c r="J21" s="10"/>
      <c r="K21" s="10"/>
      <c r="L21" s="10"/>
    </row>
    <row r="22">
      <c r="A22" s="7" t="s">
        <v>37</v>
      </c>
      <c r="I22" s="5"/>
    </row>
    <row r="23" outlineLevel="1">
      <c r="A23" s="11" t="s">
        <v>38</v>
      </c>
      <c r="I23" s="5"/>
    </row>
    <row r="24" outlineLevel="2">
      <c r="A24" s="12" t="s">
        <v>39</v>
      </c>
      <c r="B24" s="0" t="s">
        <v>40</v>
      </c>
      <c r="C24" s="13">
        <v>20.7</v>
      </c>
      <c r="D24" s="13"/>
      <c r="E24" s="13"/>
      <c r="F24" s="13"/>
      <c r="G24" s="13"/>
      <c r="H24" s="0" t="s">
        <v>41</v>
      </c>
      <c r="I24" s="5">
        <v>39682</v>
      </c>
      <c r="J24" s="0" t="s">
        <v>42</v>
      </c>
      <c r="K24" s="0" t="s">
        <v>43</v>
      </c>
    </row>
    <row r="25" outlineLevel="2">
      <c r="A25" s="12" t="s">
        <v>44</v>
      </c>
      <c r="B25" s="0" t="s">
        <v>40</v>
      </c>
      <c r="C25" s="13">
        <f>IFERROR(1.1*(1-w),"")</f>
        <v>0.87230000000000008</v>
      </c>
      <c r="D25" s="13">
        <v>1.1</v>
      </c>
      <c r="E25" s="13">
        <v/>
      </c>
      <c r="F25" s="13"/>
      <c r="G25" s="13"/>
      <c r="H25" s="0" t="s">
        <v>41</v>
      </c>
      <c r="I25" s="5">
        <v>39682</v>
      </c>
      <c r="J25" s="0" t="s">
        <v>45</v>
      </c>
      <c r="K25" s="0" t="s">
        <v>46</v>
      </c>
    </row>
    <row r="26" outlineLevel="1">
      <c r="A26" s="11" t="s">
        <v>47</v>
      </c>
      <c r="I26" s="5"/>
    </row>
    <row r="27" outlineLevel="2">
      <c r="A27" s="12" t="s">
        <v>48</v>
      </c>
      <c r="B27" s="0" t="s">
        <v>40</v>
      </c>
      <c r="C27" s="13">
        <f>IFERROR(50.2*(1-w),"")</f>
        <v>39.808600000000006</v>
      </c>
      <c r="D27" s="13">
        <v>50.2</v>
      </c>
      <c r="E27" s="13">
        <v>50.758341759352888</v>
      </c>
      <c r="F27" s="13"/>
      <c r="G27" s="13"/>
      <c r="H27" s="0" t="s">
        <v>41</v>
      </c>
      <c r="I27" s="5">
        <v>39682</v>
      </c>
      <c r="J27" s="0" t="s">
        <v>49</v>
      </c>
      <c r="K27" s="0" t="s">
        <v>50</v>
      </c>
    </row>
    <row r="28" outlineLevel="2">
      <c r="A28" s="12" t="s">
        <v>51</v>
      </c>
      <c r="B28" s="0" t="s">
        <v>40</v>
      </c>
      <c r="C28" s="13">
        <f>IFERROR(6.1*(1-w),"")</f>
        <v>4.8373</v>
      </c>
      <c r="D28" s="13">
        <v>6.1</v>
      </c>
      <c r="E28" s="13">
        <v>6.1678463094034379</v>
      </c>
      <c r="F28" s="13"/>
      <c r="G28" s="13"/>
      <c r="H28" s="0" t="s">
        <v>41</v>
      </c>
      <c r="I28" s="5">
        <v>39682</v>
      </c>
      <c r="J28" s="0" t="s">
        <v>49</v>
      </c>
      <c r="K28" s="0" t="s">
        <v>50</v>
      </c>
    </row>
    <row r="29" outlineLevel="2">
      <c r="A29" s="12" t="s">
        <v>52</v>
      </c>
      <c r="B29" s="0" t="s">
        <v>40</v>
      </c>
      <c r="C29" s="13">
        <f>IFERROR(0.45*(1-w),"")</f>
        <v>0.35685</v>
      </c>
      <c r="D29" s="13">
        <v>0.45</v>
      </c>
      <c r="E29" s="13">
        <v>0.45500505561172905</v>
      </c>
      <c r="F29" s="13"/>
      <c r="G29" s="13"/>
      <c r="H29" s="0" t="s">
        <v>41</v>
      </c>
      <c r="I29" s="5">
        <v>39682</v>
      </c>
      <c r="J29" s="0" t="s">
        <v>49</v>
      </c>
      <c r="K29" s="0" t="s">
        <v>50</v>
      </c>
    </row>
    <row r="30" outlineLevel="2">
      <c r="A30" s="12" t="s">
        <v>53</v>
      </c>
      <c r="B30" s="0" t="s">
        <v>40</v>
      </c>
      <c r="C30" s="13">
        <f>IFERROR(0.04*(1-w),"")</f>
        <v>0.031720000000000005</v>
      </c>
      <c r="D30" s="13">
        <v>0.04</v>
      </c>
      <c r="E30" s="13">
        <v>0.040444893832153689</v>
      </c>
      <c r="F30" s="13"/>
      <c r="G30" s="13"/>
      <c r="H30" s="0" t="s">
        <v>41</v>
      </c>
      <c r="I30" s="5">
        <v>39682</v>
      </c>
      <c r="J30" s="0" t="s">
        <v>54</v>
      </c>
      <c r="K30" s="0" t="s">
        <v>55</v>
      </c>
    </row>
    <row r="31" outlineLevel="2">
      <c r="A31" s="12" t="s">
        <v>56</v>
      </c>
      <c r="B31" s="0" t="s">
        <v>40</v>
      </c>
      <c r="C31" s="13">
        <f>IFERROR(57.906*(1-w)+w*100,"")</f>
        <v>66.619458000000009</v>
      </c>
      <c r="D31" s="13">
        <v>57.906000000000006</v>
      </c>
      <c r="E31" s="13">
        <v>57.437815975733066</v>
      </c>
      <c r="F31" s="13"/>
      <c r="G31" s="13"/>
      <c r="I31" s="5"/>
      <c r="J31" s="0" t="s">
        <v>57</v>
      </c>
    </row>
    <row r="32" outlineLevel="1">
      <c r="A32" s="11" t="s">
        <v>58</v>
      </c>
      <c r="I32" s="5"/>
    </row>
    <row r="33" outlineLevel="2">
      <c r="A33" s="12" t="s">
        <v>59</v>
      </c>
      <c r="B33" s="0" t="s">
        <v>60</v>
      </c>
      <c r="C33" s="14">
        <f>IFERROR(160*(1-w),"")</f>
        <v>126.88000000000001</v>
      </c>
      <c r="D33" s="14">
        <v>160</v>
      </c>
      <c r="E33" s="14">
        <v>161.77957532861475</v>
      </c>
      <c r="F33" s="14"/>
      <c r="G33" s="14"/>
      <c r="H33" s="0" t="s">
        <v>41</v>
      </c>
      <c r="I33" s="5">
        <v>39682</v>
      </c>
      <c r="J33" s="0" t="s">
        <v>61</v>
      </c>
      <c r="K33" s="0" t="s">
        <v>55</v>
      </c>
    </row>
    <row r="34" outlineLevel="1">
      <c r="A34" s="11" t="s">
        <v>62</v>
      </c>
      <c r="I34" s="5"/>
    </row>
    <row r="35" outlineLevel="2">
      <c r="A35" s="12" t="s">
        <v>63</v>
      </c>
      <c r="B35" s="0" t="s">
        <v>64</v>
      </c>
      <c r="C35" s="13">
        <f>IFERROR(18.89*(1-w)-w*2.443,"")</f>
        <v>14.474069000000002</v>
      </c>
      <c r="D35" s="13">
        <v>18.89</v>
      </c>
      <c r="E35" s="13">
        <v>19.100101112234579</v>
      </c>
      <c r="F35" s="13"/>
      <c r="G35" s="13"/>
      <c r="H35" s="0" t="s">
        <v>41</v>
      </c>
      <c r="I35" s="5">
        <v>39682</v>
      </c>
      <c r="J35" s="0" t="s">
        <v>65</v>
      </c>
      <c r="K35" s="0" t="s">
        <v>66</v>
      </c>
    </row>
    <row r="36" outlineLevel="2">
      <c r="A36" s="12" t="s">
        <v>67</v>
      </c>
      <c r="B36" s="0" t="s">
        <v>64</v>
      </c>
      <c r="C36" s="13">
        <f>IFERROR(20.22*(1-w),"")</f>
        <v>16.03446</v>
      </c>
      <c r="D36" s="13">
        <v>20.22</v>
      </c>
      <c r="E36" s="13">
        <v>20.444893832153689</v>
      </c>
      <c r="F36" s="13"/>
      <c r="G36" s="13"/>
      <c r="H36" s="0" t="s">
        <v>41</v>
      </c>
      <c r="I36" s="5">
        <v>39682</v>
      </c>
      <c r="K36" s="0" t="s">
        <v>66</v>
      </c>
    </row>
    <row r="37" outlineLevel="1">
      <c r="A37" s="11" t="s">
        <v>68</v>
      </c>
      <c r="I37" s="5"/>
    </row>
    <row r="38" outlineLevel="2">
      <c r="A38" s="12" t="s">
        <v>69</v>
      </c>
      <c r="B38" s="0" t="s">
        <v>70</v>
      </c>
      <c r="C38" s="14">
        <v>4.6</v>
      </c>
      <c r="D38" s="14"/>
      <c r="E38" s="14"/>
      <c r="F38" s="14"/>
      <c r="G38" s="14"/>
      <c r="H38" s="0" t="s">
        <v>41</v>
      </c>
      <c r="I38" s="5">
        <v>39682</v>
      </c>
      <c r="K38" s="0" t="s">
        <v>55</v>
      </c>
    </row>
    <row r="39" outlineLevel="2">
      <c r="A39" s="12" t="s">
        <v>71</v>
      </c>
      <c r="B39" s="0" t="s">
        <v>70</v>
      </c>
      <c r="C39" s="14">
        <v>0.59</v>
      </c>
      <c r="D39" s="14"/>
      <c r="E39" s="14"/>
      <c r="F39" s="14"/>
      <c r="G39" s="14"/>
      <c r="H39" s="0" t="s">
        <v>41</v>
      </c>
      <c r="I39" s="5">
        <v>39682</v>
      </c>
      <c r="K39" s="0" t="s">
        <v>55</v>
      </c>
    </row>
    <row r="40" outlineLevel="2">
      <c r="A40" s="12" t="s">
        <v>72</v>
      </c>
      <c r="B40" s="0" t="s">
        <v>70</v>
      </c>
      <c r="C40" s="14">
        <v>1.8</v>
      </c>
      <c r="D40" s="14"/>
      <c r="E40" s="14"/>
      <c r="F40" s="14"/>
      <c r="G40" s="14"/>
      <c r="H40" s="0" t="s">
        <v>41</v>
      </c>
      <c r="I40" s="5">
        <v>39682</v>
      </c>
      <c r="K40" s="0" t="s">
        <v>55</v>
      </c>
    </row>
    <row r="41" outlineLevel="2">
      <c r="A41" s="12" t="s">
        <v>73</v>
      </c>
      <c r="B41" s="0" t="s">
        <v>70</v>
      </c>
      <c r="C41" s="14">
        <v>33</v>
      </c>
      <c r="D41" s="14"/>
      <c r="E41" s="14"/>
      <c r="F41" s="14"/>
      <c r="G41" s="14"/>
      <c r="H41" s="0" t="s">
        <v>41</v>
      </c>
      <c r="I41" s="5">
        <v>39682</v>
      </c>
      <c r="K41" s="0" t="s">
        <v>55</v>
      </c>
    </row>
    <row r="42" outlineLevel="2">
      <c r="A42" s="12" t="s">
        <v>74</v>
      </c>
      <c r="B42" s="0" t="s">
        <v>70</v>
      </c>
      <c r="C42" s="14">
        <v>22</v>
      </c>
      <c r="D42" s="14"/>
      <c r="E42" s="14"/>
      <c r="F42" s="14"/>
      <c r="G42" s="14"/>
      <c r="H42" s="0" t="s">
        <v>41</v>
      </c>
      <c r="I42" s="5">
        <v>39682</v>
      </c>
      <c r="K42" s="0" t="s">
        <v>55</v>
      </c>
    </row>
    <row r="43" outlineLevel="2">
      <c r="A43" s="12" t="s">
        <v>75</v>
      </c>
      <c r="B43" s="0" t="s">
        <v>70</v>
      </c>
      <c r="C43" s="14">
        <v>0.02</v>
      </c>
      <c r="D43" s="14"/>
      <c r="E43" s="14"/>
      <c r="F43" s="14"/>
      <c r="G43" s="14"/>
      <c r="H43" s="0" t="s">
        <v>41</v>
      </c>
      <c r="I43" s="5">
        <v>39682</v>
      </c>
      <c r="K43" s="0" t="s">
        <v>55</v>
      </c>
    </row>
    <row r="44" outlineLevel="2">
      <c r="A44" s="12" t="s">
        <v>76</v>
      </c>
      <c r="B44" s="0" t="s">
        <v>70</v>
      </c>
      <c r="C44" s="14">
        <v>690</v>
      </c>
      <c r="D44" s="14"/>
      <c r="E44" s="14"/>
      <c r="F44" s="14"/>
      <c r="G44" s="14"/>
      <c r="H44" s="0" t="s">
        <v>41</v>
      </c>
      <c r="I44" s="5">
        <v>39682</v>
      </c>
      <c r="K44" s="0" t="s">
        <v>55</v>
      </c>
    </row>
    <row r="45" outlineLevel="2">
      <c r="A45" s="12" t="s">
        <v>77</v>
      </c>
      <c r="B45" s="0" t="s">
        <v>70</v>
      </c>
      <c r="C45" s="14">
        <v>79</v>
      </c>
      <c r="D45" s="14"/>
      <c r="E45" s="14"/>
      <c r="F45" s="14"/>
      <c r="G45" s="14"/>
      <c r="H45" s="0" t="s">
        <v>41</v>
      </c>
      <c r="I45" s="5">
        <v>39682</v>
      </c>
      <c r="K45" s="0" t="s">
        <v>55</v>
      </c>
    </row>
    <row r="46" outlineLevel="2">
      <c r="A46" s="12" t="s">
        <v>78</v>
      </c>
      <c r="B46" s="0" t="s">
        <v>70</v>
      </c>
      <c r="C46" s="14">
        <v>580</v>
      </c>
      <c r="D46" s="14"/>
      <c r="E46" s="14"/>
      <c r="F46" s="14"/>
      <c r="G46" s="14"/>
      <c r="H46" s="0" t="s">
        <v>41</v>
      </c>
      <c r="I46" s="5">
        <v>39682</v>
      </c>
      <c r="K46" s="0" t="s">
        <v>55</v>
      </c>
    </row>
    <row r="47" outlineLevel="2">
      <c r="A47" s="12" t="s">
        <v>79</v>
      </c>
      <c r="B47" s="0" t="s">
        <v>70</v>
      </c>
      <c r="C47" s="14">
        <v>2.2</v>
      </c>
      <c r="D47" s="14"/>
      <c r="E47" s="14"/>
      <c r="F47" s="14"/>
      <c r="G47" s="14"/>
      <c r="H47" s="0" t="s">
        <v>41</v>
      </c>
      <c r="I47" s="5">
        <v>39682</v>
      </c>
      <c r="K47" s="0" t="s">
        <v>55</v>
      </c>
    </row>
    <row r="48" outlineLevel="2">
      <c r="A48" s="12" t="s">
        <v>80</v>
      </c>
      <c r="B48" s="0" t="s">
        <v>70</v>
      </c>
      <c r="C48" s="14">
        <v>14</v>
      </c>
      <c r="D48" s="14"/>
      <c r="E48" s="14"/>
      <c r="F48" s="14"/>
      <c r="G48" s="14"/>
      <c r="H48" s="0" t="s">
        <v>41</v>
      </c>
      <c r="I48" s="5">
        <v>39682</v>
      </c>
      <c r="K48" s="0" t="s">
        <v>55</v>
      </c>
    </row>
    <row r="49" outlineLevel="2">
      <c r="A49" s="12" t="s">
        <v>81</v>
      </c>
      <c r="B49" s="0" t="s">
        <v>70</v>
      </c>
      <c r="C49" s="14" t="s">
        <v>82</v>
      </c>
      <c r="D49" s="14"/>
      <c r="E49" s="14"/>
      <c r="F49" s="14"/>
      <c r="G49" s="14"/>
      <c r="H49" s="0" t="s">
        <v>41</v>
      </c>
      <c r="I49" s="5">
        <v>39682</v>
      </c>
    </row>
    <row r="50" outlineLevel="2">
      <c r="A50" s="12" t="s">
        <v>83</v>
      </c>
      <c r="B50" s="0" t="s">
        <v>70</v>
      </c>
      <c r="C50" s="14" t="s">
        <v>82</v>
      </c>
      <c r="D50" s="14"/>
      <c r="E50" s="14"/>
      <c r="F50" s="14"/>
      <c r="G50" s="14"/>
      <c r="H50" s="0" t="s">
        <v>41</v>
      </c>
      <c r="I50" s="5">
        <v>39682</v>
      </c>
    </row>
    <row r="51" outlineLevel="2">
      <c r="A51" s="12" t="s">
        <v>84</v>
      </c>
      <c r="B51" s="0" t="s">
        <v>70</v>
      </c>
      <c r="C51" s="14" t="s">
        <v>82</v>
      </c>
      <c r="D51" s="14"/>
      <c r="E51" s="14"/>
      <c r="F51" s="14"/>
      <c r="G51" s="14"/>
      <c r="H51" s="0" t="s">
        <v>41</v>
      </c>
      <c r="I51" s="5">
        <v>39682</v>
      </c>
      <c r="K51" s="0" t="s">
        <v>55</v>
      </c>
    </row>
    <row r="52" outlineLevel="2">
      <c r="A52" s="12" t="s">
        <v>85</v>
      </c>
      <c r="B52" s="0" t="s">
        <v>70</v>
      </c>
      <c r="C52" s="14">
        <v>200</v>
      </c>
      <c r="D52" s="14"/>
      <c r="E52" s="14"/>
      <c r="F52" s="14"/>
      <c r="G52" s="14"/>
      <c r="H52" s="0" t="s">
        <v>41</v>
      </c>
      <c r="I52" s="5">
        <v>39682</v>
      </c>
      <c r="K52" s="0" t="s">
        <v>55</v>
      </c>
    </row>
    <row r="53">
      <c r="I53" s="5"/>
    </row>
    <row r="54" s="1" customFormat="1"/>
  </sheetData>
  <mergeCells>
    <mergeCell ref="A9:A11"/>
    <mergeCell ref="C20:E20"/>
    <mergeCell ref="A20:A21"/>
    <mergeCell ref="B20:B21"/>
    <mergeCell ref="F20:F21"/>
    <mergeCell ref="G20:G21"/>
    <mergeCell ref="H20:H21"/>
    <mergeCell ref="I20:I21"/>
    <mergeCell ref="J20:J21"/>
    <mergeCell ref="K20:K21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</mergeCells>
  <dataValidations count="1">
    <dataValidation type="decimal" sqref="C24" errorStyle="stop" promptTitle="Enter moisture content" errorTitle="Invalid moisture content" prompt="Value should be between 0 and 100.&#10;Original value: 20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https://phyllis.nl/Biomass/View/3280</dc:description>
  <dcterms:created xsi:type="dcterms:W3CDTF">2026-03-19T04:11:35Z</dcterms:created>
  <dc:title>Phyllis2 #3280 Used wood, chemically treated (class C)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