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81 Used wood, chemi" sheetId="1" r:id="rId1"/>
  </sheets>
  <definedNames>
    <definedName name="w" localSheetId="0">IF(ISBLANK('Phyllis2 #3281 Used wood, chemi'!$C$24),#N/A,'Phyllis2 #3281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<sst xmlns="http://schemas.openxmlformats.org/spreadsheetml/2006/main" count="86" uniqueCount="86">
  <si>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</si>
  <si>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https://phyllis.nl/Biomass/View/3281</t>
  </si>
  <si>
    <t>Used wood, chemically treated (class C) (#3281)</t>
  </si>
  <si>
    <t>ID-number</t>
  </si>
  <si>
    <t>#3281</t>
  </si>
  <si>
    <t>Material</t>
  </si>
  <si>
    <t>Used wood, chemically treated (class C)</t>
  </si>
  <si>
    <t>Alternative name</t>
  </si>
  <si>
    <t>Recycled wood</t>
  </si>
  <si>
    <t>Description</t>
  </si>
  <si>
    <t>Elevated As, Cr and Cu levels compared to natural wood</t>
  </si>
  <si>
    <t>Classification</t>
  </si>
  <si>
    <t>CEN/TS 14961 classification &gt; Solid biofuels &gt; Woody biomass &gt; Used wood &gt; Chemically treated wood</t>
  </si>
  <si>
    <t>ECN Phyllis classification &gt; treated wood &gt; salt impregnated</t>
  </si>
  <si>
    <t>NTA 8003 classification &gt; [100] hout &gt; [150] verwerkt hout &gt; [180] geïmpregneerd hout (C-hout) &gt; [182] geïmpregneerd hout: zware metalen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</si>
  <si>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</si>
  <si>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</si>
  <si>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</si>
  <si>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</si>
  <si>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</si>
  <si>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</si>
  <si>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</si>
  <si>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</si>
  <si>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</si>
  <si>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</si>
  <si>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</si>
  <si>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</si>
  <si>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</si>
  <si>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</si>
  <si>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</si>
  <si>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</si>
  <si>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</si>
  <si>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</si>
  <si>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</si>
  <si>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</si>
  <si>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</si>
  <si>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</si>
  <si>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</si>
  <si>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</si>
  <si>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</si>
  <si>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</si>
  <si>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</si>
  <si>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</si>
  <si>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</si>
  <si>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</si>
  <si>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</si>
  <si>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</si>
  <si>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</si>
  <si>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</si>
  <si>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</si>
  <si>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</si>
  <si>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</si>
  <si>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</si>
  <si>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</si>
  <si>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</si>
  <si>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</si>
  <si>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</si>
  <si>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</si>
  <si>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</si>
  <si>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</si>
  <si>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</si>
  <si>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</si>
  <si>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</si>
  <si>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</si>
  <si>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</si>
  <si>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</si>
  <si>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</si>
  <si>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</si>
  <si>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</si>
  <si>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</si>
  <si>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</si>
  <si>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</si>
  <si>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</si>
  <si>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</si>
  <si>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</si>
  <si>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</si>
  <si>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</si>
  <si>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</si>
  <si>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</si>
  <si>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</si>
  <si>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</si>
  <si>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</si>
  <si>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</si>
  <si>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&lt;0.5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</si>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</sst>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8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39847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39847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39994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27</v>
      </c>
      <c r="D24" s="13"/>
      <c r="E24" s="13"/>
      <c r="F24" s="13"/>
      <c r="G24" s="13"/>
      <c r="H24" s="0" t="s">
        <v>41</v>
      </c>
      <c r="I24" s="5">
        <v>39875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IFERROR(1.5*(1-w),"")</f>
        <v>1.095</v>
      </c>
      <c r="D25" s="13">
        <v>1.5</v>
      </c>
      <c r="E25" s="13">
        <v/>
      </c>
      <c r="F25" s="13"/>
      <c r="G25" s="13"/>
      <c r="H25" s="0" t="s">
        <v>41</v>
      </c>
      <c r="I25" s="5">
        <v>39875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IFERROR(49.9*(1-w),"")</f>
        <v>36.427</v>
      </c>
      <c r="D27" s="13">
        <v>49.9</v>
      </c>
      <c r="E27" s="13">
        <v>50.659898477157363</v>
      </c>
      <c r="F27" s="13"/>
      <c r="G27" s="13"/>
      <c r="H27" s="0" t="s">
        <v>41</v>
      </c>
      <c r="I27" s="5">
        <v>39875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IFERROR(6.1*(1-w),"")</f>
        <v>4.4529999999999994</v>
      </c>
      <c r="D28" s="13">
        <v>6.1</v>
      </c>
      <c r="E28" s="13">
        <v>6.1928934010152279</v>
      </c>
      <c r="F28" s="13"/>
      <c r="G28" s="13"/>
      <c r="H28" s="0" t="s">
        <v>41</v>
      </c>
      <c r="I28" s="5">
        <v>39875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IFERROR(0.58*(1-w),"")</f>
        <v>0.42339999999999994</v>
      </c>
      <c r="D29" s="13">
        <v>0.58</v>
      </c>
      <c r="E29" s="13">
        <v>0.58883248730964466</v>
      </c>
      <c r="F29" s="13"/>
      <c r="G29" s="13"/>
      <c r="H29" s="0" t="s">
        <v>41</v>
      </c>
      <c r="I29" s="5">
        <v>39875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40</v>
      </c>
      <c r="C30" s="13">
        <f>IFERROR(0.03*(1-w),"")</f>
        <v>0.0219</v>
      </c>
      <c r="D30" s="13">
        <v>0.03</v>
      </c>
      <c r="E30" s="13">
        <v>0.03045685279187817</v>
      </c>
      <c r="F30" s="13"/>
      <c r="G30" s="13"/>
      <c r="H30" s="0" t="s">
        <v>41</v>
      </c>
      <c r="I30" s="5">
        <v>39875</v>
      </c>
      <c r="J30" s="0" t="s">
        <v>54</v>
      </c>
      <c r="K30" s="0" t="s">
        <v>55</v>
      </c>
    </row>
    <row r="31" outlineLevel="2">
      <c r="A31" s="12" t="s">
        <v>56</v>
      </c>
      <c r="B31" s="0" t="s">
        <v>40</v>
      </c>
      <c r="C31" s="13">
        <f>IFERROR(58.165*(1-w)+w*100,"")</f>
        <v>69.460450000000009</v>
      </c>
      <c r="D31" s="13">
        <v>58.165</v>
      </c>
      <c r="E31" s="13">
        <v>57.527918781725887</v>
      </c>
      <c r="F31" s="13"/>
      <c r="G31" s="13"/>
      <c r="I31" s="5"/>
      <c r="J31" s="0" t="s">
        <v>57</v>
      </c>
    </row>
    <row r="32" outlineLevel="1">
      <c r="A32" s="11" t="s">
        <v>58</v>
      </c>
      <c r="I32" s="5"/>
    </row>
    <row r="33" outlineLevel="2">
      <c r="A33" s="12" t="s">
        <v>59</v>
      </c>
      <c r="B33" s="0" t="s">
        <v>60</v>
      </c>
      <c r="C33" s="14">
        <f>IFERROR(550*(1-w),"")</f>
        <v>401.5</v>
      </c>
      <c r="D33" s="14">
        <v>550</v>
      </c>
      <c r="E33" s="14">
        <v>558.37563451776646</v>
      </c>
      <c r="F33" s="14"/>
      <c r="G33" s="14"/>
      <c r="H33" s="0" t="s">
        <v>41</v>
      </c>
      <c r="I33" s="5">
        <v>39875</v>
      </c>
      <c r="J33" s="0" t="s">
        <v>61</v>
      </c>
      <c r="K33" s="0" t="s">
        <v>55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IFERROR(18.87*(1-w)-w*2.443,"")</f>
        <v>13.11549</v>
      </c>
      <c r="D35" s="13">
        <v>18.87</v>
      </c>
      <c r="E35" s="13">
        <v>19.157360406091371</v>
      </c>
      <c r="F35" s="13"/>
      <c r="G35" s="13"/>
      <c r="H35" s="0" t="s">
        <v>41</v>
      </c>
      <c r="I35" s="5">
        <v>39875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IFERROR(20.2*(1-w),"")</f>
        <v>14.745999999999999</v>
      </c>
      <c r="D36" s="13">
        <v>20.2</v>
      </c>
      <c r="E36" s="13">
        <v>20.507614213197968</v>
      </c>
      <c r="F36" s="13"/>
      <c r="G36" s="13"/>
      <c r="H36" s="0" t="s">
        <v>41</v>
      </c>
      <c r="I36" s="5">
        <v>39875</v>
      </c>
      <c r="K36" s="0" t="s">
        <v>66</v>
      </c>
    </row>
    <row r="37" outlineLevel="1">
      <c r="A37" s="11" t="s">
        <v>68</v>
      </c>
      <c r="I37" s="5"/>
    </row>
    <row r="38" outlineLevel="2">
      <c r="A38" s="12" t="s">
        <v>69</v>
      </c>
      <c r="B38" s="0" t="s">
        <v>70</v>
      </c>
      <c r="C38" s="14">
        <v>5.6</v>
      </c>
      <c r="D38" s="14"/>
      <c r="E38" s="14"/>
      <c r="F38" s="14"/>
      <c r="G38" s="14"/>
      <c r="H38" s="0" t="s">
        <v>41</v>
      </c>
      <c r="I38" s="5">
        <v>39875</v>
      </c>
      <c r="K38" s="0" t="s">
        <v>55</v>
      </c>
    </row>
    <row r="39" outlineLevel="2">
      <c r="A39" s="12" t="s">
        <v>71</v>
      </c>
      <c r="B39" s="0" t="s">
        <v>70</v>
      </c>
      <c r="C39" s="14">
        <v>0.13</v>
      </c>
      <c r="D39" s="14"/>
      <c r="E39" s="14"/>
      <c r="F39" s="14"/>
      <c r="G39" s="14"/>
      <c r="H39" s="0" t="s">
        <v>41</v>
      </c>
      <c r="I39" s="5">
        <v>39875</v>
      </c>
      <c r="K39" s="0" t="s">
        <v>55</v>
      </c>
    </row>
    <row r="40" outlineLevel="2">
      <c r="A40" s="12" t="s">
        <v>72</v>
      </c>
      <c r="B40" s="0" t="s">
        <v>70</v>
      </c>
      <c r="C40" s="14">
        <v>1.3</v>
      </c>
      <c r="D40" s="14"/>
      <c r="E40" s="14"/>
      <c r="F40" s="14"/>
      <c r="G40" s="14"/>
      <c r="H40" s="0" t="s">
        <v>41</v>
      </c>
      <c r="I40" s="5">
        <v>39875</v>
      </c>
      <c r="K40" s="0" t="s">
        <v>55</v>
      </c>
    </row>
    <row r="41" outlineLevel="2">
      <c r="A41" s="12" t="s">
        <v>73</v>
      </c>
      <c r="B41" s="0" t="s">
        <v>70</v>
      </c>
      <c r="C41" s="14">
        <v>87</v>
      </c>
      <c r="D41" s="14"/>
      <c r="E41" s="14"/>
      <c r="F41" s="14"/>
      <c r="G41" s="14"/>
      <c r="H41" s="0" t="s">
        <v>41</v>
      </c>
      <c r="I41" s="5">
        <v>39875</v>
      </c>
      <c r="K41" s="0" t="s">
        <v>55</v>
      </c>
    </row>
    <row r="42" outlineLevel="2">
      <c r="A42" s="12" t="s">
        <v>74</v>
      </c>
      <c r="B42" s="0" t="s">
        <v>70</v>
      </c>
      <c r="C42" s="14">
        <v>47</v>
      </c>
      <c r="D42" s="14"/>
      <c r="E42" s="14"/>
      <c r="F42" s="14"/>
      <c r="G42" s="14"/>
      <c r="H42" s="0" t="s">
        <v>41</v>
      </c>
      <c r="I42" s="5">
        <v>39875</v>
      </c>
      <c r="K42" s="0" t="s">
        <v>55</v>
      </c>
    </row>
    <row r="43" outlineLevel="2">
      <c r="A43" s="12" t="s">
        <v>75</v>
      </c>
      <c r="B43" s="0" t="s">
        <v>70</v>
      </c>
      <c r="C43" s="14">
        <v>0.01</v>
      </c>
      <c r="D43" s="14"/>
      <c r="E43" s="14"/>
      <c r="F43" s="14"/>
      <c r="G43" s="14"/>
      <c r="H43" s="0" t="s">
        <v>41</v>
      </c>
      <c r="I43" s="5">
        <v>39875</v>
      </c>
      <c r="K43" s="0" t="s">
        <v>55</v>
      </c>
    </row>
    <row r="44" outlineLevel="2">
      <c r="A44" s="12" t="s">
        <v>76</v>
      </c>
      <c r="B44" s="0" t="s">
        <v>70</v>
      </c>
      <c r="C44" s="14">
        <v>710</v>
      </c>
      <c r="D44" s="14"/>
      <c r="E44" s="14"/>
      <c r="F44" s="14"/>
      <c r="G44" s="14"/>
      <c r="H44" s="0" t="s">
        <v>41</v>
      </c>
      <c r="I44" s="5">
        <v>39875</v>
      </c>
      <c r="K44" s="0" t="s">
        <v>55</v>
      </c>
    </row>
    <row r="45" outlineLevel="2">
      <c r="A45" s="12" t="s">
        <v>77</v>
      </c>
      <c r="B45" s="0" t="s">
        <v>70</v>
      </c>
      <c r="C45" s="14">
        <v>89</v>
      </c>
      <c r="D45" s="14"/>
      <c r="E45" s="14"/>
      <c r="F45" s="14"/>
      <c r="G45" s="14"/>
      <c r="H45" s="0" t="s">
        <v>41</v>
      </c>
      <c r="I45" s="5">
        <v>39875</v>
      </c>
      <c r="K45" s="0" t="s">
        <v>55</v>
      </c>
    </row>
    <row r="46" outlineLevel="2">
      <c r="A46" s="12" t="s">
        <v>78</v>
      </c>
      <c r="B46" s="0" t="s">
        <v>70</v>
      </c>
      <c r="C46" s="14">
        <v>820</v>
      </c>
      <c r="D46" s="14"/>
      <c r="E46" s="14"/>
      <c r="F46" s="14"/>
      <c r="G46" s="14"/>
      <c r="H46" s="0" t="s">
        <v>41</v>
      </c>
      <c r="I46" s="5">
        <v>39875</v>
      </c>
      <c r="K46" s="0" t="s">
        <v>55</v>
      </c>
    </row>
    <row r="47" outlineLevel="2">
      <c r="A47" s="12" t="s">
        <v>79</v>
      </c>
      <c r="B47" s="0" t="s">
        <v>70</v>
      </c>
      <c r="C47" s="14">
        <v>30</v>
      </c>
      <c r="D47" s="14"/>
      <c r="E47" s="14"/>
      <c r="F47" s="14"/>
      <c r="G47" s="14"/>
      <c r="H47" s="0" t="s">
        <v>41</v>
      </c>
      <c r="I47" s="5">
        <v>39875</v>
      </c>
      <c r="K47" s="0" t="s">
        <v>55</v>
      </c>
    </row>
    <row r="48" outlineLevel="2">
      <c r="A48" s="12" t="s">
        <v>80</v>
      </c>
      <c r="B48" s="0" t="s">
        <v>70</v>
      </c>
      <c r="C48" s="14">
        <v>28</v>
      </c>
      <c r="D48" s="14"/>
      <c r="E48" s="14"/>
      <c r="F48" s="14"/>
      <c r="G48" s="14"/>
      <c r="H48" s="0" t="s">
        <v>41</v>
      </c>
      <c r="I48" s="5">
        <v>39875</v>
      </c>
      <c r="K48" s="0" t="s">
        <v>55</v>
      </c>
    </row>
    <row r="49" outlineLevel="2">
      <c r="A49" s="12" t="s">
        <v>81</v>
      </c>
      <c r="B49" s="0" t="s">
        <v>70</v>
      </c>
      <c r="C49" s="14">
        <v>0.96</v>
      </c>
      <c r="D49" s="14"/>
      <c r="E49" s="14"/>
      <c r="F49" s="14"/>
      <c r="G49" s="14"/>
      <c r="H49" s="0" t="s">
        <v>41</v>
      </c>
      <c r="I49" s="5">
        <v>39875</v>
      </c>
    </row>
    <row r="50" outlineLevel="2">
      <c r="A50" s="12" t="s">
        <v>82</v>
      </c>
      <c r="B50" s="0" t="s">
        <v>70</v>
      </c>
      <c r="C50" s="14" t="s">
        <v>83</v>
      </c>
      <c r="D50" s="14"/>
      <c r="E50" s="14"/>
      <c r="F50" s="14"/>
      <c r="G50" s="14"/>
      <c r="H50" s="0" t="s">
        <v>41</v>
      </c>
      <c r="I50" s="5">
        <v>39875</v>
      </c>
    </row>
    <row r="51" outlineLevel="2">
      <c r="A51" s="12" t="s">
        <v>84</v>
      </c>
      <c r="B51" s="0" t="s">
        <v>70</v>
      </c>
      <c r="C51" s="14">
        <v>0.84</v>
      </c>
      <c r="D51" s="14"/>
      <c r="E51" s="14"/>
      <c r="F51" s="14"/>
      <c r="G51" s="14"/>
      <c r="H51" s="0" t="s">
        <v>41</v>
      </c>
      <c r="I51" s="5">
        <v>39875</v>
      </c>
      <c r="K51" s="0" t="s">
        <v>55</v>
      </c>
    </row>
    <row r="52" outlineLevel="2">
      <c r="A52" s="12" t="s">
        <v>85</v>
      </c>
      <c r="B52" s="0" t="s">
        <v>70</v>
      </c>
      <c r="C52" s="14">
        <v>65</v>
      </c>
      <c r="D52" s="14"/>
      <c r="E52" s="14"/>
      <c r="F52" s="14"/>
      <c r="G52" s="14"/>
      <c r="H52" s="0" t="s">
        <v>41</v>
      </c>
      <c r="I52" s="5">
        <v>39875</v>
      </c>
      <c r="K52" s="0" t="s">
        <v>55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2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https://phyllis.nl/Biomass/View/3281</dc:description>
  <dcterms:created xsi:type="dcterms:W3CDTF">2026-03-19T04:11:38Z</dcterms:created>
  <dc:title>Phyllis2 #3281 Used wood, chemically treated (class C)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