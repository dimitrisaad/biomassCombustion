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86 grass" sheetId="1" r:id="rId1"/>
  </sheets>
  <definedNames>
    <definedName name="w" localSheetId="0">IF(ISBLANK('Phyllis2 #3286 grass'!$C$26),#N/A,'Phyllis2 #3286 grass'!$C$26/100)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<sst xmlns="http://schemas.openxmlformats.org/spreadsheetml/2006/main" count="113" uniqueCount="113">
  <si>
    <t>Phyllis2</t>
  </si>
  <si>
    <t>https://phyllis.nl/Biomass/View/3286</t>
  </si>
  <si>
    <t>grass (#3286)</t>
  </si>
  <si>
    <t>ID-number</t>
  </si>
  <si>
    <t>#3286</t>
  </si>
  <si>
    <t>Material</t>
  </si>
  <si>
    <t>grass</t>
  </si>
  <si>
    <t>Alternative name</t>
  </si>
  <si>
    <t>Grasses</t>
  </si>
  <si>
    <t>Latin name</t>
  </si>
  <si>
    <t>Poaceae</t>
  </si>
  <si>
    <t>Description</t>
  </si>
  <si>
    <t>Gras BIMEP per2009-2 sample-4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</si>
  <si>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</si>
  <si>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</si>
  <si>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other grass &gt; grass from nature reserve</t>
  </si>
  <si>
    <t>NTA 8003 classification &gt; [200] biomassa uit land- en tuinbouw &gt; [210] gras</t>
  </si>
  <si>
    <t>Sample location</t>
  </si>
  <si>
    <t>Leeuwarden</t>
  </si>
  <si>
    <t>Country</t>
  </si>
  <si>
    <t>Netherlands</t>
  </si>
  <si>
    <t>Producer</t>
  </si>
  <si>
    <t>WEPAL, Netherlands</t>
  </si>
  <si>
    <t>Production date</t>
  </si>
  <si>
    <t>Submitter</t>
  </si>
  <si>
    <t>Bakker, F.P.</t>
  </si>
  <si>
    <t>Submitter organisation</t>
  </si>
  <si>
    <t>WEPAL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</si>
  <si>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</si>
  <si>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</si>
  <si>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</si>
  <si>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</si>
  <si>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</si>
  <si>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</si>
  <si>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</si>
  <si>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</si>
  <si>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</si>
  <si>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</si>
  <si>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</si>
  <si>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</si>
  <si>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</si>
  <si>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</si>
  <si>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</si>
  <si>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</si>
  <si>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</si>
  <si>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</si>
  <si>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</si>
  <si>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</si>
  <si>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ECN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</si>
  <si>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</si>
  <si>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</si>
  <si>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</si>
  <si>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</si>
  <si>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</si>
  <si>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</si>
  <si>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</si>
  <si>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</si>
  <si>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</si>
  <si>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</si>
  <si>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</si>
  <si>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</si>
  <si>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</si>
  <si>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</si>
  <si>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</si>
  <si>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</si>
  <si>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</si>
  <si>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</si>
  <si>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</si>
  <si>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</si>
  <si>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</si>
  <si>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Trace elements composition</t>
  </si>
  <si>
    <t>Aluminium (Al)</t>
  </si>
  <si>
    <t>mg/kg (dry)</t>
  </si>
  <si>
    <t>CEN/TS 15290</t>
  </si>
  <si>
    <t>Arsenic (As)</t>
  </si>
  <si>
    <t>&lt;0.67</t>
  </si>
  <si>
    <t>CEN/TS 15297</t>
  </si>
  <si>
    <t>Boron (B)</t>
  </si>
  <si>
    <t>B.S221</t>
  </si>
  <si>
    <t>Barium (Ba)</t>
  </si>
  <si>
    <t>Beryllium (Be)</t>
  </si>
  <si>
    <t>Calcium (Ca)</t>
  </si>
  <si>
    <t>Cadmium (Cd)</t>
  </si>
  <si>
    <t>&lt;0.41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</si>
  <si>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</si>
  <si>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</si>
  <si>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</si>
  <si>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</si>
  <si>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</si>
  <si>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</si>
  <si>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</si>
  <si>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</si>
  <si>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</si>
  <si>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</si>
  <si>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</si>
  <si>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&lt;3.06</t>
  </si>
  <si>
    <t>Phosphorus (P)</t>
  </si>
  <si>
    <t>Lead (Pb)</t>
  </si>
  <si>
    <t>Antimony (Sb)</t>
  </si>
  <si>
    <t>B.S211</t>
  </si>
  <si>
    <t>Selenium (Se)</t>
  </si>
  <si>
    <t>&lt;0.72</t>
  </si>
  <si>
    <t>Silicon (Si)</t>
  </si>
  <si>
    <t>Tin (Sn)</t>
  </si>
  <si>
    <t>&lt;0.47</t>
  </si>
  <si>
    <t>Strontium (Sr)</t>
  </si>
  <si>
    <t>Tellurium (Te)</t>
  </si>
  <si>
    <t>&lt;0.96</t>
  </si>
  <si>
    <t>Titanium (Ti)</t>
  </si>
  <si>
    <t>Thallium (Tl)</t>
  </si>
  <si>
    <t>&lt;0.64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</si>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</sst>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3.8439645767212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 outlineLevel="1">
      <c r="A16" s="7" t="s">
        <v>23</v>
      </c>
      <c r="B16" s="6">
        <v>39814</v>
      </c>
    </row>
    <row r="17" outlineLevel="1">
      <c r="A17" s="7" t="s">
        <v>24</v>
      </c>
      <c r="B17" s="0" t="s">
        <v>25</v>
      </c>
    </row>
    <row r="18" outlineLevel="1">
      <c r="A18" s="7" t="s">
        <v>26</v>
      </c>
      <c r="B18" s="0" t="s">
        <v>27</v>
      </c>
    </row>
    <row r="19" outlineLevel="1">
      <c r="A19" s="7" t="s">
        <v>28</v>
      </c>
      <c r="B19" s="6">
        <v>40143</v>
      </c>
    </row>
    <row r="20">
      <c r="A20" s="7"/>
    </row>
    <row r="21" s="1" customFormat="1">
      <c r="A21" s="9" t="s">
        <v>29</v>
      </c>
    </row>
    <row r="22" s="1" customFormat="1">
      <c r="A22" s="10" t="s">
        <v>30</v>
      </c>
      <c r="B22" s="10" t="s">
        <v>31</v>
      </c>
      <c r="C22" s="10" t="s">
        <v>32</v>
      </c>
      <c r="D22" s="10"/>
      <c r="E22" s="10"/>
      <c r="F22" s="10" t="s">
        <v>33</v>
      </c>
      <c r="G22" s="10" t="s">
        <v>34</v>
      </c>
      <c r="H22" s="10" t="s">
        <v>35</v>
      </c>
      <c r="I22" s="10" t="s">
        <v>36</v>
      </c>
      <c r="J22" s="10" t="s">
        <v>37</v>
      </c>
      <c r="K22" s="10" t="s">
        <v>38</v>
      </c>
      <c r="L22" s="10"/>
    </row>
    <row r="23" s="1" customFormat="1">
      <c r="A23" s="10"/>
      <c r="B23" s="10"/>
      <c r="C23" s="10" t="s">
        <v>39</v>
      </c>
      <c r="D23" s="10" t="s">
        <v>40</v>
      </c>
      <c r="E23" s="10" t="s">
        <v>41</v>
      </c>
      <c r="F23" s="10"/>
      <c r="G23" s="10"/>
      <c r="H23" s="10"/>
      <c r="I23" s="10"/>
      <c r="J23" s="10"/>
      <c r="K23" s="10"/>
      <c r="L23" s="10"/>
    </row>
    <row r="24">
      <c r="A24" s="7" t="s">
        <v>42</v>
      </c>
      <c r="I24" s="5"/>
    </row>
    <row r="25" outlineLevel="1">
      <c r="A25" s="11" t="s">
        <v>43</v>
      </c>
      <c r="I25" s="5"/>
    </row>
    <row r="26" outlineLevel="2">
      <c r="A26" s="12" t="s">
        <v>44</v>
      </c>
      <c r="B26" s="0" t="s">
        <v>45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46</v>
      </c>
      <c r="B27" s="0" t="s">
        <v>47</v>
      </c>
      <c r="C27" s="13">
        <f>IFERROR(10.15*(1-w),"")</f>
        <v/>
      </c>
      <c r="D27" s="13">
        <v>10.15</v>
      </c>
      <c r="E27" s="13">
        <v/>
      </c>
      <c r="F27" s="13">
        <v>0.7</v>
      </c>
      <c r="G27" s="13">
        <v>0.2</v>
      </c>
      <c r="H27" s="0" t="s">
        <v>48</v>
      </c>
      <c r="I27" s="5">
        <v>39962</v>
      </c>
      <c r="J27" s="0" t="s">
        <v>49</v>
      </c>
      <c r="K27" s="0" t="s">
        <v>49</v>
      </c>
    </row>
    <row r="28" outlineLevel="2">
      <c r="A28" s="12" t="s">
        <v>50</v>
      </c>
      <c r="B28" s="0" t="s">
        <v>47</v>
      </c>
      <c r="C28" s="13">
        <f>IFERROR(9.7*(1-w),"")</f>
        <v/>
      </c>
      <c r="D28" s="13">
        <v>9.7</v>
      </c>
      <c r="E28" s="13">
        <v/>
      </c>
      <c r="F28" s="13">
        <v>0.29</v>
      </c>
      <c r="G28" s="13">
        <v>0.2</v>
      </c>
      <c r="H28" s="0" t="s">
        <v>48</v>
      </c>
      <c r="I28" s="5">
        <v>39962</v>
      </c>
      <c r="K28" s="0" t="s">
        <v>49</v>
      </c>
    </row>
    <row r="29" outlineLevel="2">
      <c r="A29" s="12" t="s">
        <v>51</v>
      </c>
      <c r="B29" s="0" t="s">
        <v>47</v>
      </c>
      <c r="C29" s="13">
        <f>IFERROR(71.7*(1-w),"")</f>
        <v/>
      </c>
      <c r="D29" s="13">
        <v>71.7</v>
      </c>
      <c r="E29" s="13">
        <v>79.799666110183651</v>
      </c>
      <c r="F29" s="13">
        <v>0</v>
      </c>
      <c r="G29" s="13">
        <v>0.2</v>
      </c>
      <c r="H29" s="0" t="s">
        <v>48</v>
      </c>
      <c r="I29" s="5">
        <v>39962</v>
      </c>
    </row>
    <row r="30" outlineLevel="2">
      <c r="A30" s="12" t="s">
        <v>52</v>
      </c>
      <c r="B30" s="0" t="s">
        <v>47</v>
      </c>
      <c r="C30" s="13">
        <f>IFERROR(18.15*(1-w),"")</f>
        <v/>
      </c>
      <c r="D30" s="13">
        <v>18.149999999999991</v>
      </c>
      <c r="E30" s="13">
        <v>20.200333889816353</v>
      </c>
      <c r="F30" s="13"/>
      <c r="G30" s="13"/>
      <c r="I30" s="5"/>
      <c r="J30" s="0" t="s">
        <v>53</v>
      </c>
    </row>
    <row r="31" outlineLevel="1">
      <c r="A31" s="11" t="s">
        <v>54</v>
      </c>
      <c r="I31" s="5"/>
    </row>
    <row r="32" outlineLevel="2">
      <c r="A32" s="12" t="s">
        <v>55</v>
      </c>
      <c r="B32" s="0" t="s">
        <v>47</v>
      </c>
      <c r="C32" s="13">
        <f>IFERROR(43.395*(1-w),"")</f>
        <v/>
      </c>
      <c r="D32" s="13">
        <v>43.395</v>
      </c>
      <c r="E32" s="13">
        <v>48.29716193656094</v>
      </c>
      <c r="F32" s="13">
        <v>1.81</v>
      </c>
      <c r="G32" s="13">
        <v>0.1</v>
      </c>
      <c r="H32" s="0" t="s">
        <v>48</v>
      </c>
      <c r="I32" s="5">
        <v>39983</v>
      </c>
      <c r="J32" s="0" t="s">
        <v>56</v>
      </c>
      <c r="K32" s="0" t="s">
        <v>56</v>
      </c>
    </row>
    <row r="33" outlineLevel="2">
      <c r="A33" s="12" t="s">
        <v>57</v>
      </c>
      <c r="B33" s="0" t="s">
        <v>47</v>
      </c>
      <c r="C33" s="13">
        <f>IFERROR(5.23*(1-w),"")</f>
        <v/>
      </c>
      <c r="D33" s="13">
        <v>5.23</v>
      </c>
      <c r="E33" s="13">
        <v>5.8208124652198112</v>
      </c>
      <c r="F33" s="13">
        <v>0.27</v>
      </c>
      <c r="G33" s="13">
        <v>0.1</v>
      </c>
      <c r="H33" s="0" t="s">
        <v>48</v>
      </c>
      <c r="I33" s="5">
        <v>39983</v>
      </c>
      <c r="J33" s="0" t="s">
        <v>56</v>
      </c>
      <c r="K33" s="0" t="s">
        <v>56</v>
      </c>
    </row>
    <row r="34" outlineLevel="2">
      <c r="A34" s="12" t="s">
        <v>58</v>
      </c>
      <c r="B34" s="0" t="s">
        <v>47</v>
      </c>
      <c r="C34" s="13">
        <f>IFERROR(2.73*(1-w),"")</f>
        <v/>
      </c>
      <c r="D34" s="13">
        <v>2.73</v>
      </c>
      <c r="E34" s="13">
        <v>3.0383973288814694</v>
      </c>
      <c r="F34" s="13">
        <v>4.66</v>
      </c>
      <c r="G34" s="13">
        <v>0.1</v>
      </c>
      <c r="H34" s="0" t="s">
        <v>48</v>
      </c>
      <c r="I34" s="5">
        <v>39983</v>
      </c>
      <c r="J34" s="0" t="s">
        <v>56</v>
      </c>
      <c r="K34" s="0" t="s">
        <v>56</v>
      </c>
    </row>
    <row r="35" outlineLevel="2">
      <c r="A35" s="12" t="s">
        <v>59</v>
      </c>
      <c r="B35" s="0" t="s">
        <v>47</v>
      </c>
      <c r="C35" s="13">
        <f>IFERROR(0.32258*(1-w),"")</f>
        <v/>
      </c>
      <c r="D35" s="13">
        <v>0.32258</v>
      </c>
      <c r="E35" s="13">
        <v>0.35902058987200891</v>
      </c>
      <c r="F35" s="13">
        <v>0</v>
      </c>
      <c r="G35" s="13">
        <v>0.000467</v>
      </c>
      <c r="H35" s="0" t="s">
        <v>48</v>
      </c>
      <c r="I35" s="5">
        <v>39994</v>
      </c>
      <c r="J35" s="0" t="s">
        <v>60</v>
      </c>
      <c r="K35" s="0" t="s">
        <v>56</v>
      </c>
    </row>
    <row r="36" outlineLevel="2">
      <c r="A36" s="12" t="s">
        <v>61</v>
      </c>
      <c r="B36" s="0" t="s">
        <v>47</v>
      </c>
      <c r="C36" s="13">
        <f>IFERROR(62.98553*(1-w)+w*100,"")</f>
        <v/>
      </c>
      <c r="D36" s="13">
        <v>62.98553</v>
      </c>
      <c r="E36" s="13">
        <v>58.804151363383419</v>
      </c>
      <c r="F36" s="13"/>
      <c r="G36" s="13"/>
      <c r="I36" s="5"/>
      <c r="J36" s="0" t="s">
        <v>53</v>
      </c>
    </row>
    <row r="37" outlineLevel="1">
      <c r="A37" s="11" t="s">
        <v>62</v>
      </c>
      <c r="I37" s="5"/>
    </row>
    <row r="38" outlineLevel="2">
      <c r="A38" s="12" t="s">
        <v>63</v>
      </c>
      <c r="B38" s="0" t="s">
        <v>64</v>
      </c>
      <c r="C38" s="14">
        <f>IFERROR(11579.5*(1-w),"")</f>
        <v/>
      </c>
      <c r="D38" s="14">
        <v>11579.5</v>
      </c>
      <c r="E38" s="14">
        <v>12887.590428491931</v>
      </c>
      <c r="F38" s="14">
        <v>1.58</v>
      </c>
      <c r="G38" s="14">
        <v>35</v>
      </c>
      <c r="H38" s="0" t="s">
        <v>48</v>
      </c>
      <c r="I38" s="5">
        <v>39989</v>
      </c>
      <c r="J38" s="0" t="s">
        <v>65</v>
      </c>
      <c r="K38" s="0" t="s">
        <v>65</v>
      </c>
    </row>
    <row r="39" outlineLevel="1">
      <c r="A39" s="11" t="s">
        <v>66</v>
      </c>
      <c r="I39" s="5"/>
    </row>
    <row r="40" outlineLevel="2">
      <c r="A40" s="12" t="s">
        <v>67</v>
      </c>
      <c r="B40" s="0" t="s">
        <v>68</v>
      </c>
      <c r="C40" s="13">
        <f>IFERROR(18.7495*(1-w)-w*2.443,"")</f>
        <v/>
      </c>
      <c r="D40" s="13">
        <v>18.7495</v>
      </c>
      <c r="E40" s="13">
        <v>20.8675570395103</v>
      </c>
      <c r="F40" s="13">
        <v>0.19</v>
      </c>
      <c r="G40" s="13">
        <v>1</v>
      </c>
      <c r="H40" s="0" t="s">
        <v>48</v>
      </c>
      <c r="I40" s="5">
        <v>39951</v>
      </c>
      <c r="J40" s="0" t="s">
        <v>69</v>
      </c>
      <c r="K40" s="0" t="s">
        <v>69</v>
      </c>
    </row>
    <row r="41" outlineLevel="1">
      <c r="A41" s="11" t="s">
        <v>70</v>
      </c>
      <c r="I41" s="5"/>
    </row>
    <row r="42" outlineLevel="2">
      <c r="A42" s="12" t="s">
        <v>71</v>
      </c>
      <c r="B42" s="0" t="s">
        <v>72</v>
      </c>
      <c r="C42" s="14">
        <v>730.29</v>
      </c>
      <c r="D42" s="14"/>
      <c r="E42" s="14"/>
      <c r="F42" s="14">
        <v>0</v>
      </c>
      <c r="G42" s="14">
        <v>0.55</v>
      </c>
      <c r="H42" s="0" t="s">
        <v>48</v>
      </c>
      <c r="I42" s="5">
        <v>39994</v>
      </c>
      <c r="K42" s="0" t="s">
        <v>73</v>
      </c>
    </row>
    <row r="43" outlineLevel="2">
      <c r="A43" s="12" t="s">
        <v>74</v>
      </c>
      <c r="B43" s="0" t="s">
        <v>72</v>
      </c>
      <c r="C43" s="14" t="s">
        <v>75</v>
      </c>
      <c r="D43" s="14"/>
      <c r="E43" s="14"/>
      <c r="F43" s="14">
        <v>0</v>
      </c>
      <c r="G43" s="14">
        <v>0.34</v>
      </c>
      <c r="H43" s="0" t="s">
        <v>48</v>
      </c>
      <c r="I43" s="5">
        <v>39994</v>
      </c>
      <c r="K43" s="0" t="s">
        <v>76</v>
      </c>
    </row>
    <row r="44" outlineLevel="2">
      <c r="A44" s="12" t="s">
        <v>77</v>
      </c>
      <c r="B44" s="0" t="s">
        <v>72</v>
      </c>
      <c r="C44" s="14">
        <v>9.5</v>
      </c>
      <c r="D44" s="14"/>
      <c r="E44" s="14"/>
      <c r="F44" s="14">
        <v>0</v>
      </c>
      <c r="G44" s="14">
        <v>0.59</v>
      </c>
      <c r="H44" s="0" t="s">
        <v>48</v>
      </c>
      <c r="I44" s="5">
        <v>39994</v>
      </c>
      <c r="K44" s="0" t="s">
        <v>78</v>
      </c>
    </row>
    <row r="45" outlineLevel="2">
      <c r="A45" s="12" t="s">
        <v>79</v>
      </c>
      <c r="B45" s="0" t="s">
        <v>72</v>
      </c>
      <c r="C45" s="14">
        <v>12.69</v>
      </c>
      <c r="D45" s="14"/>
      <c r="E45" s="14"/>
      <c r="F45" s="14">
        <v>0</v>
      </c>
      <c r="G45" s="14">
        <v>0.04</v>
      </c>
      <c r="H45" s="0" t="s">
        <v>48</v>
      </c>
      <c r="I45" s="5">
        <v>39994</v>
      </c>
      <c r="K45" s="0" t="s">
        <v>76</v>
      </c>
    </row>
    <row r="46" outlineLevel="2">
      <c r="A46" s="12" t="s">
        <v>80</v>
      </c>
      <c r="B46" s="0" t="s">
        <v>72</v>
      </c>
      <c r="C46" s="14">
        <v>0.03</v>
      </c>
      <c r="D46" s="14"/>
      <c r="E46" s="14"/>
      <c r="F46" s="14">
        <v>0</v>
      </c>
      <c r="G46" s="14">
        <v>0.01</v>
      </c>
      <c r="H46" s="0" t="s">
        <v>48</v>
      </c>
      <c r="I46" s="5">
        <v>39994</v>
      </c>
      <c r="K46" s="0" t="s">
        <v>76</v>
      </c>
    </row>
    <row r="47" outlineLevel="2">
      <c r="A47" s="12" t="s">
        <v>81</v>
      </c>
      <c r="B47" s="0" t="s">
        <v>72</v>
      </c>
      <c r="C47" s="14">
        <v>5053.23</v>
      </c>
      <c r="D47" s="14"/>
      <c r="E47" s="14"/>
      <c r="F47" s="14">
        <v>0</v>
      </c>
      <c r="G47" s="14">
        <v>8.25</v>
      </c>
      <c r="H47" s="0" t="s">
        <v>48</v>
      </c>
      <c r="I47" s="5">
        <v>39994</v>
      </c>
      <c r="K47" s="0" t="s">
        <v>73</v>
      </c>
    </row>
    <row r="48" outlineLevel="2">
      <c r="A48" s="12" t="s">
        <v>82</v>
      </c>
      <c r="B48" s="0" t="s">
        <v>72</v>
      </c>
      <c r="C48" s="14" t="s">
        <v>83</v>
      </c>
      <c r="D48" s="14"/>
      <c r="E48" s="14"/>
      <c r="F48" s="14">
        <v>0</v>
      </c>
      <c r="G48" s="14">
        <v>0.2</v>
      </c>
      <c r="H48" s="0" t="s">
        <v>48</v>
      </c>
      <c r="I48" s="5">
        <v>39994</v>
      </c>
      <c r="K48" s="0" t="s">
        <v>76</v>
      </c>
    </row>
    <row r="49" outlineLevel="2">
      <c r="A49" s="12" t="s">
        <v>84</v>
      </c>
      <c r="B49" s="0" t="s">
        <v>72</v>
      </c>
      <c r="C49" s="14">
        <v>0.19</v>
      </c>
      <c r="D49" s="14"/>
      <c r="E49" s="14"/>
      <c r="F49" s="14">
        <v>0</v>
      </c>
      <c r="G49" s="14">
        <v>0.04</v>
      </c>
      <c r="H49" s="0" t="s">
        <v>48</v>
      </c>
      <c r="I49" s="5">
        <v>39994</v>
      </c>
      <c r="K49" s="0" t="s">
        <v>76</v>
      </c>
    </row>
    <row r="50" outlineLevel="2">
      <c r="A50" s="12" t="s">
        <v>85</v>
      </c>
      <c r="B50" s="0" t="s">
        <v>72</v>
      </c>
      <c r="C50" s="14">
        <v>2.31</v>
      </c>
      <c r="D50" s="14"/>
      <c r="E50" s="14"/>
      <c r="F50" s="14">
        <v>0</v>
      </c>
      <c r="G50" s="14">
        <v>0.73</v>
      </c>
      <c r="H50" s="0" t="s">
        <v>48</v>
      </c>
      <c r="I50" s="5">
        <v>39994</v>
      </c>
      <c r="K50" s="0" t="s">
        <v>76</v>
      </c>
    </row>
    <row r="51" outlineLevel="2">
      <c r="A51" s="12" t="s">
        <v>86</v>
      </c>
      <c r="B51" s="0" t="s">
        <v>72</v>
      </c>
      <c r="C51" s="14">
        <v>7.31</v>
      </c>
      <c r="D51" s="14"/>
      <c r="E51" s="14"/>
      <c r="F51" s="14">
        <v>0</v>
      </c>
      <c r="G51" s="14">
        <v>0.53</v>
      </c>
      <c r="H51" s="0" t="s">
        <v>48</v>
      </c>
      <c r="I51" s="5">
        <v>39994</v>
      </c>
      <c r="K51" s="0" t="s">
        <v>76</v>
      </c>
    </row>
    <row r="52" outlineLevel="2">
      <c r="A52" s="12" t="s">
        <v>87</v>
      </c>
      <c r="B52" s="0" t="s">
        <v>72</v>
      </c>
      <c r="C52" s="14">
        <v>557.94</v>
      </c>
      <c r="D52" s="14"/>
      <c r="E52" s="14"/>
      <c r="F52" s="14">
        <v>0</v>
      </c>
      <c r="G52" s="14">
        <v>1.57</v>
      </c>
      <c r="H52" s="0" t="s">
        <v>48</v>
      </c>
      <c r="I52" s="5">
        <v>39994</v>
      </c>
      <c r="K52" s="0" t="s">
        <v>73</v>
      </c>
    </row>
    <row r="53" outlineLevel="2">
      <c r="A53" s="12" t="s">
        <v>88</v>
      </c>
      <c r="B53" s="0" t="s">
        <v>72</v>
      </c>
      <c r="C53" s="14">
        <v>0.0095</v>
      </c>
      <c r="D53" s="14"/>
      <c r="E53" s="14"/>
      <c r="F53" s="14">
        <v>7.44</v>
      </c>
      <c r="G53" s="14">
        <v>0.001</v>
      </c>
      <c r="H53" s="0" t="s">
        <v>48</v>
      </c>
      <c r="I53" s="5">
        <v>39976</v>
      </c>
      <c r="K53" s="0" t="s">
        <v>76</v>
      </c>
    </row>
    <row r="54" outlineLevel="2">
      <c r="A54" s="12" t="s">
        <v>89</v>
      </c>
      <c r="B54" s="0" t="s">
        <v>72</v>
      </c>
      <c r="C54" s="14">
        <v>24983.93</v>
      </c>
      <c r="D54" s="14"/>
      <c r="E54" s="14"/>
      <c r="F54" s="14">
        <v>0</v>
      </c>
      <c r="G54" s="14">
        <v>9.94</v>
      </c>
      <c r="H54" s="0" t="s">
        <v>48</v>
      </c>
      <c r="I54" s="5">
        <v>39994</v>
      </c>
      <c r="K54" s="0" t="s">
        <v>73</v>
      </c>
    </row>
    <row r="55" outlineLevel="2">
      <c r="A55" s="12" t="s">
        <v>90</v>
      </c>
      <c r="B55" s="0" t="s">
        <v>72</v>
      </c>
      <c r="C55" s="14">
        <v>1933.5</v>
      </c>
      <c r="D55" s="14"/>
      <c r="E55" s="14"/>
      <c r="F55" s="14">
        <v>0</v>
      </c>
      <c r="G55" s="14">
        <v>0.55</v>
      </c>
      <c r="H55" s="0" t="s">
        <v>48</v>
      </c>
      <c r="I55" s="5">
        <v>39994</v>
      </c>
      <c r="K55" s="0" t="s">
        <v>73</v>
      </c>
    </row>
    <row r="56" outlineLevel="2">
      <c r="A56" s="12" t="s">
        <v>91</v>
      </c>
      <c r="B56" s="0" t="s">
        <v>72</v>
      </c>
      <c r="C56" s="14">
        <v>84.27</v>
      </c>
      <c r="D56" s="14"/>
      <c r="E56" s="14"/>
      <c r="F56" s="14">
        <v>0</v>
      </c>
      <c r="G56" s="14">
        <v>0.29</v>
      </c>
      <c r="H56" s="0" t="s">
        <v>48</v>
      </c>
      <c r="I56" s="5">
        <v>39994</v>
      </c>
      <c r="K56" s="0" t="s">
        <v>76</v>
      </c>
    </row>
    <row r="57" outlineLevel="2">
      <c r="A57" s="12" t="s">
        <v>92</v>
      </c>
      <c r="B57" s="0" t="s">
        <v>72</v>
      </c>
      <c r="C57" s="14">
        <v>1.53</v>
      </c>
      <c r="D57" s="14"/>
      <c r="E57" s="14"/>
      <c r="F57" s="14">
        <v>0</v>
      </c>
      <c r="G57" s="14">
        <v>0.07</v>
      </c>
      <c r="H57" s="0" t="s">
        <v>48</v>
      </c>
      <c r="I57" s="5">
        <v>39994</v>
      </c>
      <c r="K57" s="0" t="s">
        <v>76</v>
      </c>
    </row>
    <row r="58" outlineLevel="2">
      <c r="A58" s="12" t="s">
        <v>93</v>
      </c>
      <c r="B58" s="0" t="s">
        <v>72</v>
      </c>
      <c r="C58" s="14">
        <v>3217.78</v>
      </c>
      <c r="D58" s="14"/>
      <c r="E58" s="14"/>
      <c r="F58" s="14">
        <v>0</v>
      </c>
      <c r="G58" s="14">
        <v>3.55</v>
      </c>
      <c r="H58" s="0" t="s">
        <v>48</v>
      </c>
      <c r="I58" s="5">
        <v>39994</v>
      </c>
      <c r="K58" s="0" t="s">
        <v>73</v>
      </c>
    </row>
    <row r="59" outlineLevel="2">
      <c r="A59" s="12" t="s">
        <v>94</v>
      </c>
      <c r="B59" s="0" t="s">
        <v>72</v>
      </c>
      <c r="C59" s="14" t="s">
        <v>95</v>
      </c>
      <c r="D59" s="14"/>
      <c r="E59" s="14"/>
      <c r="F59" s="14">
        <v>0</v>
      </c>
      <c r="G59" s="14">
        <v>1.53</v>
      </c>
      <c r="H59" s="0" t="s">
        <v>48</v>
      </c>
      <c r="I59" s="5">
        <v>39994</v>
      </c>
      <c r="K59" s="0" t="s">
        <v>76</v>
      </c>
    </row>
    <row r="60" outlineLevel="2">
      <c r="A60" s="12" t="s">
        <v>96</v>
      </c>
      <c r="B60" s="0" t="s">
        <v>72</v>
      </c>
      <c r="C60" s="14">
        <v>3480.48</v>
      </c>
      <c r="D60" s="14"/>
      <c r="E60" s="14"/>
      <c r="F60" s="14">
        <v>0</v>
      </c>
      <c r="G60" s="14">
        <v>1.59</v>
      </c>
      <c r="H60" s="0" t="s">
        <v>48</v>
      </c>
      <c r="I60" s="5">
        <v>39994</v>
      </c>
      <c r="K60" s="0" t="s">
        <v>73</v>
      </c>
    </row>
    <row r="61" outlineLevel="2">
      <c r="A61" s="12" t="s">
        <v>97</v>
      </c>
      <c r="B61" s="0" t="s">
        <v>72</v>
      </c>
      <c r="C61" s="14">
        <v>1.12</v>
      </c>
      <c r="D61" s="14"/>
      <c r="E61" s="14"/>
      <c r="F61" s="14">
        <v>0</v>
      </c>
      <c r="G61" s="14">
        <v>0.11</v>
      </c>
      <c r="H61" s="0" t="s">
        <v>48</v>
      </c>
      <c r="I61" s="5">
        <v>39994</v>
      </c>
      <c r="K61" s="0" t="s">
        <v>76</v>
      </c>
    </row>
    <row r="62" outlineLevel="2">
      <c r="A62" s="12" t="s">
        <v>98</v>
      </c>
      <c r="B62" s="0" t="s">
        <v>72</v>
      </c>
      <c r="C62" s="14" t="s">
        <v>83</v>
      </c>
      <c r="D62" s="14"/>
      <c r="E62" s="14"/>
      <c r="F62" s="14">
        <v>0</v>
      </c>
      <c r="G62" s="14">
        <v>0.21</v>
      </c>
      <c r="H62" s="0" t="s">
        <v>48</v>
      </c>
      <c r="I62" s="5">
        <v>39994</v>
      </c>
      <c r="K62" s="0" t="s">
        <v>99</v>
      </c>
    </row>
    <row r="63" outlineLevel="2">
      <c r="A63" s="12" t="s">
        <v>100</v>
      </c>
      <c r="B63" s="0" t="s">
        <v>72</v>
      </c>
      <c r="C63" s="14" t="s">
        <v>101</v>
      </c>
      <c r="D63" s="14"/>
      <c r="E63" s="14"/>
      <c r="F63" s="14">
        <v>0</v>
      </c>
      <c r="G63" s="14">
        <v>0.36</v>
      </c>
      <c r="H63" s="0" t="s">
        <v>48</v>
      </c>
      <c r="I63" s="5">
        <v>39994</v>
      </c>
      <c r="K63" s="0" t="s">
        <v>76</v>
      </c>
    </row>
    <row r="64" outlineLevel="2">
      <c r="A64" s="12" t="s">
        <v>102</v>
      </c>
      <c r="B64" s="0" t="s">
        <v>72</v>
      </c>
      <c r="C64" s="14">
        <v>7812.51</v>
      </c>
      <c r="D64" s="14"/>
      <c r="E64" s="14"/>
      <c r="F64" s="14">
        <v>0</v>
      </c>
      <c r="G64" s="14">
        <v>35.94</v>
      </c>
      <c r="H64" s="0" t="s">
        <v>48</v>
      </c>
      <c r="I64" s="5">
        <v>39994</v>
      </c>
      <c r="K64" s="0" t="s">
        <v>73</v>
      </c>
    </row>
    <row r="65" outlineLevel="2">
      <c r="A65" s="12" t="s">
        <v>103</v>
      </c>
      <c r="B65" s="0" t="s">
        <v>72</v>
      </c>
      <c r="C65" s="14" t="s">
        <v>104</v>
      </c>
      <c r="D65" s="14"/>
      <c r="E65" s="14"/>
      <c r="F65" s="14">
        <v>0</v>
      </c>
      <c r="G65" s="14">
        <v>0.24</v>
      </c>
      <c r="H65" s="0" t="s">
        <v>48</v>
      </c>
      <c r="I65" s="5">
        <v>39994</v>
      </c>
      <c r="K65" s="0" t="s">
        <v>99</v>
      </c>
    </row>
    <row r="66" outlineLevel="2">
      <c r="A66" s="12" t="s">
        <v>105</v>
      </c>
      <c r="B66" s="0" t="s">
        <v>72</v>
      </c>
      <c r="C66" s="14">
        <v>21.3</v>
      </c>
      <c r="D66" s="14"/>
      <c r="E66" s="14"/>
      <c r="F66" s="14">
        <v>0</v>
      </c>
      <c r="G66" s="14">
        <v>0.1</v>
      </c>
      <c r="H66" s="0" t="s">
        <v>48</v>
      </c>
      <c r="I66" s="5">
        <v>39994</v>
      </c>
      <c r="K66" s="0" t="s">
        <v>78</v>
      </c>
    </row>
    <row r="67" outlineLevel="2">
      <c r="A67" s="12" t="s">
        <v>106</v>
      </c>
      <c r="B67" s="0" t="s">
        <v>72</v>
      </c>
      <c r="C67" s="14" t="s">
        <v>107</v>
      </c>
      <c r="D67" s="14"/>
      <c r="E67" s="14"/>
      <c r="F67" s="14">
        <v>0</v>
      </c>
      <c r="G67" s="14">
        <v>0.48</v>
      </c>
      <c r="H67" s="0" t="s">
        <v>48</v>
      </c>
      <c r="I67" s="5">
        <v>39994</v>
      </c>
      <c r="K67" s="0" t="s">
        <v>76</v>
      </c>
    </row>
    <row r="68" outlineLevel="2">
      <c r="A68" s="12" t="s">
        <v>108</v>
      </c>
      <c r="B68" s="0" t="s">
        <v>72</v>
      </c>
      <c r="C68" s="14">
        <v>29.83</v>
      </c>
      <c r="D68" s="14"/>
      <c r="E68" s="14"/>
      <c r="F68" s="14">
        <v>0</v>
      </c>
      <c r="G68" s="14">
        <v>0.33</v>
      </c>
      <c r="H68" s="0" t="s">
        <v>48</v>
      </c>
      <c r="I68" s="5">
        <v>39994</v>
      </c>
      <c r="K68" s="0" t="s">
        <v>73</v>
      </c>
    </row>
    <row r="69" outlineLevel="2">
      <c r="A69" s="12" t="s">
        <v>109</v>
      </c>
      <c r="B69" s="0" t="s">
        <v>72</v>
      </c>
      <c r="C69" s="14" t="s">
        <v>110</v>
      </c>
      <c r="D69" s="14"/>
      <c r="E69" s="14"/>
      <c r="F69" s="14">
        <v>0</v>
      </c>
      <c r="G69" s="14">
        <v>0.32</v>
      </c>
      <c r="H69" s="0" t="s">
        <v>48</v>
      </c>
      <c r="I69" s="5">
        <v>39994</v>
      </c>
      <c r="K69" s="0" t="s">
        <v>99</v>
      </c>
    </row>
    <row r="70" outlineLevel="2">
      <c r="A70" s="12" t="s">
        <v>111</v>
      </c>
      <c r="B70" s="0" t="s">
        <v>72</v>
      </c>
      <c r="C70" s="14">
        <v>1.8</v>
      </c>
      <c r="D70" s="14"/>
      <c r="E70" s="14"/>
      <c r="F70" s="14">
        <v>0</v>
      </c>
      <c r="G70" s="14">
        <v>0.37</v>
      </c>
      <c r="H70" s="0" t="s">
        <v>48</v>
      </c>
      <c r="I70" s="5">
        <v>39994</v>
      </c>
      <c r="K70" s="0" t="s">
        <v>76</v>
      </c>
    </row>
    <row r="71" outlineLevel="2">
      <c r="A71" s="12" t="s">
        <v>112</v>
      </c>
      <c r="B71" s="0" t="s">
        <v>72</v>
      </c>
      <c r="C71" s="14">
        <v>31.18</v>
      </c>
      <c r="D71" s="14"/>
      <c r="E71" s="14"/>
      <c r="F71" s="14">
        <v>0</v>
      </c>
      <c r="G71" s="14">
        <v>0.69</v>
      </c>
      <c r="H71" s="0" t="s">
        <v>48</v>
      </c>
      <c r="I71" s="5">
        <v>39994</v>
      </c>
      <c r="K71" s="0" t="s">
        <v>76</v>
      </c>
    </row>
    <row r="72">
      <c r="I72" s="5"/>
    </row>
    <row r="73" s="1" customFormat="1"/>
  </sheetData>
  <mergeCells>
    <mergeCell ref="A10:A12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https://phyllis.nl/Biomass/View/3286</dc:description>
  <dcterms:created xsi:type="dcterms:W3CDTF">2026-03-04T04:24:47Z</dcterms:created>
  <dc:title>Phyllis2 #3286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