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295 Spruce Pellets" sheetId="1" r:id="rId1"/>
  </sheets>
  <definedNames>
    <definedName name="w" localSheetId="0">IF(ISBLANK('Phyllis2 #3295 Spruce Pellets'!$C$25),#N/A,'Phyllis2 #3295 Spruce Pellets'!$C$25/100)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22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22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22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<sst xmlns="http://schemas.openxmlformats.org/spreadsheetml/2006/main" count="85" uniqueCount="85">
  <si>
    <t>Phyllis2</t>
  </si>
  <si>
    <t>https://phyllis.nl/Biomass/View/3295</t>
  </si>
  <si>
    <t>Spruce Pellets (#3295)</t>
  </si>
  <si>
    <t>ID-number</t>
  </si>
  <si>
    <t>#3295</t>
  </si>
  <si>
    <t>Material</t>
  </si>
  <si>
    <t>Spruce Pellets</t>
  </si>
  <si>
    <t>Alternative name</t>
  </si>
  <si>
    <t>Pellets</t>
  </si>
  <si>
    <t>Description</t>
  </si>
  <si>
    <t>DINplus quality</t>
  </si>
  <si>
    <t>Classification</t>
  </si>
  <si>
    <t>CEN/TS 14961 classification &gt; Solid biofuels &gt; Woody biomass &gt; Wood processing industry &gt; Chemically untreated wood residues &gt; Without bark</t>
  </si>
  <si>
    <t>ECN Phyllis classification &gt; untreated wood &gt; fir/pine/spruce &gt; wood, spruce</t>
  </si>
  <si>
    <t>NTA 8003 classification &gt; [100] hout &gt; [110] vers hout &gt; [130] naaldhout &gt; [131] naaldhout</t>
  </si>
  <si>
    <t>Sample date</t>
  </si>
  <si>
    <t>Sample method</t>
  </si>
  <si>
    <t>DINplus</t>
  </si>
  <si>
    <t>Country</t>
  </si>
  <si>
    <t>Austria</t>
  </si>
  <si>
    <t>Production date</t>
  </si>
  <si>
    <t>Submitter</t>
  </si>
  <si>
    <t>OFI</t>
  </si>
  <si>
    <t>Submitter organisation</t>
  </si>
  <si>
    <t>ECN (Netherlands)</t>
  </si>
  <si>
    <t>Submission date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</si>
  <si>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</si>
  <si>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</si>
  <si>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</si>
  <si>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</si>
  <si>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</si>
  <si>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</si>
  <si>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</si>
  <si>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</si>
  <si>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</si>
  <si>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</si>
  <si>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</si>
  <si>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</si>
  <si>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</si>
  <si>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</si>
  <si>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</si>
  <si>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</si>
  <si>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</si>
  <si>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ofi</t>
  </si>
  <si>
    <t>CEN/TS 14774-1,2,3</t>
  </si>
  <si>
    <t>Ash content at 815°C</t>
  </si>
  <si>
    <t>Ultimate analysis (macroelements)</t>
  </si>
  <si>
    <t>Nitrogen</t>
  </si>
  <si>
    <t>CEN/TS 15104</t>
  </si>
  <si>
    <t>Sulphur</t>
  </si>
  <si>
    <t>CEN/TS15289</t>
  </si>
  <si>
    <t>Total (with halides)</t>
  </si>
  <si>
    <t>Calculated</t>
  </si>
  <si>
    <t>Halides</t>
  </si>
  <si>
    <t>Chlorine (Cl)</t>
  </si>
  <si>
    <t>mg/kg</t>
  </si>
  <si>
    <t>CEN/TS 15289</t>
  </si>
  <si>
    <t>Heating value</t>
  </si>
  <si>
    <t>Net calorific value (LHV)</t>
  </si>
  <si>
    <t>MJ/kg</t>
  </si>
  <si>
    <t>CEN/TS 14918</t>
  </si>
  <si>
    <t>Gross calorific value (HHV)</t>
  </si>
  <si>
    <t>Trace elements composition</t>
  </si>
  <si>
    <t>Arsenic (As)</t>
  </si>
  <si>
    <t>mg/kg (dry)</t>
  </si>
  <si>
    <t>&lt;0,5</t>
  </si>
  <si>
    <t>Cadmium (Cd)</t>
  </si>
  <si>
    <t>Chromium (Cr)</t>
  </si>
  <si>
    <t>&lt;5</t>
  </si>
  <si>
    <t>Copper (Cu)</t>
  </si>
  <si>
    <t>Mercury (Hg)</t>
  </si>
  <si>
    <t>&lt;0,05</t>
  </si>
  <si>
    <t>Lead (Pb)</t>
  </si>
  <si>
    <t>Zinc (Zn)</t>
  </si>
  <si>
    <t>Physical Properties</t>
  </si>
  <si>
    <t>Commonly used properties</t>
  </si>
  <si>
    <t>Mechanic durability</t>
  </si>
  <si>
    <t>CEN/TS 15210-1,2</t>
  </si>
  <si>
    <t>Dimension, D</t>
  </si>
  <si>
    <t>mm</t>
  </si>
  <si>
    <t>CEN/TS 14961</t>
  </si>
  <si>
    <t>Dimension, L</t>
  </si>
  <si>
    <t>Particle density</t>
  </si>
  <si>
    <t>kg/m³</t>
  </si>
  <si>
    <t>CEN/TS 15150</t>
  </si>
</sst>
</file>

<file path=xl/styles.xml><?xml version="1.0" encoding="utf-8"?>
<styleSheet xmlns="http://schemas.openxmlformats.org/spreadsheetml/2006/main">
  <numFmts count="4">
    <numFmt numFmtId="164" formatCode="yyyy-mm-dd"/>
    <numFmt numFmtId="165" formatCode="#,0.00"/>
    <numFmt numFmtId="166" formatCode="#,0.0"/>
    <numFmt numFmtId="167" formatCode="#,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6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295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50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11.4837522506714" customWidth="1"/>
    <col min="10" max="10" width="18.8621006011963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8</v>
      </c>
    </row>
    <row r="8" outlineLevel="1">
      <c r="A8" s="7" t="s">
        <v>9</v>
      </c>
      <c r="B8" s="0" t="s">
        <v>10</v>
      </c>
    </row>
    <row r="9" outlineLevel="1">
      <c r="A9" s="8" t="s">
        <v>11</v>
      </c>
      <c r="B9" s="0" t="s">
        <v>12</v>
      </c>
    </row>
    <row r="10" outlineLevel="1">
      <c r="A10" s="8"/>
      <c r="B10" s="0" t="s">
        <v>13</v>
      </c>
    </row>
    <row r="11" outlineLevel="1">
      <c r="A11" s="8"/>
      <c r="B11" s="0" t="s">
        <v>14</v>
      </c>
    </row>
    <row r="12" outlineLevel="1">
      <c r="A12" s="7" t="s">
        <v>15</v>
      </c>
      <c r="B12" s="6">
        <v>39203</v>
      </c>
    </row>
    <row r="13" outlineLevel="1">
      <c r="A13" s="7" t="s">
        <v>16</v>
      </c>
      <c r="B13" s="0" t="s">
        <v>17</v>
      </c>
    </row>
    <row r="14" outlineLevel="1">
      <c r="A14" s="7" t="s">
        <v>18</v>
      </c>
      <c r="B14" s="0" t="s">
        <v>19</v>
      </c>
    </row>
    <row r="15" outlineLevel="1">
      <c r="A15" s="7" t="s">
        <v>20</v>
      </c>
      <c r="B15" s="6">
        <v>39203</v>
      </c>
    </row>
    <row r="16" outlineLevel="1">
      <c r="A16" s="7" t="s">
        <v>21</v>
      </c>
      <c r="B16" s="0" t="s">
        <v>22</v>
      </c>
    </row>
    <row r="17" outlineLevel="1">
      <c r="A17" s="7" t="s">
        <v>23</v>
      </c>
      <c r="B17" s="0" t="s">
        <v>24</v>
      </c>
    </row>
    <row r="18" outlineLevel="1">
      <c r="A18" s="7" t="s">
        <v>25</v>
      </c>
      <c r="B18" s="6">
        <v>40133</v>
      </c>
    </row>
    <row r="19">
      <c r="A19" s="7"/>
    </row>
    <row r="20" s="1" customFormat="1">
      <c r="A20" s="9" t="s">
        <v>26</v>
      </c>
    </row>
    <row r="21" s="1" customFormat="1">
      <c r="A21" s="10" t="s">
        <v>27</v>
      </c>
      <c r="B21" s="10" t="s">
        <v>28</v>
      </c>
      <c r="C21" s="10" t="s">
        <v>29</v>
      </c>
      <c r="D21" s="10"/>
      <c r="E21" s="10"/>
      <c r="F21" s="10" t="s">
        <v>30</v>
      </c>
      <c r="G21" s="10" t="s">
        <v>31</v>
      </c>
      <c r="H21" s="10" t="s">
        <v>32</v>
      </c>
      <c r="I21" s="10" t="s">
        <v>33</v>
      </c>
      <c r="J21" s="10" t="s">
        <v>34</v>
      </c>
      <c r="K21" s="10" t="s">
        <v>35</v>
      </c>
      <c r="L21" s="10"/>
    </row>
    <row r="22" s="1" customFormat="1">
      <c r="A22" s="10"/>
      <c r="B22" s="10"/>
      <c r="C22" s="10" t="s">
        <v>36</v>
      </c>
      <c r="D22" s="10" t="s">
        <v>37</v>
      </c>
      <c r="E22" s="10" t="s">
        <v>38</v>
      </c>
      <c r="F22" s="10"/>
      <c r="G22" s="10"/>
      <c r="H22" s="10"/>
      <c r="I22" s="10"/>
      <c r="J22" s="10"/>
      <c r="K22" s="10"/>
      <c r="L22" s="10"/>
    </row>
    <row r="23">
      <c r="A23" s="7" t="s">
        <v>39</v>
      </c>
      <c r="I23" s="5"/>
    </row>
    <row r="24" outlineLevel="1">
      <c r="A24" s="11" t="s">
        <v>40</v>
      </c>
      <c r="I24" s="5"/>
    </row>
    <row r="25" outlineLevel="2">
      <c r="A25" s="12" t="s">
        <v>41</v>
      </c>
      <c r="B25" s="0" t="s">
        <v>42</v>
      </c>
      <c r="C25" s="13">
        <v>7.76</v>
      </c>
      <c r="D25" s="13"/>
      <c r="E25" s="13"/>
      <c r="F25" s="13">
        <v>0</v>
      </c>
      <c r="G25" s="13"/>
      <c r="H25" s="0" t="s">
        <v>43</v>
      </c>
      <c r="I25" s="5">
        <v>39203</v>
      </c>
      <c r="J25" s="0" t="s">
        <v>44</v>
      </c>
    </row>
    <row r="26" outlineLevel="2">
      <c r="A26" s="12" t="s">
        <v>45</v>
      </c>
      <c r="B26" s="0" t="s">
        <v>42</v>
      </c>
      <c r="C26" s="13">
        <f>IFERROR(0.21*(1-w),"")</f>
        <v>0.193704</v>
      </c>
      <c r="D26" s="13">
        <v>0.21</v>
      </c>
      <c r="E26" s="13">
        <v/>
      </c>
      <c r="F26" s="13">
        <v>0.15</v>
      </c>
      <c r="G26" s="13"/>
      <c r="H26" s="0" t="s">
        <v>43</v>
      </c>
      <c r="I26" s="5">
        <v>39203</v>
      </c>
    </row>
    <row r="27" outlineLevel="1">
      <c r="A27" s="11" t="s">
        <v>46</v>
      </c>
      <c r="I27" s="5"/>
    </row>
    <row r="28" outlineLevel="2">
      <c r="A28" s="12" t="s">
        <v>47</v>
      </c>
      <c r="B28" s="0" t="s">
        <v>42</v>
      </c>
      <c r="C28" s="13">
        <f>IFERROR(0.16*(1-w),"")</f>
        <v>0.147584</v>
      </c>
      <c r="D28" s="13">
        <v>0.16</v>
      </c>
      <c r="E28" s="13">
        <v>0.16033670708487824</v>
      </c>
      <c r="F28" s="13">
        <v>0</v>
      </c>
      <c r="G28" s="13">
        <v>0.005</v>
      </c>
      <c r="I28" s="5">
        <v>39203</v>
      </c>
      <c r="J28" s="0" t="s">
        <v>48</v>
      </c>
    </row>
    <row r="29" outlineLevel="2">
      <c r="A29" s="12" t="s">
        <v>49</v>
      </c>
      <c r="B29" s="0" t="s">
        <v>42</v>
      </c>
      <c r="C29" s="13">
        <f>IFERROR(0.004*(1-w),"")</f>
        <v>0.0036896</v>
      </c>
      <c r="D29" s="13">
        <v>0.004</v>
      </c>
      <c r="E29" s="13">
        <v>0.004008417677121956</v>
      </c>
      <c r="F29" s="13">
        <v>0</v>
      </c>
      <c r="G29" s="13">
        <v>0.001</v>
      </c>
      <c r="H29" s="0" t="s">
        <v>43</v>
      </c>
      <c r="I29" s="5">
        <v>39203</v>
      </c>
      <c r="J29" s="0" t="s">
        <v>50</v>
      </c>
    </row>
    <row r="30" outlineLevel="2">
      <c r="A30" s="12" t="s">
        <v>51</v>
      </c>
      <c r="B30" s="0" t="s">
        <v>42</v>
      </c>
      <c r="C30" s="13">
        <f>IFERROR(0.379*(1-w)+w*100,"")</f>
        <v>8.1095896</v>
      </c>
      <c r="D30" s="13">
        <v>0.379</v>
      </c>
      <c r="E30" s="13">
        <v>0.16935564685840265</v>
      </c>
      <c r="F30" s="13"/>
      <c r="G30" s="13"/>
      <c r="I30" s="5"/>
      <c r="J30" s="0" t="s">
        <v>52</v>
      </c>
    </row>
    <row r="31" outlineLevel="1">
      <c r="A31" s="11" t="s">
        <v>53</v>
      </c>
      <c r="I31" s="5"/>
    </row>
    <row r="32" outlineLevel="2">
      <c r="A32" s="12" t="s">
        <v>54</v>
      </c>
      <c r="B32" s="0" t="s">
        <v>55</v>
      </c>
      <c r="C32" s="14">
        <f>IFERROR(50*(1-w),"")</f>
        <v>46.12</v>
      </c>
      <c r="D32" s="14">
        <v>50</v>
      </c>
      <c r="E32" s="14">
        <v>50.105220964024454</v>
      </c>
      <c r="F32" s="14">
        <v>0</v>
      </c>
      <c r="G32" s="14">
        <v>10</v>
      </c>
      <c r="I32" s="5">
        <v>39203</v>
      </c>
      <c r="J32" s="0" t="s">
        <v>56</v>
      </c>
    </row>
    <row r="33" outlineLevel="1">
      <c r="A33" s="11" t="s">
        <v>57</v>
      </c>
      <c r="I33" s="5"/>
    </row>
    <row r="34" outlineLevel="2">
      <c r="A34" s="12" t="s">
        <v>58</v>
      </c>
      <c r="B34" s="0" t="s">
        <v>59</v>
      </c>
      <c r="C34" s="13">
        <f>IFERROR(18.68*(1-w)-w*2.443,"")</f>
        <v>17.0408552</v>
      </c>
      <c r="D34" s="13">
        <v>18.68</v>
      </c>
      <c r="E34" s="13">
        <v>18.719310552159534</v>
      </c>
      <c r="F34" s="13">
        <v>0.003</v>
      </c>
      <c r="G34" s="13"/>
      <c r="H34" s="0" t="s">
        <v>43</v>
      </c>
      <c r="I34" s="5">
        <v>39203</v>
      </c>
      <c r="J34" s="0" t="s">
        <v>60</v>
      </c>
    </row>
    <row r="35" outlineLevel="2">
      <c r="A35" s="12" t="s">
        <v>61</v>
      </c>
      <c r="B35" s="0" t="s">
        <v>59</v>
      </c>
      <c r="C35" s="13">
        <f>IFERROR(20.14*(1-w),"")</f>
        <v>18.577136</v>
      </c>
      <c r="D35" s="13">
        <v>20.14</v>
      </c>
      <c r="E35" s="13">
        <v>20.182383004309049</v>
      </c>
      <c r="F35" s="13">
        <v>0.003</v>
      </c>
      <c r="G35" s="13"/>
      <c r="H35" s="0" t="s">
        <v>43</v>
      </c>
      <c r="I35" s="5">
        <v>39203</v>
      </c>
    </row>
    <row r="36" outlineLevel="1">
      <c r="A36" s="11" t="s">
        <v>62</v>
      </c>
      <c r="I36" s="5"/>
    </row>
    <row r="37" outlineLevel="2">
      <c r="A37" s="12" t="s">
        <v>63</v>
      </c>
      <c r="B37" s="0" t="s">
        <v>64</v>
      </c>
      <c r="C37" s="14" t="s">
        <v>65</v>
      </c>
      <c r="D37" s="14"/>
      <c r="E37" s="14"/>
      <c r="F37" s="14">
        <v>0</v>
      </c>
      <c r="G37" s="14"/>
      <c r="H37" s="0" t="s">
        <v>43</v>
      </c>
      <c r="I37" s="5">
        <v>39203</v>
      </c>
    </row>
    <row r="38" outlineLevel="2">
      <c r="A38" s="12" t="s">
        <v>66</v>
      </c>
      <c r="B38" s="0" t="s">
        <v>64</v>
      </c>
      <c r="C38" s="14" t="s">
        <v>65</v>
      </c>
      <c r="D38" s="14"/>
      <c r="E38" s="14"/>
      <c r="F38" s="14">
        <v>0</v>
      </c>
      <c r="G38" s="14"/>
      <c r="H38" s="0" t="s">
        <v>43</v>
      </c>
      <c r="I38" s="5">
        <v>39203</v>
      </c>
    </row>
    <row r="39" outlineLevel="2">
      <c r="A39" s="12" t="s">
        <v>67</v>
      </c>
      <c r="B39" s="0" t="s">
        <v>64</v>
      </c>
      <c r="C39" s="14" t="s">
        <v>68</v>
      </c>
      <c r="D39" s="14"/>
      <c r="E39" s="14"/>
      <c r="F39" s="14">
        <v>0</v>
      </c>
      <c r="G39" s="14"/>
      <c r="H39" s="0" t="s">
        <v>43</v>
      </c>
      <c r="I39" s="5">
        <v>39203</v>
      </c>
    </row>
    <row r="40" outlineLevel="2">
      <c r="A40" s="12" t="s">
        <v>69</v>
      </c>
      <c r="B40" s="0" t="s">
        <v>64</v>
      </c>
      <c r="C40" s="14" t="s">
        <v>68</v>
      </c>
      <c r="D40" s="14"/>
      <c r="E40" s="14"/>
      <c r="F40" s="14">
        <v>0</v>
      </c>
      <c r="G40" s="14"/>
      <c r="H40" s="0" t="s">
        <v>43</v>
      </c>
      <c r="I40" s="5">
        <v>39203</v>
      </c>
    </row>
    <row r="41" outlineLevel="2">
      <c r="A41" s="12" t="s">
        <v>70</v>
      </c>
      <c r="B41" s="0" t="s">
        <v>64</v>
      </c>
      <c r="C41" s="14" t="s">
        <v>71</v>
      </c>
      <c r="D41" s="14"/>
      <c r="E41" s="14"/>
      <c r="F41" s="14">
        <v>0</v>
      </c>
      <c r="G41" s="14"/>
      <c r="I41" s="5">
        <v>39569</v>
      </c>
    </row>
    <row r="42" outlineLevel="2">
      <c r="A42" s="12" t="s">
        <v>72</v>
      </c>
      <c r="B42" s="0" t="s">
        <v>64</v>
      </c>
      <c r="C42" s="14" t="s">
        <v>68</v>
      </c>
      <c r="D42" s="14"/>
      <c r="E42" s="14"/>
      <c r="F42" s="14">
        <v>0</v>
      </c>
      <c r="G42" s="14"/>
      <c r="H42" s="0" t="s">
        <v>43</v>
      </c>
      <c r="I42" s="5">
        <v>39203</v>
      </c>
    </row>
    <row r="43" outlineLevel="2">
      <c r="A43" s="12" t="s">
        <v>73</v>
      </c>
      <c r="B43" s="0" t="s">
        <v>64</v>
      </c>
      <c r="C43" s="14">
        <v>20</v>
      </c>
      <c r="D43" s="14"/>
      <c r="E43" s="14"/>
      <c r="F43" s="14">
        <v>0</v>
      </c>
      <c r="G43" s="14"/>
      <c r="H43" s="0" t="s">
        <v>43</v>
      </c>
      <c r="I43" s="5">
        <v>39203</v>
      </c>
    </row>
    <row r="44">
      <c r="A44" s="7" t="s">
        <v>74</v>
      </c>
      <c r="I44" s="5"/>
    </row>
    <row r="45" outlineLevel="1">
      <c r="A45" s="11" t="s">
        <v>75</v>
      </c>
      <c r="I45" s="5"/>
    </row>
    <row r="46" outlineLevel="2">
      <c r="A46" s="12" t="s">
        <v>76</v>
      </c>
      <c r="B46" s="0" t="s">
        <v>42</v>
      </c>
      <c r="C46" s="13">
        <v>99.01</v>
      </c>
      <c r="D46" s="13"/>
      <c r="E46" s="13"/>
      <c r="F46" s="13"/>
      <c r="G46" s="13"/>
      <c r="I46" s="5"/>
      <c r="J46" s="0" t="s">
        <v>77</v>
      </c>
    </row>
    <row r="47" outlineLevel="2">
      <c r="A47" s="12" t="s">
        <v>78</v>
      </c>
      <c r="B47" s="0" t="s">
        <v>79</v>
      </c>
      <c r="C47" s="15">
        <v>6</v>
      </c>
      <c r="D47" s="15"/>
      <c r="E47" s="15"/>
      <c r="F47" s="15"/>
      <c r="G47" s="15"/>
      <c r="I47" s="5"/>
      <c r="J47" s="0" t="s">
        <v>80</v>
      </c>
    </row>
    <row r="48" outlineLevel="2">
      <c r="A48" s="12" t="s">
        <v>81</v>
      </c>
      <c r="B48" s="0" t="s">
        <v>79</v>
      </c>
      <c r="C48" s="15">
        <v>18</v>
      </c>
      <c r="D48" s="15"/>
      <c r="E48" s="15"/>
      <c r="F48" s="15"/>
      <c r="G48" s="15"/>
      <c r="I48" s="5"/>
      <c r="J48" s="0" t="s">
        <v>80</v>
      </c>
    </row>
    <row r="49" outlineLevel="2">
      <c r="A49" s="12" t="s">
        <v>82</v>
      </c>
      <c r="B49" s="0" t="s">
        <v>83</v>
      </c>
      <c r="C49" s="15">
        <v>1231</v>
      </c>
      <c r="D49" s="15"/>
      <c r="E49" s="15"/>
      <c r="F49" s="15"/>
      <c r="G49" s="15"/>
      <c r="I49" s="5"/>
      <c r="J49" s="0" t="s">
        <v>84</v>
      </c>
    </row>
    <row r="50">
      <c r="I50" s="5"/>
    </row>
    <row r="51" s="1" customFormat="1"/>
  </sheetData>
  <mergeCells>
    <mergeCell ref="A9:A11"/>
    <mergeCell ref="C21:E21"/>
    <mergeCell ref="A21:A22"/>
    <mergeCell ref="B21:B22"/>
    <mergeCell ref="F21:F22"/>
    <mergeCell ref="G21:G22"/>
    <mergeCell ref="H21:H22"/>
    <mergeCell ref="I21:I22"/>
    <mergeCell ref="J21:J22"/>
    <mergeCell ref="K21:K22"/>
    <mergeCell ref="C37:E37"/>
    <mergeCell ref="C38:E38"/>
    <mergeCell ref="C39:E39"/>
    <mergeCell ref="C40:E40"/>
    <mergeCell ref="C41:E41"/>
    <mergeCell ref="C42:E42"/>
    <mergeCell ref="C43:E43"/>
    <mergeCell ref="C46:E46"/>
    <mergeCell ref="C47:E47"/>
    <mergeCell ref="C48:E48"/>
    <mergeCell ref="C49:E49"/>
  </mergeCells>
  <dataValidations count="1">
    <dataValidation type="decimal" sqref="C25" errorStyle="stop" promptTitle="Enter moisture content" errorTitle="Invalid moisture content" prompt="Value should be between 0 and 100.&#10;Original value: 7.76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https://phyllis.nl/Biomass/View/3295</dc:description>
  <dcterms:created xsi:type="dcterms:W3CDTF">2026-03-19T07:01:58Z</dcterms:created>
  <dc:title>Phyllis2 #3295 Spruce Pellets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