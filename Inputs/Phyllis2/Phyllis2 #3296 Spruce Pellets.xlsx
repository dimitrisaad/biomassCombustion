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96 Spruce Pellets" sheetId="1" r:id="rId1"/>
  </sheets>
  <definedNames>
    <definedName name="w" localSheetId="0">IF(ISBLANK('Phyllis2 #3296 Spruce Pellets'!$C$25),#N/A,'Phyllis2 #3296 Spruce Pellets'!$C$25/100)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<sst xmlns="http://schemas.openxmlformats.org/spreadsheetml/2006/main" count="86" uniqueCount="86">
  <si>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</si>
  <si>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https://phyllis.nl/Biomass/View/3296</t>
  </si>
  <si>
    <t>Spruce Pellets (#3296)</t>
  </si>
  <si>
    <t>ID-number</t>
  </si>
  <si>
    <t>#3296</t>
  </si>
  <si>
    <t>Material</t>
  </si>
  <si>
    <t>Spruce Pellets</t>
  </si>
  <si>
    <t>Alternative name</t>
  </si>
  <si>
    <t>Pellets</t>
  </si>
  <si>
    <t>Description</t>
  </si>
  <si>
    <t>DINplus quality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</si>
  <si>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</si>
  <si>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</si>
  <si>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 &gt; fir/pine/spruce &gt; wood, spruce</t>
  </si>
  <si>
    <t>NTA 8003 classification &gt; [100] hout &gt; [110] vers hout &gt; [130] naaldhout &gt; [131] naaldhout</t>
  </si>
  <si>
    <t>Sample date</t>
  </si>
  <si>
    <t>Sample method</t>
  </si>
  <si>
    <t>DINplus</t>
  </si>
  <si>
    <t>Country</t>
  </si>
  <si>
    <t>Austria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</si>
  <si>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</si>
  <si>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</si>
  <si>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</si>
  <si>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</si>
  <si>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</si>
  <si>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</si>
  <si>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</si>
  <si>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</si>
  <si>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</si>
  <si>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</si>
  <si>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</si>
  <si>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</si>
  <si>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</si>
  <si>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</si>
  <si>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</si>
  <si>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</si>
  <si>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</si>
  <si>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</si>
  <si>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</si>
  <si>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</si>
  <si>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</si>
  <si>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</si>
  <si>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</si>
  <si>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</si>
  <si>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</si>
  <si>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</si>
  <si>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</si>
  <si>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</si>
  <si>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</si>
  <si>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</si>
  <si>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</si>
  <si>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</si>
  <si>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</si>
  <si>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</si>
  <si>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</si>
  <si>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</si>
  <si>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</si>
  <si>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</si>
  <si>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</si>
  <si>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</si>
  <si>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</si>
  <si>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</si>
  <si>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</si>
  <si>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</si>
  <si>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</si>
  <si>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Cadmium (Cd)</t>
  </si>
  <si>
    <t>&lt;0,5</t>
  </si>
  <si>
    <t>Chromium (Cr)</t>
  </si>
  <si>
    <t>Copper (Cu)</t>
  </si>
  <si>
    <t>Mercury (Hg)</t>
  </si>
  <si>
    <t>&lt;0,05</t>
  </si>
  <si>
    <t>Lead (Pb)</t>
  </si>
  <si>
    <t>Zinc (Zn)</t>
  </si>
  <si>
    <t>Physical Properties</t>
  </si>
  <si>
    <t>Commonly used properties</t>
  </si>
  <si>
    <t>Mechanic durability</t>
  </si>
  <si>
    <t>CEN/TS 15210-1,2</t>
  </si>
  <si>
    <t>Dimension, D</t>
  </si>
  <si>
    <t>mm</t>
  </si>
  <si>
    <t>CEN/TS 14961</t>
  </si>
  <si>
    <t>Dimension, L</t>
  </si>
  <si>
    <t>Particle density</t>
  </si>
  <si>
    <t>kg/m³</t>
  </si>
  <si>
    <t>CEN/TS 15150</t>
  </si>
  <si>
    <t>Additives, amount</t>
  </si>
  <si>
    <t>wt% of pressing mass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</si>
</sst>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0.2197074890137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38930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38930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40133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7.54</v>
      </c>
      <c r="D25" s="13"/>
      <c r="E25" s="13"/>
      <c r="F25" s="13">
        <v>0</v>
      </c>
      <c r="G25" s="13"/>
      <c r="H25" s="0" t="s">
        <v>43</v>
      </c>
      <c r="I25" s="5">
        <v>39661</v>
      </c>
      <c r="J25" s="0" t="s">
        <v>44</v>
      </c>
    </row>
    <row r="26" outlineLevel="2">
      <c r="A26" s="12" t="s">
        <v>45</v>
      </c>
      <c r="B26" s="0" t="s">
        <v>42</v>
      </c>
      <c r="C26" s="13">
        <f>IFERROR(0.23*(1-w),"")</f>
        <v>0.212658</v>
      </c>
      <c r="D26" s="13">
        <v>0.23</v>
      </c>
      <c r="E26" s="13">
        <v/>
      </c>
      <c r="F26" s="13">
        <v>0.22</v>
      </c>
      <c r="G26" s="13"/>
      <c r="H26" s="0" t="s">
        <v>43</v>
      </c>
      <c r="I26" s="5">
        <v>39661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42</v>
      </c>
      <c r="C28" s="13">
        <f>IFERROR(0.05*(1-w),"")</f>
        <v>0.04623</v>
      </c>
      <c r="D28" s="13">
        <v>0.05</v>
      </c>
      <c r="E28" s="13">
        <v>0.050115265109752428</v>
      </c>
      <c r="F28" s="13">
        <v>0</v>
      </c>
      <c r="G28" s="13">
        <v>0.005</v>
      </c>
      <c r="I28" s="5">
        <v>39661</v>
      </c>
      <c r="J28" s="0" t="s">
        <v>48</v>
      </c>
    </row>
    <row r="29" outlineLevel="2">
      <c r="A29" s="12" t="s">
        <v>49</v>
      </c>
      <c r="B29" s="0" t="s">
        <v>42</v>
      </c>
      <c r="C29" s="13">
        <f>IFERROR(0.003*(1-w),"")</f>
        <v>0.0027738</v>
      </c>
      <c r="D29" s="13">
        <v>0.003</v>
      </c>
      <c r="E29" s="13">
        <v>0.0030069159065851457</v>
      </c>
      <c r="F29" s="13">
        <v>0</v>
      </c>
      <c r="G29" s="13">
        <v>0.001</v>
      </c>
      <c r="H29" s="0" t="s">
        <v>43</v>
      </c>
      <c r="I29" s="5">
        <v>39661</v>
      </c>
      <c r="J29" s="0" t="s">
        <v>50</v>
      </c>
    </row>
    <row r="30" outlineLevel="2">
      <c r="A30" s="12" t="s">
        <v>51</v>
      </c>
      <c r="B30" s="0" t="s">
        <v>42</v>
      </c>
      <c r="C30" s="13">
        <f>IFERROR(0.288*(1-w)+w*100,"")</f>
        <v>7.8062847999999994</v>
      </c>
      <c r="D30" s="13">
        <v>0.288</v>
      </c>
      <c r="E30" s="13">
        <v>0.058133707527312811</v>
      </c>
      <c r="F30" s="13"/>
      <c r="G30" s="13"/>
      <c r="I30" s="5"/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IFERROR(50*(1-w),"")</f>
        <v>46.23</v>
      </c>
      <c r="D32" s="14">
        <v>50</v>
      </c>
      <c r="E32" s="14">
        <v>50.115265109752428</v>
      </c>
      <c r="F32" s="14">
        <v>0</v>
      </c>
      <c r="G32" s="14">
        <v>10</v>
      </c>
      <c r="I32" s="5">
        <v>39661</v>
      </c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IFERROR(18.75*(1-w)-w*2.443,"")</f>
        <v>17.1520478</v>
      </c>
      <c r="D34" s="13">
        <v>18.75</v>
      </c>
      <c r="E34" s="13">
        <v>18.793224416157162</v>
      </c>
      <c r="F34" s="13">
        <v>0.004</v>
      </c>
      <c r="G34" s="13"/>
      <c r="H34" s="0" t="s">
        <v>43</v>
      </c>
      <c r="I34" s="5">
        <v>39661</v>
      </c>
      <c r="J34" s="0" t="s">
        <v>60</v>
      </c>
    </row>
    <row r="35" outlineLevel="2">
      <c r="A35" s="12" t="s">
        <v>61</v>
      </c>
      <c r="B35" s="0" t="s">
        <v>59</v>
      </c>
      <c r="C35" s="13">
        <f>IFERROR(20.21*(1-w),"")</f>
        <v>18.686166</v>
      </c>
      <c r="D35" s="13">
        <v>20.21</v>
      </c>
      <c r="E35" s="13">
        <v>20.256590157361934</v>
      </c>
      <c r="F35" s="13">
        <v>0.004</v>
      </c>
      <c r="G35" s="13"/>
      <c r="H35" s="0" t="s">
        <v>43</v>
      </c>
      <c r="I35" s="5">
        <v>39661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0.3</v>
      </c>
      <c r="D37" s="14"/>
      <c r="E37" s="14"/>
      <c r="F37" s="14">
        <v>0</v>
      </c>
      <c r="G37" s="14"/>
      <c r="I37" s="5">
        <v>39661</v>
      </c>
    </row>
    <row r="38" outlineLevel="2">
      <c r="A38" s="12" t="s">
        <v>65</v>
      </c>
      <c r="B38" s="0" t="s">
        <v>64</v>
      </c>
      <c r="C38" s="14" t="s">
        <v>66</v>
      </c>
      <c r="D38" s="14"/>
      <c r="E38" s="14"/>
      <c r="F38" s="14">
        <v>0</v>
      </c>
      <c r="G38" s="14"/>
      <c r="I38" s="5">
        <v>39661</v>
      </c>
    </row>
    <row r="39" outlineLevel="2">
      <c r="A39" s="12" t="s">
        <v>67</v>
      </c>
      <c r="B39" s="0" t="s">
        <v>64</v>
      </c>
      <c r="C39" s="14">
        <v>4.1</v>
      </c>
      <c r="D39" s="14"/>
      <c r="E39" s="14"/>
      <c r="F39" s="14">
        <v>0</v>
      </c>
      <c r="G39" s="14"/>
      <c r="I39" s="5">
        <v>39661</v>
      </c>
    </row>
    <row r="40" outlineLevel="2">
      <c r="A40" s="12" t="s">
        <v>68</v>
      </c>
      <c r="B40" s="0" t="s">
        <v>64</v>
      </c>
      <c r="C40" s="14">
        <v>2.9</v>
      </c>
      <c r="D40" s="14"/>
      <c r="E40" s="14"/>
      <c r="F40" s="14">
        <v>0</v>
      </c>
      <c r="G40" s="14"/>
      <c r="I40" s="5">
        <v>39661</v>
      </c>
    </row>
    <row r="41" outlineLevel="2">
      <c r="A41" s="12" t="s">
        <v>69</v>
      </c>
      <c r="B41" s="0" t="s">
        <v>64</v>
      </c>
      <c r="C41" s="14" t="s">
        <v>70</v>
      </c>
      <c r="D41" s="14"/>
      <c r="E41" s="14"/>
      <c r="F41" s="14">
        <v>0</v>
      </c>
      <c r="G41" s="14"/>
      <c r="I41" s="5">
        <v>39661</v>
      </c>
    </row>
    <row r="42" outlineLevel="2">
      <c r="A42" s="12" t="s">
        <v>71</v>
      </c>
      <c r="B42" s="0" t="s">
        <v>64</v>
      </c>
      <c r="C42" s="14">
        <v>0.4</v>
      </c>
      <c r="D42" s="14"/>
      <c r="E42" s="14"/>
      <c r="F42" s="14">
        <v>0</v>
      </c>
      <c r="G42" s="14"/>
      <c r="I42" s="5">
        <v>39661</v>
      </c>
    </row>
    <row r="43" outlineLevel="2">
      <c r="A43" s="12" t="s">
        <v>72</v>
      </c>
      <c r="B43" s="0" t="s">
        <v>64</v>
      </c>
      <c r="C43" s="14">
        <v>15</v>
      </c>
      <c r="D43" s="14"/>
      <c r="E43" s="14"/>
      <c r="F43" s="14">
        <v>0</v>
      </c>
      <c r="G43" s="14"/>
      <c r="I43" s="5">
        <v>39661</v>
      </c>
    </row>
    <row r="44">
      <c r="A44" s="7" t="s">
        <v>73</v>
      </c>
      <c r="I44" s="5"/>
    </row>
    <row r="45" outlineLevel="1">
      <c r="A45" s="11" t="s">
        <v>74</v>
      </c>
      <c r="I45" s="5"/>
    </row>
    <row r="46" outlineLevel="2">
      <c r="A46" s="12" t="s">
        <v>75</v>
      </c>
      <c r="B46" s="0" t="s">
        <v>42</v>
      </c>
      <c r="C46" s="13">
        <v>98.68</v>
      </c>
      <c r="D46" s="13"/>
      <c r="E46" s="13"/>
      <c r="F46" s="13"/>
      <c r="G46" s="13"/>
      <c r="I46" s="5"/>
      <c r="J46" s="0" t="s">
        <v>76</v>
      </c>
    </row>
    <row r="47" outlineLevel="2">
      <c r="A47" s="12" t="s">
        <v>77</v>
      </c>
      <c r="B47" s="0" t="s">
        <v>78</v>
      </c>
      <c r="C47" s="15">
        <v>6</v>
      </c>
      <c r="D47" s="15"/>
      <c r="E47" s="15"/>
      <c r="F47" s="15"/>
      <c r="G47" s="15"/>
      <c r="I47" s="5"/>
      <c r="J47" s="0" t="s">
        <v>79</v>
      </c>
    </row>
    <row r="48" outlineLevel="2">
      <c r="A48" s="12" t="s">
        <v>80</v>
      </c>
      <c r="B48" s="0" t="s">
        <v>78</v>
      </c>
      <c r="C48" s="15">
        <v>17</v>
      </c>
      <c r="D48" s="15"/>
      <c r="E48" s="15"/>
      <c r="F48" s="15"/>
      <c r="G48" s="15"/>
      <c r="I48" s="5"/>
      <c r="J48" s="0" t="s">
        <v>79</v>
      </c>
    </row>
    <row r="49" outlineLevel="2">
      <c r="A49" s="12" t="s">
        <v>81</v>
      </c>
      <c r="B49" s="0" t="s">
        <v>82</v>
      </c>
      <c r="C49" s="15">
        <v>1300</v>
      </c>
      <c r="D49" s="15"/>
      <c r="E49" s="15"/>
      <c r="F49" s="15"/>
      <c r="G49" s="15"/>
      <c r="I49" s="5"/>
      <c r="J49" s="0" t="s">
        <v>83</v>
      </c>
    </row>
    <row r="50" outlineLevel="2">
      <c r="A50" s="12" t="s">
        <v>84</v>
      </c>
      <c r="B50" s="0" t="s">
        <v>85</v>
      </c>
      <c r="C50" s="13">
        <v>0.5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7:E37"/>
    <mergeCell ref="C38:E38"/>
    <mergeCell ref="C39:E39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</mergeCells>
  <dataValidations count="1">
    <dataValidation type="decimal" sqref="C25" errorStyle="stop" promptTitle="Enter moisture content" errorTitle="Invalid moisture content" prompt="Value should be between 0 and 100.&#10;Original value: 7.5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https://phyllis.nl/Biomass/View/3296</dc:description>
  <dcterms:created xsi:type="dcterms:W3CDTF">2026-03-19T07:02:00Z</dcterms:created>
  <dc:title>Phyllis2 #3296 Spruce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