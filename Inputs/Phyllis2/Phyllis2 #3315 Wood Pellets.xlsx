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315 Wood Pellets" sheetId="1" r:id="rId1"/>
  </sheets>
  <definedNames>
    <definedName name="w" localSheetId="0">IF(ISBLANK('Phyllis2 #3315 Wood Pellets'!$C$23),#N/A,'Phyllis2 #3315 Wood Pellets'!$C$23/100)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<sst xmlns="http://schemas.openxmlformats.org/spreadsheetml/2006/main" count="78" uniqueCount="78">
  <si>
    <t>Phyllis2</t>
  </si>
  <si>
    <t>https://phyllis.nl/Biomass/View/3315</t>
  </si>
  <si>
    <t>Wood Pellets (#3315)</t>
  </si>
  <si>
    <t>ID-number</t>
  </si>
  <si>
    <t>#3315</t>
  </si>
  <si>
    <t>Material</t>
  </si>
  <si>
    <t>Wood Pellets</t>
  </si>
  <si>
    <t>Alternative name</t>
  </si>
  <si>
    <t>Pellets dark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</si>
  <si>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</si>
  <si>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</si>
  <si>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</t>
  </si>
  <si>
    <t>NTA 8003 classification &gt; [100] hout &gt; [110] vers hout &gt; [119] overig vers hout</t>
  </si>
  <si>
    <t>Sample date</t>
  </si>
  <si>
    <t>Country</t>
  </si>
  <si>
    <t>Portugal</t>
  </si>
  <si>
    <t>Production date</t>
  </si>
  <si>
    <t>Submitter</t>
  </si>
  <si>
    <t>OFI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</si>
  <si>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</si>
  <si>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</si>
  <si>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</si>
  <si>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</si>
  <si>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</si>
  <si>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</si>
  <si>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</si>
  <si>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</si>
  <si>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</si>
  <si>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</si>
  <si>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</si>
  <si>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</si>
  <si>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</si>
  <si>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</si>
  <si>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</si>
  <si>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</si>
  <si>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</si>
  <si>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</si>
  <si>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</si>
  <si>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</si>
  <si>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ofi</t>
  </si>
  <si>
    <t>CEN/TS 14774-1,2,3</t>
  </si>
  <si>
    <t>Ash content at 815°C</t>
  </si>
  <si>
    <t>Ultimate analysis (macroelements)</t>
  </si>
  <si>
    <t>Nitrogen</t>
  </si>
  <si>
    <t>CEN/TS 15104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</si>
  <si>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</si>
  <si>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</si>
  <si>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</si>
  <si>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</si>
  <si>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</si>
  <si>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</si>
  <si>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</si>
  <si>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</si>
  <si>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</si>
  <si>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</si>
  <si>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</si>
  <si>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</si>
  <si>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</si>
  <si>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</si>
  <si>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Arsenic (As)</t>
  </si>
  <si>
    <t>mg/kg (dry)</t>
  </si>
  <si>
    <t>Cadmium (Cd)</t>
  </si>
  <si>
    <t>Chromium (Cr)</t>
  </si>
  <si>
    <t>Copper (Cu)</t>
  </si>
  <si>
    <t>Mercury (Hg)</t>
  </si>
  <si>
    <t>Lead (Pb)</t>
  </si>
  <si>
    <t>Zinc (Zn)</t>
  </si>
  <si>
    <t>Physical Properties</t>
  </si>
  <si>
    <t>Commonly used properties</t>
  </si>
  <si>
    <t>Mechanic durability</t>
  </si>
  <si>
    <t>CEN/TS 15210-1,2</t>
  </si>
  <si>
    <t>Dimension, D</t>
  </si>
  <si>
    <t>mm</t>
  </si>
  <si>
    <t>CEN/TS 14961</t>
  </si>
  <si>
    <t>Dimension, L</t>
  </si>
  <si>
    <t>Particle density</t>
  </si>
  <si>
    <t>kg/m³</t>
  </si>
  <si>
    <t>CEN/TS 15150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</si>
</sst>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3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39387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6">
        <v>39387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6">
        <v>40133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31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6.84706665203517</v>
      </c>
      <c r="D23" s="13"/>
      <c r="E23" s="13"/>
      <c r="F23" s="13">
        <v>0</v>
      </c>
      <c r="G23" s="13"/>
      <c r="H23" s="0" t="s">
        <v>39</v>
      </c>
      <c r="I23" s="5">
        <v>39387</v>
      </c>
      <c r="J23" s="0" t="s">
        <v>40</v>
      </c>
    </row>
    <row r="24" outlineLevel="2">
      <c r="A24" s="12" t="s">
        <v>41</v>
      </c>
      <c r="B24" s="0" t="s">
        <v>38</v>
      </c>
      <c r="C24" s="13">
        <f>IFERROR(0.85656951319922*(1-w),"")</f>
        <v>0.79791962770945624</v>
      </c>
      <c r="D24" s="13">
        <v>0.85656951319922</v>
      </c>
      <c r="E24" s="13">
        <v/>
      </c>
      <c r="F24" s="13">
        <v>0.04</v>
      </c>
      <c r="G24" s="13"/>
      <c r="H24" s="0" t="s">
        <v>39</v>
      </c>
      <c r="I24" s="5">
        <v>39387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38</v>
      </c>
      <c r="C26" s="13">
        <f>IFERROR(0.58*(1-w),"")</f>
        <v>0.540287013418196</v>
      </c>
      <c r="D26" s="13">
        <v>0.58</v>
      </c>
      <c r="E26" s="13">
        <v>0.58501102609841293</v>
      </c>
      <c r="F26" s="13">
        <v>0</v>
      </c>
      <c r="G26" s="13">
        <v>0.005</v>
      </c>
      <c r="I26" s="5">
        <v>39387</v>
      </c>
      <c r="J26" s="0" t="s">
        <v>44</v>
      </c>
    </row>
    <row r="27" outlineLevel="2">
      <c r="A27" s="12" t="s">
        <v>45</v>
      </c>
      <c r="B27" s="0" t="s">
        <v>38</v>
      </c>
      <c r="C27" s="13">
        <f>IFERROR(0.018*(1-w),"")</f>
        <v>0.016767528002633668</v>
      </c>
      <c r="D27" s="13">
        <v>0.018</v>
      </c>
      <c r="E27" s="13">
        <v>0.018155514603054194</v>
      </c>
      <c r="F27" s="13">
        <v>0</v>
      </c>
      <c r="G27" s="13">
        <v>0.001</v>
      </c>
      <c r="H27" s="0" t="s">
        <v>39</v>
      </c>
      <c r="I27" s="5">
        <v>39387</v>
      </c>
      <c r="J27" s="0" t="s">
        <v>46</v>
      </c>
    </row>
    <row r="28" outlineLevel="2">
      <c r="A28" s="12" t="s">
        <v>47</v>
      </c>
      <c r="B28" s="0" t="s">
        <v>38</v>
      </c>
      <c r="C28" s="13">
        <f>IFERROR(1.54456951319922*(1-w)+w*100,"")</f>
        <v>8.2858784611786227</v>
      </c>
      <c r="D28" s="13">
        <v>1.54456951319922</v>
      </c>
      <c r="E28" s="13">
        <v>0.69394411371673814</v>
      </c>
      <c r="F28" s="13"/>
      <c r="G28" s="13"/>
      <c r="I28" s="5"/>
      <c r="J28" s="0" t="s">
        <v>48</v>
      </c>
    </row>
    <row r="29" outlineLevel="1">
      <c r="A29" s="11" t="s">
        <v>49</v>
      </c>
      <c r="I29" s="5"/>
    </row>
    <row r="30" outlineLevel="2">
      <c r="A30" s="12" t="s">
        <v>50</v>
      </c>
      <c r="B30" s="0" t="s">
        <v>51</v>
      </c>
      <c r="C30" s="14">
        <f>IFERROR(900*(1-w),"")</f>
        <v>838.37640013168345</v>
      </c>
      <c r="D30" s="14">
        <v>900</v>
      </c>
      <c r="E30" s="14">
        <v>907.7757301527098</v>
      </c>
      <c r="F30" s="14">
        <v>0</v>
      </c>
      <c r="G30" s="14">
        <v>10</v>
      </c>
      <c r="I30" s="5">
        <v>39387</v>
      </c>
      <c r="J30" s="0" t="s">
        <v>52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3">
        <f>IFERROR(18.5*(1-w)-w*2.443,"")</f>
        <v>17.066018831064273</v>
      </c>
      <c r="D32" s="13">
        <v>18.5</v>
      </c>
      <c r="E32" s="13">
        <v>18.659834453139034</v>
      </c>
      <c r="F32" s="13">
        <v>0.005</v>
      </c>
      <c r="G32" s="13"/>
      <c r="H32" s="0" t="s">
        <v>39</v>
      </c>
      <c r="I32" s="5">
        <v>39387</v>
      </c>
      <c r="J32" s="0" t="s">
        <v>56</v>
      </c>
    </row>
    <row r="33" outlineLevel="2">
      <c r="A33" s="12" t="s">
        <v>57</v>
      </c>
      <c r="B33" s="0" t="s">
        <v>55</v>
      </c>
      <c r="C33" s="13">
        <f>IFERROR(19.95*(1-w),"")</f>
        <v>18.584010202918982</v>
      </c>
      <c r="D33" s="13">
        <v>19.95</v>
      </c>
      <c r="E33" s="13">
        <v>20.122362018385065</v>
      </c>
      <c r="F33" s="13">
        <v>0.005</v>
      </c>
      <c r="G33" s="13"/>
      <c r="H33" s="0" t="s">
        <v>39</v>
      </c>
      <c r="I33" s="5">
        <v>39387</v>
      </c>
    </row>
    <row r="34" outlineLevel="1">
      <c r="A34" s="11" t="s">
        <v>58</v>
      </c>
      <c r="I34" s="5"/>
    </row>
    <row r="35" outlineLevel="2">
      <c r="A35" s="12" t="s">
        <v>59</v>
      </c>
      <c r="B35" s="0" t="s">
        <v>60</v>
      </c>
      <c r="C35" s="14">
        <v>3</v>
      </c>
      <c r="D35" s="14"/>
      <c r="E35" s="14"/>
      <c r="F35" s="14">
        <v>0</v>
      </c>
      <c r="G35" s="14"/>
      <c r="I35" s="5">
        <v>39387</v>
      </c>
    </row>
    <row r="36" outlineLevel="2">
      <c r="A36" s="12" t="s">
        <v>61</v>
      </c>
      <c r="B36" s="0" t="s">
        <v>60</v>
      </c>
      <c r="C36" s="14">
        <v>1</v>
      </c>
      <c r="D36" s="14"/>
      <c r="E36" s="14"/>
      <c r="F36" s="14">
        <v>0</v>
      </c>
      <c r="G36" s="14"/>
      <c r="I36" s="5">
        <v>39387</v>
      </c>
    </row>
    <row r="37" outlineLevel="2">
      <c r="A37" s="12" t="s">
        <v>62</v>
      </c>
      <c r="B37" s="0" t="s">
        <v>60</v>
      </c>
      <c r="C37" s="14">
        <v>13</v>
      </c>
      <c r="D37" s="14"/>
      <c r="E37" s="14"/>
      <c r="F37" s="14">
        <v>0</v>
      </c>
      <c r="G37" s="14"/>
      <c r="I37" s="5">
        <v>39387</v>
      </c>
    </row>
    <row r="38" outlineLevel="2">
      <c r="A38" s="12" t="s">
        <v>63</v>
      </c>
      <c r="B38" s="0" t="s">
        <v>60</v>
      </c>
      <c r="C38" s="14">
        <v>1.5</v>
      </c>
      <c r="D38" s="14"/>
      <c r="E38" s="14"/>
      <c r="F38" s="14">
        <v>0</v>
      </c>
      <c r="G38" s="14"/>
      <c r="I38" s="5">
        <v>39387</v>
      </c>
    </row>
    <row r="39" outlineLevel="2">
      <c r="A39" s="12" t="s">
        <v>64</v>
      </c>
      <c r="B39" s="0" t="s">
        <v>60</v>
      </c>
      <c r="C39" s="14">
        <v>0.8</v>
      </c>
      <c r="D39" s="14"/>
      <c r="E39" s="14"/>
      <c r="F39" s="14">
        <v>0</v>
      </c>
      <c r="G39" s="14"/>
      <c r="I39" s="5">
        <v>39387</v>
      </c>
    </row>
    <row r="40" outlineLevel="2">
      <c r="A40" s="12" t="s">
        <v>65</v>
      </c>
      <c r="B40" s="0" t="s">
        <v>60</v>
      </c>
      <c r="C40" s="14">
        <v>93</v>
      </c>
      <c r="D40" s="14"/>
      <c r="E40" s="14"/>
      <c r="F40" s="14">
        <v>0</v>
      </c>
      <c r="G40" s="14"/>
      <c r="I40" s="5">
        <v>39387</v>
      </c>
    </row>
    <row r="41" outlineLevel="2">
      <c r="A41" s="12" t="s">
        <v>66</v>
      </c>
      <c r="B41" s="0" t="s">
        <v>60</v>
      </c>
      <c r="C41" s="14">
        <v>29</v>
      </c>
      <c r="D41" s="14"/>
      <c r="E41" s="14"/>
      <c r="F41" s="14">
        <v>0</v>
      </c>
      <c r="G41" s="14"/>
      <c r="I41" s="5">
        <v>39387</v>
      </c>
    </row>
    <row r="42">
      <c r="A42" s="7" t="s">
        <v>67</v>
      </c>
      <c r="I42" s="5"/>
    </row>
    <row r="43" outlineLevel="1">
      <c r="A43" s="11" t="s">
        <v>68</v>
      </c>
      <c r="I43" s="5"/>
    </row>
    <row r="44" outlineLevel="2">
      <c r="A44" s="12" t="s">
        <v>69</v>
      </c>
      <c r="B44" s="0" t="s">
        <v>38</v>
      </c>
      <c r="C44" s="13">
        <v>94.9</v>
      </c>
      <c r="D44" s="13"/>
      <c r="E44" s="13"/>
      <c r="F44" s="13"/>
      <c r="G44" s="13"/>
      <c r="I44" s="5"/>
      <c r="J44" s="0" t="s">
        <v>70</v>
      </c>
    </row>
    <row r="45" outlineLevel="2">
      <c r="A45" s="12" t="s">
        <v>71</v>
      </c>
      <c r="B45" s="0" t="s">
        <v>72</v>
      </c>
      <c r="C45" s="15">
        <v>6</v>
      </c>
      <c r="D45" s="15"/>
      <c r="E45" s="15"/>
      <c r="F45" s="15"/>
      <c r="G45" s="15"/>
      <c r="I45" s="5"/>
      <c r="J45" s="0" t="s">
        <v>73</v>
      </c>
    </row>
    <row r="46" outlineLevel="2">
      <c r="A46" s="12" t="s">
        <v>74</v>
      </c>
      <c r="B46" s="0" t="s">
        <v>72</v>
      </c>
      <c r="C46" s="15">
        <v>23</v>
      </c>
      <c r="D46" s="15"/>
      <c r="E46" s="15"/>
      <c r="F46" s="15"/>
      <c r="G46" s="15"/>
      <c r="I46" s="5"/>
      <c r="J46" s="0" t="s">
        <v>73</v>
      </c>
    </row>
    <row r="47" outlineLevel="2">
      <c r="A47" s="12" t="s">
        <v>75</v>
      </c>
      <c r="B47" s="0" t="s">
        <v>76</v>
      </c>
      <c r="C47" s="15">
        <v>1174</v>
      </c>
      <c r="D47" s="15"/>
      <c r="E47" s="15"/>
      <c r="F47" s="15"/>
      <c r="G47" s="15"/>
      <c r="I47" s="5"/>
      <c r="J47" s="0" t="s">
        <v>77</v>
      </c>
    </row>
    <row r="48">
      <c r="I48" s="5"/>
    </row>
    <row r="49" s="1" customFormat="1"/>
  </sheetData>
  <mergeCells>
    <mergeCell ref="A8:A10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5:E35"/>
    <mergeCell ref="C36:E36"/>
    <mergeCell ref="C37:E37"/>
    <mergeCell ref="C38:E38"/>
    <mergeCell ref="C39:E39"/>
    <mergeCell ref="C40:E40"/>
    <mergeCell ref="C41:E41"/>
    <mergeCell ref="C44:E44"/>
    <mergeCell ref="C45:E45"/>
    <mergeCell ref="C46:E46"/>
    <mergeCell ref="C47:E47"/>
  </mergeCells>
  <dataValidations count="1">
    <dataValidation type="decimal" sqref="C23" errorStyle="stop" promptTitle="Enter moisture content" errorTitle="Invalid moisture content" prompt="Value should be between 0 and 100.&#10;Original value: 6.8470666520351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https://phyllis.nl/Biomass/View/3315</dc:description>
  <dcterms:created xsi:type="dcterms:W3CDTF">2026-03-19T07:33:08Z</dcterms:created>
  <dc:title>Phyllis2 #3315 Wood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