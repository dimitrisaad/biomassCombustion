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42 Wood chips from " sheetId="1" r:id="rId1"/>
  </sheets>
  <definedNames>
    <definedName name="w" localSheetId="0">IF(ISBLANK('Phyllis2 #3342 Wood chips from '!$C$21),#N/A,'Phyllis2 #3342 Wood chips from 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<sst xmlns="http://schemas.openxmlformats.org/spreadsheetml/2006/main" count="63" uniqueCount="63">
  <si>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</si>
  <si>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https://phyllis.nl/Biomass/View/3342</t>
  </si>
  <si>
    <t>Wood chips from urban pruning (#3342)</t>
  </si>
  <si>
    <t>ID-number</t>
  </si>
  <si>
    <t>#3342</t>
  </si>
  <si>
    <t>Material</t>
  </si>
  <si>
    <t>Wood chips from urban pruning</t>
  </si>
  <si>
    <t>Classification</t>
  </si>
  <si>
    <t>CEN/TS 14961 classification &gt; Solid biofuels &gt; Woody biomass &gt; Forest and plantation wood &gt; Logging residues</t>
  </si>
  <si>
    <t>ECN Phyllis classification &gt; untreated wood &gt; park waste wood &gt; wood</t>
  </si>
  <si>
    <t>NTA 8003 classification &gt; [100] hout &gt; [110] vers hout &gt; [113] snoeihout (park en plantsoen)</t>
  </si>
  <si>
    <t>Country</t>
  </si>
  <si>
    <t>Spain</t>
  </si>
  <si>
    <t>Production date</t>
  </si>
  <si>
    <t>Submitter</t>
  </si>
  <si>
    <t>AICIA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</si>
  <si>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</si>
  <si>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</si>
  <si>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</si>
  <si>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</si>
  <si>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</si>
  <si>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</si>
  <si>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</si>
  <si>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</si>
  <si>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</si>
  <si>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</si>
  <si>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</si>
  <si>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</si>
  <si>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</si>
  <si>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</si>
  <si>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</si>
  <si>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</si>
  <si>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</si>
  <si>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</si>
  <si>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</si>
  <si>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</si>
  <si>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</si>
  <si>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UNE 32-001</t>
  </si>
  <si>
    <t>Ash content at 815°C</t>
  </si>
  <si>
    <t>UNE 32-019</t>
  </si>
  <si>
    <t>Volatile matter</t>
  </si>
  <si>
    <t>Fixed carbon</t>
  </si>
  <si>
    <t>Calculated</t>
  </si>
  <si>
    <t>Ultimate analysis (macroelements)</t>
  </si>
  <si>
    <t>Carbon</t>
  </si>
  <si>
    <t>CEN/TS 15104</t>
  </si>
  <si>
    <t>ASTM D5373</t>
  </si>
  <si>
    <t>Hydrogen</t>
  </si>
  <si>
    <t>Oxygen</t>
  </si>
  <si>
    <t>Nitrogen</t>
  </si>
  <si>
    <t>Sulphur</t>
  </si>
  <si>
    <t>wt% (dry)</t>
  </si>
  <si>
    <t>&lt; 0,05</t>
  </si>
  <si>
    <t>CEN/TS15289</t>
  </si>
  <si>
    <t>ASTM D4293</t>
  </si>
  <si>
    <t>Total (with halides)</t>
  </si>
  <si>
    <t>Heating value</t>
  </si>
  <si>
    <t>Net calorific value (LHV)</t>
  </si>
  <si>
    <t>MJ/kg</t>
  </si>
  <si>
    <t>CEN/TS 14918</t>
  </si>
  <si>
    <t>UNE 32-006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</si>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</sst>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2.74109935760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38608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39702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11.08</v>
      </c>
      <c r="D21" s="13"/>
      <c r="E21" s="13"/>
      <c r="F21" s="13">
        <v>0</v>
      </c>
      <c r="G21" s="13"/>
      <c r="I21" s="5">
        <v>38615</v>
      </c>
      <c r="J21" s="0" t="s">
        <v>36</v>
      </c>
      <c r="K21" s="0" t="s">
        <v>37</v>
      </c>
    </row>
    <row r="22" outlineLevel="2">
      <c r="A22" s="12" t="s">
        <v>38</v>
      </c>
      <c r="B22" s="0" t="s">
        <v>35</v>
      </c>
      <c r="C22" s="13">
        <f>IFERROR(4.97*(1-w),"")</f>
        <v>4.419324</v>
      </c>
      <c r="D22" s="13">
        <v>4.97</v>
      </c>
      <c r="E22" s="13">
        <v/>
      </c>
      <c r="F22" s="13">
        <v>0</v>
      </c>
      <c r="G22" s="13"/>
      <c r="I22" s="5">
        <v>38615</v>
      </c>
      <c r="K22" s="0" t="s">
        <v>39</v>
      </c>
    </row>
    <row r="23" outlineLevel="2">
      <c r="A23" s="12" t="s">
        <v>40</v>
      </c>
      <c r="B23" s="0" t="s">
        <v>35</v>
      </c>
      <c r="C23" s="13">
        <f>IFERROR(79.18*(1-w),"")</f>
        <v>70.406856</v>
      </c>
      <c r="D23" s="13">
        <v>79.18</v>
      </c>
      <c r="E23" s="13">
        <v>83.321056508471017</v>
      </c>
      <c r="F23" s="13">
        <v>0</v>
      </c>
      <c r="G23" s="13"/>
      <c r="I23" s="5"/>
    </row>
    <row r="24" outlineLevel="2">
      <c r="A24" s="12" t="s">
        <v>41</v>
      </c>
      <c r="B24" s="0" t="s">
        <v>35</v>
      </c>
      <c r="C24" s="13">
        <f>IFERROR(15.85*(1-w),"")</f>
        <v>14.093819999999996</v>
      </c>
      <c r="D24" s="13">
        <v>15.849999999999994</v>
      </c>
      <c r="E24" s="13">
        <v>16.678943491528983</v>
      </c>
      <c r="F24" s="13"/>
      <c r="G24" s="13"/>
      <c r="I24" s="5"/>
      <c r="J24" s="0" t="s">
        <v>42</v>
      </c>
    </row>
    <row r="25" outlineLevel="1">
      <c r="A25" s="11" t="s">
        <v>43</v>
      </c>
      <c r="I25" s="5"/>
    </row>
    <row r="26" outlineLevel="2">
      <c r="A26" s="12" t="s">
        <v>44</v>
      </c>
      <c r="B26" s="0" t="s">
        <v>35</v>
      </c>
      <c r="C26" s="13">
        <f>IFERROR(47.5*(1-w),"")</f>
        <v>42.237</v>
      </c>
      <c r="D26" s="13">
        <v>47.5</v>
      </c>
      <c r="E26" s="13">
        <v>49.984215510891296</v>
      </c>
      <c r="F26" s="13">
        <v>0</v>
      </c>
      <c r="G26" s="13"/>
      <c r="I26" s="5">
        <v>38615</v>
      </c>
      <c r="J26" s="0" t="s">
        <v>45</v>
      </c>
      <c r="K26" s="0" t="s">
        <v>46</v>
      </c>
    </row>
    <row r="27" outlineLevel="2">
      <c r="A27" s="12" t="s">
        <v>47</v>
      </c>
      <c r="B27" s="0" t="s">
        <v>35</v>
      </c>
      <c r="C27" s="13">
        <f>IFERROR(5.74*(1-w),"")</f>
        <v>5.104008</v>
      </c>
      <c r="D27" s="13">
        <v>5.74</v>
      </c>
      <c r="E27" s="13">
        <v>6.0401978322634955</v>
      </c>
      <c r="F27" s="13">
        <v>0</v>
      </c>
      <c r="G27" s="13"/>
      <c r="I27" s="5">
        <v>38615</v>
      </c>
      <c r="J27" s="0" t="s">
        <v>45</v>
      </c>
      <c r="K27" s="0" t="s">
        <v>46</v>
      </c>
    </row>
    <row r="28" outlineLevel="2">
      <c r="A28" s="12" t="s">
        <v>48</v>
      </c>
      <c r="B28" s="0" t="s">
        <v>35</v>
      </c>
      <c r="C28" s="13">
        <f>IFERROR(41.57*(1-w),"")</f>
        <v>36.964044</v>
      </c>
      <c r="D28" s="13">
        <v>41.57</v>
      </c>
      <c r="E28" s="13">
        <v>43.744080816584237</v>
      </c>
      <c r="F28" s="13">
        <v>0</v>
      </c>
      <c r="G28" s="13"/>
      <c r="I28" s="5"/>
    </row>
    <row r="29" outlineLevel="2">
      <c r="A29" s="12" t="s">
        <v>49</v>
      </c>
      <c r="B29" s="0" t="s">
        <v>35</v>
      </c>
      <c r="C29" s="13">
        <f>IFERROR(0.22*(1-w),"")</f>
        <v>0.195624</v>
      </c>
      <c r="D29" s="13">
        <v>0.22</v>
      </c>
      <c r="E29" s="13">
        <v>0.23150584026097021</v>
      </c>
      <c r="F29" s="13">
        <v>0</v>
      </c>
      <c r="G29" s="13"/>
      <c r="I29" s="5">
        <v>38615</v>
      </c>
      <c r="J29" s="0" t="s">
        <v>45</v>
      </c>
      <c r="K29" s="0" t="s">
        <v>46</v>
      </c>
    </row>
    <row r="30" outlineLevel="2">
      <c r="A30" s="12" t="s">
        <v>50</v>
      </c>
      <c r="B30" s="0" t="s">
        <v>51</v>
      </c>
      <c r="C30" s="13" t="s">
        <v>52</v>
      </c>
      <c r="D30" s="13"/>
      <c r="E30" s="13"/>
      <c r="F30" s="13">
        <v>0</v>
      </c>
      <c r="G30" s="13"/>
      <c r="I30" s="5">
        <v>38615</v>
      </c>
      <c r="J30" s="0" t="s">
        <v>53</v>
      </c>
      <c r="K30" s="0" t="s">
        <v>54</v>
      </c>
    </row>
    <row r="31" outlineLevel="2">
      <c r="A31" s="12" t="s">
        <v>55</v>
      </c>
      <c r="B31" s="0" t="s">
        <v>35</v>
      </c>
      <c r="C31" s="13">
        <f>IFERROR(100*(1-w)+w*100,"")</f>
        <v>100</v>
      </c>
      <c r="D31" s="13">
        <v>100</v>
      </c>
      <c r="E31" s="13">
        <v>100</v>
      </c>
      <c r="F31" s="13"/>
      <c r="G31" s="13"/>
      <c r="I31" s="5"/>
      <c r="J31" s="0" t="s">
        <v>42</v>
      </c>
    </row>
    <row r="32" outlineLevel="1">
      <c r="A32" s="11" t="s">
        <v>56</v>
      </c>
      <c r="I32" s="5"/>
    </row>
    <row r="33" outlineLevel="2">
      <c r="A33" s="12" t="s">
        <v>57</v>
      </c>
      <c r="B33" s="0" t="s">
        <v>58</v>
      </c>
      <c r="C33" s="13">
        <f>IFERROR(17.698538*(1-w)-w*2.443,"")</f>
        <v>15.466855589599998</v>
      </c>
      <c r="D33" s="13">
        <v>17.698538</v>
      </c>
      <c r="E33" s="13">
        <v>18.624158686730503</v>
      </c>
      <c r="F33" s="13">
        <v>0</v>
      </c>
      <c r="G33" s="13"/>
      <c r="I33" s="5">
        <v>38615</v>
      </c>
      <c r="J33" s="0" t="s">
        <v>59</v>
      </c>
      <c r="K33" s="0" t="s">
        <v>60</v>
      </c>
    </row>
    <row r="34" outlineLevel="2">
      <c r="A34" s="12" t="s">
        <v>61</v>
      </c>
      <c r="B34" s="0" t="s">
        <v>58</v>
      </c>
      <c r="C34" s="13">
        <f>IFERROR(18.947104*(1-w),"")</f>
        <v>16.8477648768</v>
      </c>
      <c r="D34" s="13">
        <v>18.947104</v>
      </c>
      <c r="E34" s="13">
        <v>19.93802378196359</v>
      </c>
      <c r="F34" s="13">
        <v>0</v>
      </c>
      <c r="G34" s="13"/>
      <c r="I34" s="5"/>
    </row>
    <row r="35" outlineLevel="2">
      <c r="A35" s="12" t="s">
        <v>62</v>
      </c>
      <c r="B35" s="0" t="s">
        <v>58</v>
      </c>
      <c r="C35" s="13">
        <f>IFERROR(18.6987182377*(1-w),"")</f>
        <v>16.626900256962845</v>
      </c>
      <c r="D35" s="13">
        <v>18.698718237700007</v>
      </c>
      <c r="E35" s="13">
        <v>19.676647624644854</v>
      </c>
      <c r="F35" s="13"/>
      <c r="G35" s="13"/>
      <c r="I35" s="5"/>
      <c r="J35" s="0" t="s">
        <v>42</v>
      </c>
    </row>
    <row r="36">
      <c r="I36" s="5"/>
    </row>
    <row r="37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0:E30"/>
  </mergeCells>
  <dataValidations count="1">
    <dataValidation type="decimal" sqref="C21" errorStyle="stop" promptTitle="Enter moisture content" errorTitle="Invalid moisture content" prompt="Value should be between 0 and 100.&#10;Original value: 11.0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https://phyllis.nl/Biomass/View/3342</dc:description>
  <dcterms:created xsi:type="dcterms:W3CDTF">2026-03-19T07:23:44Z</dcterms:created>
  <dc:title>Phyllis2 #3342 Wood chips from urban pruning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