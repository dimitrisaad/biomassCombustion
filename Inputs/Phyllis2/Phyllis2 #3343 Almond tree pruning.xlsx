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343 Almond tree prun" sheetId="1" r:id="rId1"/>
  </sheets>
  <definedNames>
    <definedName name="w" localSheetId="0">IF(ISBLANK('Phyllis2 #3343 Almond tree prun'!$C$21),#N/A,'Phyllis2 #3343 Almond tree prun'!$C$21/100)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8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8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8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<sst xmlns="http://schemas.openxmlformats.org/spreadsheetml/2006/main" count="63" uniqueCount="63">
  <si>
    <t>Phyllis2</t>
  </si>
  <si>
    <t>https://phyllis.nl/Biomass/View/3343</t>
  </si>
  <si>
    <t>Almond tree pruning (#3343)</t>
  </si>
  <si>
    <t>ID-number</t>
  </si>
  <si>
    <t>#3343</t>
  </si>
  <si>
    <t>Material</t>
  </si>
  <si>
    <t>Almond tree pruning</t>
  </si>
  <si>
    <t>Classification</t>
  </si>
  <si>
    <t>CEN/TS 14961 classification &gt; Solid biofuels &gt; Woody biomass &gt; Forest and plantation wood &gt; Logging residues</t>
  </si>
  <si>
    <t>ECN Phyllis classification &gt; untreated wood &gt; other hard wood</t>
  </si>
  <si>
    <t>NTA 8003 classification &gt; [100] hout &gt; [110] vers hout &gt; [120] loofhout &gt; [126] hard loofhout met schors</t>
  </si>
  <si>
    <t>Country</t>
  </si>
  <si>
    <t>Spain</t>
  </si>
  <si>
    <t>Production date</t>
  </si>
  <si>
    <t>Submitter</t>
  </si>
  <si>
    <t>AICIA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</si>
  <si>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</si>
  <si>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</si>
  <si>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</si>
  <si>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</si>
  <si>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</si>
  <si>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</si>
  <si>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</si>
  <si>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</si>
  <si>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</si>
  <si>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</si>
  <si>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</si>
  <si>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</si>
  <si>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</si>
  <si>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</si>
  <si>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</si>
  <si>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</si>
  <si>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</si>
  <si>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</si>
  <si>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</si>
  <si>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</si>
  <si>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</si>
  <si>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UNE 32-001</t>
  </si>
  <si>
    <t>Ash content at 815°C</t>
  </si>
  <si>
    <t>UNE 32-019</t>
  </si>
  <si>
    <t>Volatile matter</t>
  </si>
  <si>
    <t>Fixed carbon</t>
  </si>
  <si>
    <t>Calculated</t>
  </si>
  <si>
    <t>Ultimate analysis (macroelements)</t>
  </si>
  <si>
    <t>Carbon</t>
  </si>
  <si>
    <t>CEN/TS 15104</t>
  </si>
  <si>
    <t>ASTM D5373</t>
  </si>
  <si>
    <t>Hydrogen</t>
  </si>
  <si>
    <t>Oxygen</t>
  </si>
  <si>
    <t>Nitrogen</t>
  </si>
  <si>
    <t>Sulphur</t>
  </si>
  <si>
    <t>wt% (dry)</t>
  </si>
  <si>
    <t>&lt;0,05</t>
  </si>
  <si>
    <t>CEN/TS15289</t>
  </si>
  <si>
    <t>ASTM D4293</t>
  </si>
  <si>
    <t>Total (with halides)</t>
  </si>
  <si>
    <t>Heating value</t>
  </si>
  <si>
    <t>Net calorific value (LHV)</t>
  </si>
  <si>
    <t>MJ/kg</t>
  </si>
  <si>
    <t>CEN/TS 14918</t>
  </si>
  <si>
    <t>UNE 32-006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</si>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</sst>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34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18.8621006011963" customWidth="1"/>
    <col min="11" max="11" width="12.74109935760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8"/>
      <c r="B9" s="0" t="s">
        <v>10</v>
      </c>
    </row>
    <row r="10" outlineLevel="1">
      <c r="A10" s="7" t="s">
        <v>11</v>
      </c>
      <c r="B10" s="0" t="s">
        <v>12</v>
      </c>
    </row>
    <row r="11" outlineLevel="1">
      <c r="A11" s="7" t="s">
        <v>13</v>
      </c>
      <c r="B11" s="6">
        <v>39290</v>
      </c>
    </row>
    <row r="12" outlineLevel="1">
      <c r="A12" s="7" t="s">
        <v>14</v>
      </c>
      <c r="B12" s="0" t="s">
        <v>15</v>
      </c>
    </row>
    <row r="13" outlineLevel="1">
      <c r="A13" s="7" t="s">
        <v>16</v>
      </c>
      <c r="B13" s="0" t="s">
        <v>17</v>
      </c>
    </row>
    <row r="14" outlineLevel="1">
      <c r="A14" s="7" t="s">
        <v>18</v>
      </c>
      <c r="B14" s="6">
        <v>39702</v>
      </c>
    </row>
    <row r="15">
      <c r="A15" s="7"/>
    </row>
    <row r="16" s="1" customFormat="1">
      <c r="A16" s="9" t="s">
        <v>19</v>
      </c>
    </row>
    <row r="17" s="1" customFormat="1">
      <c r="A17" s="10" t="s">
        <v>20</v>
      </c>
      <c r="B17" s="10" t="s">
        <v>21</v>
      </c>
      <c r="C17" s="10" t="s">
        <v>22</v>
      </c>
      <c r="D17" s="10"/>
      <c r="E17" s="10"/>
      <c r="F17" s="10" t="s">
        <v>23</v>
      </c>
      <c r="G17" s="10" t="s">
        <v>24</v>
      </c>
      <c r="H17" s="10" t="s">
        <v>25</v>
      </c>
      <c r="I17" s="10" t="s">
        <v>26</v>
      </c>
      <c r="J17" s="10" t="s">
        <v>27</v>
      </c>
      <c r="K17" s="10" t="s">
        <v>28</v>
      </c>
      <c r="L17" s="10"/>
    </row>
    <row r="18" s="1" customFormat="1">
      <c r="A18" s="10"/>
      <c r="B18" s="10"/>
      <c r="C18" s="10" t="s">
        <v>29</v>
      </c>
      <c r="D18" s="10" t="s">
        <v>30</v>
      </c>
      <c r="E18" s="10" t="s">
        <v>31</v>
      </c>
      <c r="F18" s="10"/>
      <c r="G18" s="10"/>
      <c r="H18" s="10"/>
      <c r="I18" s="10"/>
      <c r="J18" s="10"/>
      <c r="K18" s="10"/>
      <c r="L18" s="10"/>
    </row>
    <row r="19">
      <c r="A19" s="7" t="s">
        <v>32</v>
      </c>
      <c r="I19" s="5"/>
    </row>
    <row r="20" outlineLevel="1">
      <c r="A20" s="11" t="s">
        <v>33</v>
      </c>
      <c r="I20" s="5"/>
    </row>
    <row r="21" outlineLevel="2">
      <c r="A21" s="12" t="s">
        <v>34</v>
      </c>
      <c r="B21" s="0" t="s">
        <v>35</v>
      </c>
      <c r="C21" s="13">
        <v>11.4</v>
      </c>
      <c r="D21" s="13"/>
      <c r="E21" s="13"/>
      <c r="F21" s="13">
        <v>0</v>
      </c>
      <c r="G21" s="13"/>
      <c r="I21" s="5">
        <v>39290</v>
      </c>
      <c r="J21" s="0" t="s">
        <v>36</v>
      </c>
      <c r="K21" s="0" t="s">
        <v>37</v>
      </c>
    </row>
    <row r="22" outlineLevel="2">
      <c r="A22" s="12" t="s">
        <v>38</v>
      </c>
      <c r="B22" s="0" t="s">
        <v>35</v>
      </c>
      <c r="C22" s="13">
        <f>IFERROR(1.88*(1-w),"")</f>
        <v>1.6656799999999998</v>
      </c>
      <c r="D22" s="13">
        <v>1.88</v>
      </c>
      <c r="E22" s="13">
        <v/>
      </c>
      <c r="F22" s="13">
        <v>0</v>
      </c>
      <c r="G22" s="13"/>
      <c r="I22" s="5">
        <v>39290</v>
      </c>
      <c r="K22" s="0" t="s">
        <v>39</v>
      </c>
    </row>
    <row r="23" outlineLevel="2">
      <c r="A23" s="12" t="s">
        <v>40</v>
      </c>
      <c r="B23" s="0" t="s">
        <v>35</v>
      </c>
      <c r="C23" s="13">
        <f>IFERROR(79.01*(1-w),"")</f>
        <v>70.00286</v>
      </c>
      <c r="D23" s="13">
        <v>79.01</v>
      </c>
      <c r="E23" s="13">
        <v>80.52384834896047</v>
      </c>
      <c r="F23" s="13">
        <v>0</v>
      </c>
      <c r="G23" s="13"/>
      <c r="I23" s="5"/>
    </row>
    <row r="24" outlineLevel="2">
      <c r="A24" s="12" t="s">
        <v>41</v>
      </c>
      <c r="B24" s="0" t="s">
        <v>35</v>
      </c>
      <c r="C24" s="13">
        <f>IFERROR(19.11*(1-w),"")</f>
        <v>16.93146</v>
      </c>
      <c r="D24" s="13">
        <v>19.11</v>
      </c>
      <c r="E24" s="13">
        <v>19.476151651039544</v>
      </c>
      <c r="F24" s="13"/>
      <c r="G24" s="13"/>
      <c r="I24" s="5"/>
      <c r="J24" s="0" t="s">
        <v>42</v>
      </c>
    </row>
    <row r="25" outlineLevel="1">
      <c r="A25" s="11" t="s">
        <v>43</v>
      </c>
      <c r="I25" s="5"/>
    </row>
    <row r="26" outlineLevel="2">
      <c r="A26" s="12" t="s">
        <v>44</v>
      </c>
      <c r="B26" s="0" t="s">
        <v>35</v>
      </c>
      <c r="C26" s="13">
        <f>IFERROR(49.17*(1-w),"")</f>
        <v>43.564620000000005</v>
      </c>
      <c r="D26" s="13">
        <v>49.17</v>
      </c>
      <c r="E26" s="13">
        <v>50.112107623318387</v>
      </c>
      <c r="F26" s="13">
        <v>0</v>
      </c>
      <c r="G26" s="13"/>
      <c r="I26" s="5">
        <v>39290</v>
      </c>
      <c r="J26" s="0" t="s">
        <v>45</v>
      </c>
      <c r="K26" s="0" t="s">
        <v>46</v>
      </c>
    </row>
    <row r="27" outlineLevel="2">
      <c r="A27" s="12" t="s">
        <v>47</v>
      </c>
      <c r="B27" s="0" t="s">
        <v>35</v>
      </c>
      <c r="C27" s="13">
        <f>IFERROR(5.92*(1-w),"")</f>
        <v>5.24512</v>
      </c>
      <c r="D27" s="13">
        <v>5.92</v>
      </c>
      <c r="E27" s="13">
        <v>6.0334284549531185</v>
      </c>
      <c r="F27" s="13">
        <v>0</v>
      </c>
      <c r="G27" s="13"/>
      <c r="I27" s="5">
        <v>39290</v>
      </c>
      <c r="J27" s="0" t="s">
        <v>45</v>
      </c>
      <c r="K27" s="0" t="s">
        <v>46</v>
      </c>
    </row>
    <row r="28" outlineLevel="2">
      <c r="A28" s="12" t="s">
        <v>48</v>
      </c>
      <c r="B28" s="0" t="s">
        <v>35</v>
      </c>
      <c r="C28" s="13">
        <f>IFERROR(42.41*(1-w),"")</f>
        <v>37.57526</v>
      </c>
      <c r="D28" s="13">
        <v>42.41</v>
      </c>
      <c r="E28" s="13">
        <v>43.222584590297593</v>
      </c>
      <c r="F28" s="13">
        <v>0</v>
      </c>
      <c r="G28" s="13"/>
      <c r="I28" s="5">
        <v>39290</v>
      </c>
    </row>
    <row r="29" outlineLevel="2">
      <c r="A29" s="12" t="s">
        <v>49</v>
      </c>
      <c r="B29" s="0" t="s">
        <v>35</v>
      </c>
      <c r="C29" s="13">
        <f>IFERROR(0.62*(1-w),"")</f>
        <v>0.54932</v>
      </c>
      <c r="D29" s="13">
        <v>0.62</v>
      </c>
      <c r="E29" s="13">
        <v>0.63187933143090091</v>
      </c>
      <c r="F29" s="13">
        <v>0</v>
      </c>
      <c r="G29" s="13"/>
      <c r="I29" s="5">
        <v>39290</v>
      </c>
      <c r="J29" s="0" t="s">
        <v>45</v>
      </c>
      <c r="K29" s="0" t="s">
        <v>46</v>
      </c>
    </row>
    <row r="30" outlineLevel="2">
      <c r="A30" s="12" t="s">
        <v>50</v>
      </c>
      <c r="B30" s="0" t="s">
        <v>51</v>
      </c>
      <c r="C30" s="13" t="s">
        <v>52</v>
      </c>
      <c r="D30" s="13"/>
      <c r="E30" s="13"/>
      <c r="F30" s="13">
        <v>0</v>
      </c>
      <c r="G30" s="13"/>
      <c r="I30" s="5">
        <v>39290</v>
      </c>
      <c r="J30" s="0" t="s">
        <v>53</v>
      </c>
      <c r="K30" s="0" t="s">
        <v>54</v>
      </c>
    </row>
    <row r="31" outlineLevel="2">
      <c r="A31" s="12" t="s">
        <v>55</v>
      </c>
      <c r="B31" s="0" t="s">
        <v>35</v>
      </c>
      <c r="C31" s="13">
        <f>IFERROR(100*(1-w)+w*100,"")</f>
        <v>100</v>
      </c>
      <c r="D31" s="13">
        <v>100</v>
      </c>
      <c r="E31" s="13">
        <v>100.00000000000001</v>
      </c>
      <c r="F31" s="13"/>
      <c r="G31" s="13"/>
      <c r="I31" s="5"/>
      <c r="J31" s="0" t="s">
        <v>42</v>
      </c>
    </row>
    <row r="32" outlineLevel="1">
      <c r="A32" s="11" t="s">
        <v>56</v>
      </c>
      <c r="I32" s="5"/>
    </row>
    <row r="33" outlineLevel="2">
      <c r="A33" s="12" t="s">
        <v>57</v>
      </c>
      <c r="B33" s="0" t="s">
        <v>58</v>
      </c>
      <c r="C33" s="13">
        <f>IFERROR(19.471694*(1-w)-w*2.443,"")</f>
        <v>16.973418884</v>
      </c>
      <c r="D33" s="13">
        <v>19.471694</v>
      </c>
      <c r="E33" s="13">
        <v>19.844775784753363</v>
      </c>
      <c r="F33" s="13">
        <v>0</v>
      </c>
      <c r="G33" s="13"/>
      <c r="I33" s="5">
        <v>39290</v>
      </c>
      <c r="J33" s="0" t="s">
        <v>59</v>
      </c>
      <c r="K33" s="0" t="s">
        <v>60</v>
      </c>
    </row>
    <row r="34" outlineLevel="2">
      <c r="A34" s="12" t="s">
        <v>61</v>
      </c>
      <c r="B34" s="0" t="s">
        <v>58</v>
      </c>
      <c r="C34" s="13">
        <f>IFERROR(18.184672*(1-w),"")</f>
        <v>16.111619391999998</v>
      </c>
      <c r="D34" s="13">
        <v>18.184672</v>
      </c>
      <c r="E34" s="13">
        <v>18.533094170403587</v>
      </c>
      <c r="F34" s="13">
        <v>0</v>
      </c>
      <c r="G34" s="13"/>
      <c r="I34" s="5">
        <v>39290</v>
      </c>
      <c r="K34" s="0" t="s">
        <v>60</v>
      </c>
    </row>
    <row r="35" outlineLevel="2">
      <c r="A35" s="12" t="s">
        <v>62</v>
      </c>
      <c r="B35" s="0" t="s">
        <v>58</v>
      </c>
      <c r="C35" s="13">
        <f>IFERROR(19.4013867632*(1-w),"")</f>
        <v>17.1896286721952</v>
      </c>
      <c r="D35" s="13">
        <v>19.4013867632</v>
      </c>
      <c r="E35" s="13">
        <v>19.773121446392175</v>
      </c>
      <c r="F35" s="13"/>
      <c r="G35" s="13"/>
      <c r="I35" s="5"/>
      <c r="J35" s="0" t="s">
        <v>42</v>
      </c>
    </row>
    <row r="36">
      <c r="I36" s="5"/>
    </row>
    <row r="37" s="1" customFormat="1"/>
  </sheetData>
  <mergeCells>
    <mergeCell ref="A7:A9"/>
    <mergeCell ref="C17:E17"/>
    <mergeCell ref="A17:A18"/>
    <mergeCell ref="B17:B18"/>
    <mergeCell ref="F17:F18"/>
    <mergeCell ref="G17:G18"/>
    <mergeCell ref="H17:H18"/>
    <mergeCell ref="I17:I18"/>
    <mergeCell ref="J17:J18"/>
    <mergeCell ref="K17:K18"/>
    <mergeCell ref="C30:E30"/>
  </mergeCells>
  <dataValidations count="1">
    <dataValidation type="decimal" sqref="C21" errorStyle="stop" promptTitle="Enter moisture content" errorTitle="Invalid moisture content" prompt="Value should be between 0 and 100.&#10;Original value: 11.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https://phyllis.nl/Biomass/View/3343</dc:description>
  <dcterms:created xsi:type="dcterms:W3CDTF">2026-03-19T07:16:46Z</dcterms:created>
  <dc:title>Phyllis2 #3343 Almond tree pruning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