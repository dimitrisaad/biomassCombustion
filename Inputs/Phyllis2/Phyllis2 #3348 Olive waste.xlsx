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48 Olive waste" sheetId="1" r:id="rId1"/>
  </sheets>
  <definedNames>
    <definedName name="w" localSheetId="0">IF(ISBLANK('Phyllis2 #3348 Olive waste'!$C$21),#N/A,'Phyllis2 #3348 Olive waste'!$C$21/100)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<sst xmlns="http://schemas.openxmlformats.org/spreadsheetml/2006/main" count="61" uniqueCount="61">
  <si>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</si>
  <si>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https://phyllis.nl/Biomass/View/3348</t>
  </si>
  <si>
    <t>Olive waste (#3348)</t>
  </si>
  <si>
    <t>ID-number</t>
  </si>
  <si>
    <t>#3348</t>
  </si>
  <si>
    <t>Material</t>
  </si>
  <si>
    <t>Olive waste</t>
  </si>
  <si>
    <t>Classification</t>
  </si>
  <si>
    <t>CEN/TS 14961 classification &gt; Solid biofuels &gt; Fruit biomass &gt; Fruit processing industry &gt; Chemically untreated fruit residues &gt; Crude olive cake</t>
  </si>
  <si>
    <t>ECN Phyllis classification &gt; husk/shell/pit &gt; olive &gt; olive residue</t>
  </si>
  <si>
    <t>NTA 8003 classification &gt; [500] biomassa uit de industrie &gt; [520] schillen/vliezen/pitten &gt; [524] olijven</t>
  </si>
  <si>
    <t>Country</t>
  </si>
  <si>
    <t>Spain</t>
  </si>
  <si>
    <t>Production date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</si>
  <si>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</si>
  <si>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</si>
  <si>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</si>
  <si>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</si>
  <si>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</si>
  <si>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</si>
  <si>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</si>
  <si>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</si>
  <si>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</si>
  <si>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</si>
  <si>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</si>
  <si>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</si>
  <si>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</si>
  <si>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</si>
  <si>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</si>
  <si>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</si>
  <si>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</si>
  <si>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</si>
  <si>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</si>
  <si>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</si>
  <si>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</si>
  <si>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</si>
  <si>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</si>
  <si>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</si>
  <si>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750°C</t>
  </si>
  <si>
    <t>PEE-C-004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</si>
  <si>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</si>
  <si>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</si>
  <si>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</si>
  <si>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</si>
  <si>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</si>
  <si>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</si>
  <si>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</si>
  <si>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</si>
  <si>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</si>
  <si>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</si>
  <si>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</si>
  <si>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CEN/TS15289</t>
  </si>
  <si>
    <t>ASTM D4239</t>
  </si>
  <si>
    <t>Total (with halides)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</si>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</sst>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38477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39514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12.17</v>
      </c>
      <c r="D21" s="13"/>
      <c r="E21" s="13"/>
      <c r="F21" s="13">
        <v>0</v>
      </c>
      <c r="G21" s="13"/>
      <c r="I21" s="5"/>
      <c r="J21" s="0" t="s">
        <v>36</v>
      </c>
      <c r="K21" s="0" t="s">
        <v>37</v>
      </c>
    </row>
    <row r="22" outlineLevel="2">
      <c r="A22" s="12" t="s">
        <v>38</v>
      </c>
      <c r="B22" s="0" t="s">
        <v>35</v>
      </c>
      <c r="C22" s="13">
        <f>IFERROR(11.66*(1-w),"")</f>
        <v>10.240978</v>
      </c>
      <c r="D22" s="13">
        <v>11.66</v>
      </c>
      <c r="E22" s="13">
        <v/>
      </c>
      <c r="F22" s="13">
        <v>0</v>
      </c>
      <c r="G22" s="13"/>
      <c r="I22" s="5"/>
      <c r="K22" s="0" t="s">
        <v>39</v>
      </c>
    </row>
    <row r="23" outlineLevel="2">
      <c r="A23" s="12" t="s">
        <v>40</v>
      </c>
      <c r="B23" s="0" t="s">
        <v>35</v>
      </c>
      <c r="C23" s="13">
        <f>IFERROR(68.98*(1-w),"")</f>
        <v>60.585134000000004</v>
      </c>
      <c r="D23" s="13">
        <v>68.98</v>
      </c>
      <c r="E23" s="13">
        <v>78.084672854878889</v>
      </c>
      <c r="F23" s="13">
        <v>0</v>
      </c>
      <c r="G23" s="13"/>
      <c r="I23" s="5"/>
    </row>
    <row r="24" outlineLevel="2">
      <c r="A24" s="12" t="s">
        <v>41</v>
      </c>
      <c r="B24" s="0" t="s">
        <v>35</v>
      </c>
      <c r="C24" s="13">
        <f>IFERROR(19.36*(1-w),"")</f>
        <v>17.003888</v>
      </c>
      <c r="D24" s="13">
        <v>19.36</v>
      </c>
      <c r="E24" s="13">
        <v>21.915327145121122</v>
      </c>
      <c r="F24" s="13"/>
      <c r="G24" s="13"/>
      <c r="I24" s="5"/>
      <c r="J24" s="0" t="s">
        <v>42</v>
      </c>
    </row>
    <row r="25" outlineLevel="1">
      <c r="A25" s="11" t="s">
        <v>43</v>
      </c>
      <c r="I25" s="5"/>
    </row>
    <row r="26" outlineLevel="2">
      <c r="A26" s="12" t="s">
        <v>44</v>
      </c>
      <c r="B26" s="0" t="s">
        <v>35</v>
      </c>
      <c r="C26" s="13">
        <f>IFERROR(46.42*(1-w),"")</f>
        <v>40.770686</v>
      </c>
      <c r="D26" s="13">
        <v>46.42</v>
      </c>
      <c r="E26" s="13">
        <v>52.546977586597244</v>
      </c>
      <c r="F26" s="13">
        <v>0</v>
      </c>
      <c r="G26" s="13"/>
      <c r="I26" s="5"/>
      <c r="J26" s="0" t="s">
        <v>45</v>
      </c>
      <c r="K26" s="0" t="s">
        <v>46</v>
      </c>
    </row>
    <row r="27" outlineLevel="2">
      <c r="A27" s="12" t="s">
        <v>47</v>
      </c>
      <c r="B27" s="0" t="s">
        <v>35</v>
      </c>
      <c r="C27" s="13">
        <f>IFERROR(5.62*(1-w),"")</f>
        <v>4.936046</v>
      </c>
      <c r="D27" s="13">
        <v>5.62</v>
      </c>
      <c r="E27" s="13">
        <v>6.3617840163006569</v>
      </c>
      <c r="F27" s="13">
        <v>0</v>
      </c>
      <c r="G27" s="13"/>
      <c r="I27" s="5"/>
      <c r="J27" s="0" t="s">
        <v>45</v>
      </c>
      <c r="K27" s="0" t="s">
        <v>46</v>
      </c>
    </row>
    <row r="28" outlineLevel="2">
      <c r="A28" s="12" t="s">
        <v>48</v>
      </c>
      <c r="B28" s="0" t="s">
        <v>35</v>
      </c>
      <c r="C28" s="13">
        <f>IFERROR(34.38*(1-w),"")</f>
        <v>30.195954</v>
      </c>
      <c r="D28" s="13">
        <v>34.38</v>
      </c>
      <c r="E28" s="13">
        <v>38.9178175232058</v>
      </c>
      <c r="F28" s="13">
        <v>0</v>
      </c>
      <c r="G28" s="13"/>
      <c r="I28" s="5"/>
    </row>
    <row r="29" outlineLevel="2">
      <c r="A29" s="12" t="s">
        <v>49</v>
      </c>
      <c r="B29" s="0" t="s">
        <v>35</v>
      </c>
      <c r="C29" s="13">
        <f>IFERROR(1.76*(1-w),"")</f>
        <v>1.5458079999999998</v>
      </c>
      <c r="D29" s="13">
        <v>1.76</v>
      </c>
      <c r="E29" s="13">
        <v>1.9923024677382839</v>
      </c>
      <c r="F29" s="13">
        <v>0</v>
      </c>
      <c r="G29" s="13"/>
      <c r="I29" s="5"/>
      <c r="J29" s="0" t="s">
        <v>45</v>
      </c>
      <c r="K29" s="0" t="s">
        <v>46</v>
      </c>
    </row>
    <row r="30" outlineLevel="2">
      <c r="A30" s="12" t="s">
        <v>50</v>
      </c>
      <c r="B30" s="0" t="s">
        <v>35</v>
      </c>
      <c r="C30" s="13">
        <f>IFERROR(0.16*(1-w),"")</f>
        <v>0.140528</v>
      </c>
      <c r="D30" s="13">
        <v>0.16</v>
      </c>
      <c r="E30" s="13">
        <v>0.18111840615802582</v>
      </c>
      <c r="F30" s="13">
        <v>0</v>
      </c>
      <c r="G30" s="13"/>
      <c r="I30" s="5"/>
      <c r="J30" s="0" t="s">
        <v>51</v>
      </c>
      <c r="K30" s="0" t="s">
        <v>52</v>
      </c>
    </row>
    <row r="31" outlineLevel="2">
      <c r="A31" s="12" t="s">
        <v>53</v>
      </c>
      <c r="B31" s="0" t="s">
        <v>35</v>
      </c>
      <c r="C31" s="13">
        <f>IFERROR(100*(1-w)+w*100,"")</f>
        <v>100</v>
      </c>
      <c r="D31" s="13">
        <v>100</v>
      </c>
      <c r="E31" s="13">
        <v>100.00000000000001</v>
      </c>
      <c r="F31" s="13"/>
      <c r="G31" s="13"/>
      <c r="I31" s="5"/>
      <c r="J31" s="0" t="s">
        <v>42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3">
        <f>IFERROR(17.718602*(1-w)-w*2.443,"")</f>
        <v>15.264935036599999</v>
      </c>
      <c r="D33" s="13">
        <v>17.718602</v>
      </c>
      <c r="E33" s="13">
        <v>20.057280959927553</v>
      </c>
      <c r="F33" s="13">
        <v>0</v>
      </c>
      <c r="G33" s="13"/>
      <c r="I33" s="5"/>
      <c r="J33" s="0" t="s">
        <v>57</v>
      </c>
      <c r="K33" s="0" t="s">
        <v>58</v>
      </c>
    </row>
    <row r="34" outlineLevel="2">
      <c r="A34" s="12" t="s">
        <v>59</v>
      </c>
      <c r="B34" s="0" t="s">
        <v>56</v>
      </c>
      <c r="C34" s="13">
        <f>IFERROR(18.9354*(1-w),"")</f>
        <v>16.63096182</v>
      </c>
      <c r="D34" s="13">
        <v>18.9354</v>
      </c>
      <c r="E34" s="13">
        <v>21.434684174779264</v>
      </c>
      <c r="F34" s="13">
        <v>0</v>
      </c>
      <c r="G34" s="13"/>
      <c r="I34" s="5"/>
    </row>
    <row r="35" outlineLevel="2">
      <c r="A35" s="12" t="s">
        <v>60</v>
      </c>
      <c r="B35" s="0" t="s">
        <v>56</v>
      </c>
      <c r="C35" s="13">
        <f>IFERROR(18.7754392068*(1-w),"")</f>
        <v>16.490468255332441</v>
      </c>
      <c r="D35" s="13">
        <v>18.7754392068</v>
      </c>
      <c r="E35" s="13">
        <v>21.253610150328281</v>
      </c>
      <c r="F35" s="13"/>
      <c r="G35" s="13"/>
      <c r="I35" s="5"/>
      <c r="J35" s="0" t="s">
        <v>42</v>
      </c>
    </row>
    <row r="36">
      <c r="I36" s="5"/>
    </row>
    <row r="37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</mergeCells>
  <dataValidations count="1">
    <dataValidation type="decimal" sqref="C21" errorStyle="stop" promptTitle="Enter moisture content" errorTitle="Invalid moisture content" prompt="Value should be between 0 and 100.&#10;Original value: 12.1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https://phyllis.nl/Biomass/View/3348</dc:description>
  <dcterms:created xsi:type="dcterms:W3CDTF">2026-03-17T05:42:43Z</dcterms:created>
  <dc:title>Phyllis2 #3348 Olive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