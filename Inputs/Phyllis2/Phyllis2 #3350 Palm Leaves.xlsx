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50 Palm Leaves" sheetId="1" r:id="rId1"/>
  </sheets>
  <definedNames>
    <definedName name="w" localSheetId="0">IF(ISBLANK('Phyllis2 #3350 Palm Leaves'!$C$20),#N/A,'Phyllis2 #3350 Palm Leaves'!$C$20/100)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<sst xmlns="http://schemas.openxmlformats.org/spreadsheetml/2006/main" count="60" uniqueCount="60">
  <si>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</si>
  <si>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https://phyllis.nl/Biomass/View/3350</t>
  </si>
  <si>
    <t>Palm Leaves (#3350)</t>
  </si>
  <si>
    <t>ID-number</t>
  </si>
  <si>
    <t>#3350</t>
  </si>
  <si>
    <t>Material</t>
  </si>
  <si>
    <t>Palm Leaves</t>
  </si>
  <si>
    <t>Classification</t>
  </si>
  <si>
    <t>CEN/TS 14961 classification &gt; Solid biofuels &gt; Herbaceous biomass</t>
  </si>
  <si>
    <t>ECN Phyllis classification &gt; untreated wood &gt; leaves</t>
  </si>
  <si>
    <t>NTA 8003 classification &gt; [100] hout</t>
  </si>
  <si>
    <t>Country</t>
  </si>
  <si>
    <t>Spain</t>
  </si>
  <si>
    <t>Submitter</t>
  </si>
  <si>
    <t>AICIA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</si>
  <si>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</si>
  <si>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</si>
  <si>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</si>
  <si>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</si>
  <si>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</si>
  <si>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</si>
  <si>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</si>
  <si>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</si>
  <si>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</si>
  <si>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</si>
  <si>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</si>
  <si>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</si>
  <si>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</si>
  <si>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</si>
  <si>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</si>
  <si>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</si>
  <si>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</si>
  <si>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</si>
  <si>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</si>
  <si>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</si>
  <si>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</si>
  <si>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UNE 32-001</t>
  </si>
  <si>
    <t>Ash content at 815°C</t>
  </si>
  <si>
    <t>UNE 32-019</t>
  </si>
  <si>
    <t>Volatile matter</t>
  </si>
  <si>
    <t>Fixed carbon</t>
  </si>
  <si>
    <t>Calculated</t>
  </si>
  <si>
    <t>Ultimate analysis (macroelements)</t>
  </si>
  <si>
    <t>Carbon</t>
  </si>
  <si>
    <t>CEN/TS 15104</t>
  </si>
  <si>
    <t>ASTM D5373</t>
  </si>
  <si>
    <t>Hydrogen</t>
  </si>
  <si>
    <t>Oxygen</t>
  </si>
  <si>
    <t>Nitrogen</t>
  </si>
  <si>
    <t>Sulphur</t>
  </si>
  <si>
    <t>CEN/TS15289</t>
  </si>
  <si>
    <t>ASTM D4293</t>
  </si>
  <si>
    <t>Total (with halides)</t>
  </si>
  <si>
    <t>Heating value</t>
  </si>
  <si>
    <t>Net calorific value (LHV)</t>
  </si>
  <si>
    <t>MJ/kg</t>
  </si>
  <si>
    <t>CEN/TS 14918</t>
  </si>
  <si>
    <t>UNE 32-006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</si>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</sst>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2.74109935760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39702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33.03</v>
      </c>
      <c r="D20" s="13"/>
      <c r="E20" s="13"/>
      <c r="F20" s="13">
        <v>0</v>
      </c>
      <c r="G20" s="13"/>
      <c r="I20" s="5">
        <v>38040</v>
      </c>
      <c r="J20" s="0" t="s">
        <v>35</v>
      </c>
      <c r="K20" s="0" t="s">
        <v>36</v>
      </c>
    </row>
    <row r="21" outlineLevel="2">
      <c r="A21" s="12" t="s">
        <v>37</v>
      </c>
      <c r="B21" s="0" t="s">
        <v>34</v>
      </c>
      <c r="C21" s="13">
        <f>IFERROR(8.81*(1-w),"")</f>
        <v>5.900057</v>
      </c>
      <c r="D21" s="13">
        <v>8.81</v>
      </c>
      <c r="E21" s="13">
        <v/>
      </c>
      <c r="F21" s="13">
        <v>0</v>
      </c>
      <c r="G21" s="13"/>
      <c r="I21" s="5">
        <v>38040</v>
      </c>
      <c r="K21" s="0" t="s">
        <v>38</v>
      </c>
    </row>
    <row r="22" outlineLevel="2">
      <c r="A22" s="12" t="s">
        <v>39</v>
      </c>
      <c r="B22" s="0" t="s">
        <v>34</v>
      </c>
      <c r="C22" s="13">
        <f>IFERROR(79.05*(1-w),"")</f>
        <v>52.939784999999993</v>
      </c>
      <c r="D22" s="13">
        <v>79.05</v>
      </c>
      <c r="E22" s="13">
        <v>86.687136747450381</v>
      </c>
      <c r="F22" s="13">
        <v>0</v>
      </c>
      <c r="G22" s="13"/>
      <c r="I22" s="5">
        <v>38040</v>
      </c>
    </row>
    <row r="23" outlineLevel="2">
      <c r="A23" s="12" t="s">
        <v>40</v>
      </c>
      <c r="B23" s="0" t="s">
        <v>34</v>
      </c>
      <c r="C23" s="13">
        <f>IFERROR(12.14*(1-w),"")</f>
        <v>8.130158</v>
      </c>
      <c r="D23" s="13">
        <v>12.14</v>
      </c>
      <c r="E23" s="13">
        <v>13.312863252549624</v>
      </c>
      <c r="F23" s="13"/>
      <c r="G23" s="13"/>
      <c r="I23" s="5"/>
      <c r="J23" s="0" t="s">
        <v>41</v>
      </c>
    </row>
    <row r="24" outlineLevel="1">
      <c r="A24" s="11" t="s">
        <v>42</v>
      </c>
      <c r="I24" s="5"/>
    </row>
    <row r="25" outlineLevel="2">
      <c r="A25" s="12" t="s">
        <v>43</v>
      </c>
      <c r="B25" s="0" t="s">
        <v>34</v>
      </c>
      <c r="C25" s="13">
        <f>IFERROR(47.98*(1-w),"")</f>
        <v>32.132206</v>
      </c>
      <c r="D25" s="13">
        <v>47.98</v>
      </c>
      <c r="E25" s="13">
        <v>52.61541835727602</v>
      </c>
      <c r="F25" s="13">
        <v>0</v>
      </c>
      <c r="G25" s="13"/>
      <c r="I25" s="5">
        <v>38040</v>
      </c>
      <c r="J25" s="0" t="s">
        <v>44</v>
      </c>
      <c r="K25" s="0" t="s">
        <v>45</v>
      </c>
    </row>
    <row r="26" outlineLevel="2">
      <c r="A26" s="12" t="s">
        <v>46</v>
      </c>
      <c r="B26" s="0" t="s">
        <v>34</v>
      </c>
      <c r="C26" s="13">
        <f>IFERROR(5.26*(1-w),"")</f>
        <v>3.5226219999999997</v>
      </c>
      <c r="D26" s="13">
        <v>5.26</v>
      </c>
      <c r="E26" s="13">
        <v>5.7681763351244655</v>
      </c>
      <c r="F26" s="13">
        <v>0</v>
      </c>
      <c r="G26" s="13"/>
      <c r="I26" s="5">
        <v>38040</v>
      </c>
      <c r="J26" s="0" t="s">
        <v>44</v>
      </c>
      <c r="K26" s="0" t="s">
        <v>45</v>
      </c>
    </row>
    <row r="27" outlineLevel="2">
      <c r="A27" s="12" t="s">
        <v>47</v>
      </c>
      <c r="B27" s="0" t="s">
        <v>34</v>
      </c>
      <c r="C27" s="13">
        <f>IFERROR(36.61*(1-w),"")</f>
        <v>24.517716999999998</v>
      </c>
      <c r="D27" s="13">
        <v>36.61</v>
      </c>
      <c r="E27" s="13">
        <v>40.146945937054504</v>
      </c>
      <c r="F27" s="13">
        <v>0</v>
      </c>
      <c r="G27" s="13"/>
      <c r="I27" s="5"/>
    </row>
    <row r="28" outlineLevel="2">
      <c r="A28" s="12" t="s">
        <v>48</v>
      </c>
      <c r="B28" s="0" t="s">
        <v>34</v>
      </c>
      <c r="C28" s="13">
        <f>IFERROR(1.17*(1-w),"")</f>
        <v>0.78354899999999994</v>
      </c>
      <c r="D28" s="13">
        <v>1.17</v>
      </c>
      <c r="E28" s="13">
        <v>1.283035420550499</v>
      </c>
      <c r="F28" s="13">
        <v>0</v>
      </c>
      <c r="G28" s="13"/>
      <c r="I28" s="5">
        <v>38040</v>
      </c>
      <c r="J28" s="0" t="s">
        <v>44</v>
      </c>
      <c r="K28" s="0" t="s">
        <v>45</v>
      </c>
    </row>
    <row r="29" outlineLevel="2">
      <c r="A29" s="12" t="s">
        <v>49</v>
      </c>
      <c r="B29" s="0" t="s">
        <v>34</v>
      </c>
      <c r="C29" s="13">
        <f>IFERROR(0.17*(1-w),"")</f>
        <v>0.113849</v>
      </c>
      <c r="D29" s="13">
        <v>0.17</v>
      </c>
      <c r="E29" s="13">
        <v>0.18642394999451697</v>
      </c>
      <c r="F29" s="13">
        <v>0</v>
      </c>
      <c r="G29" s="13"/>
      <c r="I29" s="5">
        <v>38040</v>
      </c>
      <c r="J29" s="0" t="s">
        <v>50</v>
      </c>
      <c r="K29" s="0" t="s">
        <v>51</v>
      </c>
    </row>
    <row r="30" outlineLevel="2">
      <c r="A30" s="12" t="s">
        <v>52</v>
      </c>
      <c r="B30" s="0" t="s">
        <v>34</v>
      </c>
      <c r="C30" s="13">
        <f>IFERROR(100*(1-w)+w*100,"")</f>
        <v>100</v>
      </c>
      <c r="D30" s="13">
        <v>100</v>
      </c>
      <c r="E30" s="13">
        <v>100</v>
      </c>
      <c r="F30" s="13"/>
      <c r="G30" s="13"/>
      <c r="I30" s="5"/>
      <c r="J30" s="0" t="s">
        <v>41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3">
        <f>IFERROR(19.655196*(1-w)-w*2.443,"")</f>
        <v>12.356161861199999</v>
      </c>
      <c r="D32" s="13">
        <v>19.655196</v>
      </c>
      <c r="E32" s="13">
        <v>21.554113389626057</v>
      </c>
      <c r="F32" s="13">
        <v>0</v>
      </c>
      <c r="G32" s="13"/>
      <c r="I32" s="5">
        <v>38040</v>
      </c>
      <c r="J32" s="0" t="s">
        <v>56</v>
      </c>
      <c r="K32" s="0" t="s">
        <v>57</v>
      </c>
    </row>
    <row r="33" outlineLevel="2">
      <c r="A33" s="12" t="s">
        <v>58</v>
      </c>
      <c r="B33" s="0" t="s">
        <v>55</v>
      </c>
      <c r="C33" s="13">
        <f>IFERROR(18.083934*(1-w),"")</f>
        <v>12.1108105998</v>
      </c>
      <c r="D33" s="13">
        <v>18.083934000000003</v>
      </c>
      <c r="E33" s="13">
        <v>19.831049457177325</v>
      </c>
      <c r="F33" s="13">
        <v>0</v>
      </c>
      <c r="G33" s="13"/>
      <c r="I33" s="5"/>
    </row>
    <row r="34" outlineLevel="2">
      <c r="A34" s="12" t="s">
        <v>59</v>
      </c>
      <c r="B34" s="0" t="s">
        <v>55</v>
      </c>
      <c r="C34" s="13">
        <f>IFERROR(18.6700442633*(1-w),"")</f>
        <v>12.503328643132011</v>
      </c>
      <c r="D34" s="13">
        <v>18.670044263300003</v>
      </c>
      <c r="E34" s="13">
        <v>20.473784694922692</v>
      </c>
      <c r="F34" s="13"/>
      <c r="G34" s="13"/>
      <c r="I34" s="5"/>
      <c r="J34" s="0" t="s">
        <v>41</v>
      </c>
    </row>
    <row r="35">
      <c r="I35" s="5"/>
    </row>
    <row r="36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33.0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https://phyllis.nl/Biomass/View/3350</dc:description>
  <dcterms:created xsi:type="dcterms:W3CDTF">2026-03-19T07:08:48Z</dcterms:created>
  <dc:title>Phyllis2 #3350 Palm Leaves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