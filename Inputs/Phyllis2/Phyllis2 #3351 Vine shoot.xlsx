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351 Vine shoot" sheetId="1" r:id="rId1"/>
  </sheets>
  <definedNames>
    <definedName name="w" localSheetId="0">IF(ISBLANK('Phyllis2 #3351 Vine shoot'!$C$21),#N/A,'Phyllis2 #3351 Vine shoot'!$C$21/100)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<sst xmlns="http://schemas.openxmlformats.org/spreadsheetml/2006/main" count="67" uniqueCount="67">
  <si>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</si>
  <si>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https://phyllis.nl/Biomass/View/3351</t>
  </si>
  <si>
    <t>Vine shoot (#3351)</t>
  </si>
  <si>
    <t>ID-number</t>
  </si>
  <si>
    <t>#3351</t>
  </si>
  <si>
    <t>Material</t>
  </si>
  <si>
    <t>Vine shoot</t>
  </si>
  <si>
    <t>Classification</t>
  </si>
  <si>
    <t>CEN/TS 14961 classification &gt; Solid biofuels &gt; Woody biomass &gt; Blends and mixtures &gt; Mixtures</t>
  </si>
  <si>
    <t>ECN Phyllis classification &gt; untreated wood &gt; other hard wood</t>
  </si>
  <si>
    <t>NTA 8003 classification &gt; [100] hout &gt; [110] vers hout &gt; [120] loofhout &gt; [126] hard loofhout met schors</t>
  </si>
  <si>
    <t>Country</t>
  </si>
  <si>
    <t>Spain</t>
  </si>
  <si>
    <t>Production date</t>
  </si>
  <si>
    <t>Submitter</t>
  </si>
  <si>
    <t>AICIA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</si>
  <si>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</si>
  <si>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</si>
  <si>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</si>
  <si>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</si>
  <si>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</si>
  <si>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</si>
  <si>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</si>
  <si>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</si>
  <si>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</si>
  <si>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</si>
  <si>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</si>
  <si>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</si>
  <si>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</si>
  <si>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</si>
  <si>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</si>
  <si>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</si>
  <si>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</si>
  <si>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</si>
  <si>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</si>
  <si>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</si>
  <si>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</si>
  <si>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UNE 32-001</t>
  </si>
  <si>
    <t>Ash content at 750°C</t>
  </si>
  <si>
    <t>PEE-C-004</t>
  </si>
  <si>
    <t>Volatile matter</t>
  </si>
  <si>
    <t>Fixed carbon</t>
  </si>
  <si>
    <t>Calculated</t>
  </si>
  <si>
    <t>Ultimate analysis (macroelements)</t>
  </si>
  <si>
    <t>Carbon</t>
  </si>
  <si>
    <t>CEN/TS 15104</t>
  </si>
  <si>
    <t>ASTM D5373</t>
  </si>
  <si>
    <t>Hydrogen</t>
  </si>
  <si>
    <t>Oxygen</t>
  </si>
  <si>
    <t>Nitrogen</t>
  </si>
  <si>
    <t>Sulphur</t>
  </si>
  <si>
    <t>wt% (dry)</t>
  </si>
  <si>
    <t>&lt;0,05</t>
  </si>
  <si>
    <t>CEN/TS15289</t>
  </si>
  <si>
    <t>ASTM D4293</t>
  </si>
  <si>
    <t>Total (with halides)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</si>
  <si>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</si>
  <si>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</si>
  <si>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</si>
  <si>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</si>
  <si>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</si>
  <si>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</si>
  <si>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</si>
  <si>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</si>
  <si>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UNE 32-006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</si>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</sst>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35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2.74109935760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39262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39514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28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8.93</v>
      </c>
      <c r="D21" s="13"/>
      <c r="E21" s="13"/>
      <c r="F21" s="13">
        <v>0</v>
      </c>
      <c r="G21" s="13"/>
      <c r="I21" s="5"/>
      <c r="J21" s="0" t="s">
        <v>36</v>
      </c>
      <c r="K21" s="0" t="s">
        <v>37</v>
      </c>
    </row>
    <row r="22" outlineLevel="2">
      <c r="A22" s="12" t="s">
        <v>38</v>
      </c>
      <c r="B22" s="0" t="s">
        <v>35</v>
      </c>
      <c r="C22" s="13">
        <f>IFERROR(2.59*(1-w),"")</f>
        <v>2.358713</v>
      </c>
      <c r="D22" s="13">
        <v>2.59</v>
      </c>
      <c r="E22" s="13">
        <v/>
      </c>
      <c r="F22" s="13">
        <v>0</v>
      </c>
      <c r="G22" s="13"/>
      <c r="I22" s="5"/>
      <c r="K22" s="0" t="s">
        <v>39</v>
      </c>
    </row>
    <row r="23" outlineLevel="2">
      <c r="A23" s="12" t="s">
        <v>40</v>
      </c>
      <c r="B23" s="0" t="s">
        <v>35</v>
      </c>
      <c r="C23" s="13">
        <f>IFERROR(77.65*(1-w),"")</f>
        <v>70.715855</v>
      </c>
      <c r="D23" s="13">
        <v>77.65</v>
      </c>
      <c r="E23" s="13">
        <v>79.714608356431583</v>
      </c>
      <c r="F23" s="13">
        <v>0</v>
      </c>
      <c r="G23" s="13"/>
      <c r="I23" s="5"/>
    </row>
    <row r="24" outlineLevel="2">
      <c r="A24" s="12" t="s">
        <v>41</v>
      </c>
      <c r="B24" s="0" t="s">
        <v>35</v>
      </c>
      <c r="C24" s="13">
        <f>IFERROR(19.76*(1-w),"")</f>
        <v>17.995431999999994</v>
      </c>
      <c r="D24" s="13">
        <v>19.759999999999991</v>
      </c>
      <c r="E24" s="13">
        <v>20.285391643568413</v>
      </c>
      <c r="F24" s="13"/>
      <c r="G24" s="13"/>
      <c r="I24" s="5"/>
      <c r="J24" s="0" t="s">
        <v>42</v>
      </c>
    </row>
    <row r="25" outlineLevel="1">
      <c r="A25" s="11" t="s">
        <v>43</v>
      </c>
      <c r="I25" s="5"/>
    </row>
    <row r="26" outlineLevel="2">
      <c r="A26" s="12" t="s">
        <v>44</v>
      </c>
      <c r="B26" s="0" t="s">
        <v>35</v>
      </c>
      <c r="C26" s="13">
        <f>IFERROR(48.15*(1-w),"")</f>
        <v>43.850205</v>
      </c>
      <c r="D26" s="13">
        <v>48.15</v>
      </c>
      <c r="E26" s="13">
        <v>49.430243301509087</v>
      </c>
      <c r="F26" s="13">
        <v>0</v>
      </c>
      <c r="G26" s="13"/>
      <c r="I26" s="5"/>
      <c r="J26" s="0" t="s">
        <v>45</v>
      </c>
      <c r="K26" s="0" t="s">
        <v>46</v>
      </c>
    </row>
    <row r="27" outlineLevel="2">
      <c r="A27" s="12" t="s">
        <v>47</v>
      </c>
      <c r="B27" s="0" t="s">
        <v>35</v>
      </c>
      <c r="C27" s="13">
        <f>IFERROR(5.61*(1-w),"")</f>
        <v>5.1090270000000011</v>
      </c>
      <c r="D27" s="13">
        <v>5.61</v>
      </c>
      <c r="E27" s="13">
        <v>5.7591623036649224</v>
      </c>
      <c r="F27" s="13">
        <v>0</v>
      </c>
      <c r="G27" s="13"/>
      <c r="I27" s="5"/>
      <c r="J27" s="0" t="s">
        <v>45</v>
      </c>
      <c r="K27" s="0" t="s">
        <v>46</v>
      </c>
    </row>
    <row r="28" outlineLevel="2">
      <c r="A28" s="12" t="s">
        <v>48</v>
      </c>
      <c r="B28" s="0" t="s">
        <v>35</v>
      </c>
      <c r="C28" s="13">
        <f>IFERROR(42.84*(1-w),"")</f>
        <v>39.014388000000004</v>
      </c>
      <c r="D28" s="13">
        <v>42.84</v>
      </c>
      <c r="E28" s="13">
        <v>43.97905759162304</v>
      </c>
      <c r="F28" s="13">
        <v>0</v>
      </c>
      <c r="G28" s="13"/>
      <c r="I28" s="5"/>
    </row>
    <row r="29" outlineLevel="2">
      <c r="A29" s="12" t="s">
        <v>49</v>
      </c>
      <c r="B29" s="0" t="s">
        <v>35</v>
      </c>
      <c r="C29" s="13">
        <f>IFERROR(0.81*(1-w),"")</f>
        <v>0.73766700000000007</v>
      </c>
      <c r="D29" s="13">
        <v>0.81</v>
      </c>
      <c r="E29" s="13">
        <v>0.83153680320295664</v>
      </c>
      <c r="F29" s="13">
        <v>0</v>
      </c>
      <c r="G29" s="13"/>
      <c r="I29" s="5"/>
      <c r="J29" s="0" t="s">
        <v>45</v>
      </c>
      <c r="K29" s="0" t="s">
        <v>46</v>
      </c>
    </row>
    <row r="30" outlineLevel="2">
      <c r="A30" s="12" t="s">
        <v>50</v>
      </c>
      <c r="B30" s="0" t="s">
        <v>51</v>
      </c>
      <c r="C30" s="13" t="s">
        <v>52</v>
      </c>
      <c r="D30" s="13"/>
      <c r="E30" s="13"/>
      <c r="F30" s="13">
        <v>0</v>
      </c>
      <c r="G30" s="13"/>
      <c r="I30" s="5"/>
      <c r="J30" s="0" t="s">
        <v>53</v>
      </c>
      <c r="K30" s="0" t="s">
        <v>54</v>
      </c>
    </row>
    <row r="31" outlineLevel="2">
      <c r="A31" s="12" t="s">
        <v>55</v>
      </c>
      <c r="B31" s="0" t="s">
        <v>35</v>
      </c>
      <c r="C31" s="13">
        <f>IFERROR(104.6804*(1-w)+w*100,"")</f>
        <v>104.26244028000002</v>
      </c>
      <c r="D31" s="13">
        <v>104.6804</v>
      </c>
      <c r="E31" s="13">
        <v>104.8048454984088</v>
      </c>
      <c r="F31" s="13"/>
      <c r="G31" s="13"/>
      <c r="I31" s="5"/>
      <c r="J31" s="0" t="s">
        <v>42</v>
      </c>
    </row>
    <row r="32" outlineLevel="1">
      <c r="A32" s="11" t="s">
        <v>56</v>
      </c>
      <c r="I32" s="5"/>
    </row>
    <row r="33" outlineLevel="2">
      <c r="A33" s="12" t="s">
        <v>57</v>
      </c>
      <c r="B33" s="0" t="s">
        <v>58</v>
      </c>
      <c r="C33" s="14">
        <f>IFERROR(46804*(1-w),"")</f>
        <v>42624.4028</v>
      </c>
      <c r="D33" s="14">
        <v>46804</v>
      </c>
      <c r="E33" s="14">
        <v>48048.454984087875</v>
      </c>
      <c r="F33" s="14">
        <v>0</v>
      </c>
      <c r="G33" s="14"/>
      <c r="I33" s="5"/>
      <c r="J33" s="0" t="s">
        <v>59</v>
      </c>
    </row>
    <row r="34" outlineLevel="1">
      <c r="A34" s="11" t="s">
        <v>60</v>
      </c>
      <c r="I34" s="5"/>
    </row>
    <row r="35" outlineLevel="2">
      <c r="A35" s="12" t="s">
        <v>61</v>
      </c>
      <c r="B35" s="0" t="s">
        <v>62</v>
      </c>
      <c r="C35" s="13">
        <f>IFERROR(17.584006*(1-w)-w*2.443,"")</f>
        <v>15.795594364200003</v>
      </c>
      <c r="D35" s="13">
        <v>17.584006000000002</v>
      </c>
      <c r="E35" s="13">
        <v>18.051540909557545</v>
      </c>
      <c r="F35" s="13">
        <v>0</v>
      </c>
      <c r="G35" s="13"/>
      <c r="I35" s="5"/>
      <c r="J35" s="0" t="s">
        <v>63</v>
      </c>
      <c r="K35" s="0" t="s">
        <v>64</v>
      </c>
    </row>
    <row r="36" outlineLevel="2">
      <c r="A36" s="12" t="s">
        <v>65</v>
      </c>
      <c r="B36" s="0" t="s">
        <v>62</v>
      </c>
      <c r="C36" s="13">
        <f>IFERROR(18.805402*(1-w),"")</f>
        <v>17.126079601399997</v>
      </c>
      <c r="D36" s="13">
        <v>18.805401999999997</v>
      </c>
      <c r="E36" s="13">
        <v>19.305412175341338</v>
      </c>
      <c r="F36" s="13">
        <v>0</v>
      </c>
      <c r="G36" s="13"/>
      <c r="I36" s="5"/>
    </row>
    <row r="37" outlineLevel="2">
      <c r="A37" s="12" t="s">
        <v>66</v>
      </c>
      <c r="B37" s="0" t="s">
        <v>62</v>
      </c>
      <c r="C37" s="13">
        <f>IFERROR(18.5589693393*(1-w),"")</f>
        <v>16.901653377300512</v>
      </c>
      <c r="D37" s="13">
        <v>18.558969339300003</v>
      </c>
      <c r="E37" s="13">
        <v>19.052427203880509</v>
      </c>
      <c r="F37" s="13"/>
      <c r="G37" s="13"/>
      <c r="I37" s="5"/>
      <c r="J37" s="0" t="s">
        <v>42</v>
      </c>
    </row>
    <row r="38">
      <c r="I38" s="5"/>
    </row>
    <row r="39" s="1" customFormat="1"/>
  </sheetData>
  <mergeCells>
    <mergeCell ref="A7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0:E30"/>
  </mergeCells>
  <dataValidations count="1">
    <dataValidation type="decimal" sqref="C21" errorStyle="stop" promptTitle="Enter moisture content" errorTitle="Invalid moisture content" prompt="Value should be between 0 and 100.&#10;Original value: 8.9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https://phyllis.nl/Biomass/View/3351</dc:description>
  <dcterms:created xsi:type="dcterms:W3CDTF">2026-03-19T07:17:15Z</dcterms:created>
  <dc:title>Phyllis2 #3351 Vine shoot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