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8 wood, waste wood" sheetId="1" r:id="rId1"/>
  </sheets>
  <definedNames>
    <definedName name="w" localSheetId="0">IF(ISBLANK('Phyllis2 #338 wood, waste wood'!$C$18),#N/A,'Phyllis2 #338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<sst xmlns="http://schemas.openxmlformats.org/spreadsheetml/2006/main" count="62" uniqueCount="62">
  <si>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</si>
  <si>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https://phyllis.nl/Biomass/View/338</t>
  </si>
  <si>
    <t>wood, waste wood (#338)</t>
  </si>
  <si>
    <t>ID-number</t>
  </si>
  <si>
    <t>#338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</si>
  <si>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</si>
  <si>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</si>
  <si>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</si>
  <si>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</si>
  <si>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</si>
  <si>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</si>
  <si>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</si>
  <si>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</si>
  <si>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</si>
  <si>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</si>
  <si>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</si>
  <si>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</si>
  <si>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</si>
  <si>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</si>
  <si>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</si>
  <si>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</si>
  <si>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</si>
  <si>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</si>
  <si>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</si>
  <si>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</si>
  <si>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</si>
  <si>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</si>
  <si>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</si>
  <si>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</si>
  <si>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</si>
  <si>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</si>
  <si>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</si>
  <si>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</si>
  <si>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</si>
  <si>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</si>
  <si>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</si>
  <si>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</si>
  <si>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</si>
  <si>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</si>
  <si>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</si>
  <si>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</si>
  <si>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</si>
  <si>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</si>
  <si>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</si>
  <si>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</si>
  <si>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</si>
  <si>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</si>
  <si>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</si>
  <si>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</si>
  <si>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</si>
  <si>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</si>
  <si>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</si>
  <si>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</si>
  <si>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</si>
  <si>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</si>
  <si>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</si>
  <si>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</si>
  <si>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Mercury (Hg)</t>
  </si>
  <si>
    <t>Nickel (Ni)</t>
  </si>
  <si>
    <t>Lead (Pb)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</si>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</sst>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IFERROR(5.16*(1-w),"")</f>
        <v/>
      </c>
      <c r="D19" s="11">
        <v>5.16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IFERROR(50.28*(1-w),"")</f>
        <v/>
      </c>
      <c r="D21" s="11">
        <v>50.28</v>
      </c>
      <c r="E21" s="11">
        <v>53.015605229860817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IFERROR(5.92*(1-w),"")</f>
        <v/>
      </c>
      <c r="D22" s="11">
        <v>5.92</v>
      </c>
      <c r="E22" s="11">
        <v>6.2420919443272878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IFERROR(37.98*(1-w),"")</f>
        <v/>
      </c>
      <c r="D23" s="11">
        <v>37.98</v>
      </c>
      <c r="E23" s="11">
        <v>40.046393926613241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IFERROR(0.46*(1-w),"")</f>
        <v/>
      </c>
      <c r="D24" s="11">
        <v>0.46</v>
      </c>
      <c r="E24" s="11">
        <v>0.48502741459299875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0.12652889076339097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IFERROR(800*(1-w),"")</f>
        <v/>
      </c>
      <c r="D28" s="12">
        <v>800</v>
      </c>
      <c r="E28" s="12">
        <v>843.52593842260649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IFERROR(20.2922777168*(1-w),"")</f>
        <v/>
      </c>
      <c r="D30" s="11">
        <v>20.292277716800005</v>
      </c>
      <c r="E30" s="11">
        <v>21.396328254744837</v>
      </c>
      <c r="F30" s="11"/>
      <c r="G30" s="11"/>
      <c r="I30" s="13"/>
      <c r="J30" s="0" t="s">
        <v>40</v>
      </c>
    </row>
    <row r="31" outlineLevel="1">
      <c r="A31" s="9" t="s">
        <v>50</v>
      </c>
      <c r="I31" s="13"/>
    </row>
    <row r="32" outlineLevel="2">
      <c r="A32" s="10" t="s">
        <v>51</v>
      </c>
      <c r="B32" s="0" t="s">
        <v>52</v>
      </c>
      <c r="C32" s="12">
        <v>68.7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53</v>
      </c>
      <c r="B33" s="0" t="s">
        <v>52</v>
      </c>
      <c r="C33" s="12">
        <v>435.6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54</v>
      </c>
      <c r="B34" s="0" t="s">
        <v>52</v>
      </c>
      <c r="C34" s="12">
        <v>1.5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52</v>
      </c>
      <c r="C35" s="12">
        <v>104.4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52</v>
      </c>
      <c r="C36" s="12">
        <v>44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52</v>
      </c>
      <c r="C37" s="12">
        <v>0.025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52</v>
      </c>
      <c r="C38" s="12">
        <v>7.7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52</v>
      </c>
      <c r="C39" s="12">
        <v>266.2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52</v>
      </c>
      <c r="C40" s="12">
        <v>279.6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52</v>
      </c>
      <c r="C41" s="12">
        <v>176.6</v>
      </c>
      <c r="D41" s="12"/>
      <c r="E41" s="12"/>
      <c r="F41" s="12"/>
      <c r="G41" s="12"/>
      <c r="I41" s="13"/>
      <c r="J41" s="0" t="s">
        <v>37</v>
      </c>
    </row>
    <row r="42">
      <c r="I42" s="13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https://phyllis.nl/Biomass/View/338</dc:description>
  <dcterms:created xsi:type="dcterms:W3CDTF">2026-03-19T04:06:38Z</dcterms:created>
  <dc:title>Phyllis2 #338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