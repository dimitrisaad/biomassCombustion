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39 wood, waste wood" sheetId="1" r:id="rId1"/>
  </sheets>
  <definedNames>
    <definedName name="w" localSheetId="0">IF(ISBLANK('Phyllis2 #339 wood, waste wood'!$C$18),#N/A,'Phyllis2 #339 wood, waste wood'!$C$18/100)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<sst xmlns="http://schemas.openxmlformats.org/spreadsheetml/2006/main" count="62" uniqueCount="62">
  <si>
    <t>Phyllis2</t>
  </si>
  <si>
    <t>https://phyllis.nl/Biomass/View/339</t>
  </si>
  <si>
    <t>wood, waste wood (#339)</t>
  </si>
  <si>
    <t>ID-number</t>
  </si>
  <si>
    <t>#339</t>
  </si>
  <si>
    <t>Material</t>
  </si>
  <si>
    <t>wood, waste wood</t>
  </si>
  <si>
    <t>Classification</t>
  </si>
  <si>
    <t>ECN Phyllis classification &gt; treated wood &gt; others &gt; wood, waste wood</t>
  </si>
  <si>
    <t>NTA 8003 classification &gt; [100] hout &gt; [150] verwerkt hout</t>
  </si>
  <si>
    <t>Ash type</t>
  </si>
  <si>
    <t>industrial</t>
  </si>
  <si>
    <t>Submitter organisation</t>
  </si>
  <si>
    <t>ECN (Netherlands)</t>
  </si>
  <si>
    <t>Literature</t>
  </si>
  <si>
    <t>http://edv1.vt.tuwien.ac.at/AG_HOFBA/BIOBIB/Biobib.htm (1997).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</si>
  <si>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</si>
  <si>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</si>
  <si>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</si>
  <si>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</si>
  <si>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</si>
  <si>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</si>
  <si>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</si>
  <si>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</si>
  <si>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</si>
  <si>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</si>
  <si>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</si>
  <si>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</si>
  <si>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</si>
  <si>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</si>
  <si>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</si>
  <si>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</si>
  <si>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</si>
  <si>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</si>
  <si>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</si>
  <si>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</si>
  <si>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</si>
  <si>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Unknown</t>
  </si>
  <si>
    <t>Hydrogen</t>
  </si>
  <si>
    <t>Oxygen</t>
  </si>
  <si>
    <t>Calculated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</si>
  <si>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</si>
  <si>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</si>
  <si>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</si>
  <si>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</si>
  <si>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</si>
  <si>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</si>
  <si>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</si>
  <si>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HHVMilne</t>
  </si>
  <si>
    <t>MJ/kg</t>
  </si>
  <si>
    <t>Trace elements composition</t>
  </si>
  <si>
    <t>Arsenic (As)</t>
  </si>
  <si>
    <t>mg/kg (dry)</t>
  </si>
  <si>
    <t>Barium (Ba)</t>
  </si>
  <si>
    <t>Cadmium (Cd)</t>
  </si>
  <si>
    <t>Chromium (Cr)</t>
  </si>
  <si>
    <t>Copper (Cu)</t>
  </si>
  <si>
    <t>Mercury (Hg)</t>
  </si>
  <si>
    <t>Nickel (Ni)</t>
  </si>
  <si>
    <t>Lead (Pb)</t>
  </si>
  <si>
    <t>Titanium (Ti)</t>
  </si>
  <si>
    <t>Zinc (Zn)</t>
  </si>
</sst>
</file>

<file path=xl/styles.xml><?xml version="1.0" encoding="utf-8"?>
<styleSheet xmlns="http://schemas.openxmlformats.org/spreadsheetml/2006/main">
  <numFmts count="3">
    <numFmt numFmtId="164" formatCode="#,0.00"/>
    <numFmt numFmtId="165" formatCode="#,0.0"/>
    <numFmt numFmtId="166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39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42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>
      <c r="A12" s="5"/>
    </row>
    <row r="13" s="1" customFormat="1">
      <c r="A13" s="7" t="s">
        <v>16</v>
      </c>
    </row>
    <row r="14" s="1" customFormat="1">
      <c r="A14" s="8" t="s">
        <v>17</v>
      </c>
      <c r="B14" s="8" t="s">
        <v>18</v>
      </c>
      <c r="C14" s="8" t="s">
        <v>19</v>
      </c>
      <c r="D14" s="8"/>
      <c r="E14" s="8"/>
      <c r="F14" s="8" t="s">
        <v>20</v>
      </c>
      <c r="G14" s="8" t="s">
        <v>21</v>
      </c>
      <c r="H14" s="8" t="s">
        <v>22</v>
      </c>
      <c r="I14" s="8" t="s">
        <v>23</v>
      </c>
      <c r="J14" s="8" t="s">
        <v>24</v>
      </c>
      <c r="K14" s="8" t="s">
        <v>25</v>
      </c>
      <c r="L14" s="8"/>
    </row>
    <row r="15" s="1" customFormat="1">
      <c r="A15" s="8"/>
      <c r="B15" s="8"/>
      <c r="C15" s="8" t="s">
        <v>26</v>
      </c>
      <c r="D15" s="8" t="s">
        <v>27</v>
      </c>
      <c r="E15" s="8" t="s">
        <v>28</v>
      </c>
      <c r="F15" s="8"/>
      <c r="G15" s="8"/>
      <c r="H15" s="8"/>
      <c r="I15" s="8"/>
      <c r="J15" s="8"/>
      <c r="K15" s="8"/>
      <c r="L15" s="8"/>
    </row>
    <row r="16">
      <c r="A16" s="5" t="s">
        <v>29</v>
      </c>
      <c r="I16" s="13"/>
    </row>
    <row r="17" outlineLevel="1">
      <c r="A17" s="9" t="s">
        <v>30</v>
      </c>
      <c r="I17" s="13"/>
    </row>
    <row r="18" outlineLevel="2">
      <c r="A18" s="10" t="s">
        <v>31</v>
      </c>
      <c r="B18" s="0" t="s">
        <v>32</v>
      </c>
      <c r="C18" s="11">
        <v/>
      </c>
      <c r="D18" s="11"/>
      <c r="E18" s="11"/>
      <c r="F18" s="11"/>
      <c r="G18" s="11"/>
      <c r="I18" s="13"/>
    </row>
    <row r="19" outlineLevel="2">
      <c r="A19" s="10" t="s">
        <v>33</v>
      </c>
      <c r="B19" s="0" t="s">
        <v>34</v>
      </c>
      <c r="C19" s="11">
        <f>IFERROR(7.38*(1-w),"")</f>
        <v/>
      </c>
      <c r="D19" s="11">
        <v>7.38</v>
      </c>
      <c r="E19" s="11">
        <v/>
      </c>
      <c r="F19" s="11"/>
      <c r="G19" s="11"/>
      <c r="I19" s="13"/>
    </row>
    <row r="20" outlineLevel="1">
      <c r="A20" s="9" t="s">
        <v>35</v>
      </c>
      <c r="I20" s="13"/>
    </row>
    <row r="21" outlineLevel="2">
      <c r="A21" s="10" t="s">
        <v>36</v>
      </c>
      <c r="B21" s="0" t="s">
        <v>34</v>
      </c>
      <c r="C21" s="11">
        <f>IFERROR(50.55*(1-w),"")</f>
        <v/>
      </c>
      <c r="D21" s="11">
        <v>50.55</v>
      </c>
      <c r="E21" s="11">
        <v>54.577844957892459</v>
      </c>
      <c r="F21" s="11"/>
      <c r="G21" s="11"/>
      <c r="I21" s="13"/>
      <c r="J21" s="0" t="s">
        <v>37</v>
      </c>
    </row>
    <row r="22" outlineLevel="2">
      <c r="A22" s="10" t="s">
        <v>38</v>
      </c>
      <c r="B22" s="0" t="s">
        <v>34</v>
      </c>
      <c r="C22" s="11">
        <f>IFERROR(5.95*(1-w),"")</f>
        <v/>
      </c>
      <c r="D22" s="11">
        <v>5.95</v>
      </c>
      <c r="E22" s="11">
        <v>6.4240984668538115</v>
      </c>
      <c r="F22" s="11"/>
      <c r="G22" s="11"/>
      <c r="I22" s="13"/>
      <c r="J22" s="0" t="s">
        <v>37</v>
      </c>
    </row>
    <row r="23" outlineLevel="2">
      <c r="A23" s="10" t="s">
        <v>39</v>
      </c>
      <c r="B23" s="0" t="s">
        <v>34</v>
      </c>
      <c r="C23" s="11">
        <f>IFERROR(35.5*(1-w),"")</f>
        <v/>
      </c>
      <c r="D23" s="11">
        <v>35.5</v>
      </c>
      <c r="E23" s="11">
        <v>38.32865471820341</v>
      </c>
      <c r="F23" s="11"/>
      <c r="G23" s="11"/>
      <c r="I23" s="13"/>
      <c r="J23" s="0" t="s">
        <v>40</v>
      </c>
    </row>
    <row r="24" outlineLevel="2">
      <c r="A24" s="10" t="s">
        <v>41</v>
      </c>
      <c r="B24" s="0" t="s">
        <v>34</v>
      </c>
      <c r="C24" s="11">
        <f>IFERROR(0.53*(1-w),"")</f>
        <v/>
      </c>
      <c r="D24" s="11">
        <v>0.53</v>
      </c>
      <c r="E24" s="11">
        <v>0.572230619736558</v>
      </c>
      <c r="F24" s="11"/>
      <c r="G24" s="11"/>
      <c r="I24" s="13"/>
      <c r="J24" s="0" t="s">
        <v>37</v>
      </c>
    </row>
    <row r="25" outlineLevel="2">
      <c r="A25" s="10" t="s">
        <v>42</v>
      </c>
      <c r="B25" s="0" t="s">
        <v>34</v>
      </c>
      <c r="C25" s="11">
        <f>IFERROR(0.06*(1-w),"")</f>
        <v/>
      </c>
      <c r="D25" s="11">
        <v>0.06</v>
      </c>
      <c r="E25" s="11">
        <v>0.064780824875836751</v>
      </c>
      <c r="F25" s="11"/>
      <c r="G25" s="11"/>
      <c r="I25" s="13"/>
      <c r="J25" s="0" t="s">
        <v>37</v>
      </c>
    </row>
    <row r="26" outlineLevel="2">
      <c r="A26" s="10" t="s">
        <v>43</v>
      </c>
      <c r="B26" s="0" t="s">
        <v>34</v>
      </c>
      <c r="C26" s="11">
        <f>IFERROR(100*(1-w)+w*100,"")</f>
        <v/>
      </c>
      <c r="D26" s="11">
        <v>100</v>
      </c>
      <c r="E26" s="11">
        <v>100</v>
      </c>
      <c r="F26" s="11"/>
      <c r="G26" s="11"/>
      <c r="I26" s="13"/>
      <c r="J26" s="0" t="s">
        <v>40</v>
      </c>
    </row>
    <row r="27" outlineLevel="1">
      <c r="A27" s="9" t="s">
        <v>44</v>
      </c>
      <c r="I27" s="13"/>
    </row>
    <row r="28" outlineLevel="2">
      <c r="A28" s="10" t="s">
        <v>45</v>
      </c>
      <c r="B28" s="0" t="s">
        <v>46</v>
      </c>
      <c r="C28" s="12">
        <f>IFERROR(300*(1-w),"")</f>
        <v/>
      </c>
      <c r="D28" s="12">
        <v>300</v>
      </c>
      <c r="E28" s="12">
        <v>323.90412437918377</v>
      </c>
      <c r="F28" s="12"/>
      <c r="G28" s="12"/>
      <c r="I28" s="13"/>
      <c r="J28" s="0" t="s">
        <v>37</v>
      </c>
    </row>
    <row r="29" outlineLevel="1">
      <c r="A29" s="9" t="s">
        <v>47</v>
      </c>
      <c r="I29" s="13"/>
    </row>
    <row r="30" outlineLevel="2">
      <c r="A30" s="10" t="s">
        <v>48</v>
      </c>
      <c r="B30" s="0" t="s">
        <v>49</v>
      </c>
      <c r="C30" s="11">
        <f>IFERROR(20.6793850532*(1-w),"")</f>
        <v/>
      </c>
      <c r="D30" s="11">
        <v>20.6793850532</v>
      </c>
      <c r="E30" s="11">
        <v>22.327127027855756</v>
      </c>
      <c r="F30" s="11"/>
      <c r="G30" s="11"/>
      <c r="I30" s="13"/>
      <c r="J30" s="0" t="s">
        <v>40</v>
      </c>
    </row>
    <row r="31" outlineLevel="1">
      <c r="A31" s="9" t="s">
        <v>50</v>
      </c>
      <c r="I31" s="13"/>
    </row>
    <row r="32" outlineLevel="2">
      <c r="A32" s="10" t="s">
        <v>51</v>
      </c>
      <c r="B32" s="0" t="s">
        <v>52</v>
      </c>
      <c r="C32" s="12">
        <v>78.6</v>
      </c>
      <c r="D32" s="12"/>
      <c r="E32" s="12"/>
      <c r="F32" s="12"/>
      <c r="G32" s="12"/>
      <c r="I32" s="13"/>
      <c r="J32" s="0" t="s">
        <v>37</v>
      </c>
    </row>
    <row r="33" outlineLevel="2">
      <c r="A33" s="10" t="s">
        <v>53</v>
      </c>
      <c r="B33" s="0" t="s">
        <v>52</v>
      </c>
      <c r="C33" s="12">
        <v>117.2</v>
      </c>
      <c r="D33" s="12"/>
      <c r="E33" s="12"/>
      <c r="F33" s="12"/>
      <c r="G33" s="12"/>
      <c r="I33" s="13"/>
      <c r="J33" s="0" t="s">
        <v>37</v>
      </c>
    </row>
    <row r="34" outlineLevel="2">
      <c r="A34" s="10" t="s">
        <v>54</v>
      </c>
      <c r="B34" s="0" t="s">
        <v>52</v>
      </c>
      <c r="C34" s="12">
        <v>0.87</v>
      </c>
      <c r="D34" s="12"/>
      <c r="E34" s="12"/>
      <c r="F34" s="12"/>
      <c r="G34" s="12"/>
      <c r="I34" s="13"/>
      <c r="J34" s="0" t="s">
        <v>37</v>
      </c>
    </row>
    <row r="35" outlineLevel="2">
      <c r="A35" s="10" t="s">
        <v>55</v>
      </c>
      <c r="B35" s="0" t="s">
        <v>52</v>
      </c>
      <c r="C35" s="12">
        <v>49.4</v>
      </c>
      <c r="D35" s="12"/>
      <c r="E35" s="12"/>
      <c r="F35" s="12"/>
      <c r="G35" s="12"/>
      <c r="I35" s="13"/>
      <c r="J35" s="0" t="s">
        <v>37</v>
      </c>
    </row>
    <row r="36" outlineLevel="2">
      <c r="A36" s="10" t="s">
        <v>56</v>
      </c>
      <c r="B36" s="0" t="s">
        <v>52</v>
      </c>
      <c r="C36" s="12">
        <v>455.8</v>
      </c>
      <c r="D36" s="12"/>
      <c r="E36" s="12"/>
      <c r="F36" s="12"/>
      <c r="G36" s="12"/>
      <c r="I36" s="13"/>
      <c r="J36" s="0" t="s">
        <v>37</v>
      </c>
    </row>
    <row r="37" outlineLevel="2">
      <c r="A37" s="10" t="s">
        <v>57</v>
      </c>
      <c r="B37" s="0" t="s">
        <v>52</v>
      </c>
      <c r="C37" s="12">
        <v>0.125</v>
      </c>
      <c r="D37" s="12"/>
      <c r="E37" s="12"/>
      <c r="F37" s="12"/>
      <c r="G37" s="12"/>
      <c r="I37" s="13"/>
      <c r="J37" s="0" t="s">
        <v>37</v>
      </c>
    </row>
    <row r="38" outlineLevel="2">
      <c r="A38" s="10" t="s">
        <v>58</v>
      </c>
      <c r="B38" s="0" t="s">
        <v>52</v>
      </c>
      <c r="C38" s="12">
        <v>5.6</v>
      </c>
      <c r="D38" s="12"/>
      <c r="E38" s="12"/>
      <c r="F38" s="12"/>
      <c r="G38" s="12"/>
      <c r="I38" s="13"/>
      <c r="J38" s="0" t="s">
        <v>37</v>
      </c>
    </row>
    <row r="39" outlineLevel="2">
      <c r="A39" s="10" t="s">
        <v>59</v>
      </c>
      <c r="B39" s="0" t="s">
        <v>52</v>
      </c>
      <c r="C39" s="12">
        <v>572</v>
      </c>
      <c r="D39" s="12"/>
      <c r="E39" s="12"/>
      <c r="F39" s="12"/>
      <c r="G39" s="12"/>
      <c r="I39" s="13"/>
      <c r="J39" s="0" t="s">
        <v>37</v>
      </c>
    </row>
    <row r="40" outlineLevel="2">
      <c r="A40" s="10" t="s">
        <v>60</v>
      </c>
      <c r="B40" s="0" t="s">
        <v>52</v>
      </c>
      <c r="C40" s="12">
        <v>633.7</v>
      </c>
      <c r="D40" s="12"/>
      <c r="E40" s="12"/>
      <c r="F40" s="12"/>
      <c r="G40" s="12"/>
      <c r="I40" s="13"/>
      <c r="J40" s="0" t="s">
        <v>37</v>
      </c>
    </row>
    <row r="41" outlineLevel="2">
      <c r="A41" s="10" t="s">
        <v>61</v>
      </c>
      <c r="B41" s="0" t="s">
        <v>52</v>
      </c>
      <c r="C41" s="12">
        <v>283.5</v>
      </c>
      <c r="D41" s="12"/>
      <c r="E41" s="12"/>
      <c r="F41" s="12"/>
      <c r="G41" s="12"/>
      <c r="I41" s="13"/>
      <c r="J41" s="0" t="s">
        <v>37</v>
      </c>
    </row>
    <row r="42">
      <c r="I42" s="13"/>
    </row>
    <row r="43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  <mergeCell ref="C32:E32"/>
    <mergeCell ref="C33:E33"/>
    <mergeCell ref="C34:E34"/>
    <mergeCell ref="C35:E35"/>
    <mergeCell ref="C36:E36"/>
    <mergeCell ref="C37:E37"/>
    <mergeCell ref="C38:E38"/>
    <mergeCell ref="C39:E39"/>
    <mergeCell ref="C40:E40"/>
    <mergeCell ref="C41:E41"/>
  </mergeCells>
  <dataValidations count="1">
    <dataValidation type="decimal" sqref="C18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https://phyllis.nl/Biomass/View/339</dc:description>
  <dcterms:created xsi:type="dcterms:W3CDTF">2026-03-19T04:06:43Z</dcterms:created>
  <dc:title>Phyllis2 #339 wood, waste wood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