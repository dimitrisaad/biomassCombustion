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41 wood, waste wood" sheetId="1" r:id="rId1"/>
  </sheets>
  <definedNames>
    <definedName name="w" localSheetId="0">IF(ISBLANK('Phyllis2 #341 wood, waste wood'!$C$18),#N/A,'Phyllis2 #341 wood, waste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<sst xmlns="http://schemas.openxmlformats.org/spreadsheetml/2006/main" count="62" uniqueCount="62">
  <si>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</si>
  <si>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https://phyllis.nl/Biomass/View/341</t>
  </si>
  <si>
    <t>wood, waste wood (#341)</t>
  </si>
  <si>
    <t>ID-number</t>
  </si>
  <si>
    <t>#341</t>
  </si>
  <si>
    <t>Material</t>
  </si>
  <si>
    <t>wood, waste wood</t>
  </si>
  <si>
    <t>Classification</t>
  </si>
  <si>
    <t>ECN Phyllis classification &gt; treated wood &gt; others &gt; wood, waste wood</t>
  </si>
  <si>
    <t>NTA 8003 classification &gt; [100] hout &gt; [150] verwerkt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</si>
  <si>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</si>
  <si>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</si>
  <si>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</si>
  <si>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</si>
  <si>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</si>
  <si>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</si>
  <si>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</si>
  <si>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</si>
  <si>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</si>
  <si>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</si>
  <si>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</si>
  <si>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</si>
  <si>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</si>
  <si>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</si>
  <si>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</si>
  <si>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</si>
  <si>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</si>
  <si>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</si>
  <si>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</si>
  <si>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</si>
  <si>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</si>
  <si>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</si>
  <si>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</si>
  <si>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</si>
  <si>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</si>
  <si>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</si>
  <si>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</si>
  <si>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</si>
  <si>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</si>
  <si>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</si>
  <si>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</si>
  <si>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</si>
  <si>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</si>
  <si>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</si>
  <si>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</si>
  <si>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</si>
  <si>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</si>
  <si>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</si>
  <si>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</si>
  <si>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</si>
  <si>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</si>
  <si>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Arsenic (As)</t>
  </si>
  <si>
    <t>mg/kg (dry)</t>
  </si>
  <si>
    <t>Barium (Ba)</t>
  </si>
  <si>
    <t>Cadmium (Cd)</t>
  </si>
  <si>
    <t>Chromium (Cr)</t>
  </si>
  <si>
    <t>Copper (Cu)</t>
  </si>
  <si>
    <t>Mercury (Hg)</t>
  </si>
  <si>
    <t>Nickel (Ni)</t>
  </si>
  <si>
    <t>Lead (Pb)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</si>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</sst>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4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IFERROR(6.4*(1-w),"")</f>
        <v/>
      </c>
      <c r="D19" s="11">
        <v>6.4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IFERROR(50.45*(1-w),"")</f>
        <v/>
      </c>
      <c r="D21" s="11">
        <v>50.45</v>
      </c>
      <c r="E21" s="11">
        <v>53.899572649572654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IFERROR(5.86*(1-w),"")</f>
        <v/>
      </c>
      <c r="D22" s="11">
        <v>5.86</v>
      </c>
      <c r="E22" s="11">
        <v>6.2606837606837615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IFERROR(36.52*(1-w),"")</f>
        <v/>
      </c>
      <c r="D23" s="11">
        <v>36.52</v>
      </c>
      <c r="E23" s="11">
        <v>39.017094017094024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IFERROR(0.62*(1-w),"")</f>
        <v/>
      </c>
      <c r="D24" s="11">
        <v>0.62</v>
      </c>
      <c r="E24" s="11">
        <v>0.66239316239316248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IFERROR(0.1*(1-w),"")</f>
        <v/>
      </c>
      <c r="D25" s="11">
        <v>0.1</v>
      </c>
      <c r="E25" s="11">
        <v>0.10683760683760685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IFERROR(500*(1-w),"")</f>
        <v/>
      </c>
      <c r="D28" s="12">
        <v>500</v>
      </c>
      <c r="E28" s="12">
        <v>534.18803418803418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IFERROR(20.40877688*(1-w),"")</f>
        <v/>
      </c>
      <c r="D30" s="11">
        <v>20.40877688</v>
      </c>
      <c r="E30" s="11">
        <v>21.804248803418805</v>
      </c>
      <c r="F30" s="11"/>
      <c r="G30" s="11"/>
      <c r="I30" s="13"/>
      <c r="J30" s="0" t="s">
        <v>40</v>
      </c>
    </row>
    <row r="31" outlineLevel="1">
      <c r="A31" s="9" t="s">
        <v>50</v>
      </c>
      <c r="I31" s="13"/>
    </row>
    <row r="32" outlineLevel="2">
      <c r="A32" s="10" t="s">
        <v>51</v>
      </c>
      <c r="B32" s="0" t="s">
        <v>52</v>
      </c>
      <c r="C32" s="12">
        <v>4.8</v>
      </c>
      <c r="D32" s="12"/>
      <c r="E32" s="12"/>
      <c r="F32" s="12"/>
      <c r="G32" s="12"/>
      <c r="I32" s="13"/>
      <c r="J32" s="0" t="s">
        <v>37</v>
      </c>
    </row>
    <row r="33" outlineLevel="2">
      <c r="A33" s="10" t="s">
        <v>53</v>
      </c>
      <c r="B33" s="0" t="s">
        <v>52</v>
      </c>
      <c r="C33" s="12">
        <v>50.3</v>
      </c>
      <c r="D33" s="12"/>
      <c r="E33" s="12"/>
      <c r="F33" s="12"/>
      <c r="G33" s="12"/>
      <c r="I33" s="13"/>
      <c r="J33" s="0" t="s">
        <v>37</v>
      </c>
    </row>
    <row r="34" outlineLevel="2">
      <c r="A34" s="10" t="s">
        <v>54</v>
      </c>
      <c r="B34" s="0" t="s">
        <v>52</v>
      </c>
      <c r="C34" s="12">
        <v>0.09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52</v>
      </c>
      <c r="C35" s="12">
        <v>15.4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52</v>
      </c>
      <c r="C36" s="12">
        <v>22.5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52</v>
      </c>
      <c r="C37" s="12">
        <v>0.073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58</v>
      </c>
      <c r="B38" s="0" t="s">
        <v>52</v>
      </c>
      <c r="C38" s="12">
        <v>4.2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59</v>
      </c>
      <c r="B39" s="0" t="s">
        <v>52</v>
      </c>
      <c r="C39" s="12">
        <v>50.3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60</v>
      </c>
      <c r="B40" s="0" t="s">
        <v>52</v>
      </c>
      <c r="C40" s="12">
        <v>353</v>
      </c>
      <c r="D40" s="12"/>
      <c r="E40" s="12"/>
      <c r="F40" s="12"/>
      <c r="G40" s="12"/>
      <c r="I40" s="13"/>
      <c r="J40" s="0" t="s">
        <v>37</v>
      </c>
    </row>
    <row r="41" outlineLevel="2">
      <c r="A41" s="10" t="s">
        <v>61</v>
      </c>
      <c r="B41" s="0" t="s">
        <v>52</v>
      </c>
      <c r="C41" s="12">
        <v>59.8</v>
      </c>
      <c r="D41" s="12"/>
      <c r="E41" s="12"/>
      <c r="F41" s="12"/>
      <c r="G41" s="12"/>
      <c r="I41" s="13"/>
      <c r="J41" s="0" t="s">
        <v>37</v>
      </c>
    </row>
    <row r="42">
      <c r="I42" s="13"/>
    </row>
    <row r="4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https://phyllis.nl/Biomass/View/341</dc:description>
  <dcterms:created xsi:type="dcterms:W3CDTF">2026-03-19T04:06:49Z</dcterms:created>
  <dc:title>Phyllis2 #341 wood,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