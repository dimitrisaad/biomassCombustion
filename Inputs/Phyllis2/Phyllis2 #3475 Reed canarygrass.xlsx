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75 Reed canarygrass" sheetId="1" r:id="rId1"/>
  </sheets>
  <definedNames>
    <definedName name="w" localSheetId="0">IF(ISBLANK('Phyllis2 #3475 Reed canarygrass'!$C$25),#N/A,'Phyllis2 #3475 Reed canarygrass'!$C$25/100)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<sst xmlns="http://schemas.openxmlformats.org/spreadsheetml/2006/main" count="82" uniqueCount="82">
  <si>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</si>
  <si>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https://phyllis.nl/Biomass/View/3475</t>
  </si>
  <si>
    <t>Reed canarygrass (#3475)</t>
  </si>
  <si>
    <t>ID-number</t>
  </si>
  <si>
    <t>#3475</t>
  </si>
  <si>
    <t>Material</t>
  </si>
  <si>
    <t>Reed canarygrass</t>
  </si>
  <si>
    <t>Latin name</t>
  </si>
  <si>
    <t>Phalaris arundinacea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</si>
  <si>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</si>
  <si>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</si>
  <si>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</si>
  <si>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</si>
  <si>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</si>
  <si>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Sample location</t>
  </si>
  <si>
    <t>Southwest Sweden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</si>
  <si>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</si>
  <si>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</si>
  <si>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</si>
  <si>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</si>
  <si>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</si>
  <si>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</si>
  <si>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</si>
  <si>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</si>
  <si>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</si>
  <si>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AgroVäst/ÄFAB 2006: Tillverkning av agropellets i små- ock lokala tillverkningsenheter (in Swedish).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</si>
  <si>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</si>
  <si>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</si>
  <si>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</si>
  <si>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</si>
  <si>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</si>
  <si>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</si>
  <si>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</si>
  <si>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</si>
  <si>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</si>
  <si>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</si>
  <si>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</si>
  <si>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</si>
  <si>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</si>
  <si>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</si>
  <si>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</si>
  <si>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</si>
  <si>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</si>
  <si>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AnalyCen, Lidköping</t>
  </si>
  <si>
    <t>CEN/TS 14774-1,2,3</t>
  </si>
  <si>
    <t>CEN/TS 14774-:2004 1 Solid biofuels - Methods for determination of moisture content - Oven dry method - Part 1: Total moisture - Reference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</si>
  <si>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</si>
  <si>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</si>
  <si>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</si>
  <si>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</si>
  <si>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</si>
  <si>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</si>
  <si>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</si>
  <si>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</si>
  <si>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</si>
  <si>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ASTM-D 5373</t>
  </si>
  <si>
    <t>Nitrogen</t>
  </si>
  <si>
    <t>Sulphur</t>
  </si>
  <si>
    <t>CEN/TS15289</t>
  </si>
  <si>
    <t>SS 18 71 77/ASTM D 4239 C</t>
  </si>
  <si>
    <t>Total (with halides)</t>
  </si>
  <si>
    <t>Calculated</t>
  </si>
  <si>
    <t>Halides</t>
  </si>
  <si>
    <t>Chlorine (Cl)</t>
  </si>
  <si>
    <t>mg/kg</t>
  </si>
  <si>
    <t>CEN/TS 15289</t>
  </si>
  <si>
    <t>ASTM-D 4208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</si>
  <si>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</si>
  <si>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</si>
  <si>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</si>
  <si>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</si>
  <si>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</si>
  <si>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</si>
  <si>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</si>
  <si>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</si>
  <si>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</si>
  <si>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</si>
  <si>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</si>
  <si>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&gt;1550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</si>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</sst>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11.4837522506714" customWidth="1"/>
    <col min="10" max="10" width="18.8621006011963" customWidth="1"/>
    <col min="11" max="11" width="132.61775207519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38886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38886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40165</v>
      </c>
    </row>
    <row r="18" outlineLevel="1">
      <c r="A18" s="7" t="s">
        <v>24</v>
      </c>
      <c r="B18" s="0" t="s">
        <v>25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9.4</v>
      </c>
      <c r="D25" s="13"/>
      <c r="E25" s="13"/>
      <c r="F25" s="13">
        <v>0</v>
      </c>
      <c r="G25" s="13"/>
      <c r="H25" s="0" t="s">
        <v>43</v>
      </c>
      <c r="I25" s="5">
        <v>38897</v>
      </c>
      <c r="J25" s="0" t="s">
        <v>44</v>
      </c>
      <c r="K25" s="0" t="s">
        <v>45</v>
      </c>
    </row>
    <row r="26" outlineLevel="2">
      <c r="A26" s="12" t="s">
        <v>46</v>
      </c>
      <c r="B26" s="0" t="s">
        <v>42</v>
      </c>
      <c r="C26" s="13">
        <f>IFERROR(4*(1-w),"")</f>
        <v>3.624</v>
      </c>
      <c r="D26" s="13">
        <v>4</v>
      </c>
      <c r="E26" s="13">
        <v/>
      </c>
      <c r="F26" s="13">
        <v>0</v>
      </c>
      <c r="G26" s="13"/>
      <c r="H26" s="0" t="s">
        <v>43</v>
      </c>
      <c r="I26" s="5">
        <v>38897</v>
      </c>
      <c r="J26" s="0" t="s">
        <v>47</v>
      </c>
      <c r="K26" s="0" t="s">
        <v>48</v>
      </c>
    </row>
    <row r="27" outlineLevel="1">
      <c r="A27" s="11" t="s">
        <v>49</v>
      </c>
      <c r="I27" s="5"/>
    </row>
    <row r="28" outlineLevel="2">
      <c r="A28" s="12" t="s">
        <v>50</v>
      </c>
      <c r="B28" s="0" t="s">
        <v>42</v>
      </c>
      <c r="C28" s="13">
        <f>IFERROR(47.6*(1-w),"")</f>
        <v>43.125600000000006</v>
      </c>
      <c r="D28" s="13">
        <v>47.6</v>
      </c>
      <c r="E28" s="13">
        <v>49.583333333333336</v>
      </c>
      <c r="F28" s="13">
        <v>0</v>
      </c>
      <c r="G28" s="13"/>
      <c r="H28" s="0" t="s">
        <v>43</v>
      </c>
      <c r="I28" s="5">
        <v>38897</v>
      </c>
      <c r="J28" s="0" t="s">
        <v>51</v>
      </c>
      <c r="K28" s="0" t="s">
        <v>52</v>
      </c>
    </row>
    <row r="29" outlineLevel="2">
      <c r="A29" s="12" t="s">
        <v>53</v>
      </c>
      <c r="B29" s="0" t="s">
        <v>42</v>
      </c>
      <c r="C29" s="13">
        <f>IFERROR(5.7*(1-w),"")</f>
        <v>5.1642</v>
      </c>
      <c r="D29" s="13">
        <v>5.7</v>
      </c>
      <c r="E29" s="13">
        <v>5.9375</v>
      </c>
      <c r="F29" s="13">
        <v>0</v>
      </c>
      <c r="G29" s="13"/>
      <c r="H29" s="0" t="s">
        <v>43</v>
      </c>
      <c r="I29" s="5">
        <v>38897</v>
      </c>
      <c r="J29" s="0" t="s">
        <v>51</v>
      </c>
      <c r="K29" s="0" t="s">
        <v>52</v>
      </c>
    </row>
    <row r="30" outlineLevel="2">
      <c r="A30" s="12" t="s">
        <v>54</v>
      </c>
      <c r="B30" s="0" t="s">
        <v>42</v>
      </c>
      <c r="C30" s="13">
        <f>IFERROR(41.9*(1-w),"")</f>
        <v>37.9614</v>
      </c>
      <c r="D30" s="13">
        <v>41.9</v>
      </c>
      <c r="E30" s="13">
        <v>43.645833333333336</v>
      </c>
      <c r="F30" s="13">
        <v>0</v>
      </c>
      <c r="G30" s="13"/>
      <c r="H30" s="0" t="s">
        <v>43</v>
      </c>
      <c r="I30" s="5">
        <v>38897</v>
      </c>
      <c r="K30" s="0" t="s">
        <v>55</v>
      </c>
    </row>
    <row r="31" outlineLevel="2">
      <c r="A31" s="12" t="s">
        <v>56</v>
      </c>
      <c r="B31" s="0" t="s">
        <v>42</v>
      </c>
      <c r="C31" s="13">
        <f>IFERROR(0.7*(1-w),"")</f>
        <v>0.6342</v>
      </c>
      <c r="D31" s="13">
        <v>0.7</v>
      </c>
      <c r="E31" s="13">
        <v>0.72916666666666663</v>
      </c>
      <c r="F31" s="13">
        <v>0</v>
      </c>
      <c r="G31" s="13"/>
      <c r="H31" s="0" t="s">
        <v>43</v>
      </c>
      <c r="I31" s="5">
        <v>38897</v>
      </c>
      <c r="J31" s="0" t="s">
        <v>51</v>
      </c>
      <c r="K31" s="0" t="s">
        <v>52</v>
      </c>
    </row>
    <row r="32" outlineLevel="2">
      <c r="A32" s="12" t="s">
        <v>57</v>
      </c>
      <c r="B32" s="0" t="s">
        <v>42</v>
      </c>
      <c r="C32" s="13">
        <f>IFERROR(0.08*(1-w),"")</f>
        <v>0.07248</v>
      </c>
      <c r="D32" s="13">
        <v>0.08</v>
      </c>
      <c r="E32" s="13">
        <v>0.083333333333333343</v>
      </c>
      <c r="F32" s="13">
        <v>0</v>
      </c>
      <c r="G32" s="13"/>
      <c r="H32" s="0" t="s">
        <v>43</v>
      </c>
      <c r="I32" s="5">
        <v>38897</v>
      </c>
      <c r="J32" s="0" t="s">
        <v>58</v>
      </c>
      <c r="K32" s="0" t="s">
        <v>59</v>
      </c>
    </row>
    <row r="33" outlineLevel="2">
      <c r="A33" s="12" t="s">
        <v>60</v>
      </c>
      <c r="B33" s="0" t="s">
        <v>42</v>
      </c>
      <c r="C33" s="13">
        <f>IFERROR(100.03*(1-w)+w*100,"")</f>
        <v>100.02718000000002</v>
      </c>
      <c r="D33" s="13">
        <v>100.03</v>
      </c>
      <c r="E33" s="13">
        <v>100.03125</v>
      </c>
      <c r="F33" s="13"/>
      <c r="G33" s="13"/>
      <c r="I33" s="5"/>
      <c r="J33" s="0" t="s">
        <v>61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4">
        <f>IFERROR(500*(1-w),"")</f>
        <v>453</v>
      </c>
      <c r="D35" s="14">
        <v>500</v>
      </c>
      <c r="E35" s="14">
        <v>520.83333333333337</v>
      </c>
      <c r="F35" s="14">
        <v>0</v>
      </c>
      <c r="G35" s="14"/>
      <c r="H35" s="0" t="s">
        <v>43</v>
      </c>
      <c r="I35" s="5">
        <v>38897</v>
      </c>
      <c r="J35" s="0" t="s">
        <v>65</v>
      </c>
      <c r="K35" s="0" t="s">
        <v>66</v>
      </c>
    </row>
    <row r="36" outlineLevel="1">
      <c r="A36" s="11" t="s">
        <v>67</v>
      </c>
      <c r="I36" s="5"/>
    </row>
    <row r="37" outlineLevel="2">
      <c r="A37" s="12" t="s">
        <v>68</v>
      </c>
      <c r="B37" s="0" t="s">
        <v>69</v>
      </c>
      <c r="C37" s="13">
        <f>IFERROR(17.84*(1-w)-w*2.443,"")</f>
        <v>15.933397999999999</v>
      </c>
      <c r="D37" s="13">
        <v>17.84</v>
      </c>
      <c r="E37" s="13">
        <v>18.583333333333332</v>
      </c>
      <c r="F37" s="13">
        <v>0</v>
      </c>
      <c r="G37" s="13"/>
      <c r="H37" s="0" t="s">
        <v>43</v>
      </c>
      <c r="I37" s="5">
        <v>38897</v>
      </c>
      <c r="J37" s="0" t="s">
        <v>70</v>
      </c>
      <c r="K37" s="0" t="s">
        <v>71</v>
      </c>
    </row>
    <row r="38" outlineLevel="2">
      <c r="A38" s="12" t="s">
        <v>72</v>
      </c>
      <c r="B38" s="0" t="s">
        <v>69</v>
      </c>
      <c r="C38" s="13">
        <f>IFERROR(19.015*(1-w),"")</f>
        <v>17.22759</v>
      </c>
      <c r="D38" s="13">
        <v>19.015</v>
      </c>
      <c r="E38" s="13">
        <v>19.807291666666668</v>
      </c>
      <c r="F38" s="13">
        <v>0</v>
      </c>
      <c r="G38" s="13"/>
      <c r="H38" s="0" t="s">
        <v>43</v>
      </c>
      <c r="I38" s="5">
        <v>38897</v>
      </c>
      <c r="K38" s="0" t="s">
        <v>71</v>
      </c>
    </row>
    <row r="39" outlineLevel="2">
      <c r="A39" s="12" t="s">
        <v>73</v>
      </c>
      <c r="B39" s="0" t="s">
        <v>69</v>
      </c>
      <c r="C39" s="13">
        <f>IFERROR(18.601736*(1-w),"")</f>
        <v>16.853172816000004</v>
      </c>
      <c r="D39" s="13">
        <v>18.601736000000002</v>
      </c>
      <c r="E39" s="13">
        <v>19.376808333333337</v>
      </c>
      <c r="F39" s="13"/>
      <c r="G39" s="13"/>
      <c r="I39" s="5"/>
      <c r="J39" s="0" t="s">
        <v>61</v>
      </c>
    </row>
    <row r="40" outlineLevel="1">
      <c r="A40" s="11" t="s">
        <v>74</v>
      </c>
      <c r="I40" s="5"/>
    </row>
    <row r="41" outlineLevel="2">
      <c r="A41" s="15" t="s">
        <v>75</v>
      </c>
      <c r="I41" s="5"/>
    </row>
    <row r="42" outlineLevel="3">
      <c r="A42" s="16" t="s">
        <v>76</v>
      </c>
      <c r="B42" s="0" t="s">
        <v>77</v>
      </c>
      <c r="C42" s="17" t="s">
        <v>78</v>
      </c>
      <c r="D42" s="17"/>
      <c r="E42" s="17"/>
      <c r="F42" s="17"/>
      <c r="G42" s="17"/>
      <c r="I42" s="5"/>
    </row>
    <row r="43" outlineLevel="3">
      <c r="A43" s="16" t="s">
        <v>79</v>
      </c>
      <c r="B43" s="0" t="s">
        <v>77</v>
      </c>
      <c r="C43" s="17">
        <v>1540</v>
      </c>
      <c r="D43" s="17"/>
      <c r="E43" s="17"/>
      <c r="F43" s="17"/>
      <c r="G43" s="17"/>
      <c r="I43" s="5"/>
    </row>
    <row r="44" outlineLevel="3">
      <c r="A44" s="16" t="s">
        <v>80</v>
      </c>
      <c r="B44" s="0" t="s">
        <v>77</v>
      </c>
      <c r="C44" s="17" t="s">
        <v>78</v>
      </c>
      <c r="D44" s="17"/>
      <c r="E44" s="17"/>
      <c r="F44" s="17"/>
      <c r="G44" s="17"/>
      <c r="I44" s="5"/>
    </row>
    <row r="45" outlineLevel="3">
      <c r="A45" s="16" t="s">
        <v>81</v>
      </c>
      <c r="B45" s="0" t="s">
        <v>77</v>
      </c>
      <c r="C45" s="17" t="s">
        <v>78</v>
      </c>
      <c r="D45" s="17"/>
      <c r="E45" s="17"/>
      <c r="F45" s="17"/>
      <c r="G45" s="17"/>
      <c r="I45" s="5"/>
    </row>
    <row r="46">
      <c r="I46" s="5"/>
    </row>
    <row r="47" s="1" customFormat="1"/>
  </sheetData>
  <mergeCells>
    <mergeCell ref="A8:A10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42:E42"/>
    <mergeCell ref="C43:E43"/>
    <mergeCell ref="C44:E44"/>
    <mergeCell ref="C45:E45"/>
  </mergeCells>
  <dataValidations count="1">
    <dataValidation type="decimal" sqref="C25" errorStyle="stop" promptTitle="Enter moisture content" errorTitle="Invalid moisture content" prompt="Value should be between 0 and 100.&#10;Original value: 9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https://phyllis.nl/Biomass/View/3475</dc:description>
  <dcterms:created xsi:type="dcterms:W3CDTF">2026-03-04T04:38:18Z</dcterms:created>
  <dc:title>Phyllis2 #3475 Reed canarygrass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