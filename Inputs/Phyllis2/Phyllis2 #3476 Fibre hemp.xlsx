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76 Fibre hemp" sheetId="1" r:id="rId1"/>
  </sheets>
  <definedNames>
    <definedName name="w" localSheetId="0">IF(ISBLANK('Phyllis2 #3476 Fibre hemp'!$C$27),#N/A,'Phyllis2 #3476 Fibre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<sst xmlns="http://schemas.openxmlformats.org/spreadsheetml/2006/main" count="86" uniqueCount="86">
  <si>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</si>
  <si>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https://phyllis.nl/Biomass/View/3476</t>
  </si>
  <si>
    <t>Fibre hemp (#3476)</t>
  </si>
  <si>
    <t>ID-number</t>
  </si>
  <si>
    <t>#3476</t>
  </si>
  <si>
    <t>Material</t>
  </si>
  <si>
    <t>Fibre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</si>
  <si>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</si>
  <si>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</si>
  <si>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</si>
  <si>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</si>
  <si>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</si>
  <si>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</si>
  <si>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</si>
  <si>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</si>
  <si>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</si>
  <si>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</si>
  <si>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</si>
  <si>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</si>
  <si>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Southwest Sweden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</si>
  <si>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</si>
  <si>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</si>
  <si>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</si>
  <si>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</si>
  <si>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</si>
  <si>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</si>
  <si>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</si>
  <si>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</si>
  <si>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</si>
  <si>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AgroVäst/ÄFAB 2006: Tillverkning av agropellets i små- ock lokala tillverkningsenheter (in Swedish).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</si>
  <si>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</si>
  <si>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</si>
  <si>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</si>
  <si>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</si>
  <si>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</si>
  <si>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</si>
  <si>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</si>
  <si>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</si>
  <si>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</si>
  <si>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</si>
  <si>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</si>
  <si>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</si>
  <si>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</si>
  <si>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</si>
  <si>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</si>
  <si>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</si>
  <si>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</si>
  <si>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AnalyCen, Lidköping</t>
  </si>
  <si>
    <t>CEN/TS 14774-1,2,3</t>
  </si>
  <si>
    <t>CEN/TS 14774-:2004 1 Solid biofuels - Methods for determination of moisture content - Oven dry method - Part 1: Total moisture - Reference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</si>
  <si>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</si>
  <si>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</si>
  <si>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</si>
  <si>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</si>
  <si>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</si>
  <si>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</si>
  <si>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</si>
  <si>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</si>
  <si>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</si>
  <si>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ASTM-D 5373</t>
  </si>
  <si>
    <t>Nitrogen</t>
  </si>
  <si>
    <t>Sulphur</t>
  </si>
  <si>
    <t>CEN/TS15289</t>
  </si>
  <si>
    <t>SS 18 71 77/ASTM D 4239 C</t>
  </si>
  <si>
    <t>Total (with halides)</t>
  </si>
  <si>
    <t>Calculated</t>
  </si>
  <si>
    <t>Halides</t>
  </si>
  <si>
    <t>Chlorine (Cl)</t>
  </si>
  <si>
    <t>mg/kg (dry)</t>
  </si>
  <si>
    <t>&lt;100</t>
  </si>
  <si>
    <t>CEN/TS 15289</t>
  </si>
  <si>
    <t>ASTM-D 4208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</si>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</sst>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11.4837522506714" customWidth="1"/>
    <col min="10" max="10" width="18.8621006011963" customWidth="1"/>
    <col min="11" max="11" width="132.61775207519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38876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38876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40165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9.3</v>
      </c>
      <c r="D27" s="13"/>
      <c r="E27" s="13"/>
      <c r="F27" s="13">
        <v>0</v>
      </c>
      <c r="G27" s="13"/>
      <c r="H27" s="0" t="s">
        <v>47</v>
      </c>
      <c r="I27" s="5">
        <v>38890</v>
      </c>
      <c r="J27" s="0" t="s">
        <v>48</v>
      </c>
      <c r="K27" s="0" t="s">
        <v>49</v>
      </c>
    </row>
    <row r="28" outlineLevel="2">
      <c r="A28" s="12" t="s">
        <v>50</v>
      </c>
      <c r="B28" s="0" t="s">
        <v>46</v>
      </c>
      <c r="C28" s="13">
        <f>IFERROR(1.4*(1-w),"")</f>
        <v>1.2698</v>
      </c>
      <c r="D28" s="13">
        <v>1.4</v>
      </c>
      <c r="E28" s="13">
        <v/>
      </c>
      <c r="F28" s="13">
        <v>0</v>
      </c>
      <c r="G28" s="13"/>
      <c r="H28" s="0" t="s">
        <v>47</v>
      </c>
      <c r="I28" s="5">
        <v>38890</v>
      </c>
      <c r="J28" s="0" t="s">
        <v>51</v>
      </c>
      <c r="K28" s="0" t="s">
        <v>52</v>
      </c>
    </row>
    <row r="29" outlineLevel="1">
      <c r="A29" s="11" t="s">
        <v>53</v>
      </c>
      <c r="I29" s="5"/>
    </row>
    <row r="30" outlineLevel="2">
      <c r="A30" s="12" t="s">
        <v>54</v>
      </c>
      <c r="B30" s="0" t="s">
        <v>46</v>
      </c>
      <c r="C30" s="13">
        <f>IFERROR(47.3*(1-w),"")</f>
        <v>42.9011</v>
      </c>
      <c r="D30" s="13">
        <v>47.3</v>
      </c>
      <c r="E30" s="13">
        <v>47.971602434077077</v>
      </c>
      <c r="F30" s="13">
        <v>0</v>
      </c>
      <c r="G30" s="13"/>
      <c r="H30" s="0" t="s">
        <v>47</v>
      </c>
      <c r="I30" s="5">
        <v>38890</v>
      </c>
      <c r="J30" s="0" t="s">
        <v>55</v>
      </c>
      <c r="K30" s="0" t="s">
        <v>56</v>
      </c>
    </row>
    <row r="31" outlineLevel="2">
      <c r="A31" s="12" t="s">
        <v>57</v>
      </c>
      <c r="B31" s="0" t="s">
        <v>46</v>
      </c>
      <c r="C31" s="13">
        <f>IFERROR(6*(1-w),"")</f>
        <v>5.442</v>
      </c>
      <c r="D31" s="13">
        <v>6</v>
      </c>
      <c r="E31" s="13">
        <v>6.0851926977687629</v>
      </c>
      <c r="F31" s="13">
        <v>0</v>
      </c>
      <c r="G31" s="13"/>
      <c r="H31" s="0" t="s">
        <v>47</v>
      </c>
      <c r="I31" s="5">
        <v>38890</v>
      </c>
      <c r="J31" s="0" t="s">
        <v>55</v>
      </c>
      <c r="K31" s="0" t="s">
        <v>56</v>
      </c>
    </row>
    <row r="32" outlineLevel="2">
      <c r="A32" s="12" t="s">
        <v>58</v>
      </c>
      <c r="B32" s="0" t="s">
        <v>46</v>
      </c>
      <c r="C32" s="13">
        <f>IFERROR(44.8*(1-w),"")</f>
        <v>40.6336</v>
      </c>
      <c r="D32" s="13">
        <v>44.8</v>
      </c>
      <c r="E32" s="13">
        <v>45.436105476673426</v>
      </c>
      <c r="F32" s="13">
        <v>0</v>
      </c>
      <c r="G32" s="13"/>
      <c r="H32" s="0" t="s">
        <v>47</v>
      </c>
      <c r="I32" s="5">
        <v>38890</v>
      </c>
      <c r="K32" s="0" t="s">
        <v>59</v>
      </c>
    </row>
    <row r="33" outlineLevel="2">
      <c r="A33" s="12" t="s">
        <v>60</v>
      </c>
      <c r="B33" s="0" t="s">
        <v>46</v>
      </c>
      <c r="C33" s="13">
        <f>IFERROR(0.4*(1-w),"")</f>
        <v>0.3628</v>
      </c>
      <c r="D33" s="13">
        <v>0.4</v>
      </c>
      <c r="E33" s="13">
        <v>0.40567951318458423</v>
      </c>
      <c r="F33" s="13">
        <v>0</v>
      </c>
      <c r="G33" s="13"/>
      <c r="H33" s="0" t="s">
        <v>47</v>
      </c>
      <c r="I33" s="5">
        <v>38890</v>
      </c>
      <c r="J33" s="0" t="s">
        <v>55</v>
      </c>
      <c r="K33" s="0" t="s">
        <v>56</v>
      </c>
    </row>
    <row r="34" outlineLevel="2">
      <c r="A34" s="12" t="s">
        <v>61</v>
      </c>
      <c r="B34" s="0" t="s">
        <v>46</v>
      </c>
      <c r="C34" s="13">
        <f>IFERROR(0.04*(1-w),"")</f>
        <v>0.03628</v>
      </c>
      <c r="D34" s="13">
        <v>0.04</v>
      </c>
      <c r="E34" s="13">
        <v>0.040567951318458417</v>
      </c>
      <c r="F34" s="13">
        <v>0</v>
      </c>
      <c r="G34" s="13"/>
      <c r="H34" s="0" t="s">
        <v>47</v>
      </c>
      <c r="I34" s="5">
        <v>38890</v>
      </c>
      <c r="J34" s="0" t="s">
        <v>62</v>
      </c>
      <c r="K34" s="0" t="s">
        <v>63</v>
      </c>
    </row>
    <row r="35" outlineLevel="2">
      <c r="A35" s="12" t="s">
        <v>64</v>
      </c>
      <c r="B35" s="0" t="s">
        <v>46</v>
      </c>
      <c r="C35" s="13">
        <f>IFERROR(99.94*(1-w)+w*100,"")</f>
        <v>99.94558</v>
      </c>
      <c r="D35" s="13">
        <v>99.940000000000012</v>
      </c>
      <c r="E35" s="13">
        <v>99.939148073022324</v>
      </c>
      <c r="F35" s="13"/>
      <c r="G35" s="13"/>
      <c r="I35" s="5"/>
      <c r="J35" s="0" t="s">
        <v>65</v>
      </c>
    </row>
    <row r="36" outlineLevel="1">
      <c r="A36" s="11" t="s">
        <v>66</v>
      </c>
      <c r="I36" s="5"/>
    </row>
    <row r="37" outlineLevel="2">
      <c r="A37" s="12" t="s">
        <v>67</v>
      </c>
      <c r="B37" s="0" t="s">
        <v>68</v>
      </c>
      <c r="C37" s="14" t="s">
        <v>69</v>
      </c>
      <c r="D37" s="14"/>
      <c r="E37" s="14"/>
      <c r="F37" s="14">
        <v>0</v>
      </c>
      <c r="G37" s="14"/>
      <c r="H37" s="0" t="s">
        <v>47</v>
      </c>
      <c r="I37" s="5">
        <v>38890</v>
      </c>
      <c r="J37" s="0" t="s">
        <v>70</v>
      </c>
      <c r="K37" s="0" t="s">
        <v>71</v>
      </c>
    </row>
    <row r="38" outlineLevel="1">
      <c r="A38" s="11" t="s">
        <v>72</v>
      </c>
      <c r="I38" s="5"/>
    </row>
    <row r="39" outlineLevel="2">
      <c r="A39" s="12" t="s">
        <v>73</v>
      </c>
      <c r="B39" s="0" t="s">
        <v>74</v>
      </c>
      <c r="C39" s="13">
        <f>IFERROR(17.559*(1-w)-w*2.443,"")</f>
        <v>15.698814</v>
      </c>
      <c r="D39" s="13">
        <v>17.559</v>
      </c>
      <c r="E39" s="13">
        <v>17.808316430020284</v>
      </c>
      <c r="F39" s="13">
        <v>0</v>
      </c>
      <c r="G39" s="13"/>
      <c r="H39" s="0" t="s">
        <v>47</v>
      </c>
      <c r="I39" s="5">
        <v>38890</v>
      </c>
      <c r="J39" s="0" t="s">
        <v>75</v>
      </c>
      <c r="K39" s="0" t="s">
        <v>76</v>
      </c>
    </row>
    <row r="40" outlineLevel="2">
      <c r="A40" s="12" t="s">
        <v>77</v>
      </c>
      <c r="B40" s="0" t="s">
        <v>74</v>
      </c>
      <c r="C40" s="13">
        <f>IFERROR(18.789*(1-w),"")</f>
        <v>17.041623</v>
      </c>
      <c r="D40" s="13">
        <v>18.789</v>
      </c>
      <c r="E40" s="13">
        <v>19.055780933062881</v>
      </c>
      <c r="F40" s="13">
        <v>0</v>
      </c>
      <c r="G40" s="13"/>
      <c r="H40" s="0" t="s">
        <v>47</v>
      </c>
      <c r="I40" s="5">
        <v>38890</v>
      </c>
      <c r="K40" s="0" t="s">
        <v>76</v>
      </c>
    </row>
    <row r="41" outlineLevel="2">
      <c r="A41" s="12" t="s">
        <v>78</v>
      </c>
      <c r="B41" s="0" t="s">
        <v>74</v>
      </c>
      <c r="C41" s="13">
        <f>IFERROR(18.61892388*(1-w),"")</f>
        <v>16.88736395916</v>
      </c>
      <c r="D41" s="13">
        <v>18.61892388</v>
      </c>
      <c r="E41" s="13">
        <v>18.883289939148074</v>
      </c>
      <c r="F41" s="13"/>
      <c r="G41" s="13"/>
      <c r="I41" s="5"/>
      <c r="J41" s="0" t="s">
        <v>65</v>
      </c>
    </row>
    <row r="42" outlineLevel="1">
      <c r="A42" s="11" t="s">
        <v>79</v>
      </c>
      <c r="I42" s="5"/>
    </row>
    <row r="43" outlineLevel="2">
      <c r="A43" s="15" t="s">
        <v>80</v>
      </c>
      <c r="I43" s="5"/>
    </row>
    <row r="44" outlineLevel="3">
      <c r="A44" s="16" t="s">
        <v>81</v>
      </c>
      <c r="B44" s="0" t="s">
        <v>82</v>
      </c>
      <c r="C44" s="17">
        <v>1550</v>
      </c>
      <c r="D44" s="17"/>
      <c r="E44" s="17"/>
      <c r="F44" s="17"/>
      <c r="G44" s="17"/>
      <c r="I44" s="5"/>
    </row>
    <row r="45" outlineLevel="3">
      <c r="A45" s="16" t="s">
        <v>83</v>
      </c>
      <c r="B45" s="0" t="s">
        <v>82</v>
      </c>
      <c r="C45" s="17">
        <v>1550</v>
      </c>
      <c r="D45" s="17"/>
      <c r="E45" s="17"/>
      <c r="F45" s="17"/>
      <c r="G45" s="17"/>
      <c r="I45" s="5"/>
    </row>
    <row r="46" outlineLevel="3">
      <c r="A46" s="16" t="s">
        <v>84</v>
      </c>
      <c r="B46" s="0" t="s">
        <v>82</v>
      </c>
      <c r="C46" s="17">
        <v>1550</v>
      </c>
      <c r="D46" s="17"/>
      <c r="E46" s="17"/>
      <c r="F46" s="17"/>
      <c r="G46" s="17"/>
      <c r="I46" s="5"/>
    </row>
    <row r="47" outlineLevel="3">
      <c r="A47" s="16" t="s">
        <v>85</v>
      </c>
      <c r="B47" s="0" t="s">
        <v>82</v>
      </c>
      <c r="C47" s="17">
        <v>1550</v>
      </c>
      <c r="D47" s="17"/>
      <c r="E47" s="17"/>
      <c r="F47" s="17"/>
      <c r="G47" s="17"/>
      <c r="I47" s="5"/>
    </row>
    <row r="48">
      <c r="I48" s="5"/>
    </row>
    <row r="49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37:E37"/>
    <mergeCell ref="C44:E44"/>
    <mergeCell ref="C45:E45"/>
    <mergeCell ref="C46:E46"/>
    <mergeCell ref="C47:E47"/>
  </mergeCells>
  <dataValidations count="1">
    <dataValidation type="decimal" sqref="C27" errorStyle="stop" promptTitle="Enter moisture content" errorTitle="Invalid moisture content" prompt="Value should be between 0 and 100.&#10;Original value: 9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https://phyllis.nl/Biomass/View/3476</dc:description>
  <dcterms:created xsi:type="dcterms:W3CDTF">2026-03-04T04:05:56Z</dcterms:created>
  <dc:title>Phyllis2 #3476 Fibre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