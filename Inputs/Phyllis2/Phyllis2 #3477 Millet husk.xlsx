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477 Millet husk" sheetId="1" r:id="rId1"/>
  </sheets>
  <definedNames>
    <definedName name="w" localSheetId="0">IF(ISBLANK('Phyllis2 #3477 Millet husk'!$C$23),#N/A,'Phyllis2 #3477 Millet husk'!$C$23/100)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<sst xmlns="http://schemas.openxmlformats.org/spreadsheetml/2006/main" count="76" uniqueCount="76">
  <si>
    <t>Phyllis2</t>
  </si>
  <si>
    <t>https://phyllis.nl/Biomass/View/3477</t>
  </si>
  <si>
    <t>Millet husk (#3477)</t>
  </si>
  <si>
    <t>ID-number</t>
  </si>
  <si>
    <t>#3477</t>
  </si>
  <si>
    <t>Material</t>
  </si>
  <si>
    <t>Millet husk</t>
  </si>
  <si>
    <t>Description</t>
  </si>
  <si>
    <t>Classification</t>
  </si>
  <si>
    <t>CEN/TS 14961 classification &gt; Solid biofuels &gt; Herbaceous biomass &gt; Agriculture and Horticulture herb &gt; Cereal crops &gt; Husks or shells</t>
  </si>
  <si>
    <t>ECN Phyllis classification &gt; husk/shell/pit &gt; others</t>
  </si>
  <si>
    <t>NTA 8003 classification &gt; [500] biomassa uit de industrie &gt; [520] schillen/vliezen/pitten &gt; [529] overige schillen/vliezen/pitten</t>
  </si>
  <si>
    <t>Sample date</t>
  </si>
  <si>
    <t>Production date</t>
  </si>
  <si>
    <t>Submitter</t>
  </si>
  <si>
    <t>SLU; Nilsson, T.</t>
  </si>
  <si>
    <t>Submitter organisation</t>
  </si>
  <si>
    <t>ECN (Netherlands)</t>
  </si>
  <si>
    <t>Submission date</t>
  </si>
  <si>
    <t>Literature</t>
  </si>
  <si>
    <t>AgroVäst/ÄFAB 2006: Tillverkning av agropellets i små- ock lokala tillverkningsenheter (in Swedish).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</si>
  <si>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</si>
  <si>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</si>
  <si>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</si>
  <si>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</si>
  <si>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</si>
  <si>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</si>
  <si>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</si>
  <si>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</si>
  <si>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</si>
  <si>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</si>
  <si>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</si>
  <si>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</si>
  <si>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</si>
  <si>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</si>
  <si>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</si>
  <si>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</si>
  <si>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</si>
  <si>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AnalyCen, Lidköping</t>
  </si>
  <si>
    <t>CEN/TS 14774-1,2,3</t>
  </si>
  <si>
    <t>CEN/TS 14774-:2004 1 Solid biofuels - Methods for determination of moisture content - Oven dry method - Part 1: Total moisture - Reference method</t>
  </si>
  <si>
    <t>Ash content at 550°C</t>
  </si>
  <si>
    <t>CEN/TS 14775</t>
  </si>
  <si>
    <t>CEN/TS 14775 2004 Solid biofuels - Method for the determination of ash content</t>
  </si>
  <si>
    <t>Ultimate analysis (macroelements)</t>
  </si>
  <si>
    <t>Carbon</t>
  </si>
  <si>
    <t>CEN/TS 15104</t>
  </si>
  <si>
    <t>CEN/TS 15104:2005 Solid biofuels - Determination of total content of carbon, hydrogen and nitrogen - Instrumental methods</t>
  </si>
  <si>
    <t>Hydrogen</t>
  </si>
  <si>
    <t>Oxygen</t>
  </si>
  <si>
    <t>ASTM-D 5373</t>
  </si>
  <si>
    <t>Nitrogen</t>
  </si>
  <si>
    <t>Sulphur</t>
  </si>
  <si>
    <t>CEN/TS15289</t>
  </si>
  <si>
    <t>SS 18 71 77/ASTM D 4239 C</t>
  </si>
  <si>
    <t>Total (with halides)</t>
  </si>
  <si>
    <t>Calculated</t>
  </si>
  <si>
    <t>Halides</t>
  </si>
  <si>
    <t>Chlorine (Cl)</t>
  </si>
  <si>
    <t>mg/kg</t>
  </si>
  <si>
    <t>CEN/TS 15289</t>
  </si>
  <si>
    <t>ASTM-D 4208</t>
  </si>
  <si>
    <t>Heating value</t>
  </si>
  <si>
    <t>Net calorific value (LHV)</t>
  </si>
  <si>
    <t>MJ/kg</t>
  </si>
  <si>
    <t>CEN/TS 14918</t>
  </si>
  <si>
    <t>ISO 1928</t>
  </si>
  <si>
    <t>Gross calorific value (HHV)</t>
  </si>
  <si>
    <t>HHVMilne</t>
  </si>
  <si>
    <t>Ash melting behaviour</t>
  </si>
  <si>
    <t>European standard method</t>
  </si>
  <si>
    <t>SH (shrinkage temperature)</t>
  </si>
  <si>
    <t>°C</t>
  </si>
  <si>
    <t>DEF (deformation temperature)</t>
  </si>
  <si>
    <t>HE (hemispherical temperature)</t>
  </si>
  <si>
    <t>FL (flow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</si>
</sst>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47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19.1188907623291" customWidth="1"/>
    <col min="9" max="9" width="11.4837522506714" customWidth="1"/>
    <col min="10" max="10" width="18.8621006011963" customWidth="1"/>
    <col min="11" max="11" width="132.61775207519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6</v>
      </c>
    </row>
    <row r="8" outlineLevel="1">
      <c r="A8" s="8" t="s">
        <v>8</v>
      </c>
      <c r="B8" s="0" t="s">
        <v>9</v>
      </c>
    </row>
    <row r="9" outlineLevel="1">
      <c r="A9" s="8"/>
      <c r="B9" s="0" t="s">
        <v>10</v>
      </c>
    </row>
    <row r="10" outlineLevel="1">
      <c r="A10" s="8"/>
      <c r="B10" s="0" t="s">
        <v>11</v>
      </c>
    </row>
    <row r="11" outlineLevel="1">
      <c r="A11" s="7" t="s">
        <v>12</v>
      </c>
      <c r="B11" s="6">
        <v>39092</v>
      </c>
    </row>
    <row r="12" outlineLevel="1">
      <c r="A12" s="7" t="s">
        <v>13</v>
      </c>
      <c r="B12" s="6">
        <v>39092</v>
      </c>
    </row>
    <row r="13" outlineLevel="1">
      <c r="A13" s="7" t="s">
        <v>14</v>
      </c>
      <c r="B13" s="0" t="s">
        <v>15</v>
      </c>
    </row>
    <row r="14" outlineLevel="1">
      <c r="A14" s="7" t="s">
        <v>16</v>
      </c>
      <c r="B14" s="0" t="s">
        <v>17</v>
      </c>
    </row>
    <row r="15" outlineLevel="1">
      <c r="A15" s="7" t="s">
        <v>18</v>
      </c>
      <c r="B15" s="6">
        <v>40165</v>
      </c>
    </row>
    <row r="16" outlineLevel="1">
      <c r="A16" s="7" t="s">
        <v>19</v>
      </c>
      <c r="B16" s="0" t="s">
        <v>20</v>
      </c>
    </row>
    <row r="17">
      <c r="A17" s="7"/>
    </row>
    <row r="18" s="1" customFormat="1">
      <c r="A18" s="9" t="s">
        <v>21</v>
      </c>
    </row>
    <row r="19" s="1" customFormat="1">
      <c r="A19" s="10" t="s">
        <v>22</v>
      </c>
      <c r="B19" s="10" t="s">
        <v>23</v>
      </c>
      <c r="C19" s="10" t="s">
        <v>24</v>
      </c>
      <c r="D19" s="10"/>
      <c r="E19" s="10"/>
      <c r="F19" s="10" t="s">
        <v>25</v>
      </c>
      <c r="G19" s="10" t="s">
        <v>26</v>
      </c>
      <c r="H19" s="10" t="s">
        <v>27</v>
      </c>
      <c r="I19" s="10" t="s">
        <v>28</v>
      </c>
      <c r="J19" s="10" t="s">
        <v>29</v>
      </c>
      <c r="K19" s="10" t="s">
        <v>30</v>
      </c>
      <c r="L19" s="10"/>
    </row>
    <row r="20" s="1" customFormat="1">
      <c r="A20" s="10"/>
      <c r="B20" s="10"/>
      <c r="C20" s="10" t="s">
        <v>31</v>
      </c>
      <c r="D20" s="10" t="s">
        <v>32</v>
      </c>
      <c r="E20" s="10" t="s">
        <v>33</v>
      </c>
      <c r="F20" s="10"/>
      <c r="G20" s="10"/>
      <c r="H20" s="10"/>
      <c r="I20" s="10"/>
      <c r="J20" s="10"/>
      <c r="K20" s="10"/>
      <c r="L20" s="10"/>
    </row>
    <row r="21">
      <c r="A21" s="7" t="s">
        <v>34</v>
      </c>
      <c r="I21" s="5"/>
    </row>
    <row r="22" outlineLevel="1">
      <c r="A22" s="11" t="s">
        <v>35</v>
      </c>
      <c r="I22" s="5"/>
    </row>
    <row r="23" outlineLevel="2">
      <c r="A23" s="12" t="s">
        <v>36</v>
      </c>
      <c r="B23" s="0" t="s">
        <v>37</v>
      </c>
      <c r="C23" s="13">
        <v>9</v>
      </c>
      <c r="D23" s="13"/>
      <c r="E23" s="13"/>
      <c r="F23" s="13">
        <v>0</v>
      </c>
      <c r="G23" s="13"/>
      <c r="H23" s="0" t="s">
        <v>38</v>
      </c>
      <c r="I23" s="5">
        <v>39104</v>
      </c>
      <c r="J23" s="0" t="s">
        <v>39</v>
      </c>
      <c r="K23" s="0" t="s">
        <v>40</v>
      </c>
    </row>
    <row r="24" outlineLevel="2">
      <c r="A24" s="12" t="s">
        <v>41</v>
      </c>
      <c r="B24" s="0" t="s">
        <v>37</v>
      </c>
      <c r="C24" s="13">
        <f>IFERROR(8.9*(1-w),"")</f>
        <v>8.099</v>
      </c>
      <c r="D24" s="13">
        <v>8.9</v>
      </c>
      <c r="E24" s="13">
        <v/>
      </c>
      <c r="F24" s="13">
        <v>0</v>
      </c>
      <c r="G24" s="13"/>
      <c r="H24" s="0" t="s">
        <v>38</v>
      </c>
      <c r="I24" s="5">
        <v>39104</v>
      </c>
      <c r="J24" s="0" t="s">
        <v>42</v>
      </c>
      <c r="K24" s="0" t="s">
        <v>43</v>
      </c>
    </row>
    <row r="25" outlineLevel="1">
      <c r="A25" s="11" t="s">
        <v>44</v>
      </c>
      <c r="I25" s="5"/>
    </row>
    <row r="26" outlineLevel="2">
      <c r="A26" s="12" t="s">
        <v>45</v>
      </c>
      <c r="B26" s="0" t="s">
        <v>37</v>
      </c>
      <c r="C26" s="13">
        <f>IFERROR(47*(1-w),"")</f>
        <v>42.77</v>
      </c>
      <c r="D26" s="13">
        <v>47</v>
      </c>
      <c r="E26" s="13">
        <v>51.591657519209654</v>
      </c>
      <c r="F26" s="13">
        <v>0</v>
      </c>
      <c r="G26" s="13"/>
      <c r="H26" s="0" t="s">
        <v>38</v>
      </c>
      <c r="I26" s="5">
        <v>39104</v>
      </c>
      <c r="J26" s="0" t="s">
        <v>46</v>
      </c>
      <c r="K26" s="0" t="s">
        <v>47</v>
      </c>
    </row>
    <row r="27" outlineLevel="2">
      <c r="A27" s="12" t="s">
        <v>48</v>
      </c>
      <c r="B27" s="0" t="s">
        <v>37</v>
      </c>
      <c r="C27" s="13">
        <f>IFERROR(5.8*(1-w),"")</f>
        <v>5.278</v>
      </c>
      <c r="D27" s="13">
        <v>5.8</v>
      </c>
      <c r="E27" s="13">
        <v>6.3666300768386384</v>
      </c>
      <c r="F27" s="13">
        <v>0</v>
      </c>
      <c r="G27" s="13"/>
      <c r="H27" s="0" t="s">
        <v>38</v>
      </c>
      <c r="I27" s="5">
        <v>39104</v>
      </c>
      <c r="J27" s="0" t="s">
        <v>46</v>
      </c>
      <c r="K27" s="0" t="s">
        <v>47</v>
      </c>
    </row>
    <row r="28" outlineLevel="2">
      <c r="A28" s="12" t="s">
        <v>49</v>
      </c>
      <c r="B28" s="0" t="s">
        <v>37</v>
      </c>
      <c r="C28" s="13">
        <f>IFERROR(37*(1-w),"")</f>
        <v>33.67</v>
      </c>
      <c r="D28" s="13">
        <v>37</v>
      </c>
      <c r="E28" s="13">
        <v>40.614709110867175</v>
      </c>
      <c r="F28" s="13">
        <v>0</v>
      </c>
      <c r="G28" s="13"/>
      <c r="H28" s="0" t="s">
        <v>38</v>
      </c>
      <c r="I28" s="5">
        <v>39104</v>
      </c>
      <c r="K28" s="0" t="s">
        <v>50</v>
      </c>
    </row>
    <row r="29" outlineLevel="2">
      <c r="A29" s="12" t="s">
        <v>51</v>
      </c>
      <c r="B29" s="0" t="s">
        <v>37</v>
      </c>
      <c r="C29" s="13">
        <f>IFERROR(1.2*(1-w),"")</f>
        <v>1.092</v>
      </c>
      <c r="D29" s="13">
        <v>1.2</v>
      </c>
      <c r="E29" s="13">
        <v>1.3172338090010975</v>
      </c>
      <c r="F29" s="13">
        <v>0</v>
      </c>
      <c r="G29" s="13"/>
      <c r="H29" s="0" t="s">
        <v>38</v>
      </c>
      <c r="I29" s="5">
        <v>39104</v>
      </c>
      <c r="J29" s="0" t="s">
        <v>46</v>
      </c>
      <c r="K29" s="0" t="s">
        <v>47</v>
      </c>
    </row>
    <row r="30" outlineLevel="2">
      <c r="A30" s="12" t="s">
        <v>52</v>
      </c>
      <c r="B30" s="0" t="s">
        <v>37</v>
      </c>
      <c r="C30" s="13">
        <f>IFERROR(0.11*(1-w),"")</f>
        <v>0.10010000000000001</v>
      </c>
      <c r="D30" s="13">
        <v>0.11</v>
      </c>
      <c r="E30" s="13">
        <v>0.12074643249176728</v>
      </c>
      <c r="F30" s="13">
        <v>0</v>
      </c>
      <c r="G30" s="13"/>
      <c r="H30" s="0" t="s">
        <v>38</v>
      </c>
      <c r="I30" s="5">
        <v>39104</v>
      </c>
      <c r="J30" s="0" t="s">
        <v>53</v>
      </c>
      <c r="K30" s="0" t="s">
        <v>54</v>
      </c>
    </row>
    <row r="31" outlineLevel="2">
      <c r="A31" s="12" t="s">
        <v>55</v>
      </c>
      <c r="B31" s="0" t="s">
        <v>37</v>
      </c>
      <c r="C31" s="13">
        <f>IFERROR(100.04*(1-w)+w*100,"")</f>
        <v>100.03640000000001</v>
      </c>
      <c r="D31" s="13">
        <v>100.04</v>
      </c>
      <c r="E31" s="13">
        <v>100.04390779363337</v>
      </c>
      <c r="F31" s="13"/>
      <c r="G31" s="13"/>
      <c r="I31" s="5"/>
      <c r="J31" s="0" t="s">
        <v>56</v>
      </c>
    </row>
    <row r="32" outlineLevel="1">
      <c r="A32" s="11" t="s">
        <v>57</v>
      </c>
      <c r="I32" s="5"/>
    </row>
    <row r="33" outlineLevel="2">
      <c r="A33" s="12" t="s">
        <v>58</v>
      </c>
      <c r="B33" s="0" t="s">
        <v>59</v>
      </c>
      <c r="C33" s="14">
        <f>IFERROR(300*(1-w),"")</f>
        <v>273</v>
      </c>
      <c r="D33" s="14">
        <v>300</v>
      </c>
      <c r="E33" s="14">
        <v>329.3084522502744</v>
      </c>
      <c r="F33" s="14">
        <v>0</v>
      </c>
      <c r="G33" s="14"/>
      <c r="H33" s="0" t="s">
        <v>38</v>
      </c>
      <c r="I33" s="5">
        <v>39104</v>
      </c>
      <c r="J33" s="0" t="s">
        <v>60</v>
      </c>
      <c r="K33" s="0" t="s">
        <v>61</v>
      </c>
    </row>
    <row r="34" outlineLevel="1">
      <c r="A34" s="11" t="s">
        <v>62</v>
      </c>
      <c r="I34" s="5"/>
    </row>
    <row r="35" outlineLevel="2">
      <c r="A35" s="12" t="s">
        <v>63</v>
      </c>
      <c r="B35" s="0" t="s">
        <v>64</v>
      </c>
      <c r="C35" s="13">
        <f>IFERROR(17.914*(1-w)-w*2.443,"")</f>
        <v>16.081870000000002</v>
      </c>
      <c r="D35" s="13">
        <v>17.914</v>
      </c>
      <c r="E35" s="13">
        <v>19.664105378704722</v>
      </c>
      <c r="F35" s="13">
        <v>0</v>
      </c>
      <c r="G35" s="13"/>
      <c r="H35" s="0" t="s">
        <v>38</v>
      </c>
      <c r="I35" s="5">
        <v>39104</v>
      </c>
      <c r="J35" s="0" t="s">
        <v>65</v>
      </c>
      <c r="K35" s="0" t="s">
        <v>66</v>
      </c>
    </row>
    <row r="36" outlineLevel="2">
      <c r="A36" s="12" t="s">
        <v>67</v>
      </c>
      <c r="B36" s="0" t="s">
        <v>64</v>
      </c>
      <c r="C36" s="13">
        <f>IFERROR(19.116*(1-w),"")</f>
        <v>17.39556</v>
      </c>
      <c r="D36" s="13">
        <v>19.116</v>
      </c>
      <c r="E36" s="13">
        <v>20.983534577387484</v>
      </c>
      <c r="F36" s="13">
        <v>0</v>
      </c>
      <c r="G36" s="13"/>
      <c r="H36" s="0" t="s">
        <v>38</v>
      </c>
      <c r="I36" s="5">
        <v>39104</v>
      </c>
      <c r="K36" s="0" t="s">
        <v>66</v>
      </c>
    </row>
    <row r="37" outlineLevel="2">
      <c r="A37" s="12" t="s">
        <v>68</v>
      </c>
      <c r="B37" s="0" t="s">
        <v>64</v>
      </c>
      <c r="C37" s="13">
        <f>IFERROR(18.99409513*(1-w),"")</f>
        <v>17.284626568300002</v>
      </c>
      <c r="D37" s="13">
        <v>18.99409513</v>
      </c>
      <c r="E37" s="13">
        <v>20.849720230515917</v>
      </c>
      <c r="F37" s="13"/>
      <c r="G37" s="13"/>
      <c r="I37" s="5"/>
      <c r="J37" s="0" t="s">
        <v>56</v>
      </c>
    </row>
    <row r="38" outlineLevel="1">
      <c r="A38" s="11" t="s">
        <v>69</v>
      </c>
      <c r="I38" s="5"/>
    </row>
    <row r="39" outlineLevel="2">
      <c r="A39" s="15" t="s">
        <v>70</v>
      </c>
      <c r="I39" s="5"/>
    </row>
    <row r="40" outlineLevel="3">
      <c r="A40" s="16" t="s">
        <v>71</v>
      </c>
      <c r="B40" s="0" t="s">
        <v>72</v>
      </c>
      <c r="C40" s="17">
        <v>1360</v>
      </c>
      <c r="D40" s="17"/>
      <c r="E40" s="17"/>
      <c r="F40" s="17"/>
      <c r="G40" s="17"/>
      <c r="I40" s="5"/>
    </row>
    <row r="41" outlineLevel="3">
      <c r="A41" s="16" t="s">
        <v>73</v>
      </c>
      <c r="B41" s="0" t="s">
        <v>72</v>
      </c>
      <c r="C41" s="17">
        <v>1340</v>
      </c>
      <c r="D41" s="17"/>
      <c r="E41" s="17"/>
      <c r="F41" s="17"/>
      <c r="G41" s="17"/>
      <c r="I41" s="5"/>
    </row>
    <row r="42" outlineLevel="3">
      <c r="A42" s="16" t="s">
        <v>74</v>
      </c>
      <c r="B42" s="0" t="s">
        <v>72</v>
      </c>
      <c r="C42" s="17">
        <v>1370</v>
      </c>
      <c r="D42" s="17"/>
      <c r="E42" s="17"/>
      <c r="F42" s="17"/>
      <c r="G42" s="17"/>
      <c r="I42" s="5"/>
    </row>
    <row r="43" outlineLevel="3">
      <c r="A43" s="16" t="s">
        <v>75</v>
      </c>
      <c r="B43" s="0" t="s">
        <v>72</v>
      </c>
      <c r="C43" s="17">
        <v>1390</v>
      </c>
      <c r="D43" s="17"/>
      <c r="E43" s="17"/>
      <c r="F43" s="17"/>
      <c r="G43" s="17"/>
      <c r="I43" s="5"/>
    </row>
    <row r="44">
      <c r="I44" s="5"/>
    </row>
    <row r="45" s="1" customFormat="1"/>
  </sheetData>
  <mergeCells>
    <mergeCell ref="A8:A10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40:E40"/>
    <mergeCell ref="C41:E41"/>
    <mergeCell ref="C42:E42"/>
    <mergeCell ref="C43:E43"/>
  </mergeCells>
  <dataValidations count="1">
    <dataValidation type="decimal" sqref="C23" errorStyle="stop" promptTitle="Enter moisture content" errorTitle="Invalid moisture content" prompt="Value should be between 0 and 100.&#10;Original value: 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https://phyllis.nl/Biomass/View/3477</dc:description>
  <dcterms:created xsi:type="dcterms:W3CDTF">2026-03-17T05:44:57Z</dcterms:created>
  <dc:title>Phyllis2 #3477 Millet husk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