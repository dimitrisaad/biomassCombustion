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485 Oat screenings" sheetId="1" r:id="rId1"/>
  </sheets>
  <definedNames>
    <definedName name="w" localSheetId="0">IF(ISBLANK('Phyllis2 #3485 Oat screenings'!$C$26),#N/A,'Phyllis2 #3485 Oat screenings'!$C$26/100)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<sst xmlns="http://schemas.openxmlformats.org/spreadsheetml/2006/main" count="98" uniqueCount="98">
  <si>
    <t>Phyllis2</t>
  </si>
  <si>
    <t>https://phyllis.nl/Biomass/View/3485</t>
  </si>
  <si>
    <t>Oat screenings (#3485)</t>
  </si>
  <si>
    <t>ID-number</t>
  </si>
  <si>
    <t>#3485</t>
  </si>
  <si>
    <t>Material</t>
  </si>
  <si>
    <t>Oat screenings</t>
  </si>
  <si>
    <t>Alternative name</t>
  </si>
  <si>
    <t>Oat</t>
  </si>
  <si>
    <t>Latin name</t>
  </si>
  <si>
    <t>Avena sativa</t>
  </si>
  <si>
    <t>Description</t>
  </si>
  <si>
    <t>Oat screenings (oat grains &lt; 2 mm)</t>
  </si>
  <si>
    <t>Classification</t>
  </si>
  <si>
    <t>CEN/TS 14961 classification &gt; Solid biofuels &gt; Herbaceous biomass &gt; Agriculture and Horticulture herb &gt; Cereal crops &gt; Grains or seeds</t>
  </si>
  <si>
    <t>ECN Phyllis classification &gt; husk/shell/pit &gt; others</t>
  </si>
  <si>
    <t>NTA 8003 classification &gt; [500] biomassa uit de industrie &gt; [520] schillen/vliezen/pitten &gt; [529] overige schillen/vliezen/pitten</t>
  </si>
  <si>
    <t>Sample date</t>
  </si>
  <si>
    <t>Country</t>
  </si>
  <si>
    <t>Sweden</t>
  </si>
  <si>
    <t>Production date</t>
  </si>
  <si>
    <t>Submitter</t>
  </si>
  <si>
    <t>SLU; Nilsson, T.</t>
  </si>
  <si>
    <t>Submitter organisation</t>
  </si>
  <si>
    <t>ECN (Netherlands)</t>
  </si>
  <si>
    <t>Submission date</t>
  </si>
  <si>
    <t>Literature</t>
  </si>
  <si>
    <t>Westlin, H. et al. (2007): Burning of undried oat and screenings - effect of moisture on combustion and economy. (In Swedish, with English summary). JTI rapport 352. 39pp. ISSN 1401-4963.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</si>
  <si>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</si>
  <si>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</si>
  <si>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</si>
  <si>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</si>
  <si>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</si>
  <si>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</si>
  <si>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</si>
  <si>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</si>
  <si>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</si>
  <si>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</si>
  <si>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</si>
  <si>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</si>
  <si>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</si>
  <si>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</si>
  <si>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</si>
  <si>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</si>
  <si>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</si>
  <si>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SP Technical Research Institute of Sweden</t>
  </si>
  <si>
    <t>CEN/TS 14774-1,2,3</t>
  </si>
  <si>
    <t>SS 187170</t>
  </si>
  <si>
    <t>Ash content at 550°C</t>
  </si>
  <si>
    <t>CEN/TS 14775</t>
  </si>
  <si>
    <t>SS 187171</t>
  </si>
  <si>
    <t>Ultimate analysis (macroelements)</t>
  </si>
  <si>
    <t>Carbon</t>
  </si>
  <si>
    <t>CEN/TS 15104</t>
  </si>
  <si>
    <t>SP 0503 (elemental analyzer)</t>
  </si>
  <si>
    <t>Hydrogen</t>
  </si>
  <si>
    <t>Oxygen</t>
  </si>
  <si>
    <t>Calculated as difference</t>
  </si>
  <si>
    <t>Nitrogen</t>
  </si>
  <si>
    <t>Sulphur</t>
  </si>
  <si>
    <t>CEN/TS15289</t>
  </si>
  <si>
    <t>SS 187177</t>
  </si>
  <si>
    <t>Total (with halides)</t>
  </si>
  <si>
    <t>Calculated</t>
  </si>
  <si>
    <t>Halides</t>
  </si>
  <si>
    <t>Chlorine (Cl)</t>
  </si>
  <si>
    <t>mg/kg</t>
  </si>
  <si>
    <t>CEN/TS 15289</t>
  </si>
  <si>
    <t>SS 187185</t>
  </si>
  <si>
    <t>Heating value</t>
  </si>
  <si>
    <t>Net calorific value (LHV)</t>
  </si>
  <si>
    <t>MJ/kg</t>
  </si>
  <si>
    <t>CEN/TS 14918</t>
  </si>
  <si>
    <t>ISO 1928</t>
  </si>
  <si>
    <t>Gross calorific value (HHV)</t>
  </si>
  <si>
    <t>HHVMilne</t>
  </si>
  <si>
    <t>Trace elements composition</t>
  </si>
  <si>
    <t>Aluminium (Al)</t>
  </si>
  <si>
    <t>mg/kg (dry)</t>
  </si>
  <si>
    <t>&lt;200</t>
  </si>
  <si>
    <t>SP 0510 (ICP)</t>
  </si>
  <si>
    <t>Barium (Ba)</t>
  </si>
  <si>
    <t>Calcium (Ca)</t>
  </si>
  <si>
    <t>Iron (Fe)</t>
  </si>
  <si>
    <t>Potassium (K)</t>
  </si>
  <si>
    <t>Magnesium (Mg)</t>
  </si>
  <si>
    <t>Manganese (Mn)</t>
  </si>
  <si>
    <t>Sodium (Na)</t>
  </si>
  <si>
    <t>Phosphorus (P)</t>
  </si>
  <si>
    <t>Silicon (Si)</t>
  </si>
  <si>
    <t>Titanium (Ti)</t>
  </si>
  <si>
    <t>Ash melting behaviour</t>
  </si>
  <si>
    <t>European standard method</t>
  </si>
  <si>
    <t>SH (shrinkage temperature)</t>
  </si>
  <si>
    <t>°C</t>
  </si>
  <si>
    <t>DEF (deformation temperature)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</si>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</sst>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48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38.3361434936523" customWidth="1"/>
    <col min="9" max="9" width="11.4837522506714" customWidth="1"/>
    <col min="10" max="10" width="18.8621006011963" customWidth="1"/>
    <col min="11" max="11" width="26.8450794219971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6">
        <v>38854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6">
        <v>38854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6">
        <v>40165</v>
      </c>
    </row>
    <row r="19" outlineLevel="1">
      <c r="A19" s="7" t="s">
        <v>26</v>
      </c>
      <c r="B19" s="0" t="s">
        <v>27</v>
      </c>
    </row>
    <row r="20">
      <c r="A20" s="7"/>
    </row>
    <row r="21" s="1" customFormat="1">
      <c r="A21" s="9" t="s">
        <v>28</v>
      </c>
    </row>
    <row r="22" s="1" customFormat="1">
      <c r="A22" s="10" t="s">
        <v>29</v>
      </c>
      <c r="B22" s="10" t="s">
        <v>30</v>
      </c>
      <c r="C22" s="10" t="s">
        <v>31</v>
      </c>
      <c r="D22" s="10"/>
      <c r="E22" s="10"/>
      <c r="F22" s="10" t="s">
        <v>32</v>
      </c>
      <c r="G22" s="10" t="s">
        <v>33</v>
      </c>
      <c r="H22" s="10" t="s">
        <v>34</v>
      </c>
      <c r="I22" s="10" t="s">
        <v>35</v>
      </c>
      <c r="J22" s="10" t="s">
        <v>36</v>
      </c>
      <c r="K22" s="10" t="s">
        <v>37</v>
      </c>
      <c r="L22" s="10"/>
    </row>
    <row r="23" s="1" customFormat="1">
      <c r="A23" s="10"/>
      <c r="B23" s="10"/>
      <c r="C23" s="10" t="s">
        <v>38</v>
      </c>
      <c r="D23" s="10" t="s">
        <v>39</v>
      </c>
      <c r="E23" s="10" t="s">
        <v>40</v>
      </c>
      <c r="F23" s="10"/>
      <c r="G23" s="10"/>
      <c r="H23" s="10"/>
      <c r="I23" s="10"/>
      <c r="J23" s="10"/>
      <c r="K23" s="10"/>
      <c r="L23" s="10"/>
    </row>
    <row r="24">
      <c r="A24" s="7" t="s">
        <v>41</v>
      </c>
      <c r="I24" s="5"/>
    </row>
    <row r="25" outlineLevel="1">
      <c r="A25" s="11" t="s">
        <v>42</v>
      </c>
      <c r="I25" s="5"/>
    </row>
    <row r="26" outlineLevel="2">
      <c r="A26" s="12" t="s">
        <v>43</v>
      </c>
      <c r="B26" s="0" t="s">
        <v>44</v>
      </c>
      <c r="C26" s="13">
        <v>10.4</v>
      </c>
      <c r="D26" s="13"/>
      <c r="E26" s="13"/>
      <c r="F26" s="13">
        <v>0</v>
      </c>
      <c r="G26" s="13"/>
      <c r="H26" s="0" t="s">
        <v>45</v>
      </c>
      <c r="I26" s="5">
        <v>38944</v>
      </c>
      <c r="J26" s="0" t="s">
        <v>46</v>
      </c>
      <c r="K26" s="0" t="s">
        <v>47</v>
      </c>
    </row>
    <row r="27" outlineLevel="2">
      <c r="A27" s="12" t="s">
        <v>48</v>
      </c>
      <c r="B27" s="0" t="s">
        <v>44</v>
      </c>
      <c r="C27" s="13">
        <f>IFERROR(4.5*(1-w),"")</f>
        <v>4.032</v>
      </c>
      <c r="D27" s="13">
        <v>4.5</v>
      </c>
      <c r="E27" s="13">
        <v/>
      </c>
      <c r="F27" s="13">
        <v>0</v>
      </c>
      <c r="G27" s="13"/>
      <c r="H27" s="0" t="s">
        <v>45</v>
      </c>
      <c r="I27" s="5">
        <v>38944</v>
      </c>
      <c r="J27" s="0" t="s">
        <v>49</v>
      </c>
      <c r="K27" s="0" t="s">
        <v>50</v>
      </c>
    </row>
    <row r="28" outlineLevel="1">
      <c r="A28" s="11" t="s">
        <v>51</v>
      </c>
      <c r="I28" s="5"/>
    </row>
    <row r="29" outlineLevel="2">
      <c r="A29" s="12" t="s">
        <v>52</v>
      </c>
      <c r="B29" s="0" t="s">
        <v>44</v>
      </c>
      <c r="C29" s="13">
        <f>IFERROR(46.7*(1-w),"")</f>
        <v>41.8432</v>
      </c>
      <c r="D29" s="13">
        <v>46.7</v>
      </c>
      <c r="E29" s="13">
        <v>48.900523560209429</v>
      </c>
      <c r="F29" s="13">
        <v>0</v>
      </c>
      <c r="G29" s="13"/>
      <c r="H29" s="0" t="s">
        <v>45</v>
      </c>
      <c r="I29" s="5">
        <v>38944</v>
      </c>
      <c r="J29" s="0" t="s">
        <v>53</v>
      </c>
      <c r="K29" s="0" t="s">
        <v>54</v>
      </c>
    </row>
    <row r="30" outlineLevel="2">
      <c r="A30" s="12" t="s">
        <v>55</v>
      </c>
      <c r="B30" s="0" t="s">
        <v>44</v>
      </c>
      <c r="C30" s="13">
        <f>IFERROR(6.4*(1-w),"")</f>
        <v>5.7344000000000008</v>
      </c>
      <c r="D30" s="13">
        <v>6.4</v>
      </c>
      <c r="E30" s="13">
        <v>6.7015706806282731</v>
      </c>
      <c r="F30" s="13">
        <v>0</v>
      </c>
      <c r="G30" s="13"/>
      <c r="H30" s="0" t="s">
        <v>45</v>
      </c>
      <c r="I30" s="5">
        <v>38944</v>
      </c>
      <c r="J30" s="0" t="s">
        <v>53</v>
      </c>
      <c r="K30" s="0" t="s">
        <v>54</v>
      </c>
    </row>
    <row r="31" outlineLevel="2">
      <c r="A31" s="12" t="s">
        <v>56</v>
      </c>
      <c r="B31" s="0" t="s">
        <v>44</v>
      </c>
      <c r="C31" s="13">
        <f>IFERROR(41*(1-w),"")</f>
        <v>36.736000000000004</v>
      </c>
      <c r="D31" s="13">
        <v>41</v>
      </c>
      <c r="E31" s="13">
        <v>42.931937172774873</v>
      </c>
      <c r="F31" s="13">
        <v>0</v>
      </c>
      <c r="G31" s="13"/>
      <c r="H31" s="0" t="s">
        <v>45</v>
      </c>
      <c r="I31" s="5">
        <v>38944</v>
      </c>
      <c r="K31" s="0" t="s">
        <v>57</v>
      </c>
    </row>
    <row r="32" outlineLevel="2">
      <c r="A32" s="12" t="s">
        <v>58</v>
      </c>
      <c r="B32" s="0" t="s">
        <v>44</v>
      </c>
      <c r="C32" s="13">
        <f>IFERROR(1.6*(1-w),"")</f>
        <v>1.4336000000000002</v>
      </c>
      <c r="D32" s="13">
        <v>1.6</v>
      </c>
      <c r="E32" s="13">
        <v>1.6753926701570683</v>
      </c>
      <c r="F32" s="13">
        <v>0</v>
      </c>
      <c r="G32" s="13"/>
      <c r="H32" s="0" t="s">
        <v>45</v>
      </c>
      <c r="I32" s="5">
        <v>38944</v>
      </c>
      <c r="J32" s="0" t="s">
        <v>53</v>
      </c>
      <c r="K32" s="0" t="s">
        <v>54</v>
      </c>
    </row>
    <row r="33" outlineLevel="2">
      <c r="A33" s="12" t="s">
        <v>59</v>
      </c>
      <c r="B33" s="0" t="s">
        <v>44</v>
      </c>
      <c r="C33" s="13">
        <f>IFERROR(0.15*(1-w),"")</f>
        <v>0.1344</v>
      </c>
      <c r="D33" s="13">
        <v>0.15</v>
      </c>
      <c r="E33" s="13">
        <v>0.15706806282722513</v>
      </c>
      <c r="F33" s="13">
        <v>0</v>
      </c>
      <c r="G33" s="13"/>
      <c r="H33" s="0" t="s">
        <v>45</v>
      </c>
      <c r="I33" s="5">
        <v>38944</v>
      </c>
      <c r="J33" s="0" t="s">
        <v>60</v>
      </c>
      <c r="K33" s="0" t="s">
        <v>61</v>
      </c>
    </row>
    <row r="34" outlineLevel="2">
      <c r="A34" s="12" t="s">
        <v>62</v>
      </c>
      <c r="B34" s="0" t="s">
        <v>44</v>
      </c>
      <c r="C34" s="13">
        <f>IFERROR(100.41*(1-w)+w*100,"")</f>
        <v>100.36736</v>
      </c>
      <c r="D34" s="13">
        <v>100.41</v>
      </c>
      <c r="E34" s="13">
        <v>100.42931937172774</v>
      </c>
      <c r="F34" s="13"/>
      <c r="G34" s="13"/>
      <c r="I34" s="5"/>
      <c r="J34" s="0" t="s">
        <v>63</v>
      </c>
    </row>
    <row r="35" outlineLevel="1">
      <c r="A35" s="11" t="s">
        <v>64</v>
      </c>
      <c r="I35" s="5"/>
    </row>
    <row r="36" outlineLevel="2">
      <c r="A36" s="12" t="s">
        <v>65</v>
      </c>
      <c r="B36" s="0" t="s">
        <v>66</v>
      </c>
      <c r="C36" s="14">
        <f>IFERROR(600*(1-w),"")</f>
        <v>537.6</v>
      </c>
      <c r="D36" s="14">
        <v>600</v>
      </c>
      <c r="E36" s="14">
        <v>628.27225130890054</v>
      </c>
      <c r="F36" s="14">
        <v>0</v>
      </c>
      <c r="G36" s="14"/>
      <c r="H36" s="0" t="s">
        <v>45</v>
      </c>
      <c r="I36" s="5">
        <v>38944</v>
      </c>
      <c r="J36" s="0" t="s">
        <v>67</v>
      </c>
      <c r="K36" s="0" t="s">
        <v>68</v>
      </c>
    </row>
    <row r="37" outlineLevel="1">
      <c r="A37" s="11" t="s">
        <v>69</v>
      </c>
      <c r="I37" s="5"/>
    </row>
    <row r="38" outlineLevel="2">
      <c r="A38" s="12" t="s">
        <v>70</v>
      </c>
      <c r="B38" s="0" t="s">
        <v>71</v>
      </c>
      <c r="C38" s="13">
        <f>IFERROR(17.82*(1-w)-w*2.443,"")</f>
        <v>15.712648</v>
      </c>
      <c r="D38" s="13">
        <v>17.82</v>
      </c>
      <c r="E38" s="13">
        <v>18.659685863874348</v>
      </c>
      <c r="F38" s="13">
        <v>0</v>
      </c>
      <c r="G38" s="13"/>
      <c r="H38" s="0" t="s">
        <v>45</v>
      </c>
      <c r="I38" s="5">
        <v>38944</v>
      </c>
      <c r="J38" s="0" t="s">
        <v>72</v>
      </c>
      <c r="K38" s="0" t="s">
        <v>73</v>
      </c>
    </row>
    <row r="39" outlineLevel="2">
      <c r="A39" s="12" t="s">
        <v>74</v>
      </c>
      <c r="B39" s="0" t="s">
        <v>71</v>
      </c>
      <c r="C39" s="13">
        <f>IFERROR(19.21*(1-w),"")</f>
        <v>17.21216</v>
      </c>
      <c r="D39" s="13">
        <v>19.21</v>
      </c>
      <c r="E39" s="13">
        <v>20.1151832460733</v>
      </c>
      <c r="F39" s="13">
        <v>0</v>
      </c>
      <c r="G39" s="13"/>
      <c r="H39" s="0" t="s">
        <v>45</v>
      </c>
      <c r="I39" s="5">
        <v>38944</v>
      </c>
      <c r="K39" s="0" t="s">
        <v>73</v>
      </c>
    </row>
    <row r="40" outlineLevel="2">
      <c r="A40" s="12" t="s">
        <v>75</v>
      </c>
      <c r="B40" s="0" t="s">
        <v>71</v>
      </c>
      <c r="C40" s="13">
        <f>IFERROR(19.21803825*(1-w),"")</f>
        <v>17.219362272000005</v>
      </c>
      <c r="D40" s="13">
        <v>19.218038250000006</v>
      </c>
      <c r="E40" s="13">
        <v>20.123600261780112</v>
      </c>
      <c r="F40" s="13"/>
      <c r="G40" s="13"/>
      <c r="I40" s="5"/>
      <c r="J40" s="0" t="s">
        <v>63</v>
      </c>
    </row>
    <row r="41" outlineLevel="1">
      <c r="A41" s="11" t="s">
        <v>76</v>
      </c>
      <c r="I41" s="5"/>
    </row>
    <row r="42" outlineLevel="2">
      <c r="A42" s="12" t="s">
        <v>77</v>
      </c>
      <c r="B42" s="0" t="s">
        <v>78</v>
      </c>
      <c r="C42" s="14" t="s">
        <v>79</v>
      </c>
      <c r="D42" s="14"/>
      <c r="E42" s="14"/>
      <c r="F42" s="14">
        <v>0</v>
      </c>
      <c r="G42" s="14"/>
      <c r="H42" s="0" t="s">
        <v>45</v>
      </c>
      <c r="I42" s="5">
        <v>38944</v>
      </c>
      <c r="K42" s="0" t="s">
        <v>80</v>
      </c>
    </row>
    <row r="43" outlineLevel="2">
      <c r="A43" s="12" t="s">
        <v>81</v>
      </c>
      <c r="B43" s="0" t="s">
        <v>78</v>
      </c>
      <c r="C43" s="14" t="s">
        <v>79</v>
      </c>
      <c r="D43" s="14"/>
      <c r="E43" s="14"/>
      <c r="F43" s="14">
        <v>0</v>
      </c>
      <c r="G43" s="14"/>
      <c r="H43" s="0" t="s">
        <v>45</v>
      </c>
      <c r="I43" s="5">
        <v>38944</v>
      </c>
      <c r="K43" s="0" t="s">
        <v>80</v>
      </c>
    </row>
    <row r="44" outlineLevel="2">
      <c r="A44" s="12" t="s">
        <v>82</v>
      </c>
      <c r="B44" s="0" t="s">
        <v>78</v>
      </c>
      <c r="C44" s="14">
        <v>1100</v>
      </c>
      <c r="D44" s="14"/>
      <c r="E44" s="14"/>
      <c r="F44" s="14">
        <v>0</v>
      </c>
      <c r="G44" s="14"/>
      <c r="H44" s="0" t="s">
        <v>45</v>
      </c>
      <c r="I44" s="5">
        <v>38944</v>
      </c>
      <c r="K44" s="0" t="s">
        <v>80</v>
      </c>
    </row>
    <row r="45" outlineLevel="2">
      <c r="A45" s="12" t="s">
        <v>83</v>
      </c>
      <c r="B45" s="0" t="s">
        <v>78</v>
      </c>
      <c r="C45" s="14" t="s">
        <v>79</v>
      </c>
      <c r="D45" s="14"/>
      <c r="E45" s="14"/>
      <c r="F45" s="14">
        <v>0</v>
      </c>
      <c r="G45" s="14"/>
      <c r="H45" s="0" t="s">
        <v>45</v>
      </c>
      <c r="I45" s="5">
        <v>38944</v>
      </c>
      <c r="K45" s="0" t="s">
        <v>80</v>
      </c>
    </row>
    <row r="46" outlineLevel="2">
      <c r="A46" s="12" t="s">
        <v>84</v>
      </c>
      <c r="B46" s="0" t="s">
        <v>78</v>
      </c>
      <c r="C46" s="14">
        <v>5700</v>
      </c>
      <c r="D46" s="14"/>
      <c r="E46" s="14"/>
      <c r="F46" s="14">
        <v>0</v>
      </c>
      <c r="G46" s="14"/>
      <c r="H46" s="0" t="s">
        <v>45</v>
      </c>
      <c r="I46" s="5">
        <v>38944</v>
      </c>
      <c r="K46" s="0" t="s">
        <v>80</v>
      </c>
    </row>
    <row r="47" outlineLevel="2">
      <c r="A47" s="12" t="s">
        <v>85</v>
      </c>
      <c r="B47" s="0" t="s">
        <v>78</v>
      </c>
      <c r="C47" s="14">
        <v>1400</v>
      </c>
      <c r="D47" s="14"/>
      <c r="E47" s="14"/>
      <c r="F47" s="14">
        <v>0</v>
      </c>
      <c r="G47" s="14"/>
      <c r="H47" s="0" t="s">
        <v>45</v>
      </c>
      <c r="I47" s="5">
        <v>38944</v>
      </c>
      <c r="K47" s="0" t="s">
        <v>80</v>
      </c>
    </row>
    <row r="48" outlineLevel="2">
      <c r="A48" s="12" t="s">
        <v>86</v>
      </c>
      <c r="B48" s="0" t="s">
        <v>78</v>
      </c>
      <c r="C48" s="14" t="s">
        <v>79</v>
      </c>
      <c r="D48" s="14"/>
      <c r="E48" s="14"/>
      <c r="F48" s="14">
        <v>0</v>
      </c>
      <c r="G48" s="14"/>
      <c r="H48" s="0" t="s">
        <v>45</v>
      </c>
      <c r="I48" s="5">
        <v>38944</v>
      </c>
      <c r="K48" s="0" t="s">
        <v>80</v>
      </c>
    </row>
    <row r="49" outlineLevel="2">
      <c r="A49" s="12" t="s">
        <v>87</v>
      </c>
      <c r="B49" s="0" t="s">
        <v>78</v>
      </c>
      <c r="C49" s="14" t="s">
        <v>79</v>
      </c>
      <c r="D49" s="14"/>
      <c r="E49" s="14"/>
      <c r="F49" s="14">
        <v>0</v>
      </c>
      <c r="G49" s="14"/>
      <c r="H49" s="0" t="s">
        <v>45</v>
      </c>
      <c r="I49" s="5">
        <v>38944</v>
      </c>
      <c r="K49" s="0" t="s">
        <v>80</v>
      </c>
    </row>
    <row r="50" outlineLevel="2">
      <c r="A50" s="12" t="s">
        <v>88</v>
      </c>
      <c r="B50" s="0" t="s">
        <v>78</v>
      </c>
      <c r="C50" s="14">
        <v>3500</v>
      </c>
      <c r="D50" s="14"/>
      <c r="E50" s="14"/>
      <c r="F50" s="14">
        <v>0</v>
      </c>
      <c r="G50" s="14"/>
      <c r="H50" s="0" t="s">
        <v>45</v>
      </c>
      <c r="I50" s="5">
        <v>38944</v>
      </c>
      <c r="K50" s="0" t="s">
        <v>80</v>
      </c>
    </row>
    <row r="51" outlineLevel="2">
      <c r="A51" s="12" t="s">
        <v>89</v>
      </c>
      <c r="B51" s="0" t="s">
        <v>78</v>
      </c>
      <c r="C51" s="14">
        <v>11700</v>
      </c>
      <c r="D51" s="14"/>
      <c r="E51" s="14"/>
      <c r="F51" s="14">
        <v>0</v>
      </c>
      <c r="G51" s="14"/>
      <c r="H51" s="0" t="s">
        <v>45</v>
      </c>
      <c r="I51" s="5">
        <v>38944</v>
      </c>
      <c r="K51" s="0" t="s">
        <v>80</v>
      </c>
    </row>
    <row r="52" outlineLevel="2">
      <c r="A52" s="12" t="s">
        <v>90</v>
      </c>
      <c r="B52" s="0" t="s">
        <v>78</v>
      </c>
      <c r="C52" s="14" t="s">
        <v>79</v>
      </c>
      <c r="D52" s="14"/>
      <c r="E52" s="14"/>
      <c r="F52" s="14">
        <v>0</v>
      </c>
      <c r="G52" s="14"/>
      <c r="H52" s="0" t="s">
        <v>45</v>
      </c>
      <c r="I52" s="5">
        <v>38944</v>
      </c>
      <c r="K52" s="0" t="s">
        <v>80</v>
      </c>
    </row>
    <row r="53" outlineLevel="1">
      <c r="A53" s="11" t="s">
        <v>91</v>
      </c>
      <c r="I53" s="5"/>
    </row>
    <row r="54" outlineLevel="2">
      <c r="A54" s="15" t="s">
        <v>92</v>
      </c>
      <c r="I54" s="5"/>
    </row>
    <row r="55" outlineLevel="3">
      <c r="A55" s="16" t="s">
        <v>93</v>
      </c>
      <c r="B55" s="0" t="s">
        <v>94</v>
      </c>
      <c r="C55" s="17">
        <v>1350</v>
      </c>
      <c r="D55" s="17"/>
      <c r="E55" s="17"/>
      <c r="F55" s="17"/>
      <c r="G55" s="17"/>
      <c r="I55" s="5"/>
    </row>
    <row r="56" outlineLevel="3">
      <c r="A56" s="16" t="s">
        <v>95</v>
      </c>
      <c r="B56" s="0" t="s">
        <v>94</v>
      </c>
      <c r="C56" s="17">
        <v>1340</v>
      </c>
      <c r="D56" s="17"/>
      <c r="E56" s="17"/>
      <c r="F56" s="17"/>
      <c r="G56" s="17"/>
      <c r="I56" s="5"/>
    </row>
    <row r="57" outlineLevel="3">
      <c r="A57" s="16" t="s">
        <v>96</v>
      </c>
      <c r="B57" s="0" t="s">
        <v>94</v>
      </c>
      <c r="C57" s="17">
        <v>1450</v>
      </c>
      <c r="D57" s="17"/>
      <c r="E57" s="17"/>
      <c r="F57" s="17"/>
      <c r="G57" s="17"/>
      <c r="I57" s="5"/>
    </row>
    <row r="58" outlineLevel="3">
      <c r="A58" s="16" t="s">
        <v>97</v>
      </c>
      <c r="B58" s="0" t="s">
        <v>94</v>
      </c>
      <c r="C58" s="17">
        <v>1500</v>
      </c>
      <c r="D58" s="17"/>
      <c r="E58" s="17"/>
      <c r="F58" s="17"/>
      <c r="G58" s="17"/>
      <c r="I58" s="5"/>
    </row>
    <row r="59">
      <c r="I59" s="5"/>
    </row>
    <row r="60" s="1" customFormat="1"/>
  </sheetData>
  <mergeCells>
    <mergeCell ref="A10:A12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5:E55"/>
    <mergeCell ref="C56:E56"/>
    <mergeCell ref="C57:E57"/>
    <mergeCell ref="C58:E58"/>
  </mergeCells>
  <dataValidations count="1">
    <dataValidation type="decimal" sqref="C26" errorStyle="stop" promptTitle="Enter moisture content" errorTitle="Invalid moisture content" prompt="Value should be between 0 and 100.&#10;Original value: 10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https://phyllis.nl/Biomass/View/3485</dc:description>
  <dcterms:created xsi:type="dcterms:W3CDTF">2026-03-17T05:45:18Z</dcterms:created>
  <dc:title>Phyllis2 #3485 Oat screenings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