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486 Rapeseed cake" sheetId="1" r:id="rId1"/>
  </sheets>
  <definedNames>
    <definedName name="w" localSheetId="0">IF(ISBLANK('Phyllis2 #3486 Rapeseed cake'!$C$25),#N/A,'Phyllis2 #3486 Rapeseed cake'!$C$25/100)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<sst xmlns="http://schemas.openxmlformats.org/spreadsheetml/2006/main" count="80" uniqueCount="80">
  <si>
    <t>Phyllis2</t>
  </si>
  <si>
    <t>https://phyllis.nl/Biomass/View/3486</t>
  </si>
  <si>
    <t>Rapeseed cake (#3486)</t>
  </si>
  <si>
    <t>ID-number</t>
  </si>
  <si>
    <t>#3486</t>
  </si>
  <si>
    <t>Material</t>
  </si>
  <si>
    <t>Rapeseed cake</t>
  </si>
  <si>
    <t>Alternative name</t>
  </si>
  <si>
    <t>Classification</t>
  </si>
  <si>
    <t>CEN/TS 14961 classification &gt; Solid biofuels &gt; Herbaceous biomass &gt; Agriculture and Horticulture herb &gt; Oil seed crops &gt; Seeds</t>
  </si>
  <si>
    <t>ECN Phyllis classification &gt; husk/shell/pit &gt; others</t>
  </si>
  <si>
    <t>NTA 8003 classification &gt; [500] biomassa uit de industrie &gt; [580] overig &gt; [584] oliezadenmeel, cake of schroot - residu vanvetten en oliën</t>
  </si>
  <si>
    <t>Sample date</t>
  </si>
  <si>
    <t>Sample location</t>
  </si>
  <si>
    <t>Southwest Sweden</t>
  </si>
  <si>
    <t>Country</t>
  </si>
  <si>
    <t>Sweden</t>
  </si>
  <si>
    <t>Production date</t>
  </si>
  <si>
    <t>Submitter</t>
  </si>
  <si>
    <t>SLU; Nilsson, T.</t>
  </si>
  <si>
    <t>Submitter organisation</t>
  </si>
  <si>
    <t>ECN (Netherlands)</t>
  </si>
  <si>
    <t>Submission date</t>
  </si>
  <si>
    <t>Literature</t>
  </si>
  <si>
    <t>AgroVäst/ÄFAB 2006: Tillverkning av agropellets i små- ock lokala tillverkningsenheter (in Swedish).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</si>
  <si>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</si>
  <si>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</si>
  <si>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</si>
  <si>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</si>
  <si>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</si>
  <si>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</si>
  <si>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</si>
  <si>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</si>
  <si>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</si>
  <si>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</si>
  <si>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</si>
  <si>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</si>
  <si>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</si>
  <si>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</si>
  <si>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</si>
  <si>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</si>
  <si>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</si>
  <si>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AnalyCen, Lidköping</t>
  </si>
  <si>
    <t>CEN/TS 14774-1,2,3</t>
  </si>
  <si>
    <t>CEN/TS 14774-:2004 1 Solid biofuels - Methods for determination of moisture content - Oven dry method - Part 1: Total moisture - Reference method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</si>
  <si>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</si>
  <si>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</si>
  <si>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</si>
  <si>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</si>
  <si>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</si>
  <si>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</si>
  <si>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</si>
  <si>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</si>
  <si>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Oxygen</t>
  </si>
  <si>
    <t>ASTM-D 5373</t>
  </si>
  <si>
    <t>Nitrogen</t>
  </si>
  <si>
    <t>Sulphur</t>
  </si>
  <si>
    <t>CEN/TS15289</t>
  </si>
  <si>
    <t>SS 18 71 77/ASTM D 4239 C</t>
  </si>
  <si>
    <t>Total (with halides)</t>
  </si>
  <si>
    <t>Calculated</t>
  </si>
  <si>
    <t>Halides</t>
  </si>
  <si>
    <t>Chlorine (Cl)</t>
  </si>
  <si>
    <t>mg/kg</t>
  </si>
  <si>
    <t>CEN/TS 15289</t>
  </si>
  <si>
    <t>ASTM-D 4208</t>
  </si>
  <si>
    <t>Heating value</t>
  </si>
  <si>
    <t>Net calorific value (LHV)</t>
  </si>
  <si>
    <t>MJ/kg</t>
  </si>
  <si>
    <t>CEN/TS 14918</t>
  </si>
  <si>
    <t>ISO 1928</t>
  </si>
  <si>
    <t>Gross calorific value (HHV)</t>
  </si>
  <si>
    <t>HHVMilne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</si>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</sst>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4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9.1188907623291" customWidth="1"/>
    <col min="9" max="9" width="11.4837522506714" customWidth="1"/>
    <col min="10" max="10" width="18.8621006011963" customWidth="1"/>
    <col min="11" max="11" width="132.61775207519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8" t="s">
        <v>8</v>
      </c>
      <c r="B8" s="0" t="s">
        <v>9</v>
      </c>
    </row>
    <row r="9" outlineLevel="1">
      <c r="A9" s="8"/>
      <c r="B9" s="0" t="s">
        <v>10</v>
      </c>
    </row>
    <row r="10" outlineLevel="1">
      <c r="A10" s="8"/>
      <c r="B10" s="0" t="s">
        <v>11</v>
      </c>
    </row>
    <row r="11" outlineLevel="1">
      <c r="A11" s="7" t="s">
        <v>12</v>
      </c>
      <c r="B11" s="6">
        <v>38876</v>
      </c>
    </row>
    <row r="12" outlineLevel="1">
      <c r="A12" s="7" t="s">
        <v>13</v>
      </c>
      <c r="B12" s="0" t="s">
        <v>14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6">
        <v>38876</v>
      </c>
    </row>
    <row r="15" outlineLevel="1">
      <c r="A15" s="7" t="s">
        <v>18</v>
      </c>
      <c r="B15" s="0" t="s">
        <v>19</v>
      </c>
    </row>
    <row r="16" outlineLevel="1">
      <c r="A16" s="7" t="s">
        <v>20</v>
      </c>
      <c r="B16" s="0" t="s">
        <v>21</v>
      </c>
    </row>
    <row r="17" outlineLevel="1">
      <c r="A17" s="7" t="s">
        <v>22</v>
      </c>
      <c r="B17" s="6">
        <v>40165</v>
      </c>
    </row>
    <row r="18" outlineLevel="1">
      <c r="A18" s="7" t="s">
        <v>23</v>
      </c>
      <c r="B18" s="0" t="s">
        <v>24</v>
      </c>
    </row>
    <row r="19">
      <c r="A19" s="7"/>
    </row>
    <row r="20" s="1" customFormat="1">
      <c r="A20" s="9" t="s">
        <v>25</v>
      </c>
    </row>
    <row r="21" s="1" customFormat="1">
      <c r="A21" s="10" t="s">
        <v>26</v>
      </c>
      <c r="B21" s="10" t="s">
        <v>27</v>
      </c>
      <c r="C21" s="10" t="s">
        <v>28</v>
      </c>
      <c r="D21" s="10"/>
      <c r="E21" s="10"/>
      <c r="F21" s="10" t="s">
        <v>29</v>
      </c>
      <c r="G21" s="10" t="s">
        <v>30</v>
      </c>
      <c r="H21" s="10" t="s">
        <v>31</v>
      </c>
      <c r="I21" s="10" t="s">
        <v>32</v>
      </c>
      <c r="J21" s="10" t="s">
        <v>33</v>
      </c>
      <c r="K21" s="10" t="s">
        <v>34</v>
      </c>
      <c r="L21" s="10"/>
    </row>
    <row r="22" s="1" customFormat="1">
      <c r="A22" s="10"/>
      <c r="B22" s="10"/>
      <c r="C22" s="10" t="s">
        <v>35</v>
      </c>
      <c r="D22" s="10" t="s">
        <v>36</v>
      </c>
      <c r="E22" s="10" t="s">
        <v>37</v>
      </c>
      <c r="F22" s="10"/>
      <c r="G22" s="10"/>
      <c r="H22" s="10"/>
      <c r="I22" s="10"/>
      <c r="J22" s="10"/>
      <c r="K22" s="10"/>
      <c r="L22" s="10"/>
    </row>
    <row r="23">
      <c r="A23" s="7" t="s">
        <v>38</v>
      </c>
      <c r="I23" s="5"/>
    </row>
    <row r="24" outlineLevel="1">
      <c r="A24" s="11" t="s">
        <v>39</v>
      </c>
      <c r="I24" s="5"/>
    </row>
    <row r="25" outlineLevel="2">
      <c r="A25" s="12" t="s">
        <v>40</v>
      </c>
      <c r="B25" s="0" t="s">
        <v>41</v>
      </c>
      <c r="C25" s="13">
        <v>8.8</v>
      </c>
      <c r="D25" s="13"/>
      <c r="E25" s="13"/>
      <c r="F25" s="13">
        <v>0</v>
      </c>
      <c r="G25" s="13"/>
      <c r="H25" s="0" t="s">
        <v>42</v>
      </c>
      <c r="I25" s="5">
        <v>38890</v>
      </c>
      <c r="J25" s="0" t="s">
        <v>43</v>
      </c>
      <c r="K25" s="0" t="s">
        <v>44</v>
      </c>
    </row>
    <row r="26" outlineLevel="2">
      <c r="A26" s="12" t="s">
        <v>45</v>
      </c>
      <c r="B26" s="0" t="s">
        <v>41</v>
      </c>
      <c r="C26" s="13">
        <f>IFERROR(5.4*(1-w),"")</f>
        <v>4.9248</v>
      </c>
      <c r="D26" s="13">
        <v>5.4</v>
      </c>
      <c r="E26" s="13">
        <v/>
      </c>
      <c r="F26" s="13">
        <v>0</v>
      </c>
      <c r="G26" s="13"/>
      <c r="H26" s="0" t="s">
        <v>42</v>
      </c>
      <c r="I26" s="5">
        <v>38890</v>
      </c>
      <c r="J26" s="0" t="s">
        <v>46</v>
      </c>
      <c r="K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41</v>
      </c>
      <c r="C28" s="13">
        <f>IFERROR(53.5*(1-w),"")</f>
        <v>48.792</v>
      </c>
      <c r="D28" s="13">
        <v>53.5</v>
      </c>
      <c r="E28" s="13">
        <v>56.553911205074</v>
      </c>
      <c r="F28" s="13">
        <v>0</v>
      </c>
      <c r="G28" s="13"/>
      <c r="H28" s="0" t="s">
        <v>42</v>
      </c>
      <c r="I28" s="5">
        <v>38890</v>
      </c>
      <c r="J28" s="0" t="s">
        <v>50</v>
      </c>
      <c r="K28" s="0" t="s">
        <v>51</v>
      </c>
    </row>
    <row r="29" outlineLevel="2">
      <c r="A29" s="12" t="s">
        <v>52</v>
      </c>
      <c r="B29" s="0" t="s">
        <v>41</v>
      </c>
      <c r="C29" s="13">
        <f>IFERROR(7.3*(1-w),"")</f>
        <v>6.6576</v>
      </c>
      <c r="D29" s="13">
        <v>7.3</v>
      </c>
      <c r="E29" s="13">
        <v>7.7167019027484143</v>
      </c>
      <c r="F29" s="13">
        <v>0</v>
      </c>
      <c r="G29" s="13"/>
      <c r="H29" s="0" t="s">
        <v>42</v>
      </c>
      <c r="I29" s="5">
        <v>38890</v>
      </c>
      <c r="J29" s="0" t="s">
        <v>50</v>
      </c>
      <c r="K29" s="0" t="s">
        <v>51</v>
      </c>
    </row>
    <row r="30" outlineLevel="2">
      <c r="A30" s="12" t="s">
        <v>53</v>
      </c>
      <c r="B30" s="0" t="s">
        <v>41</v>
      </c>
      <c r="C30" s="13">
        <f>IFERROR(28.3*(1-w),"")</f>
        <v>25.809600000000003</v>
      </c>
      <c r="D30" s="13">
        <v>28.3</v>
      </c>
      <c r="E30" s="13">
        <v>29.915433403805498</v>
      </c>
      <c r="F30" s="13">
        <v>0</v>
      </c>
      <c r="G30" s="13"/>
      <c r="H30" s="0" t="s">
        <v>42</v>
      </c>
      <c r="I30" s="5">
        <v>38890</v>
      </c>
      <c r="K30" s="0" t="s">
        <v>54</v>
      </c>
    </row>
    <row r="31" outlineLevel="2">
      <c r="A31" s="12" t="s">
        <v>55</v>
      </c>
      <c r="B31" s="0" t="s">
        <v>41</v>
      </c>
      <c r="C31" s="13">
        <f>IFERROR(4.9*(1-w),"")</f>
        <v>4.4688000000000008</v>
      </c>
      <c r="D31" s="13">
        <v>4.9</v>
      </c>
      <c r="E31" s="13">
        <v>5.17970401691332</v>
      </c>
      <c r="F31" s="13">
        <v>0</v>
      </c>
      <c r="G31" s="13"/>
      <c r="H31" s="0" t="s">
        <v>42</v>
      </c>
      <c r="I31" s="5">
        <v>38890</v>
      </c>
      <c r="J31" s="0" t="s">
        <v>50</v>
      </c>
      <c r="K31" s="0" t="s">
        <v>51</v>
      </c>
    </row>
    <row r="32" outlineLevel="2">
      <c r="A32" s="12" t="s">
        <v>56</v>
      </c>
      <c r="B32" s="0" t="s">
        <v>41</v>
      </c>
      <c r="C32" s="13">
        <f>IFERROR(0.54*(1-w),"")</f>
        <v>0.49248000000000003</v>
      </c>
      <c r="D32" s="13">
        <v>0.54</v>
      </c>
      <c r="E32" s="13">
        <v>0.57082452431289643</v>
      </c>
      <c r="F32" s="13">
        <v>0</v>
      </c>
      <c r="G32" s="13"/>
      <c r="H32" s="0" t="s">
        <v>42</v>
      </c>
      <c r="I32" s="5">
        <v>38890</v>
      </c>
      <c r="J32" s="0" t="s">
        <v>57</v>
      </c>
      <c r="K32" s="0" t="s">
        <v>58</v>
      </c>
    </row>
    <row r="33" outlineLevel="2">
      <c r="A33" s="12" t="s">
        <v>59</v>
      </c>
      <c r="B33" s="0" t="s">
        <v>41</v>
      </c>
      <c r="C33" s="13">
        <f>IFERROR(99.97*(1-w)+w*100,"")</f>
        <v>99.972640000000013</v>
      </c>
      <c r="D33" s="13">
        <v>99.970000000000013</v>
      </c>
      <c r="E33" s="13">
        <v>99.968287526427076</v>
      </c>
      <c r="F33" s="13"/>
      <c r="G33" s="13"/>
      <c r="I33" s="5"/>
      <c r="J33" s="0" t="s">
        <v>60</v>
      </c>
    </row>
    <row r="34" outlineLevel="1">
      <c r="A34" s="11" t="s">
        <v>61</v>
      </c>
      <c r="I34" s="5"/>
    </row>
    <row r="35" outlineLevel="2">
      <c r="A35" s="12" t="s">
        <v>62</v>
      </c>
      <c r="B35" s="0" t="s">
        <v>63</v>
      </c>
      <c r="C35" s="14">
        <f>IFERROR(300*(1-w),"")</f>
        <v>273.6</v>
      </c>
      <c r="D35" s="14">
        <v>300</v>
      </c>
      <c r="E35" s="14">
        <v>317.12473572938688</v>
      </c>
      <c r="F35" s="14">
        <v>0</v>
      </c>
      <c r="G35" s="14"/>
      <c r="H35" s="0" t="s">
        <v>42</v>
      </c>
      <c r="I35" s="5">
        <v>38890</v>
      </c>
      <c r="J35" s="0" t="s">
        <v>64</v>
      </c>
      <c r="K35" s="0" t="s">
        <v>65</v>
      </c>
    </row>
    <row r="36" outlineLevel="1">
      <c r="A36" s="11" t="s">
        <v>66</v>
      </c>
      <c r="I36" s="5"/>
    </row>
    <row r="37" outlineLevel="2">
      <c r="A37" s="12" t="s">
        <v>67</v>
      </c>
      <c r="B37" s="0" t="s">
        <v>68</v>
      </c>
      <c r="C37" s="13">
        <f>IFERROR(22.685*(1-w)-w*2.443,"")</f>
        <v>20.473736</v>
      </c>
      <c r="D37" s="13">
        <v>22.685</v>
      </c>
      <c r="E37" s="13">
        <v>23.979915433403804</v>
      </c>
      <c r="F37" s="13">
        <v>0</v>
      </c>
      <c r="G37" s="13"/>
      <c r="H37" s="0" t="s">
        <v>42</v>
      </c>
      <c r="I37" s="5">
        <v>38890</v>
      </c>
      <c r="J37" s="0" t="s">
        <v>69</v>
      </c>
      <c r="K37" s="0" t="s">
        <v>70</v>
      </c>
    </row>
    <row r="38" outlineLevel="2">
      <c r="A38" s="12" t="s">
        <v>71</v>
      </c>
      <c r="B38" s="0" t="s">
        <v>68</v>
      </c>
      <c r="C38" s="13">
        <f>IFERROR(24.196*(1-w),"")</f>
        <v>22.066752</v>
      </c>
      <c r="D38" s="13">
        <v>24.196</v>
      </c>
      <c r="E38" s="13">
        <v>25.577167019027488</v>
      </c>
      <c r="F38" s="13">
        <v>0</v>
      </c>
      <c r="G38" s="13"/>
      <c r="H38" s="0" t="s">
        <v>42</v>
      </c>
      <c r="I38" s="5">
        <v>38890</v>
      </c>
      <c r="K38" s="0" t="s">
        <v>70</v>
      </c>
    </row>
    <row r="39" outlineLevel="2">
      <c r="A39" s="12" t="s">
        <v>72</v>
      </c>
      <c r="B39" s="0" t="s">
        <v>68</v>
      </c>
      <c r="C39" s="13">
        <f>IFERROR(23.86898548*(1-w),"")</f>
        <v>21.768514757760002</v>
      </c>
      <c r="D39" s="13">
        <v>23.868985480000003</v>
      </c>
      <c r="E39" s="13">
        <v>25.231485708245248</v>
      </c>
      <c r="F39" s="13"/>
      <c r="G39" s="13"/>
      <c r="I39" s="5"/>
      <c r="J39" s="0" t="s">
        <v>60</v>
      </c>
    </row>
    <row r="40" outlineLevel="1">
      <c r="A40" s="11" t="s">
        <v>73</v>
      </c>
      <c r="I40" s="5"/>
    </row>
    <row r="41" outlineLevel="2">
      <c r="A41" s="15" t="s">
        <v>74</v>
      </c>
      <c r="I41" s="5"/>
    </row>
    <row r="42" outlineLevel="3">
      <c r="A42" s="16" t="s">
        <v>75</v>
      </c>
      <c r="B42" s="0" t="s">
        <v>76</v>
      </c>
      <c r="C42" s="17">
        <v>1200</v>
      </c>
      <c r="D42" s="17"/>
      <c r="E42" s="17"/>
      <c r="F42" s="17"/>
      <c r="G42" s="17"/>
      <c r="I42" s="5"/>
    </row>
    <row r="43" outlineLevel="3">
      <c r="A43" s="16" t="s">
        <v>77</v>
      </c>
      <c r="B43" s="0" t="s">
        <v>76</v>
      </c>
      <c r="C43" s="17">
        <v>1190</v>
      </c>
      <c r="D43" s="17"/>
      <c r="E43" s="17"/>
      <c r="F43" s="17"/>
      <c r="G43" s="17"/>
      <c r="I43" s="5"/>
    </row>
    <row r="44" outlineLevel="3">
      <c r="A44" s="16" t="s">
        <v>78</v>
      </c>
      <c r="B44" s="0" t="s">
        <v>76</v>
      </c>
      <c r="C44" s="17">
        <v>1200</v>
      </c>
      <c r="D44" s="17"/>
      <c r="E44" s="17"/>
      <c r="F44" s="17"/>
      <c r="G44" s="17"/>
      <c r="I44" s="5"/>
    </row>
    <row r="45" outlineLevel="3">
      <c r="A45" s="16" t="s">
        <v>79</v>
      </c>
      <c r="B45" s="0" t="s">
        <v>76</v>
      </c>
      <c r="C45" s="17">
        <v>1220</v>
      </c>
      <c r="D45" s="17"/>
      <c r="E45" s="17"/>
      <c r="F45" s="17"/>
      <c r="G45" s="17"/>
      <c r="I45" s="5"/>
    </row>
    <row r="46">
      <c r="I46" s="5"/>
    </row>
    <row r="47" s="1" customFormat="1"/>
  </sheetData>
  <mergeCells>
    <mergeCell ref="A8:A10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42:E42"/>
    <mergeCell ref="C43:E43"/>
    <mergeCell ref="C44:E44"/>
    <mergeCell ref="C45:E45"/>
  </mergeCells>
  <dataValidations count="1">
    <dataValidation type="decimal" sqref="C25" errorStyle="stop" promptTitle="Enter moisture content" errorTitle="Invalid moisture content" prompt="Value should be between 0 and 100.&#10;Original value: 8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https://phyllis.nl/Biomass/View/3486</dc:description>
  <dcterms:created xsi:type="dcterms:W3CDTF">2026-03-17T05:45:50Z</dcterms:created>
  <dc:title>Phyllis2 #3486 Rapeseed cake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