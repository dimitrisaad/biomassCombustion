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94 olive pits" sheetId="1" r:id="rId1"/>
  </sheets>
  <definedNames>
    <definedName name="w" localSheetId="0">IF(ISBLANK('Phyllis2 #3494 olive pits'!$C$23),#N/A,'Phyllis2 #3494 olive pits'!$C$23/100)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<sst xmlns="http://schemas.openxmlformats.org/spreadsheetml/2006/main" count="93" uniqueCount="93">
  <si>
    <t>Phyllis2</t>
  </si>
  <si>
    <t>https://phyllis.nl/Biomass/View/3494</t>
  </si>
  <si>
    <t>olive pits (#3494)</t>
  </si>
  <si>
    <t>ID-number</t>
  </si>
  <si>
    <t>#3494</t>
  </si>
  <si>
    <t>Material</t>
  </si>
  <si>
    <t>olive pits</t>
  </si>
  <si>
    <t>Alternative name</t>
  </si>
  <si>
    <t>Olive residue</t>
  </si>
  <si>
    <t>Description</t>
  </si>
  <si>
    <t>pitten</t>
  </si>
  <si>
    <t>Classification</t>
  </si>
  <si>
    <t>CEN/TS 14961 classification &gt; Solid biofuels &gt; Fruit biomass &gt; Orchard and Horticulture fruit &gt; Stone kernel fruits &gt; Stone kernel</t>
  </si>
  <si>
    <t>ECN Phyllis classification &gt; husk/shell/pit &gt; olive &gt; olive pits</t>
  </si>
  <si>
    <t>NTA 8003 classification &gt; [500] biomassa uit de industrie &gt; [520] schillen/vliezen/pitten &gt; [524] olijven</t>
  </si>
  <si>
    <t>Country</t>
  </si>
  <si>
    <t>Spain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</si>
  <si>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</si>
  <si>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</si>
  <si>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</si>
  <si>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</si>
  <si>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</si>
  <si>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</si>
  <si>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</si>
  <si>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</si>
  <si>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</si>
  <si>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</si>
  <si>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</si>
  <si>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</si>
  <si>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</si>
  <si>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</si>
  <si>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</si>
  <si>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</si>
  <si>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</si>
  <si>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</si>
  <si>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</si>
  <si>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</si>
  <si>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</si>
  <si>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</si>
  <si>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</si>
  <si>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</si>
  <si>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</si>
  <si>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ECN</t>
  </si>
  <si>
    <t>CEN/TS 14775</t>
  </si>
  <si>
    <t>Ash content at 815°C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</si>
  <si>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</si>
  <si>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</si>
  <si>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</si>
  <si>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</si>
  <si>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</si>
  <si>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</si>
  <si>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</si>
  <si>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</si>
  <si>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</si>
  <si>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</si>
  <si>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</si>
  <si>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</si>
  <si>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</si>
  <si>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</si>
  <si>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</si>
  <si>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</si>
  <si>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</si>
  <si>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</si>
  <si>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</si>
  <si>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</si>
  <si>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</si>
  <si>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</si>
  <si>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</si>
  <si>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</si>
  <si>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Boron (B)</t>
  </si>
  <si>
    <t>B.S221</t>
  </si>
  <si>
    <t>Barium (Ba)</t>
  </si>
  <si>
    <t>CEN/TS 15297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</si>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</sst>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3.8439645767212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39814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40164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32</v>
      </c>
      <c r="L19" s="10"/>
    </row>
    <row r="20" s="1" customFormat="1">
      <c r="A20" s="10"/>
      <c r="B20" s="10"/>
      <c r="C20" s="10" t="s">
        <v>33</v>
      </c>
      <c r="D20" s="10" t="s">
        <v>34</v>
      </c>
      <c r="E20" s="10" t="s">
        <v>35</v>
      </c>
      <c r="F20" s="10"/>
      <c r="G20" s="10"/>
      <c r="H20" s="10"/>
      <c r="I20" s="10"/>
      <c r="J20" s="10"/>
      <c r="K20" s="10"/>
      <c r="L20" s="10"/>
    </row>
    <row r="21">
      <c r="A21" s="7" t="s">
        <v>36</v>
      </c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39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40</v>
      </c>
      <c r="B24" s="0" t="s">
        <v>41</v>
      </c>
      <c r="C24" s="13">
        <f>IFERROR(2.995*(1-w),"")</f>
        <v/>
      </c>
      <c r="D24" s="13">
        <v>2.995</v>
      </c>
      <c r="E24" s="13">
        <v/>
      </c>
      <c r="F24" s="13">
        <v>1.65</v>
      </c>
      <c r="G24" s="13">
        <v>0.1</v>
      </c>
      <c r="H24" s="0" t="s">
        <v>42</v>
      </c>
      <c r="I24" s="5">
        <v>40028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41</v>
      </c>
      <c r="C25" s="13">
        <f>IFERROR(2.28*(1-w),"")</f>
        <v/>
      </c>
      <c r="D25" s="13">
        <v>2.28</v>
      </c>
      <c r="E25" s="13">
        <v/>
      </c>
      <c r="F25" s="13">
        <v>3.72</v>
      </c>
      <c r="G25" s="13">
        <v>0.1</v>
      </c>
      <c r="H25" s="0" t="s">
        <v>42</v>
      </c>
      <c r="I25" s="5">
        <v>40028</v>
      </c>
      <c r="K25" s="0" t="s">
        <v>43</v>
      </c>
    </row>
    <row r="26" outlineLevel="1">
      <c r="A26" s="11" t="s">
        <v>45</v>
      </c>
      <c r="I26" s="5"/>
    </row>
    <row r="27" outlineLevel="2">
      <c r="A27" s="12" t="s">
        <v>46</v>
      </c>
      <c r="B27" s="0" t="s">
        <v>41</v>
      </c>
      <c r="C27" s="13">
        <f>IFERROR(49.59*(1-w),"")</f>
        <v/>
      </c>
      <c r="D27" s="13">
        <v>49.59</v>
      </c>
      <c r="E27" s="13">
        <v>51.121076233183864</v>
      </c>
      <c r="F27" s="13">
        <v>0.11</v>
      </c>
      <c r="G27" s="13">
        <v>0.1</v>
      </c>
      <c r="H27" s="0" t="s">
        <v>42</v>
      </c>
      <c r="I27" s="5">
        <v>40025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41</v>
      </c>
      <c r="C28" s="13">
        <f>IFERROR(6.085*(1-w),"")</f>
        <v/>
      </c>
      <c r="D28" s="13">
        <v>6.085</v>
      </c>
      <c r="E28" s="13">
        <v>6.272872532343694</v>
      </c>
      <c r="F28" s="13">
        <v>0.58</v>
      </c>
      <c r="G28" s="13">
        <v>0.1</v>
      </c>
      <c r="H28" s="0" t="s">
        <v>42</v>
      </c>
      <c r="I28" s="5">
        <v>40025</v>
      </c>
      <c r="J28" s="0" t="s">
        <v>47</v>
      </c>
      <c r="K28" s="0" t="s">
        <v>47</v>
      </c>
    </row>
    <row r="29" outlineLevel="2">
      <c r="A29" s="12" t="s">
        <v>49</v>
      </c>
      <c r="B29" s="0" t="s">
        <v>41</v>
      </c>
      <c r="C29" s="13">
        <f>IFERROR(40.965*(1-w),"")</f>
        <v/>
      </c>
      <c r="D29" s="13">
        <v>40.965</v>
      </c>
      <c r="E29" s="13">
        <v>42.229781970001554</v>
      </c>
      <c r="F29" s="13">
        <v>1.36</v>
      </c>
      <c r="G29" s="13">
        <v>0.1</v>
      </c>
      <c r="H29" s="0" t="s">
        <v>42</v>
      </c>
      <c r="I29" s="5">
        <v>40025</v>
      </c>
      <c r="K29" s="0" t="s">
        <v>50</v>
      </c>
    </row>
    <row r="30" outlineLevel="2">
      <c r="A30" s="12" t="s">
        <v>51</v>
      </c>
      <c r="B30" s="0" t="s">
        <v>41</v>
      </c>
      <c r="C30" s="13">
        <f>IFERROR(0.945*(1-w),"")</f>
        <v/>
      </c>
      <c r="D30" s="13">
        <v>0.945</v>
      </c>
      <c r="E30" s="13">
        <v>0.974176588835627</v>
      </c>
      <c r="F30" s="13">
        <v>3.74</v>
      </c>
      <c r="G30" s="13">
        <v>0.1</v>
      </c>
      <c r="H30" s="0" t="s">
        <v>42</v>
      </c>
      <c r="I30" s="5">
        <v>40025</v>
      </c>
      <c r="J30" s="0" t="s">
        <v>47</v>
      </c>
      <c r="K30" s="0" t="s">
        <v>47</v>
      </c>
    </row>
    <row r="31" outlineLevel="2">
      <c r="A31" s="12" t="s">
        <v>52</v>
      </c>
      <c r="B31" s="0" t="s">
        <v>41</v>
      </c>
      <c r="C31" s="13">
        <f>IFERROR(0.06835*(1-w),"")</f>
        <v/>
      </c>
      <c r="D31" s="13">
        <v>0.06835</v>
      </c>
      <c r="E31" s="13">
        <v>0.070460285552291113</v>
      </c>
      <c r="F31" s="13">
        <v>0.52</v>
      </c>
      <c r="G31" s="13">
        <v>0.01</v>
      </c>
      <c r="H31" s="0" t="s">
        <v>42</v>
      </c>
      <c r="I31" s="5">
        <v>40044</v>
      </c>
      <c r="J31" s="0" t="s">
        <v>53</v>
      </c>
      <c r="K31" s="0" t="s">
        <v>47</v>
      </c>
    </row>
    <row r="32" outlineLevel="2">
      <c r="A32" s="12" t="s">
        <v>54</v>
      </c>
      <c r="B32" s="0" t="s">
        <v>41</v>
      </c>
      <c r="C32" s="13">
        <f>IFERROR(100.73765*(1-w)+w*100,"")</f>
        <v/>
      </c>
      <c r="D32" s="13">
        <v>100.73765</v>
      </c>
      <c r="E32" s="13">
        <v>100.76042472037524</v>
      </c>
      <c r="F32" s="13"/>
      <c r="G32" s="13"/>
      <c r="I32" s="5"/>
      <c r="J32" s="0" t="s">
        <v>55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4">
        <f>IFERROR(893*(1-w),"")</f>
        <v/>
      </c>
      <c r="D34" s="14">
        <v>893</v>
      </c>
      <c r="E34" s="14">
        <v>920.571104582238</v>
      </c>
      <c r="F34" s="14">
        <v>1.11</v>
      </c>
      <c r="G34" s="14">
        <v>5</v>
      </c>
      <c r="H34" s="0" t="s">
        <v>42</v>
      </c>
      <c r="I34" s="5">
        <v>40024</v>
      </c>
      <c r="J34" s="0" t="s">
        <v>59</v>
      </c>
      <c r="K34" s="0" t="s">
        <v>59</v>
      </c>
    </row>
    <row r="35" outlineLevel="1">
      <c r="A35" s="11" t="s">
        <v>60</v>
      </c>
      <c r="I35" s="5"/>
    </row>
    <row r="36" outlineLevel="2">
      <c r="A36" s="12" t="s">
        <v>61</v>
      </c>
      <c r="B36" s="0" t="s">
        <v>62</v>
      </c>
      <c r="C36" s="13">
        <f>IFERROR(20.5385*(1-w)-w*2.443,"")</f>
        <v/>
      </c>
      <c r="D36" s="13">
        <v>20.5385</v>
      </c>
      <c r="E36" s="13">
        <v>21.172619968042884</v>
      </c>
      <c r="F36" s="13">
        <v>0.18</v>
      </c>
      <c r="G36" s="13">
        <v>1</v>
      </c>
      <c r="H36" s="0" t="s">
        <v>42</v>
      </c>
      <c r="I36" s="5">
        <v>39996</v>
      </c>
      <c r="J36" s="0" t="s">
        <v>63</v>
      </c>
      <c r="K36" s="0" t="s">
        <v>63</v>
      </c>
    </row>
    <row r="37" outlineLevel="2">
      <c r="A37" s="12" t="s">
        <v>64</v>
      </c>
      <c r="B37" s="0" t="s">
        <v>62</v>
      </c>
      <c r="C37" s="13">
        <f>IFERROR(19.885597723825*(1-w),"")</f>
        <v/>
      </c>
      <c r="D37" s="13">
        <v>19.885597723825</v>
      </c>
      <c r="E37" s="13">
        <v>20.499559531802486</v>
      </c>
      <c r="F37" s="13"/>
      <c r="G37" s="13"/>
      <c r="I37" s="5"/>
      <c r="J37" s="0" t="s">
        <v>55</v>
      </c>
    </row>
    <row r="38" outlineLevel="1">
      <c r="A38" s="11" t="s">
        <v>65</v>
      </c>
      <c r="I38" s="5"/>
    </row>
    <row r="39" outlineLevel="2">
      <c r="A39" s="12" t="s">
        <v>66</v>
      </c>
      <c r="B39" s="0" t="s">
        <v>67</v>
      </c>
      <c r="C39" s="14">
        <v>193.5</v>
      </c>
      <c r="D39" s="14"/>
      <c r="E39" s="14"/>
      <c r="F39" s="14">
        <v>13.52</v>
      </c>
      <c r="G39" s="14">
        <v>22</v>
      </c>
      <c r="H39" s="0" t="s">
        <v>42</v>
      </c>
      <c r="I39" s="5">
        <v>40044</v>
      </c>
      <c r="K39" s="0" t="s">
        <v>68</v>
      </c>
    </row>
    <row r="40" outlineLevel="2">
      <c r="A40" s="12" t="s">
        <v>69</v>
      </c>
      <c r="B40" s="0" t="s">
        <v>67</v>
      </c>
      <c r="C40" s="14">
        <v>16.3</v>
      </c>
      <c r="D40" s="14"/>
      <c r="E40" s="14"/>
      <c r="F40" s="14">
        <v>13.01</v>
      </c>
      <c r="G40" s="14">
        <v>1.5</v>
      </c>
      <c r="H40" s="0" t="s">
        <v>42</v>
      </c>
      <c r="I40" s="5">
        <v>40044</v>
      </c>
      <c r="K40" s="0" t="s">
        <v>70</v>
      </c>
    </row>
    <row r="41" outlineLevel="2">
      <c r="A41" s="12" t="s">
        <v>71</v>
      </c>
      <c r="B41" s="0" t="s">
        <v>67</v>
      </c>
      <c r="C41" s="14">
        <v>1.5</v>
      </c>
      <c r="D41" s="14"/>
      <c r="E41" s="14"/>
      <c r="F41" s="14">
        <v>47.14</v>
      </c>
      <c r="G41" s="14">
        <v>1</v>
      </c>
      <c r="H41" s="0" t="s">
        <v>42</v>
      </c>
      <c r="I41" s="5">
        <v>40044</v>
      </c>
      <c r="K41" s="0" t="s">
        <v>72</v>
      </c>
    </row>
    <row r="42" outlineLevel="2">
      <c r="A42" s="12" t="s">
        <v>73</v>
      </c>
      <c r="B42" s="0" t="s">
        <v>67</v>
      </c>
      <c r="C42" s="14">
        <v>5085.5</v>
      </c>
      <c r="D42" s="14"/>
      <c r="E42" s="14"/>
      <c r="F42" s="14">
        <v>8.08</v>
      </c>
      <c r="G42" s="14">
        <v>25</v>
      </c>
      <c r="H42" s="0" t="s">
        <v>42</v>
      </c>
      <c r="I42" s="5">
        <v>40044</v>
      </c>
      <c r="K42" s="0" t="s">
        <v>68</v>
      </c>
    </row>
    <row r="43" outlineLevel="2">
      <c r="A43" s="12" t="s">
        <v>74</v>
      </c>
      <c r="B43" s="0" t="s">
        <v>67</v>
      </c>
      <c r="C43" s="14">
        <v>0.1</v>
      </c>
      <c r="D43" s="14"/>
      <c r="E43" s="14"/>
      <c r="F43" s="14">
        <v>141.42</v>
      </c>
      <c r="G43" s="14">
        <v>1.8</v>
      </c>
      <c r="H43" s="0" t="s">
        <v>42</v>
      </c>
      <c r="I43" s="5">
        <v>40044</v>
      </c>
      <c r="K43" s="0" t="s">
        <v>72</v>
      </c>
    </row>
    <row r="44" outlineLevel="2">
      <c r="A44" s="12" t="s">
        <v>75</v>
      </c>
      <c r="B44" s="0" t="s">
        <v>67</v>
      </c>
      <c r="C44" s="14">
        <v>1.15</v>
      </c>
      <c r="D44" s="14"/>
      <c r="E44" s="14"/>
      <c r="F44" s="14">
        <v>55.34</v>
      </c>
      <c r="G44" s="14">
        <v>3.2</v>
      </c>
      <c r="H44" s="0" t="s">
        <v>42</v>
      </c>
      <c r="I44" s="5">
        <v>40044</v>
      </c>
      <c r="K44" s="0" t="s">
        <v>72</v>
      </c>
    </row>
    <row r="45" outlineLevel="2">
      <c r="A45" s="12" t="s">
        <v>76</v>
      </c>
      <c r="B45" s="0" t="s">
        <v>67</v>
      </c>
      <c r="C45" s="14">
        <v>6</v>
      </c>
      <c r="D45" s="14"/>
      <c r="E45" s="14"/>
      <c r="F45" s="14">
        <v>98.99</v>
      </c>
      <c r="G45" s="14">
        <v>1.4</v>
      </c>
      <c r="H45" s="0" t="s">
        <v>42</v>
      </c>
      <c r="I45" s="5">
        <v>40044</v>
      </c>
      <c r="K45" s="0" t="s">
        <v>72</v>
      </c>
    </row>
    <row r="46" outlineLevel="2">
      <c r="A46" s="12" t="s">
        <v>77</v>
      </c>
      <c r="B46" s="0" t="s">
        <v>67</v>
      </c>
      <c r="C46" s="14">
        <v>8.45</v>
      </c>
      <c r="D46" s="14"/>
      <c r="E46" s="14"/>
      <c r="F46" s="14">
        <v>30.96</v>
      </c>
      <c r="G46" s="14">
        <v>1.5</v>
      </c>
      <c r="H46" s="0" t="s">
        <v>42</v>
      </c>
      <c r="I46" s="5">
        <v>40044</v>
      </c>
      <c r="K46" s="0" t="s">
        <v>72</v>
      </c>
    </row>
    <row r="47" outlineLevel="2">
      <c r="A47" s="12" t="s">
        <v>78</v>
      </c>
      <c r="B47" s="0" t="s">
        <v>67</v>
      </c>
      <c r="C47" s="14">
        <v>351.5</v>
      </c>
      <c r="D47" s="14"/>
      <c r="E47" s="14"/>
      <c r="F47" s="14">
        <v>13.88</v>
      </c>
      <c r="G47" s="14">
        <v>6</v>
      </c>
      <c r="H47" s="0" t="s">
        <v>42</v>
      </c>
      <c r="I47" s="5">
        <v>40044</v>
      </c>
      <c r="K47" s="0" t="s">
        <v>68</v>
      </c>
    </row>
    <row r="48" outlineLevel="2">
      <c r="A48" s="12" t="s">
        <v>79</v>
      </c>
      <c r="B48" s="0" t="s">
        <v>67</v>
      </c>
      <c r="C48" s="14">
        <v>6566.5</v>
      </c>
      <c r="D48" s="14"/>
      <c r="E48" s="14"/>
      <c r="F48" s="14">
        <v>0.27</v>
      </c>
      <c r="G48" s="14">
        <v>24</v>
      </c>
      <c r="H48" s="0" t="s">
        <v>42</v>
      </c>
      <c r="I48" s="5">
        <v>40044</v>
      </c>
      <c r="K48" s="0" t="s">
        <v>68</v>
      </c>
    </row>
    <row r="49" outlineLevel="2">
      <c r="A49" s="12" t="s">
        <v>80</v>
      </c>
      <c r="B49" s="0" t="s">
        <v>67</v>
      </c>
      <c r="C49" s="14">
        <v>379.5</v>
      </c>
      <c r="D49" s="14"/>
      <c r="E49" s="14"/>
      <c r="F49" s="14">
        <v>19.19</v>
      </c>
      <c r="G49" s="14">
        <v>6</v>
      </c>
      <c r="H49" s="0" t="s">
        <v>42</v>
      </c>
      <c r="I49" s="5">
        <v>40044</v>
      </c>
      <c r="K49" s="0" t="s">
        <v>68</v>
      </c>
    </row>
    <row r="50" outlineLevel="2">
      <c r="A50" s="12" t="s">
        <v>81</v>
      </c>
      <c r="B50" s="0" t="s">
        <v>67</v>
      </c>
      <c r="C50" s="14">
        <v>10.25</v>
      </c>
      <c r="D50" s="14"/>
      <c r="E50" s="14"/>
      <c r="F50" s="14">
        <v>22.77</v>
      </c>
      <c r="G50" s="14">
        <v>0.9</v>
      </c>
      <c r="H50" s="0" t="s">
        <v>42</v>
      </c>
      <c r="I50" s="5">
        <v>40044</v>
      </c>
      <c r="K50" s="0" t="s">
        <v>72</v>
      </c>
    </row>
    <row r="51" outlineLevel="2">
      <c r="A51" s="12" t="s">
        <v>82</v>
      </c>
      <c r="B51" s="0" t="s">
        <v>67</v>
      </c>
      <c r="C51" s="14">
        <v>0.15</v>
      </c>
      <c r="D51" s="14"/>
      <c r="E51" s="14"/>
      <c r="F51" s="14">
        <v>235.7</v>
      </c>
      <c r="G51" s="14">
        <v>3</v>
      </c>
      <c r="H51" s="0" t="s">
        <v>42</v>
      </c>
      <c r="I51" s="5">
        <v>40044</v>
      </c>
      <c r="K51" s="0" t="s">
        <v>72</v>
      </c>
    </row>
    <row r="52" outlineLevel="2">
      <c r="A52" s="12" t="s">
        <v>83</v>
      </c>
      <c r="B52" s="0" t="s">
        <v>67</v>
      </c>
      <c r="C52" s="14">
        <v>121.5</v>
      </c>
      <c r="D52" s="14"/>
      <c r="E52" s="14"/>
      <c r="F52" s="14">
        <v>20.37</v>
      </c>
      <c r="G52" s="14">
        <v>8</v>
      </c>
      <c r="H52" s="0" t="s">
        <v>42</v>
      </c>
      <c r="I52" s="5">
        <v>40044</v>
      </c>
      <c r="K52" s="0" t="s">
        <v>68</v>
      </c>
    </row>
    <row r="53" outlineLevel="2">
      <c r="A53" s="12" t="s">
        <v>84</v>
      </c>
      <c r="B53" s="0" t="s">
        <v>67</v>
      </c>
      <c r="C53" s="14">
        <v>20</v>
      </c>
      <c r="D53" s="14"/>
      <c r="E53" s="14"/>
      <c r="F53" s="14">
        <v>131.52</v>
      </c>
      <c r="G53" s="14">
        <v>2.3</v>
      </c>
      <c r="H53" s="0" t="s">
        <v>42</v>
      </c>
      <c r="I53" s="5">
        <v>40044</v>
      </c>
      <c r="K53" s="0" t="s">
        <v>72</v>
      </c>
    </row>
    <row r="54" outlineLevel="2">
      <c r="A54" s="12" t="s">
        <v>85</v>
      </c>
      <c r="B54" s="0" t="s">
        <v>67</v>
      </c>
      <c r="C54" s="14">
        <v>526</v>
      </c>
      <c r="D54" s="14"/>
      <c r="E54" s="14"/>
      <c r="F54" s="14">
        <v>15.06</v>
      </c>
      <c r="G54" s="14">
        <v>7</v>
      </c>
      <c r="H54" s="0" t="s">
        <v>42</v>
      </c>
      <c r="I54" s="5">
        <v>40044</v>
      </c>
      <c r="K54" s="0" t="s">
        <v>68</v>
      </c>
    </row>
    <row r="55" outlineLevel="2">
      <c r="A55" s="12" t="s">
        <v>86</v>
      </c>
      <c r="B55" s="0" t="s">
        <v>67</v>
      </c>
      <c r="C55" s="14">
        <v>0.5</v>
      </c>
      <c r="D55" s="14"/>
      <c r="E55" s="14"/>
      <c r="F55" s="14">
        <v>424.26</v>
      </c>
      <c r="G55" s="14">
        <v>28</v>
      </c>
      <c r="H55" s="0" t="s">
        <v>42</v>
      </c>
      <c r="I55" s="5">
        <v>40044</v>
      </c>
      <c r="K55" s="0" t="s">
        <v>72</v>
      </c>
    </row>
    <row r="56" outlineLevel="2">
      <c r="A56" s="12" t="s">
        <v>87</v>
      </c>
      <c r="B56" s="0" t="s">
        <v>67</v>
      </c>
      <c r="C56" s="14">
        <v>530</v>
      </c>
      <c r="D56" s="14"/>
      <c r="E56" s="14"/>
      <c r="F56" s="14">
        <v>21.61</v>
      </c>
      <c r="G56" s="14">
        <v>52</v>
      </c>
      <c r="H56" s="0" t="s">
        <v>42</v>
      </c>
      <c r="I56" s="5">
        <v>40044</v>
      </c>
      <c r="K56" s="0" t="s">
        <v>68</v>
      </c>
    </row>
    <row r="57" outlineLevel="2">
      <c r="A57" s="12" t="s">
        <v>88</v>
      </c>
      <c r="B57" s="0" t="s">
        <v>67</v>
      </c>
      <c r="C57" s="14">
        <v>0.75</v>
      </c>
      <c r="D57" s="14"/>
      <c r="E57" s="14"/>
      <c r="F57" s="14">
        <v>9.43</v>
      </c>
      <c r="G57" s="14">
        <v>8.4</v>
      </c>
      <c r="H57" s="0" t="s">
        <v>42</v>
      </c>
      <c r="I57" s="5">
        <v>40044</v>
      </c>
      <c r="K57" s="0" t="s">
        <v>70</v>
      </c>
    </row>
    <row r="58" outlineLevel="2">
      <c r="A58" s="12" t="s">
        <v>89</v>
      </c>
      <c r="B58" s="0" t="s">
        <v>67</v>
      </c>
      <c r="C58" s="14">
        <v>9.3</v>
      </c>
      <c r="D58" s="14"/>
      <c r="E58" s="14"/>
      <c r="F58" s="14">
        <v>6.08</v>
      </c>
      <c r="G58" s="14">
        <v>0.6</v>
      </c>
      <c r="H58" s="0" t="s">
        <v>42</v>
      </c>
      <c r="I58" s="5">
        <v>40044</v>
      </c>
      <c r="K58" s="0" t="s">
        <v>70</v>
      </c>
    </row>
    <row r="59" outlineLevel="2">
      <c r="A59" s="12" t="s">
        <v>90</v>
      </c>
      <c r="B59" s="0" t="s">
        <v>67</v>
      </c>
      <c r="C59" s="14">
        <v>13.5</v>
      </c>
      <c r="D59" s="14"/>
      <c r="E59" s="14"/>
      <c r="F59" s="14">
        <v>15.71</v>
      </c>
      <c r="G59" s="14">
        <v>4</v>
      </c>
      <c r="H59" s="0" t="s">
        <v>42</v>
      </c>
      <c r="I59" s="5">
        <v>40044</v>
      </c>
      <c r="K59" s="0" t="s">
        <v>68</v>
      </c>
    </row>
    <row r="60" outlineLevel="2">
      <c r="A60" s="12" t="s">
        <v>91</v>
      </c>
      <c r="B60" s="0" t="s">
        <v>67</v>
      </c>
      <c r="C60" s="14">
        <v>0.45</v>
      </c>
      <c r="D60" s="14"/>
      <c r="E60" s="14"/>
      <c r="F60" s="14">
        <v>15.71</v>
      </c>
      <c r="G60" s="14">
        <v>0.6</v>
      </c>
      <c r="H60" s="0" t="s">
        <v>42</v>
      </c>
      <c r="I60" s="5">
        <v>40044</v>
      </c>
      <c r="K60" s="0" t="s">
        <v>72</v>
      </c>
    </row>
    <row r="61" outlineLevel="2">
      <c r="A61" s="12" t="s">
        <v>92</v>
      </c>
      <c r="B61" s="0" t="s">
        <v>67</v>
      </c>
      <c r="C61" s="14">
        <v>9.7</v>
      </c>
      <c r="D61" s="14"/>
      <c r="E61" s="14"/>
      <c r="F61" s="14">
        <v>52.49</v>
      </c>
      <c r="G61" s="14">
        <v>1.5</v>
      </c>
      <c r="H61" s="0" t="s">
        <v>42</v>
      </c>
      <c r="I61" s="5">
        <v>40044</v>
      </c>
      <c r="K61" s="0" t="s">
        <v>72</v>
      </c>
    </row>
    <row r="62">
      <c r="I62" s="5"/>
    </row>
    <row r="63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https://phyllis.nl/Biomass/View/3494</dc:description>
  <dcterms:created xsi:type="dcterms:W3CDTF">2026-03-17T05:42:17Z</dcterms:created>
  <dc:title>Phyllis2 #3494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