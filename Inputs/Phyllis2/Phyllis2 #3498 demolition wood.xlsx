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498 demolition wood" sheetId="1" r:id="rId1"/>
  </sheets>
  <definedNames>
    <definedName name="w" localSheetId="0">IF(ISBLANK('Phyllis2 #3498 demolition wood'!$C$28),#N/A,'Phyllis2 #3498 demolition wood'!$C$28/100)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<sst xmlns="http://schemas.openxmlformats.org/spreadsheetml/2006/main" count="106" uniqueCount="106">
  <si>
    <t>Phyllis2</t>
  </si>
  <si>
    <t>https://phyllis.nl/Biomass/View/3498</t>
  </si>
  <si>
    <t>demolition wood (#3498)</t>
  </si>
  <si>
    <t>ID-number</t>
  </si>
  <si>
    <t>#3498</t>
  </si>
  <si>
    <t>Material</t>
  </si>
  <si>
    <t>demolition wood</t>
  </si>
  <si>
    <t>Alternative name</t>
  </si>
  <si>
    <t>wood pellets</t>
  </si>
  <si>
    <t>Description</t>
  </si>
  <si>
    <t>brown wood pellets, produced by Labee</t>
  </si>
  <si>
    <t>Classification</t>
  </si>
  <si>
    <t>CEN/TS 14961 classification &gt; Solid biofuels &gt; Woody biomass &gt; Blends and mixtures</t>
  </si>
  <si>
    <t>ECN Phyllis classification &gt; treated wood &gt; demolition wood</t>
  </si>
  <si>
    <t>NTA 8003 classification &gt; [100] hout &gt; [150] verwerkt hout &gt; [160] onbehandeld (A-hout)</t>
  </si>
  <si>
    <t>Sample date</t>
  </si>
  <si>
    <t>Sample location</t>
  </si>
  <si>
    <t>Petten</t>
  </si>
  <si>
    <t>Ash type</t>
  </si>
  <si>
    <t>550°C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</si>
  <si>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</si>
  <si>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</si>
  <si>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</si>
  <si>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</si>
  <si>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</si>
  <si>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</si>
  <si>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</si>
  <si>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</si>
  <si>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Remarks</t>
  </si>
  <si>
    <t>Labee Moerdijk (the Netherlands)</t>
  </si>
  <si>
    <t>Literature</t>
  </si>
  <si>
    <t>ECN laboratories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</si>
  <si>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</si>
  <si>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</si>
  <si>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</si>
  <si>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</si>
  <si>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</si>
  <si>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</si>
  <si>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</si>
  <si>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</si>
  <si>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</si>
  <si>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</si>
  <si>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</si>
  <si>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</si>
  <si>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</si>
  <si>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</si>
  <si>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</si>
  <si>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</si>
  <si>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</si>
  <si>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</si>
  <si>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</si>
  <si>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</si>
  <si>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</si>
  <si>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</si>
  <si>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</si>
  <si>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</si>
  <si>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</si>
  <si>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</si>
  <si>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</si>
  <si>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</si>
  <si>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B.N206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</si>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</sst>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4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37445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37445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37480</v>
      </c>
    </row>
    <row r="20" outlineLevel="1">
      <c r="A20" s="7" t="s">
        <v>28</v>
      </c>
      <c r="B20" s="0" t="s">
        <v>29</v>
      </c>
    </row>
    <row r="21" outlineLevel="1">
      <c r="A21" s="7" t="s">
        <v>30</v>
      </c>
      <c r="B21" s="0" t="s">
        <v>31</v>
      </c>
    </row>
    <row r="22">
      <c r="A22" s="7"/>
    </row>
    <row r="23" s="1" customFormat="1">
      <c r="A23" s="9" t="s">
        <v>32</v>
      </c>
    </row>
    <row r="24" s="1" customFormat="1">
      <c r="A24" s="10" t="s">
        <v>33</v>
      </c>
      <c r="B24" s="10" t="s">
        <v>34</v>
      </c>
      <c r="C24" s="10" t="s">
        <v>35</v>
      </c>
      <c r="D24" s="10"/>
      <c r="E24" s="10"/>
      <c r="F24" s="10" t="s">
        <v>36</v>
      </c>
      <c r="G24" s="10" t="s">
        <v>37</v>
      </c>
      <c r="H24" s="10" t="s">
        <v>38</v>
      </c>
      <c r="I24" s="10" t="s">
        <v>39</v>
      </c>
      <c r="J24" s="10" t="s">
        <v>40</v>
      </c>
      <c r="K24" s="10" t="s">
        <v>28</v>
      </c>
      <c r="L24" s="10"/>
    </row>
    <row r="25" s="1" customFormat="1">
      <c r="A25" s="10"/>
      <c r="B25" s="10"/>
      <c r="C25" s="10" t="s">
        <v>41</v>
      </c>
      <c r="D25" s="10" t="s">
        <v>42</v>
      </c>
      <c r="E25" s="10" t="s">
        <v>43</v>
      </c>
      <c r="F25" s="10"/>
      <c r="G25" s="10"/>
      <c r="H25" s="10"/>
      <c r="I25" s="10"/>
      <c r="J25" s="10"/>
      <c r="K25" s="10"/>
      <c r="L25" s="10"/>
    </row>
    <row r="26">
      <c r="A26" s="7" t="s">
        <v>44</v>
      </c>
      <c r="I26" s="5"/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3">
        <v>9.57</v>
      </c>
      <c r="D28" s="13"/>
      <c r="E28" s="13"/>
      <c r="F28" s="13">
        <v>0</v>
      </c>
      <c r="G28" s="13"/>
      <c r="H28" s="0" t="s">
        <v>48</v>
      </c>
      <c r="I28" s="5">
        <v>37446</v>
      </c>
      <c r="J28" s="0" t="s">
        <v>49</v>
      </c>
      <c r="K28" s="0" t="s">
        <v>49</v>
      </c>
    </row>
    <row r="29" outlineLevel="2">
      <c r="A29" s="12" t="s">
        <v>50</v>
      </c>
      <c r="B29" s="0" t="s">
        <v>47</v>
      </c>
      <c r="C29" s="13">
        <f>IFERROR(1.96*(1-w),"")</f>
        <v>1.772428</v>
      </c>
      <c r="D29" s="13">
        <v>1.96</v>
      </c>
      <c r="E29" s="13">
        <v/>
      </c>
      <c r="F29" s="13">
        <v>0</v>
      </c>
      <c r="G29" s="13"/>
      <c r="H29" s="0" t="s">
        <v>48</v>
      </c>
      <c r="I29" s="5">
        <v>37466</v>
      </c>
      <c r="J29" s="0" t="s">
        <v>51</v>
      </c>
      <c r="K29" s="0" t="s">
        <v>51</v>
      </c>
    </row>
    <row r="30" outlineLevel="2">
      <c r="A30" s="12" t="s">
        <v>52</v>
      </c>
      <c r="B30" s="0" t="s">
        <v>47</v>
      </c>
      <c r="C30" s="13">
        <f>IFERROR(77.86*(1-w),"")</f>
        <v>70.408798</v>
      </c>
      <c r="D30" s="13">
        <v>77.86</v>
      </c>
      <c r="E30" s="13">
        <v>79.41656466748266</v>
      </c>
      <c r="F30" s="13">
        <v>0.4</v>
      </c>
      <c r="G30" s="13"/>
      <c r="H30" s="0" t="s">
        <v>48</v>
      </c>
      <c r="I30" s="5">
        <v>37468</v>
      </c>
    </row>
    <row r="31" outlineLevel="2">
      <c r="A31" s="12" t="s">
        <v>53</v>
      </c>
      <c r="B31" s="0" t="s">
        <v>47</v>
      </c>
      <c r="C31" s="13">
        <f>IFERROR(20.18*(1-w),"")</f>
        <v>18.248774000000004</v>
      </c>
      <c r="D31" s="13">
        <v>20.180000000000007</v>
      </c>
      <c r="E31" s="13">
        <v>20.583435332517347</v>
      </c>
      <c r="F31" s="13"/>
      <c r="G31" s="13"/>
      <c r="I31" s="5"/>
      <c r="J31" s="0" t="s">
        <v>54</v>
      </c>
    </row>
    <row r="32" outlineLevel="1">
      <c r="A32" s="11" t="s">
        <v>55</v>
      </c>
      <c r="I32" s="5"/>
    </row>
    <row r="33" outlineLevel="2">
      <c r="A33" s="12" t="s">
        <v>56</v>
      </c>
      <c r="B33" s="0" t="s">
        <v>47</v>
      </c>
      <c r="C33" s="13">
        <f>IFERROR(48.41*(1-w),"")</f>
        <v>43.777162999999994</v>
      </c>
      <c r="D33" s="13">
        <v>48.41</v>
      </c>
      <c r="E33" s="13">
        <v>49.377804977560174</v>
      </c>
      <c r="F33" s="13">
        <v>0.28</v>
      </c>
      <c r="G33" s="13"/>
      <c r="H33" s="0" t="s">
        <v>48</v>
      </c>
      <c r="I33" s="5">
        <v>37466</v>
      </c>
      <c r="J33" s="0" t="s">
        <v>57</v>
      </c>
      <c r="K33" s="0" t="s">
        <v>57</v>
      </c>
    </row>
    <row r="34" outlineLevel="2">
      <c r="A34" s="12" t="s">
        <v>58</v>
      </c>
      <c r="B34" s="0" t="s">
        <v>47</v>
      </c>
      <c r="C34" s="13">
        <f>IFERROR(5.93*(1-w),"")</f>
        <v>5.362499</v>
      </c>
      <c r="D34" s="13">
        <v>5.93</v>
      </c>
      <c r="E34" s="13">
        <v>6.048551611587107</v>
      </c>
      <c r="F34" s="13">
        <v>2.69</v>
      </c>
      <c r="G34" s="13"/>
      <c r="H34" s="0" t="s">
        <v>48</v>
      </c>
      <c r="I34" s="5">
        <v>37466</v>
      </c>
      <c r="J34" s="0" t="s">
        <v>57</v>
      </c>
      <c r="K34" s="0" t="s">
        <v>57</v>
      </c>
    </row>
    <row r="35" outlineLevel="2">
      <c r="A35" s="12" t="s">
        <v>59</v>
      </c>
      <c r="B35" s="0" t="s">
        <v>47</v>
      </c>
      <c r="C35" s="13">
        <f>IFERROR(40.905*(1-w),"")</f>
        <v>36.9903915</v>
      </c>
      <c r="D35" s="13">
        <v>40.905</v>
      </c>
      <c r="E35" s="13">
        <v>41.722766217870259</v>
      </c>
      <c r="F35" s="13">
        <v>1.02</v>
      </c>
      <c r="G35" s="13"/>
      <c r="H35" s="0" t="s">
        <v>48</v>
      </c>
      <c r="I35" s="5">
        <v>37473</v>
      </c>
      <c r="K35" s="0" t="s">
        <v>60</v>
      </c>
    </row>
    <row r="36" outlineLevel="2">
      <c r="A36" s="12" t="s">
        <v>61</v>
      </c>
      <c r="B36" s="0" t="s">
        <v>47</v>
      </c>
      <c r="C36" s="13">
        <f>IFERROR(1.06*(1-w),"")</f>
        <v>0.958558</v>
      </c>
      <c r="D36" s="13">
        <v>1.06</v>
      </c>
      <c r="E36" s="13">
        <v>1.0811913504691963</v>
      </c>
      <c r="F36" s="13">
        <v>4.62</v>
      </c>
      <c r="G36" s="13"/>
      <c r="H36" s="0" t="s">
        <v>48</v>
      </c>
      <c r="I36" s="5">
        <v>37466</v>
      </c>
      <c r="J36" s="0" t="s">
        <v>57</v>
      </c>
      <c r="K36" s="0" t="s">
        <v>57</v>
      </c>
    </row>
    <row r="37" outlineLevel="2">
      <c r="A37" s="12" t="s">
        <v>62</v>
      </c>
      <c r="B37" s="0" t="s">
        <v>47</v>
      </c>
      <c r="C37" s="13">
        <f>IFERROR(0.0585*(1-w),"")</f>
        <v>0.052901550000000006</v>
      </c>
      <c r="D37" s="13">
        <v>0.0585</v>
      </c>
      <c r="E37" s="13">
        <v>0.059669522643818848</v>
      </c>
      <c r="F37" s="13">
        <v>0.22</v>
      </c>
      <c r="G37" s="13">
        <v>0.00068494968252759</v>
      </c>
      <c r="H37" s="0" t="s">
        <v>48</v>
      </c>
      <c r="I37" s="5">
        <v>37466</v>
      </c>
      <c r="J37" s="0" t="s">
        <v>63</v>
      </c>
      <c r="K37" s="0" t="s">
        <v>57</v>
      </c>
    </row>
    <row r="38" outlineLevel="2">
      <c r="A38" s="12" t="s">
        <v>64</v>
      </c>
      <c r="B38" s="0" t="s">
        <v>47</v>
      </c>
      <c r="C38" s="13">
        <f>IFERROR(98.3722*(1-w)+w*100,"")</f>
        <v>98.527980459999981</v>
      </c>
      <c r="D38" s="13">
        <v>98.372199999999992</v>
      </c>
      <c r="E38" s="13">
        <v>98.339657282741726</v>
      </c>
      <c r="F38" s="13"/>
      <c r="G38" s="13"/>
      <c r="I38" s="5"/>
      <c r="J38" s="0" t="s">
        <v>54</v>
      </c>
    </row>
    <row r="39" outlineLevel="1">
      <c r="A39" s="11" t="s">
        <v>65</v>
      </c>
      <c r="I39" s="5"/>
    </row>
    <row r="40" outlineLevel="2">
      <c r="A40" s="12" t="s">
        <v>66</v>
      </c>
      <c r="B40" s="0" t="s">
        <v>67</v>
      </c>
      <c r="C40" s="14">
        <f>IFERROR(487*(1-w),"")</f>
        <v>440.3941</v>
      </c>
      <c r="D40" s="14">
        <v>487</v>
      </c>
      <c r="E40" s="14">
        <v>496.73602611179109</v>
      </c>
      <c r="F40" s="14">
        <v>0</v>
      </c>
      <c r="G40" s="14"/>
      <c r="H40" s="0" t="s">
        <v>48</v>
      </c>
      <c r="I40" s="5">
        <v>37468</v>
      </c>
      <c r="J40" s="0" t="s">
        <v>68</v>
      </c>
      <c r="K40" s="0" t="s">
        <v>68</v>
      </c>
    </row>
    <row r="41" outlineLevel="1">
      <c r="A41" s="11" t="s">
        <v>69</v>
      </c>
      <c r="I41" s="5"/>
    </row>
    <row r="42" outlineLevel="2">
      <c r="A42" s="12" t="s">
        <v>70</v>
      </c>
      <c r="B42" s="0" t="s">
        <v>71</v>
      </c>
      <c r="C42" s="13">
        <f>IFERROR(18.894*(1-w)-w*2.443,"")</f>
        <v>16.852049099999995</v>
      </c>
      <c r="D42" s="13">
        <v>18.894</v>
      </c>
      <c r="E42" s="13">
        <v>19.271725826193389</v>
      </c>
      <c r="F42" s="13">
        <v>0</v>
      </c>
      <c r="G42" s="13"/>
      <c r="H42" s="0" t="s">
        <v>48</v>
      </c>
      <c r="I42" s="5">
        <v>37468</v>
      </c>
      <c r="K42" s="0" t="s">
        <v>72</v>
      </c>
    </row>
    <row r="43" outlineLevel="2">
      <c r="A43" s="12" t="s">
        <v>73</v>
      </c>
      <c r="B43" s="0" t="s">
        <v>71</v>
      </c>
      <c r="C43" s="13">
        <f>IFERROR(20.188*(1-w),"")</f>
        <v>18.2560084</v>
      </c>
      <c r="D43" s="13">
        <v>20.188</v>
      </c>
      <c r="E43" s="13">
        <v>20.59159526723786</v>
      </c>
      <c r="F43" s="13"/>
      <c r="G43" s="13"/>
      <c r="I43" s="5">
        <v>37468</v>
      </c>
      <c r="J43" s="0" t="s">
        <v>72</v>
      </c>
      <c r="K43" s="0" t="s">
        <v>72</v>
      </c>
    </row>
    <row r="44" outlineLevel="2">
      <c r="A44" s="12" t="s">
        <v>74</v>
      </c>
      <c r="B44" s="0" t="s">
        <v>71</v>
      </c>
      <c r="C44" s="13">
        <f>IFERROR(19.2860828648*(1-w),"")</f>
        <v>17.440404734638641</v>
      </c>
      <c r="D44" s="13">
        <v>19.2860828648</v>
      </c>
      <c r="E44" s="13">
        <v>19.671647148918808</v>
      </c>
      <c r="F44" s="13"/>
      <c r="G44" s="13"/>
      <c r="I44" s="5"/>
      <c r="J44" s="0" t="s">
        <v>54</v>
      </c>
    </row>
    <row r="45" outlineLevel="1">
      <c r="A45" s="11" t="s">
        <v>75</v>
      </c>
      <c r="I45" s="5"/>
    </row>
    <row r="46" outlineLevel="2">
      <c r="A46" s="12" t="s">
        <v>76</v>
      </c>
      <c r="B46" s="0" t="s">
        <v>77</v>
      </c>
      <c r="C46" s="14">
        <v>459</v>
      </c>
      <c r="D46" s="14"/>
      <c r="E46" s="14"/>
      <c r="F46" s="14">
        <v>0.14</v>
      </c>
      <c r="G46" s="14">
        <v>0.5</v>
      </c>
      <c r="H46" s="0" t="s">
        <v>48</v>
      </c>
      <c r="I46" s="5">
        <v>37466</v>
      </c>
      <c r="K46" s="0" t="s">
        <v>78</v>
      </c>
    </row>
    <row r="47" outlineLevel="2">
      <c r="A47" s="12" t="s">
        <v>79</v>
      </c>
      <c r="B47" s="0" t="s">
        <v>77</v>
      </c>
      <c r="C47" s="14">
        <v>1.5</v>
      </c>
      <c r="D47" s="14"/>
      <c r="E47" s="14"/>
      <c r="F47" s="14">
        <v>30.99</v>
      </c>
      <c r="G47" s="14">
        <v>9</v>
      </c>
      <c r="H47" s="0" t="s">
        <v>48</v>
      </c>
      <c r="I47" s="5">
        <v>37466</v>
      </c>
      <c r="K47" s="0" t="s">
        <v>80</v>
      </c>
    </row>
    <row r="48" outlineLevel="2">
      <c r="A48" s="12" t="s">
        <v>81</v>
      </c>
      <c r="B48" s="0" t="s">
        <v>77</v>
      </c>
      <c r="C48" s="14">
        <v>6</v>
      </c>
      <c r="D48" s="14"/>
      <c r="E48" s="14"/>
      <c r="F48" s="14">
        <v>1.9</v>
      </c>
      <c r="G48" s="14">
        <v>2</v>
      </c>
      <c r="H48" s="0" t="s">
        <v>48</v>
      </c>
      <c r="I48" s="5">
        <v>37466</v>
      </c>
      <c r="K48" s="0" t="s">
        <v>82</v>
      </c>
    </row>
    <row r="49" outlineLevel="2">
      <c r="A49" s="12" t="s">
        <v>83</v>
      </c>
      <c r="B49" s="0" t="s">
        <v>77</v>
      </c>
      <c r="C49" s="14">
        <v>121</v>
      </c>
      <c r="D49" s="14"/>
      <c r="E49" s="14"/>
      <c r="F49" s="14">
        <v>2.52</v>
      </c>
      <c r="G49" s="14">
        <v>0.09</v>
      </c>
      <c r="H49" s="0" t="s">
        <v>48</v>
      </c>
      <c r="I49" s="5">
        <v>37466</v>
      </c>
      <c r="K49" s="0" t="s">
        <v>80</v>
      </c>
    </row>
    <row r="50" outlineLevel="2">
      <c r="A50" s="12" t="s">
        <v>84</v>
      </c>
      <c r="B50" s="0" t="s">
        <v>77</v>
      </c>
      <c r="C50" s="14">
        <v>2290</v>
      </c>
      <c r="D50" s="14"/>
      <c r="E50" s="14"/>
      <c r="F50" s="14">
        <v>0.04</v>
      </c>
      <c r="G50" s="14">
        <v>0.9</v>
      </c>
      <c r="H50" s="0" t="s">
        <v>48</v>
      </c>
      <c r="I50" s="5">
        <v>37466</v>
      </c>
      <c r="K50" s="0" t="s">
        <v>78</v>
      </c>
    </row>
    <row r="51" outlineLevel="2">
      <c r="A51" s="12" t="s">
        <v>85</v>
      </c>
      <c r="B51" s="0" t="s">
        <v>77</v>
      </c>
      <c r="C51" s="14">
        <v>0.16</v>
      </c>
      <c r="D51" s="14"/>
      <c r="E51" s="14"/>
      <c r="F51" s="14">
        <v>8.32</v>
      </c>
      <c r="G51" s="14">
        <v>0.3</v>
      </c>
      <c r="H51" s="0" t="s">
        <v>48</v>
      </c>
      <c r="I51" s="5">
        <v>37466</v>
      </c>
      <c r="K51" s="0" t="s">
        <v>80</v>
      </c>
    </row>
    <row r="52" outlineLevel="2">
      <c r="A52" s="12" t="s">
        <v>86</v>
      </c>
      <c r="B52" s="0" t="s">
        <v>77</v>
      </c>
      <c r="C52" s="14">
        <v>2.3</v>
      </c>
      <c r="D52" s="14"/>
      <c r="E52" s="14"/>
      <c r="F52" s="14">
        <v>2.5</v>
      </c>
      <c r="G52" s="14">
        <v>3</v>
      </c>
      <c r="H52" s="0" t="s">
        <v>48</v>
      </c>
      <c r="I52" s="5">
        <v>37466</v>
      </c>
      <c r="K52" s="0" t="s">
        <v>80</v>
      </c>
    </row>
    <row r="53" outlineLevel="2">
      <c r="A53" s="12" t="s">
        <v>87</v>
      </c>
      <c r="B53" s="0" t="s">
        <v>77</v>
      </c>
      <c r="C53" s="14">
        <v>29</v>
      </c>
      <c r="D53" s="14"/>
      <c r="E53" s="14"/>
      <c r="F53" s="14">
        <v>0.92</v>
      </c>
      <c r="G53" s="14">
        <v>0.45</v>
      </c>
      <c r="H53" s="0" t="s">
        <v>48</v>
      </c>
      <c r="I53" s="5">
        <v>37466</v>
      </c>
      <c r="K53" s="0" t="s">
        <v>80</v>
      </c>
    </row>
    <row r="54" outlineLevel="2">
      <c r="A54" s="12" t="s">
        <v>88</v>
      </c>
      <c r="B54" s="0" t="s">
        <v>77</v>
      </c>
      <c r="C54" s="14">
        <v>10</v>
      </c>
      <c r="D54" s="14"/>
      <c r="E54" s="14"/>
      <c r="F54" s="14">
        <v>0.72</v>
      </c>
      <c r="G54" s="14">
        <v>1.2</v>
      </c>
      <c r="H54" s="0" t="s">
        <v>48</v>
      </c>
      <c r="I54" s="5">
        <v>37466</v>
      </c>
      <c r="K54" s="0" t="s">
        <v>80</v>
      </c>
    </row>
    <row r="55" outlineLevel="2">
      <c r="A55" s="12" t="s">
        <v>89</v>
      </c>
      <c r="B55" s="0" t="s">
        <v>77</v>
      </c>
      <c r="C55" s="14">
        <v>480</v>
      </c>
      <c r="D55" s="14"/>
      <c r="E55" s="14"/>
      <c r="F55" s="14">
        <v>0.96</v>
      </c>
      <c r="G55" s="14">
        <v>0.7</v>
      </c>
      <c r="H55" s="0" t="s">
        <v>48</v>
      </c>
      <c r="I55" s="5">
        <v>37466</v>
      </c>
      <c r="K55" s="0" t="s">
        <v>78</v>
      </c>
    </row>
    <row r="56" outlineLevel="2">
      <c r="A56" s="12" t="s">
        <v>90</v>
      </c>
      <c r="B56" s="0" t="s">
        <v>77</v>
      </c>
      <c r="C56" s="14">
        <v>909</v>
      </c>
      <c r="D56" s="14"/>
      <c r="E56" s="14"/>
      <c r="F56" s="14">
        <v>0.22</v>
      </c>
      <c r="G56" s="14">
        <v>7</v>
      </c>
      <c r="H56" s="0" t="s">
        <v>48</v>
      </c>
      <c r="I56" s="5">
        <v>37466</v>
      </c>
      <c r="K56" s="0" t="s">
        <v>78</v>
      </c>
    </row>
    <row r="57" outlineLevel="2">
      <c r="A57" s="12" t="s">
        <v>91</v>
      </c>
      <c r="B57" s="0" t="s">
        <v>77</v>
      </c>
      <c r="C57" s="14">
        <v>501</v>
      </c>
      <c r="D57" s="14"/>
      <c r="E57" s="14"/>
      <c r="F57" s="14">
        <v>0.38</v>
      </c>
      <c r="G57" s="14">
        <v>0</v>
      </c>
      <c r="H57" s="0" t="s">
        <v>48</v>
      </c>
      <c r="I57" s="5">
        <v>37466</v>
      </c>
      <c r="K57" s="0" t="s">
        <v>78</v>
      </c>
    </row>
    <row r="58" outlineLevel="2">
      <c r="A58" s="12" t="s">
        <v>92</v>
      </c>
      <c r="B58" s="0" t="s">
        <v>77</v>
      </c>
      <c r="C58" s="14">
        <v>54</v>
      </c>
      <c r="D58" s="14"/>
      <c r="E58" s="14"/>
      <c r="F58" s="14">
        <v>0.22</v>
      </c>
      <c r="G58" s="14">
        <v>0.09</v>
      </c>
      <c r="H58" s="0" t="s">
        <v>48</v>
      </c>
      <c r="I58" s="5">
        <v>37466</v>
      </c>
      <c r="K58" s="0" t="s">
        <v>80</v>
      </c>
    </row>
    <row r="59" outlineLevel="2">
      <c r="A59" s="12" t="s">
        <v>93</v>
      </c>
      <c r="B59" s="0" t="s">
        <v>77</v>
      </c>
      <c r="C59" s="14">
        <v>2.5</v>
      </c>
      <c r="D59" s="14"/>
      <c r="E59" s="14"/>
      <c r="F59" s="14">
        <v>9.02</v>
      </c>
      <c r="G59" s="14">
        <v>1.3</v>
      </c>
      <c r="H59" s="0" t="s">
        <v>48</v>
      </c>
      <c r="I59" s="5">
        <v>37466</v>
      </c>
      <c r="K59" s="0" t="s">
        <v>80</v>
      </c>
    </row>
    <row r="60" outlineLevel="2">
      <c r="A60" s="12" t="s">
        <v>94</v>
      </c>
      <c r="B60" s="0" t="s">
        <v>77</v>
      </c>
      <c r="C60" s="14">
        <v>556</v>
      </c>
      <c r="D60" s="14"/>
      <c r="E60" s="14"/>
      <c r="F60" s="14">
        <v>0.11</v>
      </c>
      <c r="G60" s="14">
        <v>0.25</v>
      </c>
      <c r="H60" s="0" t="s">
        <v>48</v>
      </c>
      <c r="I60" s="5">
        <v>37466</v>
      </c>
      <c r="K60" s="0" t="s">
        <v>78</v>
      </c>
    </row>
    <row r="61" outlineLevel="2">
      <c r="A61" s="12" t="s">
        <v>95</v>
      </c>
      <c r="B61" s="0" t="s">
        <v>77</v>
      </c>
      <c r="C61" s="14">
        <v>24</v>
      </c>
      <c r="D61" s="14"/>
      <c r="E61" s="14"/>
      <c r="F61" s="14">
        <v>1.46</v>
      </c>
      <c r="G61" s="14">
        <v>3</v>
      </c>
      <c r="H61" s="0" t="s">
        <v>48</v>
      </c>
      <c r="I61" s="5">
        <v>37466</v>
      </c>
      <c r="K61" s="0" t="s">
        <v>80</v>
      </c>
    </row>
    <row r="62" outlineLevel="2">
      <c r="A62" s="12" t="s">
        <v>96</v>
      </c>
      <c r="B62" s="0" t="s">
        <v>77</v>
      </c>
      <c r="C62" s="14">
        <v>485</v>
      </c>
      <c r="D62" s="14"/>
      <c r="E62" s="14"/>
      <c r="F62" s="14">
        <v>0.23</v>
      </c>
      <c r="G62" s="14">
        <v>1</v>
      </c>
      <c r="H62" s="0" t="s">
        <v>48</v>
      </c>
      <c r="I62" s="5">
        <v>37466</v>
      </c>
      <c r="K62" s="0" t="s">
        <v>78</v>
      </c>
    </row>
    <row r="63" outlineLevel="2">
      <c r="A63" s="12" t="s">
        <v>97</v>
      </c>
      <c r="B63" s="0" t="s">
        <v>77</v>
      </c>
      <c r="C63" s="14">
        <v>78</v>
      </c>
      <c r="D63" s="14"/>
      <c r="E63" s="14"/>
      <c r="F63" s="14">
        <v>1.1</v>
      </c>
      <c r="G63" s="14">
        <v>8</v>
      </c>
      <c r="H63" s="0" t="s">
        <v>48</v>
      </c>
      <c r="I63" s="5">
        <v>37466</v>
      </c>
      <c r="K63" s="0" t="s">
        <v>80</v>
      </c>
    </row>
    <row r="64" outlineLevel="2">
      <c r="A64" s="12" t="s">
        <v>98</v>
      </c>
      <c r="B64" s="0" t="s">
        <v>77</v>
      </c>
      <c r="C64" s="14">
        <v>2.1</v>
      </c>
      <c r="D64" s="14"/>
      <c r="E64" s="14"/>
      <c r="F64" s="14">
        <v>0.68</v>
      </c>
      <c r="G64" s="14">
        <v>2.5</v>
      </c>
      <c r="H64" s="0" t="s">
        <v>48</v>
      </c>
      <c r="I64" s="5">
        <v>37466</v>
      </c>
      <c r="K64" s="0" t="s">
        <v>82</v>
      </c>
    </row>
    <row r="65" outlineLevel="2">
      <c r="A65" s="12" t="s">
        <v>99</v>
      </c>
      <c r="B65" s="0" t="s">
        <v>77</v>
      </c>
      <c r="C65" s="14">
        <v>0.2</v>
      </c>
      <c r="D65" s="14"/>
      <c r="E65" s="14"/>
      <c r="F65" s="14">
        <v>0.38</v>
      </c>
      <c r="G65" s="14">
        <v>2</v>
      </c>
      <c r="H65" s="0" t="s">
        <v>48</v>
      </c>
      <c r="I65" s="5">
        <v>37466</v>
      </c>
      <c r="K65" s="0" t="s">
        <v>80</v>
      </c>
    </row>
    <row r="66" outlineLevel="2">
      <c r="A66" s="12" t="s">
        <v>100</v>
      </c>
      <c r="B66" s="0" t="s">
        <v>77</v>
      </c>
      <c r="C66" s="14">
        <v>2049</v>
      </c>
      <c r="D66" s="14"/>
      <c r="E66" s="14"/>
      <c r="F66" s="14">
        <v>0.42</v>
      </c>
      <c r="G66" s="14">
        <v>22</v>
      </c>
      <c r="H66" s="0" t="s">
        <v>48</v>
      </c>
      <c r="I66" s="5">
        <v>37466</v>
      </c>
      <c r="K66" s="0" t="s">
        <v>78</v>
      </c>
    </row>
    <row r="67" outlineLevel="2">
      <c r="A67" s="12" t="s">
        <v>101</v>
      </c>
      <c r="B67" s="0" t="s">
        <v>77</v>
      </c>
      <c r="C67" s="14">
        <v>0.1</v>
      </c>
      <c r="D67" s="14"/>
      <c r="E67" s="14"/>
      <c r="F67" s="14">
        <v>31.09</v>
      </c>
      <c r="G67" s="14">
        <v>2.8</v>
      </c>
      <c r="H67" s="0" t="s">
        <v>48</v>
      </c>
      <c r="I67" s="5">
        <v>37466</v>
      </c>
      <c r="K67" s="0" t="s">
        <v>82</v>
      </c>
    </row>
    <row r="68" outlineLevel="2">
      <c r="A68" s="12" t="s">
        <v>102</v>
      </c>
      <c r="B68" s="0" t="s">
        <v>77</v>
      </c>
      <c r="C68" s="14">
        <v>12</v>
      </c>
      <c r="D68" s="14"/>
      <c r="E68" s="14"/>
      <c r="F68" s="14">
        <v>0.52</v>
      </c>
      <c r="G68" s="14">
        <v>0</v>
      </c>
      <c r="H68" s="0" t="s">
        <v>48</v>
      </c>
      <c r="I68" s="5">
        <v>37466</v>
      </c>
      <c r="K68" s="0" t="s">
        <v>82</v>
      </c>
    </row>
    <row r="69" outlineLevel="2">
      <c r="A69" s="12" t="s">
        <v>103</v>
      </c>
      <c r="B69" s="0" t="s">
        <v>77</v>
      </c>
      <c r="C69" s="14">
        <v>228</v>
      </c>
      <c r="D69" s="14"/>
      <c r="E69" s="14"/>
      <c r="F69" s="14">
        <v>0.58</v>
      </c>
      <c r="G69" s="14">
        <v>0.8</v>
      </c>
      <c r="H69" s="0" t="s">
        <v>48</v>
      </c>
      <c r="I69" s="5">
        <v>37466</v>
      </c>
      <c r="K69" s="0" t="s">
        <v>78</v>
      </c>
    </row>
    <row r="70" outlineLevel="2">
      <c r="A70" s="12" t="s">
        <v>104</v>
      </c>
      <c r="B70" s="0" t="s">
        <v>77</v>
      </c>
      <c r="C70" s="14">
        <v>1.5</v>
      </c>
      <c r="D70" s="14"/>
      <c r="E70" s="14"/>
      <c r="F70" s="14">
        <v>0</v>
      </c>
      <c r="G70" s="14">
        <v>0.4</v>
      </c>
      <c r="H70" s="0" t="s">
        <v>48</v>
      </c>
      <c r="I70" s="5">
        <v>37466</v>
      </c>
      <c r="K70" s="0" t="s">
        <v>80</v>
      </c>
    </row>
    <row r="71" outlineLevel="2">
      <c r="A71" s="12" t="s">
        <v>105</v>
      </c>
      <c r="B71" s="0" t="s">
        <v>77</v>
      </c>
      <c r="C71" s="14">
        <v>63</v>
      </c>
      <c r="D71" s="14"/>
      <c r="E71" s="14"/>
      <c r="F71" s="14">
        <v>0.76</v>
      </c>
      <c r="G71" s="14">
        <v>0.35</v>
      </c>
      <c r="H71" s="0" t="s">
        <v>48</v>
      </c>
      <c r="I71" s="5">
        <v>37466</v>
      </c>
      <c r="K71" s="0" t="s">
        <v>80</v>
      </c>
    </row>
    <row r="72">
      <c r="I72" s="5"/>
    </row>
    <row r="73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</mergeCells>
  <dataValidations count="1">
    <dataValidation type="decimal" sqref="C28" errorStyle="stop" promptTitle="Enter moisture content" errorTitle="Invalid moisture content" prompt="Value should be between 0 and 100.&#10;Original value: 9.5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https://phyllis.nl/Biomass/View/3498</dc:description>
  <dcterms:created xsi:type="dcterms:W3CDTF">2026-03-19T04:03:05Z</dcterms:created>
  <dc:title>Phyllis2 #3498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