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0 almond shells (hu" sheetId="1" r:id="rId1"/>
  </sheets>
  <definedNames>
    <definedName name="w" localSheetId="0">IF(ISBLANK('Phyllis2 #350 almond shells (hu'!$C$18),#N/A,'Phyllis2 #350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<sst xmlns="http://schemas.openxmlformats.org/spreadsheetml/2006/main" count="64" uniqueCount="64">
  <si>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</si>
  <si>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https://phyllis.nl/Biomass/View/350</t>
  </si>
  <si>
    <t>almond shells (hulls) (#350)</t>
  </si>
  <si>
    <t>ID-number</t>
  </si>
  <si>
    <t>#350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</si>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</sst>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IFERROR(6.23*(1-w),"")</f>
        <v/>
      </c>
      <c r="D19" s="11">
        <v>6.23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IFERROR(46.5*(1-w),"")</f>
        <v/>
      </c>
      <c r="D21" s="11">
        <v>46.5</v>
      </c>
      <c r="E21" s="11">
        <v>49.589420923536316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IFERROR(5.45*(1-w),"")</f>
        <v/>
      </c>
      <c r="D22" s="11">
        <v>5.45</v>
      </c>
      <c r="E22" s="11">
        <v>5.8120934200703855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IFERROR(41.03*(1-w),"")</f>
        <v/>
      </c>
      <c r="D23" s="11">
        <v>41.03</v>
      </c>
      <c r="E23" s="11">
        <v>43.755998720273013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IFERROR(0.71*(1-w),"")</f>
        <v/>
      </c>
      <c r="D24" s="11">
        <v>0.71</v>
      </c>
      <c r="E24" s="11">
        <v>0.75717180334861889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0.031993174789378263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IFERROR(500*(1-w),"")</f>
        <v/>
      </c>
      <c r="D28" s="12">
        <v>500</v>
      </c>
      <c r="E28" s="12">
        <v>533.21957982297113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IFERROR(17.55872*(1-w)-w*2.443,"")</f>
        <v/>
      </c>
      <c r="D30" s="11">
        <v>17.55872</v>
      </c>
      <c r="E30" s="11">
        <v>18.7253066012584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IFERROR(18.748*(1-w),"")</f>
        <v/>
      </c>
      <c r="D31" s="11">
        <v>18.748</v>
      </c>
      <c r="E31" s="11">
        <v>19.993601365042124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IFERROR(17.9652773737*(1-w),"")</f>
        <v/>
      </c>
      <c r="D32" s="11">
        <v>17.965277373700005</v>
      </c>
      <c r="E32" s="11">
        <v>19.158875305214892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1.6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5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4.9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1.3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1.5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6.9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2.6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0.5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49.6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https://phyllis.nl/Biomass/View/350</dc:description>
  <dcterms:created xsi:type="dcterms:W3CDTF">2026-03-17T05:39:12Z</dcterms:created>
  <dc:title>Phyllis2 #350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