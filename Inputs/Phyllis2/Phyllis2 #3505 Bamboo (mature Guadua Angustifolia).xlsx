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05 Bamboo (mature G" sheetId="1" r:id="rId1"/>
  </sheets>
  <definedNames>
    <definedName name="w" localSheetId="0">IF(ISBLANK('Phyllis2 #3505 Bamboo (mature G'!$C$31),#N/A,'Phyllis2 #3505 Bamboo (mature G'!$C$31/100)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<sst xmlns="http://schemas.openxmlformats.org/spreadsheetml/2006/main" count="141" uniqueCount="141">
  <si>
    <t>Phyllis2</t>
  </si>
  <si>
    <t>https://phyllis.nl/Biomass/View/3505</t>
  </si>
  <si>
    <t>Bamboo (mature Guadua Angustifolia) (#3505)</t>
  </si>
  <si>
    <t>ID-number</t>
  </si>
  <si>
    <t>#3505</t>
  </si>
  <si>
    <t>Material</t>
  </si>
  <si>
    <t>Bamboo (mature Guadua Angustifolia)</t>
  </si>
  <si>
    <t>Alternative name</t>
  </si>
  <si>
    <t>Bamboo</t>
  </si>
  <si>
    <t>Latin name</t>
  </si>
  <si>
    <t>G. Angustifolia</t>
  </si>
  <si>
    <t>Description</t>
  </si>
  <si>
    <t>G. angustifolia samples, 5 years old plant, not chemically treated, obtained from a Forest Stewardship Council (FSC) certified forest located in La Esmeralda farm in Montenegro-Quindio, Colombia.</t>
  </si>
  <si>
    <t>Classification</t>
  </si>
  <si>
    <t>CEN/TS 14961 classification &gt; Solid biofuels &gt; Herbaceous biomass &gt; Herb processing industry &gt; Chemically untreated herb residues &gt; Cereal crops and grasses</t>
  </si>
  <si>
    <t>ECN Phyllis classification &gt; grass/plant &gt; other plants &gt; bamboo</t>
  </si>
  <si>
    <t>NTA 8003 classification &gt; [200] biomassa uit land- en tuinbouw &gt; [210] gras &gt; [219] overig gras</t>
  </si>
  <si>
    <t>Sample date</t>
  </si>
  <si>
    <t>Sample location</t>
  </si>
  <si>
    <t>Quindio, Colombia</t>
  </si>
  <si>
    <t>Sample lot size</t>
  </si>
  <si>
    <t>2000 kg</t>
  </si>
  <si>
    <t>Country</t>
  </si>
  <si>
    <t>Colombia</t>
  </si>
  <si>
    <t>Submitter</t>
  </si>
  <si>
    <t>Lydia Fryda</t>
  </si>
  <si>
    <t>Submitter organisation</t>
  </si>
  <si>
    <t>ECN (Netherlands)</t>
  </si>
  <si>
    <t>Submission date</t>
  </si>
  <si>
    <t>Literature</t>
  </si>
  <si>
    <t>Torrefied Bamboo for the Import of Sustainable Biomass from Colombia, December 2013, ECN‐E‐‐15‐020.</t>
  </si>
  <si>
    <t>funded by Agentschap NL within the Sustainable Biomass Import program under project</t>
  </si>
  <si>
    <t>number DBI02006. Partners in the project were: Colombian Bamboo Society (CO), the</t>
  </si>
  <si>
    <t>Technological University of Pereira (CO) and Imperial consultants from Imperial college</t>
  </si>
  <si>
    <t>of London (UK).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</si>
  <si>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</si>
  <si>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</si>
  <si>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</si>
  <si>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</si>
  <si>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</si>
  <si>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</si>
  <si>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</si>
  <si>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</si>
  <si>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</si>
  <si>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</si>
  <si>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</si>
  <si>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</si>
  <si>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</si>
  <si>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</si>
  <si>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</si>
  <si>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</si>
  <si>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</si>
  <si>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</si>
  <si>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EN 14774-2 or 3</t>
  </si>
  <si>
    <t>Ash content at 550°C</t>
  </si>
  <si>
    <t>EN 14775</t>
  </si>
  <si>
    <t>Ash content at 815°C</t>
  </si>
  <si>
    <t>Ultimate analysis (macroelements)</t>
  </si>
  <si>
    <t>Carbon</t>
  </si>
  <si>
    <t>EN 15104</t>
  </si>
  <si>
    <t>Hydrogen</t>
  </si>
  <si>
    <t>Oxygen</t>
  </si>
  <si>
    <t>by difference</t>
  </si>
  <si>
    <t>Nitrogen</t>
  </si>
  <si>
    <t>Sulphur</t>
  </si>
  <si>
    <t>EN 15289</t>
  </si>
  <si>
    <t>Total (with halides)</t>
  </si>
  <si>
    <t>Calculated</t>
  </si>
  <si>
    <t>Halides</t>
  </si>
  <si>
    <t>Chlorine (Cl)</t>
  </si>
  <si>
    <t>mg/kg</t>
  </si>
  <si>
    <t>Heating value</t>
  </si>
  <si>
    <t>Gross calorific value (HHV)</t>
  </si>
  <si>
    <t>MJ/kg</t>
  </si>
  <si>
    <t>EN 14918</t>
  </si>
  <si>
    <t>HHVMilne</t>
  </si>
  <si>
    <t>Trace elements composition</t>
  </si>
  <si>
    <t>Aluminium (Al)</t>
  </si>
  <si>
    <t>mg/kg (dry)</t>
  </si>
  <si>
    <t>NEN 6966</t>
  </si>
  <si>
    <t>Environment-Analyses of selected elements in water, eluates and destruates -ICP AES, NL</t>
  </si>
  <si>
    <t>Arsenic (As)</t>
  </si>
  <si>
    <t>Boron (B)</t>
  </si>
  <si>
    <t>Barium (Ba)</t>
  </si>
  <si>
    <t>Beryllium (Be)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</si>
  <si>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</si>
  <si>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</si>
  <si>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</si>
  <si>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</si>
  <si>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</si>
  <si>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</si>
  <si>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</si>
  <si>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</si>
  <si>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Lanthanum (La)</t>
  </si>
  <si>
    <t>Magnesium (Mg)</t>
  </si>
  <si>
    <t>Manganese (Mn)</t>
  </si>
  <si>
    <t>Molybdenium (Mo)</t>
  </si>
  <si>
    <t>Sodium (Na)</t>
  </si>
  <si>
    <t>Niobium (Nb)</t>
  </si>
  <si>
    <t>Nickel (Ni)</t>
  </si>
  <si>
    <t>Phosphorus (P)</t>
  </si>
  <si>
    <t>Lead (Pb)</t>
  </si>
  <si>
    <t>Antimony (Sb)</t>
  </si>
  <si>
    <t>Scandium (Sc)</t>
  </si>
  <si>
    <t>Selenium (Se)</t>
  </si>
  <si>
    <t>Silicon (Si)</t>
  </si>
  <si>
    <t>Tin (Sn)</t>
  </si>
  <si>
    <t>Strontium (Sr)</t>
  </si>
  <si>
    <t>Tellurium (Te)</t>
  </si>
  <si>
    <t>Titanium (Ti)</t>
  </si>
  <si>
    <t>Thallium (Tl)</t>
  </si>
  <si>
    <t>Vanadium (V)</t>
  </si>
  <si>
    <t>Tungsten (W)</t>
  </si>
  <si>
    <t>Yttrium (Y)</t>
  </si>
  <si>
    <t>Zinc (Zn)</t>
  </si>
  <si>
    <t>Zirconium (Zr)</t>
  </si>
  <si>
    <t>Biochemical analysis</t>
  </si>
  <si>
    <t>Cellulose, hemicellulose, lignin</t>
  </si>
  <si>
    <t>Cellulose</t>
  </si>
  <si>
    <t>wt% (dry)</t>
  </si>
  <si>
    <t>Lignin</t>
  </si>
  <si>
    <t>Lignin analysis</t>
  </si>
  <si>
    <t>Acid insoluble lignin (Klason) (AIL)</t>
  </si>
  <si>
    <t>Acid soluble lignin (ASL)</t>
  </si>
  <si>
    <t>Other</t>
  </si>
  <si>
    <t>Extractives EtOH/toluene</t>
  </si>
  <si>
    <t>Extractives 95% EtOH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</si>
  <si>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</si>
  <si>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</si>
  <si>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</si>
  <si>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</si>
  <si>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</si>
  <si>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</si>
  <si>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</si>
  <si>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</si>
  <si>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</si>
  <si>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</si>
  <si>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</si>
  <si>
    <t>Ash Properties</t>
  </si>
  <si>
    <t>Proximate Analysis</t>
  </si>
  <si>
    <t>wt%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</si>
</sst>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10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5.5299758911133" customWidth="1"/>
    <col min="11" max="11" width="79.607612609863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40817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0" t="s">
        <v>25</v>
      </c>
    </row>
    <row r="18" outlineLevel="1">
      <c r="A18" s="7" t="s">
        <v>26</v>
      </c>
      <c r="B18" s="0" t="s">
        <v>27</v>
      </c>
    </row>
    <row r="19" outlineLevel="1">
      <c r="A19" s="7" t="s">
        <v>28</v>
      </c>
      <c r="B19" s="6">
        <v>42107.3319328704</v>
      </c>
    </row>
    <row r="20" outlineLevel="1">
      <c r="A20" s="7" t="s">
        <v>29</v>
      </c>
      <c r="B20" s="0" t="s">
        <v>30</v>
      </c>
    </row>
    <row r="21" outlineLevel="1">
      <c r="A21" s="7"/>
      <c r="B21" s="0" t="s">
        <v>31</v>
      </c>
    </row>
    <row r="22" outlineLevel="1">
      <c r="A22" s="7"/>
      <c r="B22" s="0" t="s">
        <v>32</v>
      </c>
    </row>
    <row r="23" outlineLevel="1">
      <c r="A23" s="7"/>
      <c r="B23" s="0" t="s">
        <v>33</v>
      </c>
    </row>
    <row r="24" outlineLevel="1">
      <c r="A24" s="7"/>
      <c r="B24" s="0" t="s">
        <v>34</v>
      </c>
    </row>
    <row r="25">
      <c r="A25" s="7"/>
    </row>
    <row r="26" s="1" customFormat="1">
      <c r="A26" s="9" t="s">
        <v>35</v>
      </c>
    </row>
    <row r="27" s="1" customFormat="1">
      <c r="A27" s="10" t="s">
        <v>36</v>
      </c>
      <c r="B27" s="10" t="s">
        <v>37</v>
      </c>
      <c r="C27" s="10" t="s">
        <v>38</v>
      </c>
      <c r="D27" s="10"/>
      <c r="E27" s="10"/>
      <c r="F27" s="10" t="s">
        <v>39</v>
      </c>
      <c r="G27" s="10" t="s">
        <v>40</v>
      </c>
      <c r="H27" s="10" t="s">
        <v>41</v>
      </c>
      <c r="I27" s="10" t="s">
        <v>42</v>
      </c>
      <c r="J27" s="10" t="s">
        <v>43</v>
      </c>
      <c r="K27" s="10" t="s">
        <v>44</v>
      </c>
      <c r="L27" s="10"/>
    </row>
    <row r="28" s="1" customFormat="1">
      <c r="A28" s="10"/>
      <c r="B28" s="10"/>
      <c r="C28" s="10" t="s">
        <v>45</v>
      </c>
      <c r="D28" s="10" t="s">
        <v>46</v>
      </c>
      <c r="E28" s="10" t="s">
        <v>47</v>
      </c>
      <c r="F28" s="10"/>
      <c r="G28" s="10"/>
      <c r="H28" s="10"/>
      <c r="I28" s="10"/>
      <c r="J28" s="10"/>
      <c r="K28" s="10"/>
      <c r="L28" s="10"/>
    </row>
    <row r="29">
      <c r="A29" s="7" t="s">
        <v>48</v>
      </c>
      <c r="I29" s="5"/>
    </row>
    <row r="30" outlineLevel="1">
      <c r="A30" s="11" t="s">
        <v>49</v>
      </c>
      <c r="I30" s="5"/>
    </row>
    <row r="31" outlineLevel="2">
      <c r="A31" s="12" t="s">
        <v>50</v>
      </c>
      <c r="B31" s="0" t="s">
        <v>51</v>
      </c>
      <c r="C31" s="13">
        <v>9</v>
      </c>
      <c r="D31" s="13"/>
      <c r="E31" s="13"/>
      <c r="F31" s="13"/>
      <c r="G31" s="13"/>
      <c r="H31" s="0" t="s">
        <v>52</v>
      </c>
      <c r="I31" s="5">
        <v>40283</v>
      </c>
      <c r="J31" s="0" t="s">
        <v>53</v>
      </c>
    </row>
    <row r="32" outlineLevel="2">
      <c r="A32" s="12" t="s">
        <v>54</v>
      </c>
      <c r="B32" s="0" t="s">
        <v>51</v>
      </c>
      <c r="C32" s="13">
        <f>IFERROR(5.7*(1-w),"")</f>
        <v>5.187</v>
      </c>
      <c r="D32" s="13">
        <v>5.7</v>
      </c>
      <c r="E32" s="13">
        <v/>
      </c>
      <c r="F32" s="13"/>
      <c r="G32" s="13"/>
      <c r="H32" s="0" t="s">
        <v>52</v>
      </c>
      <c r="I32" s="5">
        <v>40283</v>
      </c>
      <c r="J32" s="0" t="s">
        <v>55</v>
      </c>
    </row>
    <row r="33" outlineLevel="2">
      <c r="A33" s="12" t="s">
        <v>56</v>
      </c>
      <c r="B33" s="0" t="s">
        <v>51</v>
      </c>
      <c r="C33" s="13">
        <f>IFERROR(4.7*(1-w),"")</f>
        <v>4.277</v>
      </c>
      <c r="D33" s="13">
        <v>4.7</v>
      </c>
      <c r="E33" s="13">
        <v/>
      </c>
      <c r="F33" s="13"/>
      <c r="G33" s="13"/>
      <c r="H33" s="0" t="s">
        <v>52</v>
      </c>
      <c r="I33" s="5">
        <v>40283</v>
      </c>
      <c r="J33" s="0" t="s">
        <v>55</v>
      </c>
    </row>
    <row r="34" outlineLevel="1">
      <c r="A34" s="11" t="s">
        <v>57</v>
      </c>
      <c r="I34" s="5"/>
    </row>
    <row r="35" outlineLevel="2">
      <c r="A35" s="12" t="s">
        <v>58</v>
      </c>
      <c r="B35" s="0" t="s">
        <v>51</v>
      </c>
      <c r="C35" s="13">
        <f>IFERROR(46.08*(1-w),"")</f>
        <v>41.9328</v>
      </c>
      <c r="D35" s="13">
        <v>46.08</v>
      </c>
      <c r="E35" s="13">
        <v>48.865323435843052</v>
      </c>
      <c r="F35" s="13"/>
      <c r="G35" s="13"/>
      <c r="H35" s="0" t="s">
        <v>52</v>
      </c>
      <c r="I35" s="5">
        <v>40283</v>
      </c>
      <c r="J35" s="0" t="s">
        <v>59</v>
      </c>
    </row>
    <row r="36" outlineLevel="2">
      <c r="A36" s="12" t="s">
        <v>60</v>
      </c>
      <c r="B36" s="0" t="s">
        <v>51</v>
      </c>
      <c r="C36" s="13">
        <f>IFERROR(5*(1-w),"")</f>
        <v>4.55</v>
      </c>
      <c r="D36" s="13">
        <v>5</v>
      </c>
      <c r="E36" s="13">
        <v>5.3022269353128317</v>
      </c>
      <c r="F36" s="13"/>
      <c r="G36" s="13"/>
      <c r="H36" s="0" t="s">
        <v>52</v>
      </c>
      <c r="I36" s="5">
        <v>40283</v>
      </c>
      <c r="J36" s="0" t="s">
        <v>59</v>
      </c>
    </row>
    <row r="37" outlineLevel="2">
      <c r="A37" s="12" t="s">
        <v>61</v>
      </c>
      <c r="B37" s="0" t="s">
        <v>51</v>
      </c>
      <c r="C37" s="13">
        <f>IFERROR(42.7*(1-w),"")</f>
        <v>38.857000000000006</v>
      </c>
      <c r="D37" s="13">
        <v>42.7</v>
      </c>
      <c r="E37" s="13">
        <v>45.281018027571584</v>
      </c>
      <c r="F37" s="13"/>
      <c r="G37" s="13"/>
      <c r="H37" s="0" t="s">
        <v>52</v>
      </c>
      <c r="I37" s="5">
        <v>40283</v>
      </c>
      <c r="J37" s="0" t="s">
        <v>62</v>
      </c>
    </row>
    <row r="38" outlineLevel="2">
      <c r="A38" s="12" t="s">
        <v>63</v>
      </c>
      <c r="B38" s="0" t="s">
        <v>51</v>
      </c>
      <c r="C38" s="13">
        <f>IFERROR(0.3*(1-w),"")</f>
        <v>0.273</v>
      </c>
      <c r="D38" s="13">
        <v>0.3</v>
      </c>
      <c r="E38" s="13">
        <v>0.31813361611876989</v>
      </c>
      <c r="F38" s="13"/>
      <c r="G38" s="13"/>
      <c r="H38" s="0" t="s">
        <v>52</v>
      </c>
      <c r="I38" s="5">
        <v>40283</v>
      </c>
      <c r="J38" s="0" t="s">
        <v>59</v>
      </c>
    </row>
    <row r="39" outlineLevel="2">
      <c r="A39" s="12" t="s">
        <v>64</v>
      </c>
      <c r="B39" s="0" t="s">
        <v>51</v>
      </c>
      <c r="C39" s="13">
        <f>IFERROR(0.0868*(1-w),"")</f>
        <v>0.078988</v>
      </c>
      <c r="D39" s="13">
        <v>0.0868</v>
      </c>
      <c r="E39" s="13">
        <v>0.092046659597030761</v>
      </c>
      <c r="F39" s="13"/>
      <c r="G39" s="13"/>
      <c r="H39" s="0" t="s">
        <v>52</v>
      </c>
      <c r="I39" s="5">
        <v>40283</v>
      </c>
      <c r="J39" s="0" t="s">
        <v>65</v>
      </c>
    </row>
    <row r="40" outlineLevel="2">
      <c r="A40" s="12" t="s">
        <v>66</v>
      </c>
      <c r="B40" s="0" t="s">
        <v>51</v>
      </c>
      <c r="C40" s="13">
        <f>IFERROR(99.9997*(1-w)+w*100,"")</f>
        <v>99.999727000000007</v>
      </c>
      <c r="D40" s="13">
        <v>99.9997</v>
      </c>
      <c r="E40" s="13">
        <v>99.9996818663839</v>
      </c>
      <c r="F40" s="13"/>
      <c r="G40" s="13"/>
      <c r="I40" s="5"/>
      <c r="J40" s="0" t="s">
        <v>67</v>
      </c>
    </row>
    <row r="41" outlineLevel="1">
      <c r="A41" s="11" t="s">
        <v>68</v>
      </c>
      <c r="I41" s="5"/>
    </row>
    <row r="42" outlineLevel="2">
      <c r="A42" s="12" t="s">
        <v>69</v>
      </c>
      <c r="B42" s="0" t="s">
        <v>70</v>
      </c>
      <c r="C42" s="14">
        <f>IFERROR(1329*(1-w),"")</f>
        <v>1209.39</v>
      </c>
      <c r="D42" s="14">
        <v>1329</v>
      </c>
      <c r="E42" s="14">
        <v>1409.3319194061507</v>
      </c>
      <c r="F42" s="14"/>
      <c r="G42" s="14"/>
      <c r="H42" s="0" t="s">
        <v>52</v>
      </c>
      <c r="I42" s="5">
        <v>40283</v>
      </c>
      <c r="J42" s="0" t="s">
        <v>65</v>
      </c>
    </row>
    <row r="43" outlineLevel="1">
      <c r="A43" s="11" t="s">
        <v>71</v>
      </c>
      <c r="I43" s="5"/>
    </row>
    <row r="44" outlineLevel="2">
      <c r="A44" s="12" t="s">
        <v>72</v>
      </c>
      <c r="B44" s="0" t="s">
        <v>73</v>
      </c>
      <c r="C44" s="13">
        <f>IFERROR(18.8*(1-w),"")</f>
        <v>17.108</v>
      </c>
      <c r="D44" s="13">
        <v>18.8</v>
      </c>
      <c r="E44" s="13">
        <v>19.936373276776248</v>
      </c>
      <c r="F44" s="13"/>
      <c r="G44" s="13"/>
      <c r="H44" s="0" t="s">
        <v>52</v>
      </c>
      <c r="I44" s="5">
        <v>40283</v>
      </c>
      <c r="J44" s="0" t="s">
        <v>74</v>
      </c>
    </row>
    <row r="45" outlineLevel="2">
      <c r="A45" s="12" t="s">
        <v>75</v>
      </c>
      <c r="B45" s="0" t="s">
        <v>73</v>
      </c>
      <c r="C45" s="13">
        <f>IFERROR(17.08699545*(1-w),"")</f>
        <v>15.549165859500004</v>
      </c>
      <c r="D45" s="13">
        <v>17.086995450000003</v>
      </c>
      <c r="E45" s="13">
        <v>18.119825503711564</v>
      </c>
      <c r="F45" s="13"/>
      <c r="G45" s="13"/>
      <c r="I45" s="5"/>
      <c r="J45" s="0" t="s">
        <v>67</v>
      </c>
    </row>
    <row r="46" outlineLevel="1">
      <c r="A46" s="11" t="s">
        <v>76</v>
      </c>
      <c r="I46" s="5"/>
    </row>
    <row r="47" outlineLevel="2">
      <c r="A47" s="12" t="s">
        <v>77</v>
      </c>
      <c r="B47" s="0" t="s">
        <v>78</v>
      </c>
      <c r="C47" s="14">
        <v>10</v>
      </c>
      <c r="D47" s="14"/>
      <c r="E47" s="14"/>
      <c r="F47" s="14"/>
      <c r="G47" s="14"/>
      <c r="H47" s="0" t="s">
        <v>52</v>
      </c>
      <c r="I47" s="5">
        <v>40283</v>
      </c>
      <c r="J47" s="0" t="s">
        <v>79</v>
      </c>
      <c r="K47" s="0" t="s">
        <v>80</v>
      </c>
    </row>
    <row r="48" outlineLevel="2">
      <c r="A48" s="12" t="s">
        <v>81</v>
      </c>
      <c r="B48" s="0" t="s">
        <v>78</v>
      </c>
      <c r="C48" s="14">
        <v>0</v>
      </c>
      <c r="D48" s="14"/>
      <c r="E48" s="14"/>
      <c r="F48" s="14"/>
      <c r="G48" s="14"/>
      <c r="H48" s="0" t="s">
        <v>52</v>
      </c>
      <c r="I48" s="5">
        <v>40283</v>
      </c>
      <c r="J48" s="0" t="s">
        <v>79</v>
      </c>
    </row>
    <row r="49" outlineLevel="2">
      <c r="A49" s="12" t="s">
        <v>82</v>
      </c>
      <c r="B49" s="0" t="s">
        <v>78</v>
      </c>
      <c r="C49" s="14">
        <v>0</v>
      </c>
      <c r="D49" s="14"/>
      <c r="E49" s="14"/>
      <c r="F49" s="14"/>
      <c r="G49" s="14"/>
      <c r="H49" s="0" t="s">
        <v>52</v>
      </c>
      <c r="I49" s="5">
        <v>40283</v>
      </c>
      <c r="J49" s="0" t="s">
        <v>79</v>
      </c>
    </row>
    <row r="50" outlineLevel="2">
      <c r="A50" s="12" t="s">
        <v>83</v>
      </c>
      <c r="B50" s="0" t="s">
        <v>78</v>
      </c>
      <c r="C50" s="14">
        <v>2.6</v>
      </c>
      <c r="D50" s="14"/>
      <c r="E50" s="14"/>
      <c r="F50" s="14"/>
      <c r="G50" s="14"/>
      <c r="H50" s="0" t="s">
        <v>52</v>
      </c>
      <c r="I50" s="5">
        <v>40283</v>
      </c>
      <c r="J50" s="0" t="s">
        <v>79</v>
      </c>
    </row>
    <row r="51" outlineLevel="2">
      <c r="A51" s="12" t="s">
        <v>84</v>
      </c>
      <c r="B51" s="0" t="s">
        <v>78</v>
      </c>
      <c r="C51" s="14">
        <v>0</v>
      </c>
      <c r="D51" s="14"/>
      <c r="E51" s="14"/>
      <c r="F51" s="14"/>
      <c r="G51" s="14"/>
      <c r="H51" s="0" t="s">
        <v>52</v>
      </c>
      <c r="I51" s="5">
        <v>40283</v>
      </c>
      <c r="J51" s="0" t="s">
        <v>79</v>
      </c>
    </row>
    <row r="52" outlineLevel="2">
      <c r="A52" s="12" t="s">
        <v>85</v>
      </c>
      <c r="B52" s="0" t="s">
        <v>78</v>
      </c>
      <c r="C52" s="14">
        <v>252</v>
      </c>
      <c r="D52" s="14"/>
      <c r="E52" s="14"/>
      <c r="F52" s="14"/>
      <c r="G52" s="14"/>
      <c r="H52" s="0" t="s">
        <v>52</v>
      </c>
      <c r="I52" s="5">
        <v>40283</v>
      </c>
      <c r="J52" s="0" t="s">
        <v>79</v>
      </c>
    </row>
    <row r="53" outlineLevel="2">
      <c r="A53" s="12" t="s">
        <v>86</v>
      </c>
      <c r="B53" s="0" t="s">
        <v>78</v>
      </c>
      <c r="C53" s="14">
        <v>0.3</v>
      </c>
      <c r="D53" s="14"/>
      <c r="E53" s="14"/>
      <c r="F53" s="14"/>
      <c r="G53" s="14"/>
      <c r="H53" s="0" t="s">
        <v>52</v>
      </c>
      <c r="I53" s="5">
        <v>40283</v>
      </c>
      <c r="J53" s="0" t="s">
        <v>79</v>
      </c>
    </row>
    <row r="54" outlineLevel="2">
      <c r="A54" s="12" t="s">
        <v>87</v>
      </c>
      <c r="B54" s="0" t="s">
        <v>78</v>
      </c>
      <c r="C54" s="14">
        <v>0.4</v>
      </c>
      <c r="D54" s="14"/>
      <c r="E54" s="14"/>
      <c r="F54" s="14"/>
      <c r="G54" s="14"/>
      <c r="H54" s="0" t="s">
        <v>52</v>
      </c>
      <c r="I54" s="5">
        <v>40283</v>
      </c>
      <c r="J54" s="0" t="s">
        <v>79</v>
      </c>
    </row>
    <row r="55" outlineLevel="2">
      <c r="A55" s="12" t="s">
        <v>88</v>
      </c>
      <c r="B55" s="0" t="s">
        <v>78</v>
      </c>
      <c r="C55" s="14">
        <v>1.6</v>
      </c>
      <c r="D55" s="14"/>
      <c r="E55" s="14"/>
      <c r="F55" s="14"/>
      <c r="G55" s="14"/>
      <c r="H55" s="0" t="s">
        <v>52</v>
      </c>
      <c r="I55" s="5">
        <v>40283</v>
      </c>
      <c r="J55" s="0" t="s">
        <v>79</v>
      </c>
    </row>
    <row r="56" outlineLevel="2">
      <c r="A56" s="12" t="s">
        <v>89</v>
      </c>
      <c r="B56" s="0" t="s">
        <v>78</v>
      </c>
      <c r="C56" s="14">
        <v>2.3</v>
      </c>
      <c r="D56" s="14"/>
      <c r="E56" s="14"/>
      <c r="F56" s="14"/>
      <c r="G56" s="14"/>
      <c r="H56" s="0" t="s">
        <v>52</v>
      </c>
      <c r="I56" s="5">
        <v>40283</v>
      </c>
      <c r="J56" s="0" t="s">
        <v>79</v>
      </c>
    </row>
    <row r="57" outlineLevel="2">
      <c r="A57" s="12" t="s">
        <v>90</v>
      </c>
      <c r="B57" s="0" t="s">
        <v>78</v>
      </c>
      <c r="C57" s="14">
        <v>14</v>
      </c>
      <c r="D57" s="14"/>
      <c r="E57" s="14"/>
      <c r="F57" s="14"/>
      <c r="G57" s="14"/>
      <c r="H57" s="0" t="s">
        <v>52</v>
      </c>
      <c r="I57" s="5">
        <v>40283</v>
      </c>
      <c r="J57" s="0" t="s">
        <v>79</v>
      </c>
    </row>
    <row r="58" outlineLevel="2">
      <c r="A58" s="12" t="s">
        <v>91</v>
      </c>
      <c r="B58" s="0" t="s">
        <v>78</v>
      </c>
      <c r="C58" s="14">
        <v>0</v>
      </c>
      <c r="D58" s="14"/>
      <c r="E58" s="14"/>
      <c r="F58" s="14"/>
      <c r="G58" s="14"/>
      <c r="H58" s="0" t="s">
        <v>52</v>
      </c>
      <c r="I58" s="5">
        <v>40283</v>
      </c>
      <c r="J58" s="0" t="s">
        <v>79</v>
      </c>
    </row>
    <row r="59" outlineLevel="2">
      <c r="A59" s="12" t="s">
        <v>92</v>
      </c>
      <c r="B59" s="0" t="s">
        <v>78</v>
      </c>
      <c r="C59" s="14">
        <v>9902</v>
      </c>
      <c r="D59" s="14"/>
      <c r="E59" s="14"/>
      <c r="F59" s="14"/>
      <c r="G59" s="14"/>
      <c r="H59" s="0" t="s">
        <v>52</v>
      </c>
      <c r="I59" s="5">
        <v>40283</v>
      </c>
      <c r="J59" s="0" t="s">
        <v>79</v>
      </c>
      <c r="K59" s="0" t="s">
        <v>80</v>
      </c>
    </row>
    <row r="60" outlineLevel="2">
      <c r="A60" s="12" t="s">
        <v>93</v>
      </c>
      <c r="B60" s="0" t="s">
        <v>78</v>
      </c>
      <c r="C60" s="14">
        <v>0</v>
      </c>
      <c r="D60" s="14"/>
      <c r="E60" s="14"/>
      <c r="F60" s="14"/>
      <c r="G60" s="14"/>
      <c r="H60" s="0" t="s">
        <v>52</v>
      </c>
      <c r="I60" s="5">
        <v>40283</v>
      </c>
      <c r="J60" s="0" t="s">
        <v>79</v>
      </c>
    </row>
    <row r="61" outlineLevel="2">
      <c r="A61" s="12" t="s">
        <v>94</v>
      </c>
      <c r="B61" s="0" t="s">
        <v>78</v>
      </c>
      <c r="C61" s="14">
        <v>218</v>
      </c>
      <c r="D61" s="14"/>
      <c r="E61" s="14"/>
      <c r="F61" s="14"/>
      <c r="G61" s="14"/>
      <c r="H61" s="0" t="s">
        <v>52</v>
      </c>
      <c r="I61" s="5">
        <v>40283</v>
      </c>
      <c r="J61" s="0" t="s">
        <v>79</v>
      </c>
    </row>
    <row r="62" outlineLevel="2">
      <c r="A62" s="12" t="s">
        <v>95</v>
      </c>
      <c r="B62" s="0" t="s">
        <v>78</v>
      </c>
      <c r="C62" s="14">
        <v>2.4</v>
      </c>
      <c r="D62" s="14"/>
      <c r="E62" s="14"/>
      <c r="F62" s="14"/>
      <c r="G62" s="14"/>
      <c r="H62" s="0" t="s">
        <v>52</v>
      </c>
      <c r="I62" s="5">
        <v>40283</v>
      </c>
      <c r="J62" s="0" t="s">
        <v>79</v>
      </c>
    </row>
    <row r="63" outlineLevel="2">
      <c r="A63" s="12" t="s">
        <v>96</v>
      </c>
      <c r="B63" s="0" t="s">
        <v>78</v>
      </c>
      <c r="C63" s="14">
        <v>0.31</v>
      </c>
      <c r="D63" s="14"/>
      <c r="E63" s="14"/>
      <c r="F63" s="14"/>
      <c r="G63" s="14"/>
      <c r="H63" s="0" t="s">
        <v>52</v>
      </c>
      <c r="I63" s="5">
        <v>40283</v>
      </c>
      <c r="J63" s="0" t="s">
        <v>79</v>
      </c>
    </row>
    <row r="64" outlineLevel="2">
      <c r="A64" s="12" t="s">
        <v>97</v>
      </c>
      <c r="B64" s="0" t="s">
        <v>78</v>
      </c>
      <c r="C64" s="14">
        <v>3</v>
      </c>
      <c r="D64" s="14"/>
      <c r="E64" s="14"/>
      <c r="F64" s="14"/>
      <c r="G64" s="14"/>
      <c r="H64" s="0" t="s">
        <v>52</v>
      </c>
      <c r="I64" s="5">
        <v>40283</v>
      </c>
      <c r="J64" s="0" t="s">
        <v>79</v>
      </c>
      <c r="K64" s="0" t="s">
        <v>80</v>
      </c>
    </row>
    <row r="65" outlineLevel="2">
      <c r="A65" s="12" t="s">
        <v>98</v>
      </c>
      <c r="B65" s="0" t="s">
        <v>78</v>
      </c>
      <c r="C65" s="14">
        <v>0</v>
      </c>
      <c r="D65" s="14"/>
      <c r="E65" s="14"/>
      <c r="F65" s="14"/>
      <c r="G65" s="14"/>
      <c r="H65" s="0" t="s">
        <v>52</v>
      </c>
      <c r="I65" s="5">
        <v>40283</v>
      </c>
      <c r="J65" s="0" t="s">
        <v>79</v>
      </c>
    </row>
    <row r="66" outlineLevel="2">
      <c r="A66" s="12" t="s">
        <v>99</v>
      </c>
      <c r="B66" s="0" t="s">
        <v>78</v>
      </c>
      <c r="C66" s="14">
        <v>0.8</v>
      </c>
      <c r="D66" s="14"/>
      <c r="E66" s="14"/>
      <c r="F66" s="14"/>
      <c r="G66" s="14"/>
      <c r="H66" s="0" t="s">
        <v>52</v>
      </c>
      <c r="I66" s="5">
        <v>40283</v>
      </c>
      <c r="J66" s="0" t="s">
        <v>79</v>
      </c>
    </row>
    <row r="67" outlineLevel="2">
      <c r="A67" s="12" t="s">
        <v>100</v>
      </c>
      <c r="B67" s="0" t="s">
        <v>78</v>
      </c>
      <c r="C67" s="14">
        <v>482</v>
      </c>
      <c r="D67" s="14"/>
      <c r="E67" s="14"/>
      <c r="F67" s="14"/>
      <c r="G67" s="14"/>
      <c r="H67" s="0" t="s">
        <v>52</v>
      </c>
      <c r="I67" s="5">
        <v>40283</v>
      </c>
      <c r="J67" s="0" t="s">
        <v>79</v>
      </c>
    </row>
    <row r="68" outlineLevel="2">
      <c r="A68" s="12" t="s">
        <v>101</v>
      </c>
      <c r="B68" s="0" t="s">
        <v>78</v>
      </c>
      <c r="C68" s="14">
        <v>0.02</v>
      </c>
      <c r="D68" s="14"/>
      <c r="E68" s="14"/>
      <c r="F68" s="14"/>
      <c r="G68" s="14"/>
      <c r="H68" s="0" t="s">
        <v>52</v>
      </c>
      <c r="I68" s="5">
        <v>40283</v>
      </c>
      <c r="J68" s="0" t="s">
        <v>79</v>
      </c>
    </row>
    <row r="69" outlineLevel="2">
      <c r="A69" s="12" t="s">
        <v>102</v>
      </c>
      <c r="B69" s="0" t="s">
        <v>78</v>
      </c>
      <c r="C69" s="14">
        <v>0</v>
      </c>
      <c r="D69" s="14"/>
      <c r="E69" s="14"/>
      <c r="F69" s="14"/>
      <c r="G69" s="14"/>
      <c r="H69" s="0" t="s">
        <v>52</v>
      </c>
      <c r="I69" s="5">
        <v>40283</v>
      </c>
      <c r="J69" s="0" t="s">
        <v>79</v>
      </c>
    </row>
    <row r="70" outlineLevel="2">
      <c r="A70" s="12" t="s">
        <v>103</v>
      </c>
      <c r="B70" s="0" t="s">
        <v>78</v>
      </c>
      <c r="C70" s="14">
        <v>0</v>
      </c>
      <c r="D70" s="14"/>
      <c r="E70" s="14"/>
      <c r="F70" s="14"/>
      <c r="G70" s="14"/>
      <c r="H70" s="0" t="s">
        <v>52</v>
      </c>
      <c r="I70" s="5">
        <v>40283</v>
      </c>
      <c r="J70" s="0" t="s">
        <v>79</v>
      </c>
    </row>
    <row r="71" outlineLevel="2">
      <c r="A71" s="12" t="s">
        <v>104</v>
      </c>
      <c r="B71" s="0" t="s">
        <v>78</v>
      </c>
      <c r="C71" s="14">
        <v>0.33</v>
      </c>
      <c r="D71" s="14"/>
      <c r="E71" s="14"/>
      <c r="F71" s="14"/>
      <c r="G71" s="14"/>
      <c r="H71" s="0" t="s">
        <v>52</v>
      </c>
      <c r="I71" s="5">
        <v>40283</v>
      </c>
      <c r="J71" s="0" t="s">
        <v>79</v>
      </c>
    </row>
    <row r="72" outlineLevel="2">
      <c r="A72" s="12" t="s">
        <v>105</v>
      </c>
      <c r="B72" s="0" t="s">
        <v>78</v>
      </c>
      <c r="C72" s="14">
        <v>12731</v>
      </c>
      <c r="D72" s="14"/>
      <c r="E72" s="14"/>
      <c r="F72" s="14"/>
      <c r="G72" s="14"/>
      <c r="H72" s="0" t="s">
        <v>52</v>
      </c>
      <c r="I72" s="5">
        <v>40283</v>
      </c>
      <c r="J72" s="0" t="s">
        <v>79</v>
      </c>
    </row>
    <row r="73" outlineLevel="2">
      <c r="A73" s="12" t="s">
        <v>106</v>
      </c>
      <c r="B73" s="0" t="s">
        <v>78</v>
      </c>
      <c r="C73" s="14">
        <v>0.09</v>
      </c>
      <c r="D73" s="14"/>
      <c r="E73" s="14"/>
      <c r="F73" s="14"/>
      <c r="G73" s="14"/>
      <c r="H73" s="0" t="s">
        <v>52</v>
      </c>
      <c r="I73" s="5">
        <v>40283</v>
      </c>
      <c r="J73" s="0" t="s">
        <v>79</v>
      </c>
    </row>
    <row r="74" outlineLevel="2">
      <c r="A74" s="12" t="s">
        <v>107</v>
      </c>
      <c r="B74" s="0" t="s">
        <v>78</v>
      </c>
      <c r="C74" s="14">
        <v>2.2</v>
      </c>
      <c r="D74" s="14"/>
      <c r="E74" s="14"/>
      <c r="F74" s="14"/>
      <c r="G74" s="14"/>
      <c r="H74" s="0" t="s">
        <v>52</v>
      </c>
      <c r="I74" s="5">
        <v>40283</v>
      </c>
      <c r="J74" s="0" t="s">
        <v>79</v>
      </c>
    </row>
    <row r="75" outlineLevel="2">
      <c r="A75" s="12" t="s">
        <v>108</v>
      </c>
      <c r="B75" s="0" t="s">
        <v>78</v>
      </c>
      <c r="C75" s="14">
        <v>0</v>
      </c>
      <c r="D75" s="14"/>
      <c r="E75" s="14"/>
      <c r="F75" s="14"/>
      <c r="G75" s="14"/>
      <c r="H75" s="0" t="s">
        <v>52</v>
      </c>
      <c r="I75" s="5">
        <v>40283</v>
      </c>
      <c r="J75" s="0" t="s">
        <v>79</v>
      </c>
    </row>
    <row r="76" outlineLevel="2">
      <c r="A76" s="12" t="s">
        <v>109</v>
      </c>
      <c r="B76" s="0" t="s">
        <v>78</v>
      </c>
      <c r="C76" s="14">
        <v>0.6</v>
      </c>
      <c r="D76" s="14"/>
      <c r="E76" s="14"/>
      <c r="F76" s="14"/>
      <c r="G76" s="14"/>
      <c r="H76" s="0" t="s">
        <v>52</v>
      </c>
      <c r="I76" s="5">
        <v>40283</v>
      </c>
      <c r="J76" s="0" t="s">
        <v>79</v>
      </c>
    </row>
    <row r="77" outlineLevel="2">
      <c r="A77" s="12" t="s">
        <v>110</v>
      </c>
      <c r="B77" s="0" t="s">
        <v>78</v>
      </c>
      <c r="C77" s="14">
        <v>0</v>
      </c>
      <c r="D77" s="14"/>
      <c r="E77" s="14"/>
      <c r="F77" s="14"/>
      <c r="G77" s="14"/>
      <c r="H77" s="0" t="s">
        <v>52</v>
      </c>
      <c r="I77" s="5">
        <v>40283</v>
      </c>
      <c r="J77" s="0" t="s">
        <v>79</v>
      </c>
    </row>
    <row r="78" outlineLevel="2">
      <c r="A78" s="12" t="s">
        <v>111</v>
      </c>
      <c r="B78" s="0" t="s">
        <v>78</v>
      </c>
      <c r="C78" s="14">
        <v>0.07</v>
      </c>
      <c r="D78" s="14"/>
      <c r="E78" s="14"/>
      <c r="F78" s="14"/>
      <c r="G78" s="14"/>
      <c r="H78" s="0" t="s">
        <v>52</v>
      </c>
      <c r="I78" s="5">
        <v>40283</v>
      </c>
      <c r="J78" s="0" t="s">
        <v>79</v>
      </c>
    </row>
    <row r="79" outlineLevel="2">
      <c r="A79" s="12" t="s">
        <v>112</v>
      </c>
      <c r="B79" s="0" t="s">
        <v>78</v>
      </c>
      <c r="C79" s="14">
        <v>6.2</v>
      </c>
      <c r="D79" s="14"/>
      <c r="E79" s="14"/>
      <c r="F79" s="14"/>
      <c r="G79" s="14"/>
      <c r="H79" s="0" t="s">
        <v>52</v>
      </c>
      <c r="I79" s="5">
        <v>40283</v>
      </c>
      <c r="J79" s="0" t="s">
        <v>79</v>
      </c>
    </row>
    <row r="80" outlineLevel="2">
      <c r="A80" s="12" t="s">
        <v>113</v>
      </c>
      <c r="B80" s="0" t="s">
        <v>78</v>
      </c>
      <c r="C80" s="14">
        <v>0</v>
      </c>
      <c r="D80" s="14"/>
      <c r="E80" s="14"/>
      <c r="F80" s="14"/>
      <c r="G80" s="14"/>
      <c r="H80" s="0" t="s">
        <v>52</v>
      </c>
      <c r="I80" s="5">
        <v>40283</v>
      </c>
      <c r="J80" s="0" t="s">
        <v>79</v>
      </c>
    </row>
    <row r="81" outlineLevel="2">
      <c r="A81" s="12" t="s">
        <v>114</v>
      </c>
      <c r="B81" s="0" t="s">
        <v>78</v>
      </c>
      <c r="C81" s="14">
        <v>6.3</v>
      </c>
      <c r="D81" s="14"/>
      <c r="E81" s="14"/>
      <c r="F81" s="14"/>
      <c r="G81" s="14"/>
      <c r="H81" s="0" t="s">
        <v>52</v>
      </c>
      <c r="I81" s="5">
        <v>40283</v>
      </c>
      <c r="J81" s="0" t="s">
        <v>79</v>
      </c>
    </row>
    <row r="82" outlineLevel="2">
      <c r="A82" s="12" t="s">
        <v>115</v>
      </c>
      <c r="B82" s="0" t="s">
        <v>78</v>
      </c>
      <c r="C82" s="14">
        <v>0</v>
      </c>
      <c r="D82" s="14"/>
      <c r="E82" s="14"/>
      <c r="F82" s="14"/>
      <c r="G82" s="14"/>
      <c r="H82" s="0" t="s">
        <v>52</v>
      </c>
      <c r="I82" s="5">
        <v>40283</v>
      </c>
      <c r="J82" s="0" t="s">
        <v>79</v>
      </c>
    </row>
    <row r="83" outlineLevel="1">
      <c r="A83" s="11" t="s">
        <v>116</v>
      </c>
      <c r="I83" s="5"/>
    </row>
    <row r="84" outlineLevel="2">
      <c r="A84" s="15" t="s">
        <v>117</v>
      </c>
      <c r="I84" s="5"/>
    </row>
    <row r="85" outlineLevel="3">
      <c r="A85" s="16" t="s">
        <v>118</v>
      </c>
      <c r="B85" s="0" t="s">
        <v>119</v>
      </c>
      <c r="C85" s="13">
        <v>54.91</v>
      </c>
      <c r="D85" s="13"/>
      <c r="E85" s="13"/>
      <c r="F85" s="13"/>
      <c r="G85" s="13"/>
      <c r="H85" s="0" t="s">
        <v>52</v>
      </c>
      <c r="I85" s="5">
        <v>40283</v>
      </c>
    </row>
    <row r="86" outlineLevel="3">
      <c r="A86" s="16" t="s">
        <v>120</v>
      </c>
      <c r="B86" s="0" t="s">
        <v>119</v>
      </c>
      <c r="C86" s="13">
        <v>23.72</v>
      </c>
      <c r="D86" s="13"/>
      <c r="E86" s="13"/>
      <c r="F86" s="13"/>
      <c r="G86" s="13"/>
      <c r="H86" s="0" t="s">
        <v>52</v>
      </c>
      <c r="I86" s="5">
        <v>40283</v>
      </c>
    </row>
    <row r="87" outlineLevel="2">
      <c r="A87" s="15" t="s">
        <v>121</v>
      </c>
      <c r="I87" s="5"/>
    </row>
    <row r="88" outlineLevel="3">
      <c r="A88" s="16" t="s">
        <v>122</v>
      </c>
      <c r="B88" s="0" t="s">
        <v>119</v>
      </c>
      <c r="C88" s="13">
        <v>23.72</v>
      </c>
      <c r="D88" s="13"/>
      <c r="E88" s="13"/>
      <c r="F88" s="13"/>
      <c r="G88" s="13"/>
      <c r="H88" s="0" t="s">
        <v>52</v>
      </c>
      <c r="I88" s="5">
        <v>40283</v>
      </c>
    </row>
    <row r="89" outlineLevel="3">
      <c r="A89" s="16" t="s">
        <v>123</v>
      </c>
      <c r="B89" s="0" t="s">
        <v>119</v>
      </c>
      <c r="C89" s="13">
        <v>1</v>
      </c>
      <c r="D89" s="13"/>
      <c r="E89" s="13"/>
      <c r="F89" s="13"/>
      <c r="G89" s="13"/>
      <c r="H89" s="0" t="s">
        <v>52</v>
      </c>
      <c r="I89" s="5">
        <v>40283</v>
      </c>
    </row>
    <row r="90" outlineLevel="2">
      <c r="A90" s="15" t="s">
        <v>124</v>
      </c>
      <c r="I90" s="5"/>
    </row>
    <row r="91" outlineLevel="3">
      <c r="A91" s="16" t="s">
        <v>125</v>
      </c>
      <c r="B91" s="0" t="s">
        <v>119</v>
      </c>
      <c r="C91" s="13">
        <v>1.25</v>
      </c>
      <c r="D91" s="13"/>
      <c r="E91" s="13"/>
      <c r="F91" s="13"/>
      <c r="G91" s="13"/>
      <c r="H91" s="0" t="s">
        <v>52</v>
      </c>
      <c r="I91" s="5">
        <v>40283</v>
      </c>
    </row>
    <row r="92" outlineLevel="3">
      <c r="A92" s="16" t="s">
        <v>126</v>
      </c>
      <c r="B92" s="0" t="s">
        <v>119</v>
      </c>
      <c r="C92" s="13">
        <v>10.21</v>
      </c>
      <c r="D92" s="13"/>
      <c r="E92" s="13"/>
      <c r="F92" s="13"/>
      <c r="G92" s="13"/>
      <c r="H92" s="0" t="s">
        <v>52</v>
      </c>
      <c r="I92" s="5">
        <v>40283</v>
      </c>
    </row>
    <row r="93" outlineLevel="3">
      <c r="A93" s="17" t="s">
        <v>127</v>
      </c>
      <c r="I93" s="5"/>
    </row>
    <row r="94" outlineLevel="4">
      <c r="A94" s="18" t="s">
        <v>128</v>
      </c>
      <c r="B94" s="0" t="s">
        <v>119</v>
      </c>
      <c r="C94" s="13">
        <v>0.6</v>
      </c>
      <c r="D94" s="13"/>
      <c r="E94" s="13"/>
      <c r="F94" s="13"/>
      <c r="G94" s="13"/>
      <c r="H94" s="0" t="s">
        <v>52</v>
      </c>
      <c r="I94" s="5">
        <v>40283</v>
      </c>
    </row>
    <row r="95" outlineLevel="4">
      <c r="A95" s="18" t="s">
        <v>129</v>
      </c>
      <c r="B95" s="0" t="s">
        <v>119</v>
      </c>
      <c r="C95" s="13">
        <v>13.95</v>
      </c>
      <c r="D95" s="13"/>
      <c r="E95" s="13"/>
      <c r="F95" s="13"/>
      <c r="G95" s="13"/>
      <c r="H95" s="0" t="s">
        <v>52</v>
      </c>
      <c r="I95" s="5">
        <v>40283</v>
      </c>
    </row>
    <row r="96" outlineLevel="4">
      <c r="A96" s="18" t="s">
        <v>130</v>
      </c>
      <c r="B96" s="0" t="s">
        <v>119</v>
      </c>
      <c r="C96" s="13">
        <v>14.549999999999999</v>
      </c>
      <c r="D96" s="13"/>
      <c r="E96" s="13"/>
      <c r="F96" s="13"/>
      <c r="G96" s="13"/>
      <c r="I96" s="5"/>
      <c r="J96" s="0" t="s">
        <v>67</v>
      </c>
    </row>
    <row r="97" outlineLevel="3">
      <c r="A97" s="17" t="s">
        <v>131</v>
      </c>
      <c r="I97" s="5"/>
    </row>
    <row r="98" outlineLevel="4">
      <c r="A98" s="18" t="s">
        <v>132</v>
      </c>
      <c r="B98" s="0" t="s">
        <v>119</v>
      </c>
      <c r="C98" s="13">
        <v>0</v>
      </c>
      <c r="D98" s="13"/>
      <c r="E98" s="13"/>
      <c r="F98" s="13"/>
      <c r="G98" s="13"/>
      <c r="H98" s="0" t="s">
        <v>52</v>
      </c>
      <c r="I98" s="5">
        <v>40283</v>
      </c>
    </row>
    <row r="99" outlineLevel="4">
      <c r="A99" s="18" t="s">
        <v>133</v>
      </c>
      <c r="B99" s="0" t="s">
        <v>119</v>
      </c>
      <c r="C99" s="13">
        <v>0.14</v>
      </c>
      <c r="D99" s="13"/>
      <c r="E99" s="13"/>
      <c r="F99" s="13"/>
      <c r="G99" s="13"/>
      <c r="H99" s="0" t="s">
        <v>52</v>
      </c>
      <c r="I99" s="5">
        <v>40283</v>
      </c>
    </row>
    <row r="100" outlineLevel="4">
      <c r="A100" s="18" t="s">
        <v>134</v>
      </c>
      <c r="B100" s="0" t="s">
        <v>119</v>
      </c>
      <c r="C100" s="13">
        <v>40.21</v>
      </c>
      <c r="D100" s="13"/>
      <c r="E100" s="13"/>
      <c r="F100" s="13"/>
      <c r="G100" s="13"/>
      <c r="H100" s="0" t="s">
        <v>52</v>
      </c>
      <c r="I100" s="5">
        <v>40283</v>
      </c>
    </row>
    <row r="101" outlineLevel="4">
      <c r="A101" s="18" t="s">
        <v>135</v>
      </c>
      <c r="B101" s="0" t="s">
        <v>119</v>
      </c>
      <c r="C101" s="13">
        <v>0</v>
      </c>
      <c r="D101" s="13"/>
      <c r="E101" s="13"/>
      <c r="F101" s="13"/>
      <c r="G101" s="13"/>
      <c r="H101" s="0" t="s">
        <v>52</v>
      </c>
      <c r="I101" s="5">
        <v>40283</v>
      </c>
    </row>
    <row r="102" outlineLevel="4">
      <c r="A102" s="18" t="s">
        <v>136</v>
      </c>
      <c r="B102" s="0" t="s">
        <v>119</v>
      </c>
      <c r="C102" s="13">
        <v>40.35</v>
      </c>
      <c r="D102" s="13"/>
      <c r="E102" s="13"/>
      <c r="F102" s="13"/>
      <c r="G102" s="13"/>
      <c r="I102" s="5"/>
      <c r="J102" s="0" t="s">
        <v>67</v>
      </c>
    </row>
    <row r="103" outlineLevel="3">
      <c r="A103" s="16" t="s">
        <v>137</v>
      </c>
      <c r="B103" s="0" t="s">
        <v>119</v>
      </c>
      <c r="C103" s="13">
        <v>95.79</v>
      </c>
      <c r="D103" s="13"/>
      <c r="E103" s="13"/>
      <c r="F103" s="13"/>
      <c r="G103" s="13"/>
      <c r="I103" s="5"/>
      <c r="J103" s="0" t="s">
        <v>67</v>
      </c>
    </row>
    <row r="104">
      <c r="A104" s="7" t="s">
        <v>138</v>
      </c>
      <c r="I104" s="5"/>
    </row>
    <row r="105" outlineLevel="1">
      <c r="A105" s="11" t="s">
        <v>139</v>
      </c>
      <c r="I105" s="5"/>
    </row>
    <row r="106" outlineLevel="2">
      <c r="A106" s="12" t="s">
        <v>50</v>
      </c>
      <c r="B106" s="0" t="s">
        <v>140</v>
      </c>
      <c r="C106" s="13">
        <v>9</v>
      </c>
      <c r="D106" s="13"/>
      <c r="E106" s="13"/>
      <c r="F106" s="13"/>
      <c r="G106" s="13"/>
      <c r="H106" s="0" t="s">
        <v>52</v>
      </c>
      <c r="I106" s="5">
        <v>40283</v>
      </c>
    </row>
    <row r="107" outlineLevel="2">
      <c r="A107" s="12" t="s">
        <v>54</v>
      </c>
      <c r="B107" s="0" t="s">
        <v>119</v>
      </c>
      <c r="C107" s="13">
        <v>5.7</v>
      </c>
      <c r="D107" s="13"/>
      <c r="E107" s="13"/>
      <c r="F107" s="13"/>
      <c r="G107" s="13"/>
      <c r="H107" s="0" t="s">
        <v>52</v>
      </c>
      <c r="I107" s="5">
        <v>40283</v>
      </c>
    </row>
    <row r="108" outlineLevel="2">
      <c r="A108" s="12" t="s">
        <v>56</v>
      </c>
      <c r="B108" s="0" t="s">
        <v>119</v>
      </c>
      <c r="C108" s="13">
        <v>4.7</v>
      </c>
      <c r="D108" s="13"/>
      <c r="E108" s="13"/>
      <c r="F108" s="13"/>
      <c r="G108" s="13"/>
      <c r="H108" s="0" t="s">
        <v>52</v>
      </c>
      <c r="I108" s="5">
        <v>40283</v>
      </c>
    </row>
    <row r="109">
      <c r="I109" s="5"/>
    </row>
    <row r="110" s="1" customFormat="1"/>
  </sheetData>
  <mergeCells>
    <mergeCell ref="A10:A12"/>
    <mergeCell ref="C27:E27"/>
    <mergeCell ref="A27:A28"/>
    <mergeCell ref="B27:B28"/>
    <mergeCell ref="F27:F28"/>
    <mergeCell ref="G27:G28"/>
    <mergeCell ref="H27:H28"/>
    <mergeCell ref="I27:I28"/>
    <mergeCell ref="J27:J28"/>
    <mergeCell ref="K27:K28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5:E85"/>
    <mergeCell ref="C86:E86"/>
    <mergeCell ref="C88:E88"/>
    <mergeCell ref="C89:E89"/>
    <mergeCell ref="C91:E91"/>
    <mergeCell ref="C92:E92"/>
    <mergeCell ref="C94:E94"/>
    <mergeCell ref="C95:E95"/>
    <mergeCell ref="C96:E96"/>
    <mergeCell ref="C98:E98"/>
    <mergeCell ref="C99:E99"/>
    <mergeCell ref="C100:E100"/>
    <mergeCell ref="C101:E101"/>
    <mergeCell ref="C102:E102"/>
    <mergeCell ref="C103:E103"/>
    <mergeCell ref="C106:E106"/>
    <mergeCell ref="C107:E107"/>
    <mergeCell ref="C108:E108"/>
  </mergeCells>
  <dataValidations count="1">
    <dataValidation type="decimal" sqref="C31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https://phyllis.nl/Biomass/View/3505</dc:description>
  <dcterms:created xsi:type="dcterms:W3CDTF">2026-03-04T04:28:52Z</dcterms:created>
  <dc:title>Phyllis2 #3505 Bamboo (mature Guadua Angustifolia)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