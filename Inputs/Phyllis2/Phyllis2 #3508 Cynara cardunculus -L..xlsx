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08 Cynara carduncul" sheetId="1" r:id="rId1"/>
  </sheets>
  <definedNames>
    <definedName name="w" localSheetId="0">IF(ISBLANK('Phyllis2 #3508 Cynara carduncul'!$C$28),#N/A,'Phyllis2 #3508 Cynara carduncul'!$C$28/100)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<sst xmlns="http://schemas.openxmlformats.org/spreadsheetml/2006/main" count="83" uniqueCount="83">
  <si>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</si>
  <si>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https://phyllis.nl/Biomass/View/3508</t>
  </si>
  <si>
    <t>Cynara cardunculus -L. (#3508)</t>
  </si>
  <si>
    <t>ID-number</t>
  </si>
  <si>
    <t>#3508</t>
  </si>
  <si>
    <t>Material</t>
  </si>
  <si>
    <t>Cynara cardunculus -L.</t>
  </si>
  <si>
    <t>Alternative name</t>
  </si>
  <si>
    <t>Cardoon</t>
  </si>
  <si>
    <t>Description</t>
  </si>
  <si>
    <t>Perennial, herbaceous crop of Mediterranean origin well adapted to the xerothermic conditions of</t>
  </si>
  <si>
    <t>Southern Europe, with a potential for high yields in such climates (1), (2)</t>
  </si>
  <si>
    <t>Classification</t>
  </si>
  <si>
    <t>CEN/TS 14961 classification &gt; Solid biofuels &gt; Herbaceous biomass &gt; Agriculture and Horticulture herb</t>
  </si>
  <si>
    <t>ECN Phyllis classification &gt; grass/plant &gt; other plants &gt; thistle</t>
  </si>
  <si>
    <t>NTA 8003 classification &gt; [200] biomassa uit land- en tuinbouw &gt; [240] gewassen &gt; [249] overige gewassen</t>
  </si>
  <si>
    <t>Sample date</t>
  </si>
  <si>
    <t>Sample location</t>
  </si>
  <si>
    <t>Greece, Florina</t>
  </si>
  <si>
    <t>Submitter</t>
  </si>
  <si>
    <t>Lydia Fryda</t>
  </si>
  <si>
    <t>Submitter organisation</t>
  </si>
  <si>
    <t>ECN (Netherlands)</t>
  </si>
  <si>
    <t>Submission date</t>
  </si>
  <si>
    <t>Literature</t>
  </si>
  <si>
    <t>(1) Fernández, J.; Curt, M. D.; Aguado, P. L. Industrial applications of Cynara cardunculus L. for energy and other uses. Ind. Crops Prod.</t>
  </si>
  <si>
    <t>2005, 24, 222−229.</t>
  </si>
  <si>
    <t>(2) Grammelis, P.; Malliopoulou, A.; Basinas, P.; Danalatos, N. G. Cultivation and characterization of Cynara cardunculus for solid</t>
  </si>
  <si>
    <t>biofuels production in the Mediterranean region. Int. J. Mol. Sci. 2008, 9, 1241−1258.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</si>
  <si>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</si>
  <si>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</si>
  <si>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</si>
  <si>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</si>
  <si>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</si>
  <si>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</si>
  <si>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</si>
  <si>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</si>
  <si>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</si>
  <si>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</si>
  <si>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</si>
  <si>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</si>
  <si>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</si>
  <si>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</si>
  <si>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</si>
  <si>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</si>
  <si>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</si>
  <si>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</si>
  <si>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Ash content at 550°C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</si>
  <si>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</si>
  <si>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</si>
  <si>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</si>
  <si>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</si>
  <si>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</si>
  <si>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</si>
  <si>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</si>
  <si>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</si>
  <si>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</si>
  <si>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</si>
  <si>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</si>
  <si>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</si>
  <si>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</si>
  <si>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</si>
  <si>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</si>
  <si>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</si>
  <si>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</si>
  <si>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</si>
  <si>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</si>
  <si>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</si>
  <si>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</si>
  <si>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Barium (Ba)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</si>
  <si>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</si>
  <si>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</si>
  <si>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</si>
  <si>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</si>
  <si>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</si>
  <si>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</si>
  <si>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</si>
  <si>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</si>
  <si>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Silicon (Si)</t>
  </si>
  <si>
    <t>Titanium (Ti)</t>
  </si>
  <si>
    <t>Zinc (Zn)</t>
  </si>
  <si>
    <t>Special components</t>
  </si>
  <si>
    <t>wt%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</si>
</sst>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/>
      <c r="B9" s="0" t="s">
        <v>11</v>
      </c>
    </row>
    <row r="10" outlineLevel="1">
      <c r="A10" s="8" t="s">
        <v>12</v>
      </c>
      <c r="B10" s="0" t="s">
        <v>13</v>
      </c>
    </row>
    <row r="11" outlineLevel="1">
      <c r="A11" s="8"/>
      <c r="B11" s="0" t="s">
        <v>14</v>
      </c>
    </row>
    <row r="12" outlineLevel="1">
      <c r="A12" s="8"/>
      <c r="B12" s="0" t="s">
        <v>15</v>
      </c>
    </row>
    <row r="13" outlineLevel="1">
      <c r="A13" s="7" t="s">
        <v>16</v>
      </c>
      <c r="B13" s="6">
        <v>40785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42109.5289583333</v>
      </c>
    </row>
    <row r="18" outlineLevel="1">
      <c r="A18" s="7" t="s">
        <v>24</v>
      </c>
      <c r="B18" s="0" t="s">
        <v>25</v>
      </c>
    </row>
    <row r="19" outlineLevel="1">
      <c r="A19" s="7"/>
      <c r="B19" s="0" t="s">
        <v>26</v>
      </c>
    </row>
    <row r="20" outlineLevel="1">
      <c r="A20" s="7"/>
      <c r="B20" s="0" t="s">
        <v>27</v>
      </c>
    </row>
    <row r="21" outlineLevel="1">
      <c r="A21" s="7"/>
      <c r="B21" s="0" t="s">
        <v>28</v>
      </c>
    </row>
    <row r="22">
      <c r="A22" s="7"/>
    </row>
    <row r="23" s="1" customFormat="1">
      <c r="A23" s="9" t="s">
        <v>29</v>
      </c>
    </row>
    <row r="24" s="1" customFormat="1">
      <c r="A24" s="10" t="s">
        <v>30</v>
      </c>
      <c r="B24" s="10" t="s">
        <v>31</v>
      </c>
      <c r="C24" s="10" t="s">
        <v>32</v>
      </c>
      <c r="D24" s="10"/>
      <c r="E24" s="10"/>
      <c r="F24" s="10" t="s">
        <v>33</v>
      </c>
      <c r="G24" s="10" t="s">
        <v>34</v>
      </c>
      <c r="H24" s="10" t="s">
        <v>35</v>
      </c>
      <c r="I24" s="10" t="s">
        <v>36</v>
      </c>
      <c r="J24" s="10" t="s">
        <v>37</v>
      </c>
      <c r="K24" s="10" t="s">
        <v>38</v>
      </c>
      <c r="L24" s="10"/>
    </row>
    <row r="25" s="1" customFormat="1">
      <c r="A25" s="10"/>
      <c r="B25" s="10"/>
      <c r="C25" s="10" t="s">
        <v>39</v>
      </c>
      <c r="D25" s="10" t="s">
        <v>40</v>
      </c>
      <c r="E25" s="10" t="s">
        <v>41</v>
      </c>
      <c r="F25" s="10"/>
      <c r="G25" s="10"/>
      <c r="H25" s="10"/>
      <c r="I25" s="10"/>
      <c r="J25" s="10"/>
      <c r="K25" s="10"/>
      <c r="L25" s="10"/>
    </row>
    <row r="26">
      <c r="A26" s="7" t="s">
        <v>42</v>
      </c>
      <c r="I26" s="5"/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v>11</v>
      </c>
      <c r="D28" s="13"/>
      <c r="E28" s="13"/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IFERROR(5.1*(1-w),"")</f>
        <v>4.539</v>
      </c>
      <c r="D29" s="13">
        <v>5.1</v>
      </c>
      <c r="E29" s="13">
        <v/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IFERROR(6.2*(1-w),"")</f>
        <v>5.5180000000000007</v>
      </c>
      <c r="D30" s="13">
        <v>6.2</v>
      </c>
      <c r="E30" s="13">
        <v/>
      </c>
      <c r="F30" s="13"/>
      <c r="G30" s="13"/>
      <c r="I30" s="5"/>
    </row>
    <row r="31" outlineLevel="2">
      <c r="A31" s="12" t="s">
        <v>48</v>
      </c>
      <c r="B31" s="0" t="s">
        <v>45</v>
      </c>
      <c r="C31" s="13">
        <f>IFERROR(5.1*(1-w),"")</f>
        <v>4.539</v>
      </c>
      <c r="D31" s="13">
        <v>5.1</v>
      </c>
      <c r="E31" s="13">
        <v/>
      </c>
      <c r="F31" s="13"/>
      <c r="G31" s="13"/>
      <c r="I31" s="5"/>
    </row>
    <row r="32" outlineLevel="2">
      <c r="A32" s="12" t="s">
        <v>49</v>
      </c>
      <c r="B32" s="0" t="s">
        <v>45</v>
      </c>
      <c r="C32" s="13">
        <f>IFERROR(75*(1-w),"")</f>
        <v>66.75</v>
      </c>
      <c r="D32" s="13">
        <v>75</v>
      </c>
      <c r="E32" s="13">
        <v>79.957356076759069</v>
      </c>
      <c r="F32" s="13"/>
      <c r="G32" s="13"/>
      <c r="I32" s="5"/>
    </row>
    <row r="33" outlineLevel="2">
      <c r="A33" s="12" t="s">
        <v>50</v>
      </c>
      <c r="B33" s="0" t="s">
        <v>45</v>
      </c>
      <c r="C33" s="13">
        <f>IFERROR(18.8*(1-w),"")</f>
        <v>16.732</v>
      </c>
      <c r="D33" s="13">
        <v>18.799999999999997</v>
      </c>
      <c r="E33" s="13">
        <v>20.042643923240938</v>
      </c>
      <c r="F33" s="13"/>
      <c r="G33" s="13"/>
      <c r="I33" s="5"/>
      <c r="J33" s="0" t="s">
        <v>51</v>
      </c>
    </row>
    <row r="34" outlineLevel="1">
      <c r="A34" s="11" t="s">
        <v>52</v>
      </c>
      <c r="I34" s="5"/>
    </row>
    <row r="35" outlineLevel="2">
      <c r="A35" s="12" t="s">
        <v>53</v>
      </c>
      <c r="B35" s="0" t="s">
        <v>45</v>
      </c>
      <c r="C35" s="13">
        <f>IFERROR(42*(1-w),"")</f>
        <v>37.38</v>
      </c>
      <c r="D35" s="13">
        <v>42</v>
      </c>
      <c r="E35" s="13">
        <v>44.776119402985074</v>
      </c>
      <c r="F35" s="13"/>
      <c r="G35" s="13"/>
      <c r="I35" s="5"/>
    </row>
    <row r="36" outlineLevel="2">
      <c r="A36" s="12" t="s">
        <v>54</v>
      </c>
      <c r="B36" s="0" t="s">
        <v>45</v>
      </c>
      <c r="C36" s="13">
        <f>IFERROR(5.5*(1-w),"")</f>
        <v>4.8950000000000005</v>
      </c>
      <c r="D36" s="13">
        <v>5.5</v>
      </c>
      <c r="E36" s="13">
        <v>5.863539445628998</v>
      </c>
      <c r="F36" s="13"/>
      <c r="G36" s="13"/>
      <c r="I36" s="5"/>
    </row>
    <row r="37" outlineLevel="2">
      <c r="A37" s="12" t="s">
        <v>55</v>
      </c>
      <c r="B37" s="0" t="s">
        <v>45</v>
      </c>
      <c r="C37" s="13">
        <f>IFERROR(43*(1-w),"")</f>
        <v>38.27</v>
      </c>
      <c r="D37" s="13">
        <v>43</v>
      </c>
      <c r="E37" s="13">
        <v>45.842217484008529</v>
      </c>
      <c r="F37" s="13"/>
      <c r="G37" s="13"/>
      <c r="I37" s="5"/>
    </row>
    <row r="38" outlineLevel="2">
      <c r="A38" s="12" t="s">
        <v>56</v>
      </c>
      <c r="B38" s="0" t="s">
        <v>45</v>
      </c>
      <c r="C38" s="13">
        <f>IFERROR(0.55*(1-w),"")</f>
        <v>0.48950000000000005</v>
      </c>
      <c r="D38" s="13">
        <v>0.55</v>
      </c>
      <c r="E38" s="13">
        <v>0.58635394456289991</v>
      </c>
      <c r="F38" s="13"/>
      <c r="G38" s="13"/>
      <c r="I38" s="5"/>
    </row>
    <row r="39" outlineLevel="2">
      <c r="A39" s="12" t="s">
        <v>57</v>
      </c>
      <c r="B39" s="0" t="s">
        <v>45</v>
      </c>
      <c r="C39" s="13">
        <f>IFERROR(0.15*(1-w),"")</f>
        <v>0.1335</v>
      </c>
      <c r="D39" s="13">
        <v>0.15</v>
      </c>
      <c r="E39" s="13">
        <v>0.15991471215351813</v>
      </c>
      <c r="F39" s="13"/>
      <c r="G39" s="13"/>
      <c r="I39" s="5"/>
    </row>
    <row r="40" outlineLevel="2">
      <c r="A40" s="12" t="s">
        <v>58</v>
      </c>
      <c r="B40" s="0" t="s">
        <v>45</v>
      </c>
      <c r="C40" s="13">
        <f>IFERROR(97.6287*(1-w)+w*100,"")</f>
        <v>97.889543</v>
      </c>
      <c r="D40" s="13">
        <v>97.628700000000009</v>
      </c>
      <c r="E40" s="13">
        <v>97.4719616204691</v>
      </c>
      <c r="F40" s="13"/>
      <c r="G40" s="13"/>
      <c r="I40" s="5"/>
      <c r="J40" s="0" t="s">
        <v>51</v>
      </c>
    </row>
    <row r="41" outlineLevel="1">
      <c r="A41" s="11" t="s">
        <v>59</v>
      </c>
      <c r="I41" s="5"/>
    </row>
    <row r="42" outlineLevel="2">
      <c r="A42" s="12" t="s">
        <v>60</v>
      </c>
      <c r="B42" s="0" t="s">
        <v>61</v>
      </c>
      <c r="C42" s="14">
        <f>IFERROR(2287*(1-w),"")</f>
        <v>2035.43</v>
      </c>
      <c r="D42" s="14">
        <v>2287</v>
      </c>
      <c r="E42" s="14">
        <v>2438.16631130064</v>
      </c>
      <c r="F42" s="14"/>
      <c r="G42" s="14"/>
      <c r="I42" s="5"/>
    </row>
    <row r="43" outlineLevel="1">
      <c r="A43" s="11" t="s">
        <v>62</v>
      </c>
      <c r="I43" s="5"/>
    </row>
    <row r="44" outlineLevel="2">
      <c r="A44" s="12" t="s">
        <v>63</v>
      </c>
      <c r="B44" s="0" t="s">
        <v>64</v>
      </c>
      <c r="C44" s="13">
        <f>IFERROR(19*(1-w),"")</f>
        <v>16.91</v>
      </c>
      <c r="D44" s="13">
        <v>19</v>
      </c>
      <c r="E44" s="13">
        <v>20.255863539445631</v>
      </c>
      <c r="F44" s="13"/>
      <c r="G44" s="13"/>
      <c r="I44" s="5"/>
    </row>
    <row r="45" outlineLevel="2">
      <c r="A45" s="12" t="s">
        <v>65</v>
      </c>
      <c r="B45" s="0" t="s">
        <v>64</v>
      </c>
      <c r="C45" s="13">
        <f>IFERROR(16.28831132*(1-w),"")</f>
        <v>14.496597074799999</v>
      </c>
      <c r="D45" s="13">
        <v>16.28831132</v>
      </c>
      <c r="E45" s="13">
        <v>17.364937441364606</v>
      </c>
      <c r="F45" s="13"/>
      <c r="G45" s="13"/>
      <c r="I45" s="5"/>
      <c r="J45" s="0" t="s">
        <v>51</v>
      </c>
    </row>
    <row r="46" outlineLevel="1">
      <c r="A46" s="11" t="s">
        <v>66</v>
      </c>
      <c r="I46" s="5"/>
    </row>
    <row r="47" outlineLevel="2">
      <c r="A47" s="12" t="s">
        <v>67</v>
      </c>
      <c r="B47" s="0" t="s">
        <v>68</v>
      </c>
      <c r="C47" s="14">
        <v>182</v>
      </c>
      <c r="D47" s="14"/>
      <c r="E47" s="14"/>
      <c r="F47" s="14"/>
      <c r="G47" s="14"/>
      <c r="I47" s="5"/>
    </row>
    <row r="48" outlineLevel="2">
      <c r="A48" s="12" t="s">
        <v>69</v>
      </c>
      <c r="B48" s="0" t="s">
        <v>68</v>
      </c>
      <c r="C48" s="14">
        <v>23</v>
      </c>
      <c r="D48" s="14"/>
      <c r="E48" s="14"/>
      <c r="F48" s="14"/>
      <c r="G48" s="14"/>
      <c r="I48" s="5"/>
    </row>
    <row r="49" outlineLevel="2">
      <c r="A49" s="12" t="s">
        <v>70</v>
      </c>
      <c r="B49" s="0" t="s">
        <v>68</v>
      </c>
      <c r="C49" s="14">
        <v>12205</v>
      </c>
      <c r="D49" s="14"/>
      <c r="E49" s="14"/>
      <c r="F49" s="14"/>
      <c r="G49" s="14"/>
      <c r="I49" s="5"/>
    </row>
    <row r="50" outlineLevel="2">
      <c r="A50" s="12" t="s">
        <v>71</v>
      </c>
      <c r="B50" s="0" t="s">
        <v>68</v>
      </c>
      <c r="C50" s="14">
        <v>122</v>
      </c>
      <c r="D50" s="14"/>
      <c r="E50" s="14"/>
      <c r="F50" s="14"/>
      <c r="G50" s="14"/>
      <c r="I50" s="5"/>
    </row>
    <row r="51" outlineLevel="2">
      <c r="A51" s="12" t="s">
        <v>72</v>
      </c>
      <c r="B51" s="0" t="s">
        <v>68</v>
      </c>
      <c r="C51" s="14">
        <v>12006</v>
      </c>
      <c r="D51" s="14"/>
      <c r="E51" s="14"/>
      <c r="F51" s="14"/>
      <c r="G51" s="14"/>
      <c r="I51" s="5"/>
    </row>
    <row r="52" outlineLevel="2">
      <c r="A52" s="12" t="s">
        <v>73</v>
      </c>
      <c r="B52" s="0" t="s">
        <v>68</v>
      </c>
      <c r="C52" s="14">
        <v>1320</v>
      </c>
      <c r="D52" s="14"/>
      <c r="E52" s="14"/>
      <c r="F52" s="14"/>
      <c r="G52" s="14"/>
      <c r="I52" s="5"/>
    </row>
    <row r="53" outlineLevel="2">
      <c r="A53" s="12" t="s">
        <v>74</v>
      </c>
      <c r="B53" s="0" t="s">
        <v>68</v>
      </c>
      <c r="C53" s="14">
        <v>16</v>
      </c>
      <c r="D53" s="14"/>
      <c r="E53" s="14"/>
      <c r="F53" s="14"/>
      <c r="G53" s="14"/>
      <c r="I53" s="5"/>
    </row>
    <row r="54" outlineLevel="2">
      <c r="A54" s="12" t="s">
        <v>75</v>
      </c>
      <c r="B54" s="0" t="s">
        <v>68</v>
      </c>
      <c r="C54" s="14">
        <v>4012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68</v>
      </c>
      <c r="C55" s="14">
        <v>895</v>
      </c>
      <c r="D55" s="14"/>
      <c r="E55" s="14"/>
      <c r="F55" s="14"/>
      <c r="G55" s="14"/>
      <c r="I55" s="5"/>
    </row>
    <row r="56" outlineLevel="2">
      <c r="A56" s="12" t="s">
        <v>77</v>
      </c>
      <c r="B56" s="0" t="s">
        <v>68</v>
      </c>
      <c r="C56" s="14">
        <v>0.5</v>
      </c>
      <c r="D56" s="14"/>
      <c r="E56" s="14"/>
      <c r="F56" s="14"/>
      <c r="G56" s="14"/>
      <c r="I56" s="5"/>
    </row>
    <row r="57" outlineLevel="2">
      <c r="A57" s="12" t="s">
        <v>78</v>
      </c>
      <c r="B57" s="0" t="s">
        <v>68</v>
      </c>
      <c r="C57" s="14">
        <v>700</v>
      </c>
      <c r="D57" s="14"/>
      <c r="E57" s="14"/>
      <c r="F57" s="14"/>
      <c r="G57" s="14"/>
      <c r="I57" s="5"/>
    </row>
    <row r="58" outlineLevel="2">
      <c r="A58" s="12" t="s">
        <v>79</v>
      </c>
      <c r="B58" s="0" t="s">
        <v>68</v>
      </c>
      <c r="C58" s="14">
        <v>14</v>
      </c>
      <c r="D58" s="14"/>
      <c r="E58" s="14"/>
      <c r="F58" s="14"/>
      <c r="G58" s="14"/>
      <c r="I58" s="5"/>
    </row>
    <row r="59" outlineLevel="2">
      <c r="A59" s="12" t="s">
        <v>80</v>
      </c>
      <c r="B59" s="0" t="s">
        <v>68</v>
      </c>
      <c r="C59" s="14">
        <v>14</v>
      </c>
      <c r="D59" s="14"/>
      <c r="E59" s="14"/>
      <c r="F59" s="14"/>
      <c r="G59" s="14"/>
      <c r="I59" s="5"/>
    </row>
    <row r="60" outlineLevel="1">
      <c r="A60" s="11" t="s">
        <v>81</v>
      </c>
      <c r="I60" s="5"/>
    </row>
    <row r="61" outlineLevel="2">
      <c r="A61" s="12" t="s">
        <v>60</v>
      </c>
      <c r="B61" s="0" t="s">
        <v>82</v>
      </c>
      <c r="C61" s="13">
        <v>0.2287</v>
      </c>
      <c r="D61" s="13"/>
      <c r="E61" s="13"/>
      <c r="F61" s="13"/>
      <c r="G61" s="13"/>
      <c r="I61" s="5"/>
    </row>
    <row r="62">
      <c r="I62" s="5"/>
    </row>
    <row r="63" s="1" customFormat="1"/>
  </sheetData>
  <mergeCells>
    <mergeCell ref="A10:A12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1:E61"/>
  </mergeCells>
  <dataValidations count="1">
    <dataValidation type="decimal" sqref="C28" errorStyle="stop" promptTitle="Enter moisture content" errorTitle="Invalid moisture content" prompt="Value should be between 0 and 100.&#10;Original value: 1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https://phyllis.nl/Biomass/View/3508</dc:description>
  <dcterms:created xsi:type="dcterms:W3CDTF">2026-03-04T04:29:53Z</dcterms:created>
  <dc:title>Phyllis2 #3508 Cynara cardunculus -L.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