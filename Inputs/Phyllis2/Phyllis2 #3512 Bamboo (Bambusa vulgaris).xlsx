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12 Bamboo (Bambusa " sheetId="1" r:id="rId1"/>
  </sheets>
  <definedNames>
    <definedName name="w" localSheetId="0">IF(ISBLANK('Phyllis2 #3512 Bamboo (Bambusa '!$C$26),#N/A,'Phyllis2 #3512 Bamboo (Bambusa 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<sst xmlns="http://schemas.openxmlformats.org/spreadsheetml/2006/main" count="115" uniqueCount="115">
  <si>
    <t>Phyllis2</t>
  </si>
  <si>
    <t>https://phyllis.nl/Biomass/View/3512</t>
  </si>
  <si>
    <t>Bamboo (Bambusa vulgaris) (#3512)</t>
  </si>
  <si>
    <t>ID-number</t>
  </si>
  <si>
    <t>#3512</t>
  </si>
  <si>
    <t>Material</t>
  </si>
  <si>
    <t>Bamboo (Bambusa vulgaris)</t>
  </si>
  <si>
    <t>Latin name</t>
  </si>
  <si>
    <t>Bambusa vulgaris</t>
  </si>
  <si>
    <t>Description</t>
  </si>
  <si>
    <t>Mature sample</t>
  </si>
  <si>
    <t>Classification</t>
  </si>
  <si>
    <t>CEN/TS 14961 classification &gt; Solid biofuels &gt; Herbaceous biomass &gt; Herb processing industry &gt; Chemically untreated herb residues &gt; Cereal crops and grasses</t>
  </si>
  <si>
    <t>ECN Phyllis classification &gt; grass/plant &gt; other plants &gt; bamboo</t>
  </si>
  <si>
    <t>NTA 8003 classification &gt; [200] biomassa uit land- en tuinbouw &gt; [210] gras &gt; [219] overig gras</t>
  </si>
  <si>
    <t>Submitter</t>
  </si>
  <si>
    <t>Lydia Fryda</t>
  </si>
  <si>
    <t>Submitter organisation</t>
  </si>
  <si>
    <t>ECN (Netherlands)</t>
  </si>
  <si>
    <t>Submission date</t>
  </si>
  <si>
    <t>Literature</t>
  </si>
  <si>
    <t>Torrefied Bamboo for the Import of Sustainable Biomass from Colombia, December 2013, ECN‐E‐‐15‐020.</t>
  </si>
  <si>
    <t>funded by Agentschap NL within the Sustainable Biomass Import program under project</t>
  </si>
  <si>
    <t>number DBI02006. Partners in the project were: Colombian Bamboo Society (CO), the</t>
  </si>
  <si>
    <t>Technological University of Pereira (CO) and Imperial consultants from Imperial college</t>
  </si>
  <si>
    <t>of London (UK).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</si>
  <si>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</si>
  <si>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</si>
  <si>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</si>
  <si>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</si>
  <si>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</si>
  <si>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</si>
  <si>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</si>
  <si>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</si>
  <si>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</si>
  <si>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</si>
  <si>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</si>
  <si>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</si>
  <si>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</si>
  <si>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</si>
  <si>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</si>
  <si>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</si>
  <si>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</si>
  <si>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</si>
  <si>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EN 14774-1/2</t>
  </si>
  <si>
    <t>Ash content</t>
  </si>
  <si>
    <t>EN 14775</t>
  </si>
  <si>
    <t>Ash content at 815°C</t>
  </si>
  <si>
    <t>Volatile matter</t>
  </si>
  <si>
    <t>EN 15148</t>
  </si>
  <si>
    <t>Fixed carbon</t>
  </si>
  <si>
    <t>Calculated</t>
  </si>
  <si>
    <t>Ultimate analysis (macroelements)</t>
  </si>
  <si>
    <t>Carbon</t>
  </si>
  <si>
    <t xml:space="preserve">EN 15104 </t>
  </si>
  <si>
    <t>Hydrogen</t>
  </si>
  <si>
    <t>Oxygen</t>
  </si>
  <si>
    <t>EN 15289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</si>
  <si>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</si>
  <si>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</si>
  <si>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</si>
  <si>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</si>
  <si>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</si>
  <si>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</si>
  <si>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</si>
  <si>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Gross calorific value (HHV)</t>
  </si>
  <si>
    <t>MJ/kg</t>
  </si>
  <si>
    <t>EN 14918</t>
  </si>
  <si>
    <t>HHVMilne</t>
  </si>
  <si>
    <t>Trace elements composition</t>
  </si>
  <si>
    <t>Aluminium (Al)</t>
  </si>
  <si>
    <t>mg/kg (dry)</t>
  </si>
  <si>
    <t>NEN 6966</t>
  </si>
  <si>
    <t>Arsenic (As)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</si>
  <si>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</si>
  <si>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</si>
  <si>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</si>
  <si>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</si>
  <si>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</si>
  <si>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</si>
  <si>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</si>
  <si>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</si>
  <si>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</si>
  <si>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</si>
  <si>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</si>
  <si>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</si>
  <si>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Lead (Pb)</t>
  </si>
  <si>
    <t>Silicon (Si)</t>
  </si>
  <si>
    <t>Strontium (Sr)</t>
  </si>
  <si>
    <t>Titanium (Ti)</t>
  </si>
  <si>
    <t>Zinc (Zn)</t>
  </si>
  <si>
    <t>Special components</t>
  </si>
  <si>
    <t>wt% (daf)</t>
  </si>
  <si>
    <t>Biochemical analysis</t>
  </si>
  <si>
    <t>Cellulose, hemicellulose, lignin</t>
  </si>
  <si>
    <t>Lignin</t>
  </si>
  <si>
    <t>wt% (dry)</t>
  </si>
  <si>
    <t>Lignin analysis</t>
  </si>
  <si>
    <t>Acid insoluble lignin (Klason) (AIL)</t>
  </si>
  <si>
    <t>Acid soluble lignin (ASL)</t>
  </si>
  <si>
    <t>Other</t>
  </si>
  <si>
    <t>Extractives EtOH/toluene</t>
  </si>
  <si>
    <t>Extractives 95% EtOH</t>
  </si>
  <si>
    <t>Extractives hot water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</si>
  <si>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</si>
  <si>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</si>
  <si>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</si>
  <si>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</si>
  <si>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</si>
  <si>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</si>
  <si>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</si>
  <si>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</si>
  <si>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Rhamnan</t>
  </si>
  <si>
    <t>Sum C6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</si>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</sst>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8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3.498168945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42179.5262037037</v>
      </c>
    </row>
    <row r="15" outlineLevel="1">
      <c r="A15" s="7" t="s">
        <v>20</v>
      </c>
      <c r="B15" s="0" t="s">
        <v>21</v>
      </c>
    </row>
    <row r="16" outlineLevel="1">
      <c r="A16" s="7"/>
      <c r="B16" s="0" t="s">
        <v>22</v>
      </c>
    </row>
    <row r="17" outlineLevel="1">
      <c r="A17" s="7"/>
      <c r="B17" s="0" t="s">
        <v>23</v>
      </c>
    </row>
    <row r="18" outlineLevel="1">
      <c r="A18" s="7"/>
      <c r="B18" s="0" t="s">
        <v>24</v>
      </c>
    </row>
    <row r="19" outlineLevel="1">
      <c r="A19" s="7"/>
      <c r="B19" s="0" t="s">
        <v>25</v>
      </c>
    </row>
    <row r="20">
      <c r="A20" s="7"/>
    </row>
    <row r="21" s="1" customFormat="1">
      <c r="A21" s="9" t="s">
        <v>26</v>
      </c>
    </row>
    <row r="22" s="1" customFormat="1">
      <c r="A22" s="10" t="s">
        <v>27</v>
      </c>
      <c r="B22" s="10" t="s">
        <v>28</v>
      </c>
      <c r="C22" s="10" t="s">
        <v>29</v>
      </c>
      <c r="D22" s="10"/>
      <c r="E22" s="10"/>
      <c r="F22" s="10" t="s">
        <v>30</v>
      </c>
      <c r="G22" s="10" t="s">
        <v>31</v>
      </c>
      <c r="H22" s="10" t="s">
        <v>32</v>
      </c>
      <c r="I22" s="10" t="s">
        <v>33</v>
      </c>
      <c r="J22" s="10" t="s">
        <v>34</v>
      </c>
      <c r="K22" s="10" t="s">
        <v>35</v>
      </c>
      <c r="L22" s="10"/>
    </row>
    <row r="23" s="1" customFormat="1">
      <c r="A23" s="10"/>
      <c r="B23" s="10"/>
      <c r="C23" s="10" t="s">
        <v>36</v>
      </c>
      <c r="D23" s="10" t="s">
        <v>37</v>
      </c>
      <c r="E23" s="10" t="s">
        <v>38</v>
      </c>
      <c r="F23" s="10"/>
      <c r="G23" s="10"/>
      <c r="H23" s="10"/>
      <c r="I23" s="10"/>
      <c r="J23" s="10"/>
      <c r="K23" s="10"/>
      <c r="L23" s="10"/>
    </row>
    <row r="24">
      <c r="A24" s="7" t="s">
        <v>39</v>
      </c>
      <c r="I24" s="5"/>
    </row>
    <row r="25" outlineLevel="1">
      <c r="A25" s="11" t="s">
        <v>40</v>
      </c>
      <c r="I25" s="5"/>
    </row>
    <row r="26" outlineLevel="2">
      <c r="A26" s="12" t="s">
        <v>41</v>
      </c>
      <c r="B26" s="0" t="s">
        <v>42</v>
      </c>
      <c r="C26" s="13">
        <v>0.1</v>
      </c>
      <c r="D26" s="13"/>
      <c r="E26" s="13"/>
      <c r="F26" s="13"/>
      <c r="G26" s="13"/>
      <c r="H26" s="0" t="s">
        <v>43</v>
      </c>
      <c r="I26" s="5"/>
      <c r="J26" s="0" t="s">
        <v>44</v>
      </c>
    </row>
    <row r="27" outlineLevel="2">
      <c r="A27" s="12" t="s">
        <v>45</v>
      </c>
      <c r="B27" s="0" t="s">
        <v>42</v>
      </c>
      <c r="C27" s="13">
        <f>IFERROR(2.7*(1-w),"")</f>
        <v>2.6973000000000003</v>
      </c>
      <c r="D27" s="13">
        <v>2.7</v>
      </c>
      <c r="E27" s="13">
        <v/>
      </c>
      <c r="F27" s="13"/>
      <c r="G27" s="13"/>
      <c r="I27" s="5"/>
      <c r="J27" s="0" t="s">
        <v>46</v>
      </c>
    </row>
    <row r="28" outlineLevel="2">
      <c r="A28" s="12" t="s">
        <v>47</v>
      </c>
      <c r="B28" s="0" t="s">
        <v>42</v>
      </c>
      <c r="C28" s="13">
        <f>IFERROR(2.7*(1-w),"")</f>
        <v>2.6973000000000003</v>
      </c>
      <c r="D28" s="13">
        <v>2.7</v>
      </c>
      <c r="E28" s="13">
        <v/>
      </c>
      <c r="F28" s="13"/>
      <c r="G28" s="13"/>
      <c r="I28" s="5"/>
      <c r="J28" s="0" t="s">
        <v>46</v>
      </c>
    </row>
    <row r="29" outlineLevel="2">
      <c r="A29" s="12" t="s">
        <v>48</v>
      </c>
      <c r="B29" s="0" t="s">
        <v>42</v>
      </c>
      <c r="C29" s="13">
        <f>IFERROR(76*(1-w),"")</f>
        <v>75.924</v>
      </c>
      <c r="D29" s="13">
        <v>76</v>
      </c>
      <c r="E29" s="13">
        <v>78.108941418293938</v>
      </c>
      <c r="F29" s="13"/>
      <c r="G29" s="13"/>
      <c r="I29" s="5"/>
      <c r="J29" s="0" t="s">
        <v>49</v>
      </c>
    </row>
    <row r="30" outlineLevel="2">
      <c r="A30" s="12" t="s">
        <v>50</v>
      </c>
      <c r="B30" s="0" t="s">
        <v>42</v>
      </c>
      <c r="C30" s="13">
        <f>IFERROR(21.3*(1-w),"")</f>
        <v>21.278699999999997</v>
      </c>
      <c r="D30" s="13">
        <v>21.299999999999997</v>
      </c>
      <c r="E30" s="13">
        <v>21.891058581706062</v>
      </c>
      <c r="F30" s="13"/>
      <c r="G30" s="13"/>
      <c r="I30" s="5"/>
      <c r="J30" s="0" t="s">
        <v>51</v>
      </c>
    </row>
    <row r="31" outlineLevel="1">
      <c r="A31" s="11" t="s">
        <v>52</v>
      </c>
      <c r="I31" s="5"/>
    </row>
    <row r="32" outlineLevel="2">
      <c r="A32" s="12" t="s">
        <v>53</v>
      </c>
      <c r="B32" s="0" t="s">
        <v>42</v>
      </c>
      <c r="C32" s="13">
        <f>IFERROR(48*(1-w),"")</f>
        <v>47.952</v>
      </c>
      <c r="D32" s="13">
        <v>48</v>
      </c>
      <c r="E32" s="13">
        <v>49.331963001027752</v>
      </c>
      <c r="F32" s="13"/>
      <c r="G32" s="13"/>
      <c r="H32" s="0" t="s">
        <v>43</v>
      </c>
      <c r="I32" s="5"/>
      <c r="J32" s="0" t="s">
        <v>54</v>
      </c>
    </row>
    <row r="33" outlineLevel="2">
      <c r="A33" s="12" t="s">
        <v>55</v>
      </c>
      <c r="B33" s="0" t="s">
        <v>42</v>
      </c>
      <c r="C33" s="13">
        <f>IFERROR(6.1*(1-w),"")</f>
        <v>6.0939</v>
      </c>
      <c r="D33" s="13">
        <v>6.1</v>
      </c>
      <c r="E33" s="13">
        <v>6.2692702980472763</v>
      </c>
      <c r="F33" s="13"/>
      <c r="G33" s="13"/>
      <c r="I33" s="5"/>
      <c r="J33" s="0" t="s">
        <v>54</v>
      </c>
    </row>
    <row r="34" outlineLevel="2">
      <c r="A34" s="12" t="s">
        <v>56</v>
      </c>
      <c r="B34" s="0" t="s">
        <v>42</v>
      </c>
      <c r="C34" s="13">
        <f>IFERROR(42.53*(1-w),"")</f>
        <v>42.48747</v>
      </c>
      <c r="D34" s="13">
        <v>42.53</v>
      </c>
      <c r="E34" s="13">
        <v>43.710174717368965</v>
      </c>
      <c r="F34" s="13"/>
      <c r="G34" s="13"/>
      <c r="I34" s="5"/>
      <c r="J34" s="0" t="s">
        <v>57</v>
      </c>
    </row>
    <row r="35" outlineLevel="2">
      <c r="A35" s="12" t="s">
        <v>58</v>
      </c>
      <c r="B35" s="0" t="s">
        <v>42</v>
      </c>
      <c r="C35" s="13">
        <f>IFERROR(0.6*(1-w),"")</f>
        <v>0.59939999999999993</v>
      </c>
      <c r="D35" s="13">
        <v>0.6</v>
      </c>
      <c r="E35" s="13">
        <v>0.6166495375128469</v>
      </c>
      <c r="F35" s="13"/>
      <c r="G35" s="13"/>
      <c r="I35" s="5"/>
      <c r="J35" s="0" t="s">
        <v>54</v>
      </c>
    </row>
    <row r="36" outlineLevel="2">
      <c r="A36" s="12" t="s">
        <v>59</v>
      </c>
      <c r="B36" s="0" t="s">
        <v>42</v>
      </c>
      <c r="C36" s="13">
        <f>IFERROR(0.05*(1-w),"")</f>
        <v>0.04995</v>
      </c>
      <c r="D36" s="13">
        <v>0.05</v>
      </c>
      <c r="E36" s="13">
        <v>0.051387461459403906</v>
      </c>
      <c r="F36" s="13"/>
      <c r="G36" s="13"/>
      <c r="I36" s="5"/>
      <c r="J36" s="0" t="s">
        <v>57</v>
      </c>
    </row>
    <row r="37" outlineLevel="2">
      <c r="A37" s="12" t="s">
        <v>60</v>
      </c>
      <c r="B37" s="0" t="s">
        <v>42</v>
      </c>
      <c r="C37" s="13">
        <f>IFERROR(100.0013*(1-w)+w*100,"")</f>
        <v>100.00129869999998</v>
      </c>
      <c r="D37" s="13">
        <v>100.00129999999999</v>
      </c>
      <c r="E37" s="13">
        <v>100.00133607399793</v>
      </c>
      <c r="F37" s="13"/>
      <c r="G37" s="13"/>
      <c r="I37" s="5"/>
      <c r="J37" s="0" t="s">
        <v>51</v>
      </c>
    </row>
    <row r="38" outlineLevel="1">
      <c r="A38" s="11" t="s">
        <v>61</v>
      </c>
      <c r="I38" s="5"/>
    </row>
    <row r="39" outlineLevel="2">
      <c r="A39" s="12" t="s">
        <v>62</v>
      </c>
      <c r="B39" s="0" t="s">
        <v>63</v>
      </c>
      <c r="C39" s="14">
        <f>IFERROR(213*(1-w),"")</f>
        <v>212.787</v>
      </c>
      <c r="D39" s="14">
        <v>213</v>
      </c>
      <c r="E39" s="14">
        <v>218.91058581706065</v>
      </c>
      <c r="F39" s="14"/>
      <c r="G39" s="14"/>
      <c r="I39" s="5"/>
      <c r="J39" s="0" t="s">
        <v>57</v>
      </c>
    </row>
    <row r="40" outlineLevel="1">
      <c r="A40" s="11" t="s">
        <v>64</v>
      </c>
      <c r="I40" s="5"/>
    </row>
    <row r="41" outlineLevel="2">
      <c r="A41" s="12" t="s">
        <v>65</v>
      </c>
      <c r="B41" s="0" t="s">
        <v>66</v>
      </c>
      <c r="C41" s="13">
        <f>IFERROR(19.05*(1-w),"")</f>
        <v>19.03095</v>
      </c>
      <c r="D41" s="13">
        <v>19.05</v>
      </c>
      <c r="E41" s="13">
        <v>19.57862281603289</v>
      </c>
      <c r="F41" s="13"/>
      <c r="G41" s="13"/>
      <c r="H41" s="0" t="s">
        <v>43</v>
      </c>
      <c r="I41" s="5">
        <v>41434</v>
      </c>
      <c r="J41" s="0" t="s">
        <v>67</v>
      </c>
    </row>
    <row r="42" outlineLevel="2">
      <c r="A42" s="12" t="s">
        <v>68</v>
      </c>
      <c r="B42" s="0" t="s">
        <v>66</v>
      </c>
      <c r="C42" s="13">
        <f>IFERROR(19.21983537*(1-w),"")</f>
        <v>19.200615534630003</v>
      </c>
      <c r="D42" s="13">
        <v>19.219835370000002</v>
      </c>
      <c r="E42" s="13">
        <v>19.753170986639262</v>
      </c>
      <c r="F42" s="13"/>
      <c r="G42" s="13"/>
      <c r="I42" s="5"/>
      <c r="J42" s="0" t="s">
        <v>51</v>
      </c>
    </row>
    <row r="43" outlineLevel="1">
      <c r="A43" s="11" t="s">
        <v>69</v>
      </c>
      <c r="I43" s="5"/>
    </row>
    <row r="44" outlineLevel="2">
      <c r="A44" s="12" t="s">
        <v>70</v>
      </c>
      <c r="B44" s="0" t="s">
        <v>71</v>
      </c>
      <c r="C44" s="14">
        <v>6</v>
      </c>
      <c r="D44" s="14"/>
      <c r="E44" s="14"/>
      <c r="F44" s="14"/>
      <c r="G44" s="14"/>
      <c r="H44" s="0" t="s">
        <v>43</v>
      </c>
      <c r="I44" s="5"/>
      <c r="J44" s="0" t="s">
        <v>72</v>
      </c>
    </row>
    <row r="45" outlineLevel="2">
      <c r="A45" s="12" t="s">
        <v>73</v>
      </c>
      <c r="B45" s="0" t="s">
        <v>71</v>
      </c>
      <c r="C45" s="14">
        <v>1.4</v>
      </c>
      <c r="D45" s="14"/>
      <c r="E45" s="14"/>
      <c r="F45" s="14"/>
      <c r="G45" s="14"/>
      <c r="H45" s="0" t="s">
        <v>43</v>
      </c>
      <c r="I45" s="5"/>
      <c r="J45" s="0" t="s">
        <v>72</v>
      </c>
    </row>
    <row r="46" outlineLevel="2">
      <c r="A46" s="12" t="s">
        <v>74</v>
      </c>
      <c r="B46" s="0" t="s">
        <v>71</v>
      </c>
      <c r="C46" s="14">
        <v>0.7</v>
      </c>
      <c r="D46" s="14"/>
      <c r="E46" s="14"/>
      <c r="F46" s="14"/>
      <c r="G46" s="14"/>
      <c r="I46" s="5"/>
      <c r="J46" s="0" t="s">
        <v>72</v>
      </c>
    </row>
    <row r="47" outlineLevel="2">
      <c r="A47" s="12" t="s">
        <v>75</v>
      </c>
      <c r="B47" s="0" t="s">
        <v>71</v>
      </c>
      <c r="C47" s="14">
        <v>215</v>
      </c>
      <c r="D47" s="14"/>
      <c r="E47" s="14"/>
      <c r="F47" s="14"/>
      <c r="G47" s="14"/>
      <c r="I47" s="5"/>
      <c r="J47" s="0" t="s">
        <v>72</v>
      </c>
    </row>
    <row r="48" outlineLevel="2">
      <c r="A48" s="12" t="s">
        <v>76</v>
      </c>
      <c r="B48" s="0" t="s">
        <v>71</v>
      </c>
      <c r="C48" s="14">
        <v>0.1</v>
      </c>
      <c r="D48" s="14"/>
      <c r="E48" s="14"/>
      <c r="F48" s="14"/>
      <c r="G48" s="14"/>
      <c r="I48" s="5"/>
      <c r="J48" s="0" t="s">
        <v>72</v>
      </c>
    </row>
    <row r="49" outlineLevel="2">
      <c r="A49" s="12" t="s">
        <v>77</v>
      </c>
      <c r="B49" s="0" t="s">
        <v>71</v>
      </c>
      <c r="C49" s="14"/>
      <c r="D49" s="14"/>
      <c r="E49" s="14"/>
      <c r="F49" s="14"/>
      <c r="G49" s="14"/>
      <c r="I49" s="5"/>
      <c r="J49" s="0" t="s">
        <v>72</v>
      </c>
    </row>
    <row r="50" outlineLevel="2">
      <c r="A50" s="12" t="s">
        <v>78</v>
      </c>
      <c r="B50" s="0" t="s">
        <v>71</v>
      </c>
      <c r="C50" s="14">
        <v>1</v>
      </c>
      <c r="D50" s="14"/>
      <c r="E50" s="14"/>
      <c r="F50" s="14"/>
      <c r="G50" s="14"/>
      <c r="I50" s="5"/>
      <c r="J50" s="0" t="s">
        <v>72</v>
      </c>
    </row>
    <row r="51" outlineLevel="2">
      <c r="A51" s="12" t="s">
        <v>79</v>
      </c>
      <c r="B51" s="0" t="s">
        <v>71</v>
      </c>
      <c r="C51" s="14">
        <v>2</v>
      </c>
      <c r="D51" s="14"/>
      <c r="E51" s="14"/>
      <c r="F51" s="14"/>
      <c r="G51" s="14"/>
      <c r="I51" s="5"/>
      <c r="J51" s="0" t="s">
        <v>72</v>
      </c>
    </row>
    <row r="52" outlineLevel="2">
      <c r="A52" s="12" t="s">
        <v>80</v>
      </c>
      <c r="B52" s="0" t="s">
        <v>71</v>
      </c>
      <c r="C52" s="14">
        <v>17</v>
      </c>
      <c r="D52" s="14"/>
      <c r="E52" s="14"/>
      <c r="F52" s="14"/>
      <c r="G52" s="14"/>
      <c r="I52" s="5"/>
      <c r="J52" s="0" t="s">
        <v>72</v>
      </c>
    </row>
    <row r="53" outlineLevel="2">
      <c r="A53" s="12" t="s">
        <v>81</v>
      </c>
      <c r="B53" s="0" t="s">
        <v>71</v>
      </c>
      <c r="C53" s="14">
        <v>6907</v>
      </c>
      <c r="D53" s="14"/>
      <c r="E53" s="14"/>
      <c r="F53" s="14"/>
      <c r="G53" s="14"/>
      <c r="I53" s="5"/>
      <c r="J53" s="0" t="s">
        <v>72</v>
      </c>
    </row>
    <row r="54" outlineLevel="2">
      <c r="A54" s="12" t="s">
        <v>82</v>
      </c>
      <c r="B54" s="0" t="s">
        <v>71</v>
      </c>
      <c r="C54" s="14">
        <v>225</v>
      </c>
      <c r="D54" s="14"/>
      <c r="E54" s="14"/>
      <c r="F54" s="14"/>
      <c r="G54" s="14"/>
      <c r="I54" s="5"/>
      <c r="J54" s="0" t="s">
        <v>72</v>
      </c>
    </row>
    <row r="55" outlineLevel="2">
      <c r="A55" s="12" t="s">
        <v>83</v>
      </c>
      <c r="B55" s="0" t="s">
        <v>71</v>
      </c>
      <c r="C55" s="14">
        <v>4</v>
      </c>
      <c r="D55" s="14"/>
      <c r="E55" s="14"/>
      <c r="F55" s="14"/>
      <c r="G55" s="14"/>
      <c r="I55" s="5"/>
      <c r="J55" s="0" t="s">
        <v>72</v>
      </c>
    </row>
    <row r="56" outlineLevel="2">
      <c r="A56" s="12" t="s">
        <v>84</v>
      </c>
      <c r="B56" s="0" t="s">
        <v>71</v>
      </c>
      <c r="C56" s="14">
        <v>5</v>
      </c>
      <c r="D56" s="14"/>
      <c r="E56" s="14"/>
      <c r="F56" s="14"/>
      <c r="G56" s="14"/>
      <c r="I56" s="5"/>
      <c r="J56" s="0" t="s">
        <v>72</v>
      </c>
    </row>
    <row r="57" outlineLevel="2">
      <c r="A57" s="12" t="s">
        <v>85</v>
      </c>
      <c r="B57" s="0" t="s">
        <v>71</v>
      </c>
      <c r="C57" s="14">
        <v>892</v>
      </c>
      <c r="D57" s="14"/>
      <c r="E57" s="14"/>
      <c r="F57" s="14"/>
      <c r="G57" s="14"/>
      <c r="I57" s="5"/>
      <c r="J57" s="0" t="s">
        <v>72</v>
      </c>
    </row>
    <row r="58" outlineLevel="2">
      <c r="A58" s="12" t="s">
        <v>86</v>
      </c>
      <c r="B58" s="0" t="s">
        <v>71</v>
      </c>
      <c r="C58" s="14">
        <v>0.6</v>
      </c>
      <c r="D58" s="14"/>
      <c r="E58" s="14"/>
      <c r="F58" s="14"/>
      <c r="G58" s="14"/>
      <c r="I58" s="5"/>
      <c r="J58" s="0" t="s">
        <v>72</v>
      </c>
    </row>
    <row r="59" outlineLevel="2">
      <c r="A59" s="12" t="s">
        <v>87</v>
      </c>
      <c r="B59" s="0" t="s">
        <v>71</v>
      </c>
      <c r="C59" s="14">
        <v>7570</v>
      </c>
      <c r="D59" s="14"/>
      <c r="E59" s="14"/>
      <c r="F59" s="14"/>
      <c r="G59" s="14"/>
      <c r="I59" s="5"/>
      <c r="J59" s="0" t="s">
        <v>72</v>
      </c>
    </row>
    <row r="60" outlineLevel="2">
      <c r="A60" s="12" t="s">
        <v>88</v>
      </c>
      <c r="B60" s="0" t="s">
        <v>71</v>
      </c>
      <c r="C60" s="14">
        <v>0.6</v>
      </c>
      <c r="D60" s="14"/>
      <c r="E60" s="14"/>
      <c r="F60" s="14"/>
      <c r="G60" s="14"/>
      <c r="I60" s="5"/>
      <c r="J60" s="0" t="s">
        <v>72</v>
      </c>
    </row>
    <row r="61" outlineLevel="2">
      <c r="A61" s="12" t="s">
        <v>89</v>
      </c>
      <c r="B61" s="0" t="s">
        <v>71</v>
      </c>
      <c r="C61" s="14">
        <v>0.5</v>
      </c>
      <c r="D61" s="14"/>
      <c r="E61" s="14"/>
      <c r="F61" s="14"/>
      <c r="G61" s="14"/>
      <c r="I61" s="5"/>
      <c r="J61" s="0" t="s">
        <v>72</v>
      </c>
    </row>
    <row r="62" outlineLevel="2">
      <c r="A62" s="12" t="s">
        <v>90</v>
      </c>
      <c r="B62" s="0" t="s">
        <v>71</v>
      </c>
      <c r="C62" s="14">
        <v>7.5</v>
      </c>
      <c r="D62" s="14"/>
      <c r="E62" s="14"/>
      <c r="F62" s="14"/>
      <c r="G62" s="14"/>
      <c r="I62" s="5"/>
      <c r="J62" s="0" t="s">
        <v>72</v>
      </c>
    </row>
    <row r="63" outlineLevel="1">
      <c r="A63" s="11" t="s">
        <v>91</v>
      </c>
      <c r="I63" s="5"/>
    </row>
    <row r="64" outlineLevel="2">
      <c r="A64" s="12" t="s">
        <v>62</v>
      </c>
      <c r="B64" s="0" t="s">
        <v>92</v>
      </c>
      <c r="C64" s="13">
        <v>0.02</v>
      </c>
      <c r="D64" s="13"/>
      <c r="E64" s="13"/>
      <c r="F64" s="13"/>
      <c r="G64" s="13"/>
      <c r="I64" s="5"/>
      <c r="J64" s="0" t="s">
        <v>72</v>
      </c>
    </row>
    <row r="65" outlineLevel="1">
      <c r="A65" s="11" t="s">
        <v>93</v>
      </c>
      <c r="I65" s="5"/>
    </row>
    <row r="66" outlineLevel="2">
      <c r="A66" s="15" t="s">
        <v>94</v>
      </c>
      <c r="I66" s="5"/>
    </row>
    <row r="67" outlineLevel="3">
      <c r="A67" s="16" t="s">
        <v>95</v>
      </c>
      <c r="B67" s="0" t="s">
        <v>96</v>
      </c>
      <c r="C67" s="13">
        <v>21.22</v>
      </c>
      <c r="D67" s="13"/>
      <c r="E67" s="13"/>
      <c r="F67" s="13"/>
      <c r="G67" s="13"/>
      <c r="I67" s="5"/>
      <c r="J67" s="0" t="s">
        <v>72</v>
      </c>
    </row>
    <row r="68" outlineLevel="2">
      <c r="A68" s="15" t="s">
        <v>97</v>
      </c>
      <c r="I68" s="5"/>
    </row>
    <row r="69" outlineLevel="3">
      <c r="A69" s="16" t="s">
        <v>98</v>
      </c>
      <c r="B69" s="0" t="s">
        <v>96</v>
      </c>
      <c r="C69" s="13">
        <v>21.22</v>
      </c>
      <c r="D69" s="13"/>
      <c r="E69" s="13"/>
      <c r="F69" s="13"/>
      <c r="G69" s="13"/>
      <c r="I69" s="5"/>
      <c r="J69" s="0" t="s">
        <v>72</v>
      </c>
    </row>
    <row r="70" outlineLevel="3">
      <c r="A70" s="16" t="s">
        <v>99</v>
      </c>
      <c r="B70" s="0" t="s">
        <v>96</v>
      </c>
      <c r="C70" s="13">
        <v>0.87</v>
      </c>
      <c r="D70" s="13"/>
      <c r="E70" s="13"/>
      <c r="F70" s="13"/>
      <c r="G70" s="13"/>
      <c r="I70" s="5"/>
      <c r="J70" s="0" t="s">
        <v>72</v>
      </c>
    </row>
    <row r="71" outlineLevel="2">
      <c r="A71" s="15" t="s">
        <v>100</v>
      </c>
      <c r="I71" s="5"/>
    </row>
    <row r="72" outlineLevel="3">
      <c r="A72" s="16" t="s">
        <v>101</v>
      </c>
      <c r="B72" s="0" t="s">
        <v>96</v>
      </c>
      <c r="C72" s="13">
        <v>1.42</v>
      </c>
      <c r="D72" s="13"/>
      <c r="E72" s="13"/>
      <c r="F72" s="13"/>
      <c r="G72" s="13"/>
      <c r="I72" s="5"/>
      <c r="J72" s="0" t="s">
        <v>72</v>
      </c>
    </row>
    <row r="73" outlineLevel="3">
      <c r="A73" s="16" t="s">
        <v>102</v>
      </c>
      <c r="B73" s="0" t="s">
        <v>96</v>
      </c>
      <c r="C73" s="13"/>
      <c r="D73" s="13"/>
      <c r="E73" s="13"/>
      <c r="F73" s="13"/>
      <c r="G73" s="13"/>
      <c r="I73" s="5"/>
      <c r="J73" s="0" t="s">
        <v>72</v>
      </c>
    </row>
    <row r="74" outlineLevel="3">
      <c r="A74" s="16" t="s">
        <v>103</v>
      </c>
      <c r="B74" s="0" t="s">
        <v>96</v>
      </c>
      <c r="C74" s="13">
        <v>15.03</v>
      </c>
      <c r="D74" s="13"/>
      <c r="E74" s="13"/>
      <c r="F74" s="13"/>
      <c r="G74" s="13"/>
      <c r="I74" s="5"/>
      <c r="J74" s="0" t="s">
        <v>72</v>
      </c>
    </row>
    <row r="75" outlineLevel="3">
      <c r="A75" s="17" t="s">
        <v>104</v>
      </c>
      <c r="I75" s="5"/>
    </row>
    <row r="76" outlineLevel="4">
      <c r="A76" s="18" t="s">
        <v>105</v>
      </c>
      <c r="B76" s="0" t="s">
        <v>96</v>
      </c>
      <c r="C76" s="13">
        <v>0.69</v>
      </c>
      <c r="D76" s="13"/>
      <c r="E76" s="13"/>
      <c r="F76" s="13"/>
      <c r="G76" s="13"/>
      <c r="I76" s="5"/>
      <c r="J76" s="0" t="s">
        <v>72</v>
      </c>
    </row>
    <row r="77" outlineLevel="4">
      <c r="A77" s="18" t="s">
        <v>106</v>
      </c>
      <c r="B77" s="0" t="s">
        <v>96</v>
      </c>
      <c r="C77" s="13">
        <v>16.62</v>
      </c>
      <c r="D77" s="13"/>
      <c r="E77" s="13"/>
      <c r="F77" s="13"/>
      <c r="G77" s="13"/>
      <c r="I77" s="5"/>
      <c r="J77" s="0" t="s">
        <v>72</v>
      </c>
    </row>
    <row r="78" outlineLevel="4">
      <c r="A78" s="18" t="s">
        <v>107</v>
      </c>
      <c r="B78" s="0" t="s">
        <v>96</v>
      </c>
      <c r="C78" s="13">
        <v>17.310000000000002</v>
      </c>
      <c r="D78" s="13"/>
      <c r="E78" s="13"/>
      <c r="F78" s="13"/>
      <c r="G78" s="13"/>
      <c r="I78" s="5"/>
      <c r="J78" s="0" t="s">
        <v>51</v>
      </c>
    </row>
    <row r="79" outlineLevel="3">
      <c r="A79" s="17" t="s">
        <v>108</v>
      </c>
      <c r="I79" s="5"/>
    </row>
    <row r="80" outlineLevel="4">
      <c r="A80" s="18" t="s">
        <v>109</v>
      </c>
      <c r="B80" s="0" t="s">
        <v>96</v>
      </c>
      <c r="C80" s="13">
        <v>0</v>
      </c>
      <c r="D80" s="13"/>
      <c r="E80" s="13"/>
      <c r="F80" s="13"/>
      <c r="G80" s="13"/>
      <c r="I80" s="5"/>
      <c r="J80" s="0" t="s">
        <v>72</v>
      </c>
    </row>
    <row r="81" outlineLevel="4">
      <c r="A81" s="18" t="s">
        <v>110</v>
      </c>
      <c r="B81" s="0" t="s">
        <v>96</v>
      </c>
      <c r="C81" s="13">
        <v>0.16</v>
      </c>
      <c r="D81" s="13"/>
      <c r="E81" s="13"/>
      <c r="F81" s="13"/>
      <c r="G81" s="13"/>
      <c r="I81" s="5"/>
      <c r="J81" s="0" t="s">
        <v>72</v>
      </c>
    </row>
    <row r="82" outlineLevel="4">
      <c r="A82" s="18" t="s">
        <v>111</v>
      </c>
      <c r="B82" s="0" t="s">
        <v>96</v>
      </c>
      <c r="C82" s="13">
        <v>36.04</v>
      </c>
      <c r="D82" s="13"/>
      <c r="E82" s="13"/>
      <c r="F82" s="13"/>
      <c r="G82" s="13"/>
      <c r="I82" s="5"/>
      <c r="J82" s="0" t="s">
        <v>72</v>
      </c>
    </row>
    <row r="83" outlineLevel="4">
      <c r="A83" s="18" t="s">
        <v>112</v>
      </c>
      <c r="B83" s="0" t="s">
        <v>96</v>
      </c>
      <c r="C83" s="13">
        <v>0</v>
      </c>
      <c r="D83" s="13"/>
      <c r="E83" s="13"/>
      <c r="F83" s="13"/>
      <c r="G83" s="13"/>
      <c r="I83" s="5"/>
      <c r="J83" s="0" t="s">
        <v>72</v>
      </c>
    </row>
    <row r="84" outlineLevel="4">
      <c r="A84" s="18" t="s">
        <v>113</v>
      </c>
      <c r="B84" s="0" t="s">
        <v>96</v>
      </c>
      <c r="C84" s="13">
        <v>36.199999999999996</v>
      </c>
      <c r="D84" s="13"/>
      <c r="E84" s="13"/>
      <c r="F84" s="13"/>
      <c r="G84" s="13"/>
      <c r="I84" s="5"/>
      <c r="J84" s="0" t="s">
        <v>51</v>
      </c>
    </row>
    <row r="85" outlineLevel="3">
      <c r="A85" s="16" t="s">
        <v>114</v>
      </c>
      <c r="B85" s="0" t="s">
        <v>96</v>
      </c>
      <c r="C85" s="13">
        <v>40.370000000000005</v>
      </c>
      <c r="D85" s="13"/>
      <c r="E85" s="13"/>
      <c r="F85" s="13"/>
      <c r="G85" s="13"/>
      <c r="I85" s="5"/>
      <c r="J85" s="0" t="s">
        <v>51</v>
      </c>
    </row>
    <row r="86">
      <c r="I86" s="5"/>
    </row>
    <row r="87" s="1" customFormat="1"/>
  </sheetData>
  <mergeCells>
    <mergeCell ref="A9:A11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4:E64"/>
    <mergeCell ref="C67:E67"/>
    <mergeCell ref="C69:E69"/>
    <mergeCell ref="C70:E70"/>
    <mergeCell ref="C72:E72"/>
    <mergeCell ref="C73:E73"/>
    <mergeCell ref="C74:E74"/>
    <mergeCell ref="C76:E76"/>
    <mergeCell ref="C77:E77"/>
    <mergeCell ref="C78:E78"/>
    <mergeCell ref="C80:E80"/>
    <mergeCell ref="C81:E81"/>
    <mergeCell ref="C82:E82"/>
    <mergeCell ref="C83:E83"/>
    <mergeCell ref="C84:E84"/>
    <mergeCell ref="C85:E85"/>
  </mergeCells>
  <dataValidations count="1">
    <dataValidation type="decimal" sqref="C26" errorStyle="stop" promptTitle="Enter moisture content" errorTitle="Invalid moisture content" prompt="Value should be between 0 and 100.&#10;Original value: 0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https://phyllis.nl/Biomass/View/3512</dc:description>
  <dcterms:created xsi:type="dcterms:W3CDTF">2026-03-04T04:28:25Z</dcterms:created>
  <dc:title>Phyllis2 #3512 Bamboo (Bambusa vulgaris)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