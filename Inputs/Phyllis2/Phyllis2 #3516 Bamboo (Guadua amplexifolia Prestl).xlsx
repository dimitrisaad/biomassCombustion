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16 Bamboo (Guadua a" sheetId="1" r:id="rId1"/>
  </sheets>
  <definedNames>
    <definedName name="w" localSheetId="0">IF(ISBLANK('Phyllis2 #3516 Bamboo (Guadua a'!$C$20),#N/A,'Phyllis2 #3516 Bamboo (Guadua 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<sst xmlns="http://schemas.openxmlformats.org/spreadsheetml/2006/main" count="120" uniqueCount="120">
  <si>
    <t>Phyllis2</t>
  </si>
  <si>
    <t>https://phyllis.nl/Biomass/View/3516</t>
  </si>
  <si>
    <t>Bamboo (Guadua amplexifolia Prestl) (#3516)</t>
  </si>
  <si>
    <t>ID-number</t>
  </si>
  <si>
    <t>#3516</t>
  </si>
  <si>
    <t>Material</t>
  </si>
  <si>
    <t>Bamboo (Guadua amplexifolia Prestl)</t>
  </si>
  <si>
    <t>Classification</t>
  </si>
  <si>
    <t>CEN/TS 14961 classification &gt; Solid biofuels &gt; Herbaceous biomass &gt; Herb processing industry &gt; Chemically untreated herb residues &gt; Cereal crops and grasses</t>
  </si>
  <si>
    <t>ECN Phyllis classification &gt; grass/plant &gt; other plants &gt; bamboo</t>
  </si>
  <si>
    <t>NTA 8003 classification &gt; [200] biomassa uit land- en tuinbouw &gt; [210] gras &gt; [219] overig gras</t>
  </si>
  <si>
    <t>Country</t>
  </si>
  <si>
    <t>Colombia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</si>
  <si>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</si>
  <si>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</si>
  <si>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</si>
  <si>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</si>
  <si>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</si>
  <si>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</si>
  <si>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</si>
  <si>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</si>
  <si>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</si>
  <si>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</si>
  <si>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</si>
  <si>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</si>
  <si>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</si>
  <si>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</si>
  <si>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</si>
  <si>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</si>
  <si>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</si>
  <si>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</si>
  <si>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</si>
  <si>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</si>
  <si>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</si>
  <si>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</si>
  <si>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</si>
  <si>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 (dry)</t>
  </si>
  <si>
    <t>3,8</t>
  </si>
  <si>
    <t>ECN</t>
  </si>
  <si>
    <t>CEN/TS 14775</t>
  </si>
  <si>
    <t>Volatile matter</t>
  </si>
  <si>
    <t>wt%</t>
  </si>
  <si>
    <t>EN 15148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</si>
  <si>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</si>
  <si>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</si>
  <si>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</si>
  <si>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</si>
  <si>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</si>
  <si>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</si>
  <si>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</si>
  <si>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</si>
  <si>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</si>
  <si>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0,8</t>
  </si>
  <si>
    <t>Sulphur</t>
  </si>
  <si>
    <t>0,19</t>
  </si>
  <si>
    <t>CEN/TS 15289</t>
  </si>
  <si>
    <t>Total (with halides)</t>
  </si>
  <si>
    <t>Halides</t>
  </si>
  <si>
    <t>Chlorine (Cl)</t>
  </si>
  <si>
    <t>mg/kg</t>
  </si>
  <si>
    <t>Heating value</t>
  </si>
  <si>
    <t>Gross calorific value (HHV)</t>
  </si>
  <si>
    <t>MJ/kg (dry)</t>
  </si>
  <si>
    <t>18,8</t>
  </si>
  <si>
    <t>CEN/TS 14918</t>
  </si>
  <si>
    <t>Trace elements composition</t>
  </si>
  <si>
    <t>Aluminium (Al)</t>
  </si>
  <si>
    <t>mg/kg (dry)</t>
  </si>
  <si>
    <t>NEN 6966</t>
  </si>
  <si>
    <t>Arsenic (As)</t>
  </si>
  <si>
    <t>1,4</t>
  </si>
  <si>
    <t>Barium (Ba)</t>
  </si>
  <si>
    <t>2,4</t>
  </si>
  <si>
    <t>Calcium (Ca)</t>
  </si>
  <si>
    <t>Cadmium (Cd)</t>
  </si>
  <si>
    <t>0,1</t>
  </si>
  <si>
    <t>Chromium (Cr)</t>
  </si>
  <si>
    <t>1,1</t>
  </si>
  <si>
    <t>Copper (Cu)</t>
  </si>
  <si>
    <t>Iron (Fe)</t>
  </si>
  <si>
    <t>20,2</t>
  </si>
  <si>
    <t>Potassium (K)</t>
  </si>
  <si>
    <t>Magnesium (Mg)</t>
  </si>
  <si>
    <t>Manganese (Mn)</t>
  </si>
  <si>
    <t>7,4</t>
  </si>
  <si>
    <t>Sodium (Na)</t>
  </si>
  <si>
    <t>11,8</t>
  </si>
  <si>
    <t>Phosphorus (P)</t>
  </si>
  <si>
    <t>Lead (Pb)</t>
  </si>
  <si>
    <t>0,6</t>
  </si>
  <si>
    <t>Silicon (Si)</t>
  </si>
  <si>
    <t>Strontium (Sr)</t>
  </si>
  <si>
    <t>2,1</t>
  </si>
  <si>
    <t>Titanium (Ti)</t>
  </si>
  <si>
    <t>Zinc (Zn)</t>
  </si>
  <si>
    <t>Biochemical analysis</t>
  </si>
  <si>
    <t>Lignin analysis</t>
  </si>
  <si>
    <t>Acid insoluble lignin (Klason) (AIL)</t>
  </si>
  <si>
    <t>19,17</t>
  </si>
  <si>
    <t>ash</t>
  </si>
  <si>
    <t>Acid soluble lignin (ASL)</t>
  </si>
  <si>
    <t>1,09</t>
  </si>
  <si>
    <t>Other</t>
  </si>
  <si>
    <t>Extractives 95% EtOH</t>
  </si>
  <si>
    <t>2,26</t>
  </si>
  <si>
    <t>Extractives hot water</t>
  </si>
  <si>
    <t>15,35</t>
  </si>
  <si>
    <t>ash free</t>
  </si>
  <si>
    <t>C5</t>
  </si>
  <si>
    <t>Arabinan</t>
  </si>
  <si>
    <t>0,59</t>
  </si>
  <si>
    <t>Xylan</t>
  </si>
  <si>
    <t>13,47</t>
  </si>
  <si>
    <t>C6</t>
  </si>
  <si>
    <t>Mannan</t>
  </si>
  <si>
    <t>Galactan</t>
  </si>
  <si>
    <t>0,24</t>
  </si>
  <si>
    <t>Glucan</t>
  </si>
  <si>
    <t>32,16</t>
  </si>
  <si>
    <t>Rhamnan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</si>
</sst>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2.978451728820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42194.1950694444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 t="s">
        <v>37</v>
      </c>
      <c r="D21" s="13"/>
      <c r="E21" s="13"/>
      <c r="F21" s="13"/>
      <c r="G21" s="13"/>
      <c r="H21" s="0" t="s">
        <v>38</v>
      </c>
      <c r="I21" s="5"/>
      <c r="J21" s="0" t="s">
        <v>39</v>
      </c>
    </row>
    <row r="22" outlineLevel="2">
      <c r="A22" s="12" t="s">
        <v>40</v>
      </c>
      <c r="B22" s="0" t="s">
        <v>41</v>
      </c>
      <c r="C22" s="13">
        <f>IFERROR(74*(1-w),"")</f>
        <v/>
      </c>
      <c r="D22" s="13">
        <v>74</v>
      </c>
      <c r="E22" s="13">
        <v/>
      </c>
      <c r="F22" s="13"/>
      <c r="G22" s="13"/>
      <c r="H22" s="0" t="s">
        <v>38</v>
      </c>
      <c r="I22" s="5"/>
      <c r="J22" s="0" t="s">
        <v>42</v>
      </c>
    </row>
    <row r="23" outlineLevel="2">
      <c r="A23" s="12" t="s">
        <v>43</v>
      </c>
      <c r="B23" s="0" t="s">
        <v>41</v>
      </c>
      <c r="C23" s="13">
        <f>IFERROR(26*(1-w),"")</f>
        <v/>
      </c>
      <c r="D23" s="13">
        <v>26</v>
      </c>
      <c r="E23" s="13">
        <v/>
      </c>
      <c r="F23" s="13"/>
      <c r="G23" s="13"/>
      <c r="I23" s="5"/>
      <c r="J23" s="0" t="s">
        <v>44</v>
      </c>
    </row>
    <row r="24" outlineLevel="1">
      <c r="A24" s="11" t="s">
        <v>45</v>
      </c>
      <c r="I24" s="5"/>
    </row>
    <row r="25" outlineLevel="2">
      <c r="A25" s="12" t="s">
        <v>46</v>
      </c>
      <c r="B25" s="0" t="s">
        <v>41</v>
      </c>
      <c r="C25" s="13">
        <f>IFERROR(47*(1-w),"")</f>
        <v/>
      </c>
      <c r="D25" s="13">
        <v>47</v>
      </c>
      <c r="E25" s="13">
        <v/>
      </c>
      <c r="F25" s="13"/>
      <c r="G25" s="13"/>
      <c r="H25" s="0" t="s">
        <v>38</v>
      </c>
      <c r="I25" s="5"/>
      <c r="J25" s="0" t="s">
        <v>47</v>
      </c>
    </row>
    <row r="26" outlineLevel="2">
      <c r="A26" s="12" t="s">
        <v>48</v>
      </c>
      <c r="B26" s="0" t="s">
        <v>41</v>
      </c>
      <c r="C26" s="13">
        <f>IFERROR(6*(1-w),"")</f>
        <v/>
      </c>
      <c r="D26" s="13">
        <v>6</v>
      </c>
      <c r="E26" s="13">
        <v/>
      </c>
      <c r="F26" s="13"/>
      <c r="G26" s="13"/>
      <c r="H26" s="0" t="s">
        <v>38</v>
      </c>
      <c r="I26" s="5"/>
      <c r="J26" s="0" t="s">
        <v>47</v>
      </c>
    </row>
    <row r="27" outlineLevel="2">
      <c r="A27" s="12" t="s">
        <v>49</v>
      </c>
      <c r="B27" s="0" t="s">
        <v>41</v>
      </c>
      <c r="C27" s="13">
        <f>IFERROR(46.91*(1-w),"")</f>
        <v/>
      </c>
      <c r="D27" s="13">
        <v>46.91</v>
      </c>
      <c r="E27" s="13">
        <v/>
      </c>
      <c r="F27" s="13"/>
      <c r="G27" s="13"/>
      <c r="H27" s="0" t="s">
        <v>38</v>
      </c>
      <c r="I27" s="5"/>
      <c r="K27" s="0" t="s">
        <v>50</v>
      </c>
    </row>
    <row r="28" outlineLevel="2">
      <c r="A28" s="12" t="s">
        <v>51</v>
      </c>
      <c r="B28" s="0" t="s">
        <v>36</v>
      </c>
      <c r="C28" s="13" t="s">
        <v>52</v>
      </c>
      <c r="D28" s="13"/>
      <c r="E28" s="13"/>
      <c r="F28" s="13"/>
      <c r="G28" s="13"/>
      <c r="H28" s="0" t="s">
        <v>38</v>
      </c>
      <c r="I28" s="5"/>
      <c r="J28" s="0" t="s">
        <v>47</v>
      </c>
    </row>
    <row r="29" outlineLevel="2">
      <c r="A29" s="12" t="s">
        <v>53</v>
      </c>
      <c r="B29" s="0" t="s">
        <v>36</v>
      </c>
      <c r="C29" s="13" t="s">
        <v>54</v>
      </c>
      <c r="D29" s="13"/>
      <c r="E29" s="13"/>
      <c r="F29" s="13"/>
      <c r="G29" s="13"/>
      <c r="H29" s="0" t="s">
        <v>38</v>
      </c>
      <c r="I29" s="5"/>
      <c r="J29" s="0" t="s">
        <v>55</v>
      </c>
    </row>
    <row r="30" outlineLevel="2">
      <c r="A30" s="12" t="s">
        <v>56</v>
      </c>
      <c r="B30" s="0" t="s">
        <v>41</v>
      </c>
      <c r="C30" s="13">
        <f>IFERROR(99.9959*(1-w)+w*100,"")</f>
        <v/>
      </c>
      <c r="D30" s="13">
        <v>99.995899999999992</v>
      </c>
      <c r="E30" s="13">
        <v/>
      </c>
      <c r="F30" s="13"/>
      <c r="G30" s="13"/>
      <c r="I30" s="5"/>
      <c r="J30" s="0" t="s">
        <v>44</v>
      </c>
    </row>
    <row r="31" outlineLevel="1">
      <c r="A31" s="11" t="s">
        <v>57</v>
      </c>
      <c r="I31" s="5"/>
    </row>
    <row r="32" outlineLevel="2">
      <c r="A32" s="12" t="s">
        <v>58</v>
      </c>
      <c r="B32" s="0" t="s">
        <v>59</v>
      </c>
      <c r="C32" s="14">
        <f>IFERROR(859*(1-w),"")</f>
        <v/>
      </c>
      <c r="D32" s="14">
        <v>859</v>
      </c>
      <c r="E32" s="14">
        <v/>
      </c>
      <c r="F32" s="14"/>
      <c r="G32" s="14"/>
      <c r="H32" s="0" t="s">
        <v>38</v>
      </c>
      <c r="I32" s="5"/>
      <c r="J32" s="0" t="s">
        <v>55</v>
      </c>
    </row>
    <row r="33" outlineLevel="1">
      <c r="A33" s="11" t="s">
        <v>60</v>
      </c>
      <c r="I33" s="5"/>
    </row>
    <row r="34" outlineLevel="2">
      <c r="A34" s="12" t="s">
        <v>61</v>
      </c>
      <c r="B34" s="0" t="s">
        <v>62</v>
      </c>
      <c r="C34" s="13" t="s">
        <v>63</v>
      </c>
      <c r="D34" s="13"/>
      <c r="E34" s="13"/>
      <c r="F34" s="13"/>
      <c r="G34" s="13"/>
      <c r="H34" s="0" t="s">
        <v>38</v>
      </c>
      <c r="I34" s="5"/>
      <c r="J34" s="0" t="s">
        <v>64</v>
      </c>
    </row>
    <row r="35" outlineLevel="1">
      <c r="A35" s="11" t="s">
        <v>65</v>
      </c>
      <c r="I35" s="5"/>
    </row>
    <row r="36" outlineLevel="2">
      <c r="A36" s="12" t="s">
        <v>66</v>
      </c>
      <c r="B36" s="0" t="s">
        <v>67</v>
      </c>
      <c r="C36" s="14">
        <v>13</v>
      </c>
      <c r="D36" s="14"/>
      <c r="E36" s="14"/>
      <c r="F36" s="14"/>
      <c r="G36" s="14"/>
      <c r="H36" s="0" t="s">
        <v>38</v>
      </c>
      <c r="I36" s="5"/>
      <c r="J36" s="0" t="s">
        <v>68</v>
      </c>
    </row>
    <row r="37" outlineLevel="2">
      <c r="A37" s="12" t="s">
        <v>69</v>
      </c>
      <c r="B37" s="0" t="s">
        <v>67</v>
      </c>
      <c r="C37" s="14" t="s">
        <v>70</v>
      </c>
      <c r="D37" s="14"/>
      <c r="E37" s="14"/>
      <c r="F37" s="14"/>
      <c r="G37" s="14"/>
      <c r="H37" s="0" t="s">
        <v>38</v>
      </c>
      <c r="I37" s="5"/>
      <c r="J37" s="0" t="s">
        <v>68</v>
      </c>
    </row>
    <row r="38" outlineLevel="2">
      <c r="A38" s="12" t="s">
        <v>71</v>
      </c>
      <c r="B38" s="0" t="s">
        <v>67</v>
      </c>
      <c r="C38" s="14" t="s">
        <v>72</v>
      </c>
      <c r="D38" s="14"/>
      <c r="E38" s="14"/>
      <c r="F38" s="14"/>
      <c r="G38" s="14"/>
      <c r="H38" s="0" t="s">
        <v>38</v>
      </c>
      <c r="I38" s="5"/>
      <c r="J38" s="0" t="s">
        <v>68</v>
      </c>
    </row>
    <row r="39" outlineLevel="2">
      <c r="A39" s="12" t="s">
        <v>73</v>
      </c>
      <c r="B39" s="0" t="s">
        <v>67</v>
      </c>
      <c r="C39" s="14">
        <v>380</v>
      </c>
      <c r="D39" s="14"/>
      <c r="E39" s="14"/>
      <c r="F39" s="14"/>
      <c r="G39" s="14"/>
      <c r="H39" s="0" t="s">
        <v>38</v>
      </c>
      <c r="I39" s="5"/>
      <c r="J39" s="0" t="s">
        <v>68</v>
      </c>
    </row>
    <row r="40" outlineLevel="2">
      <c r="A40" s="12" t="s">
        <v>74</v>
      </c>
      <c r="B40" s="0" t="s">
        <v>67</v>
      </c>
      <c r="C40" s="14" t="s">
        <v>75</v>
      </c>
      <c r="D40" s="14"/>
      <c r="E40" s="14"/>
      <c r="F40" s="14"/>
      <c r="G40" s="14"/>
      <c r="H40" s="0" t="s">
        <v>38</v>
      </c>
      <c r="I40" s="5"/>
      <c r="J40" s="0" t="s">
        <v>68</v>
      </c>
    </row>
    <row r="41" outlineLevel="2">
      <c r="A41" s="12" t="s">
        <v>76</v>
      </c>
      <c r="B41" s="0" t="s">
        <v>67</v>
      </c>
      <c r="C41" s="14" t="s">
        <v>77</v>
      </c>
      <c r="D41" s="14"/>
      <c r="E41" s="14"/>
      <c r="F41" s="14"/>
      <c r="G41" s="14"/>
      <c r="H41" s="0" t="s">
        <v>38</v>
      </c>
      <c r="I41" s="5"/>
      <c r="J41" s="0" t="s">
        <v>68</v>
      </c>
    </row>
    <row r="42" outlineLevel="2">
      <c r="A42" s="12" t="s">
        <v>78</v>
      </c>
      <c r="B42" s="0" t="s">
        <v>67</v>
      </c>
      <c r="C42" s="14">
        <v>3</v>
      </c>
      <c r="D42" s="14"/>
      <c r="E42" s="14"/>
      <c r="F42" s="14"/>
      <c r="G42" s="14"/>
      <c r="H42" s="0" t="s">
        <v>38</v>
      </c>
      <c r="I42" s="5"/>
      <c r="J42" s="0" t="s">
        <v>68</v>
      </c>
    </row>
    <row r="43" outlineLevel="2">
      <c r="A43" s="12" t="s">
        <v>79</v>
      </c>
      <c r="B43" s="0" t="s">
        <v>67</v>
      </c>
      <c r="C43" s="14" t="s">
        <v>80</v>
      </c>
      <c r="D43" s="14"/>
      <c r="E43" s="14"/>
      <c r="F43" s="14"/>
      <c r="G43" s="14"/>
      <c r="H43" s="0" t="s">
        <v>38</v>
      </c>
      <c r="I43" s="5"/>
      <c r="J43" s="0" t="s">
        <v>68</v>
      </c>
    </row>
    <row r="44" outlineLevel="2">
      <c r="A44" s="12" t="s">
        <v>81</v>
      </c>
      <c r="B44" s="0" t="s">
        <v>67</v>
      </c>
      <c r="C44" s="14">
        <v>16402</v>
      </c>
      <c r="D44" s="14"/>
      <c r="E44" s="14"/>
      <c r="F44" s="14"/>
      <c r="G44" s="14"/>
      <c r="H44" s="0" t="s">
        <v>38</v>
      </c>
      <c r="I44" s="5"/>
      <c r="J44" s="0" t="s">
        <v>68</v>
      </c>
    </row>
    <row r="45" outlineLevel="2">
      <c r="A45" s="12" t="s">
        <v>82</v>
      </c>
      <c r="B45" s="0" t="s">
        <v>67</v>
      </c>
      <c r="C45" s="14">
        <v>290</v>
      </c>
      <c r="D45" s="14"/>
      <c r="E45" s="14"/>
      <c r="F45" s="14"/>
      <c r="G45" s="14"/>
      <c r="H45" s="0" t="s">
        <v>38</v>
      </c>
      <c r="I45" s="5"/>
      <c r="J45" s="0" t="s">
        <v>68</v>
      </c>
    </row>
    <row r="46" outlineLevel="2">
      <c r="A46" s="12" t="s">
        <v>83</v>
      </c>
      <c r="B46" s="0" t="s">
        <v>67</v>
      </c>
      <c r="C46" s="14" t="s">
        <v>84</v>
      </c>
      <c r="D46" s="14"/>
      <c r="E46" s="14"/>
      <c r="F46" s="14"/>
      <c r="G46" s="14"/>
      <c r="H46" s="0" t="s">
        <v>38</v>
      </c>
      <c r="I46" s="5"/>
      <c r="J46" s="0" t="s">
        <v>68</v>
      </c>
    </row>
    <row r="47" outlineLevel="2">
      <c r="A47" s="12" t="s">
        <v>85</v>
      </c>
      <c r="B47" s="0" t="s">
        <v>67</v>
      </c>
      <c r="C47" s="14" t="s">
        <v>86</v>
      </c>
      <c r="D47" s="14"/>
      <c r="E47" s="14"/>
      <c r="F47" s="14"/>
      <c r="G47" s="14"/>
      <c r="H47" s="0" t="s">
        <v>38</v>
      </c>
      <c r="I47" s="5"/>
      <c r="J47" s="0" t="s">
        <v>68</v>
      </c>
    </row>
    <row r="48" outlineLevel="2">
      <c r="A48" s="12" t="s">
        <v>87</v>
      </c>
      <c r="B48" s="0" t="s">
        <v>67</v>
      </c>
      <c r="C48" s="14">
        <v>869</v>
      </c>
      <c r="D48" s="14"/>
      <c r="E48" s="14"/>
      <c r="F48" s="14"/>
      <c r="G48" s="14"/>
      <c r="H48" s="0" t="s">
        <v>38</v>
      </c>
      <c r="I48" s="5"/>
      <c r="J48" s="0" t="s">
        <v>68</v>
      </c>
    </row>
    <row r="49" outlineLevel="2">
      <c r="A49" s="12" t="s">
        <v>88</v>
      </c>
      <c r="B49" s="0" t="s">
        <v>67</v>
      </c>
      <c r="C49" s="14" t="s">
        <v>89</v>
      </c>
      <c r="D49" s="14"/>
      <c r="E49" s="14"/>
      <c r="F49" s="14"/>
      <c r="G49" s="14"/>
      <c r="H49" s="0" t="s">
        <v>38</v>
      </c>
      <c r="I49" s="5"/>
      <c r="J49" s="0" t="s">
        <v>68</v>
      </c>
    </row>
    <row r="50" outlineLevel="2">
      <c r="A50" s="12" t="s">
        <v>90</v>
      </c>
      <c r="B50" s="0" t="s">
        <v>67</v>
      </c>
      <c r="C50" s="14">
        <v>6209</v>
      </c>
      <c r="D50" s="14"/>
      <c r="E50" s="14"/>
      <c r="F50" s="14"/>
      <c r="G50" s="14"/>
      <c r="H50" s="0" t="s">
        <v>38</v>
      </c>
      <c r="I50" s="5"/>
      <c r="J50" s="0" t="s">
        <v>68</v>
      </c>
    </row>
    <row r="51" outlineLevel="2">
      <c r="A51" s="12" t="s">
        <v>91</v>
      </c>
      <c r="B51" s="0" t="s">
        <v>67</v>
      </c>
      <c r="C51" s="14" t="s">
        <v>92</v>
      </c>
      <c r="D51" s="14"/>
      <c r="E51" s="14"/>
      <c r="F51" s="14"/>
      <c r="G51" s="14"/>
      <c r="H51" s="0" t="s">
        <v>38</v>
      </c>
      <c r="I51" s="5"/>
      <c r="J51" s="0" t="s">
        <v>68</v>
      </c>
    </row>
    <row r="52" outlineLevel="2">
      <c r="A52" s="12" t="s">
        <v>93</v>
      </c>
      <c r="B52" s="0" t="s">
        <v>67</v>
      </c>
      <c r="C52" s="14" t="s">
        <v>89</v>
      </c>
      <c r="D52" s="14"/>
      <c r="E52" s="14"/>
      <c r="F52" s="14"/>
      <c r="G52" s="14"/>
      <c r="H52" s="0" t="s">
        <v>38</v>
      </c>
      <c r="I52" s="5"/>
      <c r="J52" s="0" t="s">
        <v>68</v>
      </c>
    </row>
    <row r="53" outlineLevel="2">
      <c r="A53" s="12" t="s">
        <v>94</v>
      </c>
      <c r="B53" s="0" t="s">
        <v>67</v>
      </c>
      <c r="C53" s="14">
        <v>8</v>
      </c>
      <c r="D53" s="14"/>
      <c r="E53" s="14"/>
      <c r="F53" s="14"/>
      <c r="G53" s="14"/>
      <c r="H53" s="0" t="s">
        <v>38</v>
      </c>
      <c r="I53" s="5"/>
      <c r="J53" s="0" t="s">
        <v>68</v>
      </c>
    </row>
    <row r="54" outlineLevel="1">
      <c r="A54" s="11" t="s">
        <v>95</v>
      </c>
      <c r="I54" s="5"/>
    </row>
    <row r="55" outlineLevel="2">
      <c r="A55" s="15" t="s">
        <v>96</v>
      </c>
      <c r="I55" s="5"/>
    </row>
    <row r="56" outlineLevel="3">
      <c r="A56" s="16" t="s">
        <v>97</v>
      </c>
      <c r="B56" s="0" t="s">
        <v>36</v>
      </c>
      <c r="C56" s="13" t="s">
        <v>98</v>
      </c>
      <c r="D56" s="13"/>
      <c r="E56" s="13"/>
      <c r="F56" s="13"/>
      <c r="G56" s="13"/>
      <c r="H56" s="0" t="s">
        <v>38</v>
      </c>
      <c r="I56" s="5"/>
      <c r="K56" s="0" t="s">
        <v>99</v>
      </c>
    </row>
    <row r="57" outlineLevel="3">
      <c r="A57" s="16" t="s">
        <v>100</v>
      </c>
      <c r="B57" s="0" t="s">
        <v>36</v>
      </c>
      <c r="C57" s="13" t="s">
        <v>101</v>
      </c>
      <c r="D57" s="13"/>
      <c r="E57" s="13"/>
      <c r="F57" s="13"/>
      <c r="G57" s="13"/>
      <c r="H57" s="0" t="s">
        <v>38</v>
      </c>
      <c r="I57" s="5"/>
    </row>
    <row r="58" outlineLevel="2">
      <c r="A58" s="15" t="s">
        <v>102</v>
      </c>
      <c r="I58" s="5"/>
    </row>
    <row r="59" outlineLevel="3">
      <c r="A59" s="16" t="s">
        <v>103</v>
      </c>
      <c r="B59" s="0" t="s">
        <v>36</v>
      </c>
      <c r="C59" s="13" t="s">
        <v>104</v>
      </c>
      <c r="D59" s="13"/>
      <c r="E59" s="13"/>
      <c r="F59" s="13"/>
      <c r="G59" s="13"/>
      <c r="H59" s="0" t="s">
        <v>38</v>
      </c>
      <c r="I59" s="5"/>
    </row>
    <row r="60" outlineLevel="3">
      <c r="A60" s="16" t="s">
        <v>105</v>
      </c>
      <c r="B60" s="0" t="s">
        <v>36</v>
      </c>
      <c r="C60" s="13" t="s">
        <v>106</v>
      </c>
      <c r="D60" s="13"/>
      <c r="E60" s="13"/>
      <c r="F60" s="13"/>
      <c r="G60" s="13"/>
      <c r="H60" s="0" t="s">
        <v>38</v>
      </c>
      <c r="I60" s="5"/>
      <c r="K60" s="0" t="s">
        <v>107</v>
      </c>
    </row>
    <row r="61" outlineLevel="3">
      <c r="A61" s="17" t="s">
        <v>108</v>
      </c>
      <c r="I61" s="5"/>
    </row>
    <row r="62" outlineLevel="4">
      <c r="A62" s="18" t="s">
        <v>109</v>
      </c>
      <c r="B62" s="0" t="s">
        <v>36</v>
      </c>
      <c r="C62" s="13" t="s">
        <v>110</v>
      </c>
      <c r="D62" s="13"/>
      <c r="E62" s="13"/>
      <c r="F62" s="13"/>
      <c r="G62" s="13"/>
      <c r="H62" s="0" t="s">
        <v>38</v>
      </c>
      <c r="I62" s="5"/>
    </row>
    <row r="63" outlineLevel="4">
      <c r="A63" s="18" t="s">
        <v>111</v>
      </c>
      <c r="B63" s="0" t="s">
        <v>36</v>
      </c>
      <c r="C63" s="13" t="s">
        <v>112</v>
      </c>
      <c r="D63" s="13"/>
      <c r="E63" s="13"/>
      <c r="F63" s="13"/>
      <c r="G63" s="13"/>
      <c r="H63" s="0" t="s">
        <v>38</v>
      </c>
      <c r="I63" s="5"/>
    </row>
    <row r="64" outlineLevel="3">
      <c r="A64" s="17" t="s">
        <v>113</v>
      </c>
      <c r="I64" s="5"/>
    </row>
    <row r="65" outlineLevel="4">
      <c r="A65" s="18" t="s">
        <v>114</v>
      </c>
      <c r="B65" s="0" t="s">
        <v>36</v>
      </c>
      <c r="C65" s="13">
        <v>0</v>
      </c>
      <c r="D65" s="13"/>
      <c r="E65" s="13"/>
      <c r="F65" s="13"/>
      <c r="G65" s="13"/>
      <c r="H65" s="0" t="s">
        <v>38</v>
      </c>
      <c r="I65" s="5"/>
    </row>
    <row r="66" outlineLevel="4">
      <c r="A66" s="18" t="s">
        <v>115</v>
      </c>
      <c r="B66" s="0" t="s">
        <v>36</v>
      </c>
      <c r="C66" s="13" t="s">
        <v>116</v>
      </c>
      <c r="D66" s="13"/>
      <c r="E66" s="13"/>
      <c r="F66" s="13"/>
      <c r="G66" s="13"/>
      <c r="H66" s="0" t="s">
        <v>38</v>
      </c>
      <c r="I66" s="5"/>
    </row>
    <row r="67" outlineLevel="4">
      <c r="A67" s="18" t="s">
        <v>117</v>
      </c>
      <c r="B67" s="0" t="s">
        <v>36</v>
      </c>
      <c r="C67" s="13" t="s">
        <v>118</v>
      </c>
      <c r="D67" s="13"/>
      <c r="E67" s="13"/>
      <c r="F67" s="13"/>
      <c r="G67" s="13"/>
      <c r="H67" s="0" t="s">
        <v>38</v>
      </c>
      <c r="I67" s="5"/>
    </row>
    <row r="68" outlineLevel="4">
      <c r="A68" s="18" t="s">
        <v>119</v>
      </c>
      <c r="B68" s="0" t="s">
        <v>36</v>
      </c>
      <c r="C68" s="13">
        <v>0</v>
      </c>
      <c r="D68" s="13"/>
      <c r="E68" s="13"/>
      <c r="F68" s="13"/>
      <c r="G68" s="13"/>
      <c r="H68" s="0" t="s">
        <v>38</v>
      </c>
      <c r="I68" s="5"/>
    </row>
    <row r="69">
      <c r="I69" s="5"/>
    </row>
    <row r="70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1:E21"/>
    <mergeCell ref="C28:E28"/>
    <mergeCell ref="C29:E29"/>
    <mergeCell ref="C34:E34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  <mergeCell ref="C57:E57"/>
    <mergeCell ref="C59:E59"/>
    <mergeCell ref="C60:E60"/>
    <mergeCell ref="C62:E62"/>
    <mergeCell ref="C63:E63"/>
    <mergeCell ref="C65:E65"/>
    <mergeCell ref="C66:E66"/>
    <mergeCell ref="C67:E67"/>
    <mergeCell ref="C68:E68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https://phyllis.nl/Biomass/View/3516</dc:description>
  <dcterms:created xsi:type="dcterms:W3CDTF">2026-03-04T04:28:47Z</dcterms:created>
  <dc:title>Phyllis2 #3516 Bamboo (Guadua amplexifolia Prestl)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