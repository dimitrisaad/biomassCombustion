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2 almond shells (hu" sheetId="1" r:id="rId1"/>
  </sheets>
  <definedNames>
    <definedName name="w" localSheetId="0">IF(ISBLANK('Phyllis2 #352 almond shells (hu'!$C$18),#N/A,'Phyllis2 #352 almond shells (hu'!$C$18/100)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<sst xmlns="http://schemas.openxmlformats.org/spreadsheetml/2006/main" count="67" uniqueCount="67">
  <si>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</si>
  <si>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https://phyllis.nl/Biomass/View/352</t>
  </si>
  <si>
    <t>almond shells (hulls) (#352)</t>
  </si>
  <si>
    <t>ID-number</t>
  </si>
  <si>
    <t>#352</t>
  </si>
  <si>
    <t>Material</t>
  </si>
  <si>
    <t>almond shells (hulls)</t>
  </si>
  <si>
    <t>Classification</t>
  </si>
  <si>
    <t>ECN Phyllis classification &gt; husk/shell/pit &gt; almond &gt; almond shells (hulls)</t>
  </si>
  <si>
    <t>NTA 8003 classification &gt; [200] biomassa uit land- en tuinbouw &gt; [230] restproducten (doppen) &gt; [235] amandeldoppen</t>
  </si>
  <si>
    <t>Ash type</t>
  </si>
  <si>
    <t>ASTM D1102; 600C ASTM D 1102, 600 Degree Celcius</t>
  </si>
  <si>
    <t>Submitter organisation</t>
  </si>
  <si>
    <t>ECN (Netherlands)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</si>
  <si>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</si>
  <si>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</si>
  <si>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</si>
  <si>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</si>
  <si>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</si>
  <si>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</si>
  <si>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</si>
  <si>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</si>
  <si>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</si>
  <si>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</si>
  <si>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</si>
  <si>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</si>
  <si>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</si>
  <si>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</si>
  <si>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</si>
  <si>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</si>
  <si>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</si>
  <si>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</si>
  <si>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</si>
  <si>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</si>
  <si>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</si>
  <si>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</si>
  <si>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</si>
  <si>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</si>
  <si>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</si>
  <si>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</si>
  <si>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</si>
  <si>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</si>
  <si>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</si>
  <si>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</si>
  <si>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</si>
  <si>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</si>
  <si>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</si>
  <si>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</si>
  <si>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</si>
  <si>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</si>
  <si>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</si>
  <si>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</si>
  <si>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</si>
  <si>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</si>
  <si>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</si>
  <si>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CO2</t>
  </si>
  <si>
    <t>wt% (ash)</t>
  </si>
  <si>
    <t>SO3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</si>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</sst>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>6.52</v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32</v>
      </c>
      <c r="C19" s="11">
        <f>IFERROR(6.13*(1-w),"")</f>
        <v>5.7303239999999995</v>
      </c>
      <c r="D19" s="11">
        <v>6.13</v>
      </c>
      <c r="E19" s="11">
        <v/>
      </c>
      <c r="F19" s="11"/>
      <c r="G19" s="11"/>
      <c r="I19" s="13"/>
    </row>
    <row r="20" outlineLevel="2">
      <c r="A20" s="10" t="s">
        <v>34</v>
      </c>
      <c r="B20" s="0" t="s">
        <v>32</v>
      </c>
      <c r="C20" s="11">
        <f>IFERROR(73.8*(1-w),"")</f>
        <v>68.98823999999999</v>
      </c>
      <c r="D20" s="11">
        <v>73.8</v>
      </c>
      <c r="E20" s="11">
        <v>78.61936720997123</v>
      </c>
      <c r="F20" s="11"/>
      <c r="G20" s="11"/>
      <c r="I20" s="13"/>
    </row>
    <row r="21" outlineLevel="2">
      <c r="A21" s="10" t="s">
        <v>35</v>
      </c>
      <c r="B21" s="0" t="s">
        <v>32</v>
      </c>
      <c r="C21" s="11">
        <f>IFERROR(20.07*(1-w),"")</f>
        <v>18.761436000000007</v>
      </c>
      <c r="D21" s="11">
        <v>20.070000000000007</v>
      </c>
      <c r="E21" s="11">
        <v>21.38063279002877</v>
      </c>
      <c r="F21" s="11"/>
      <c r="G21" s="11"/>
      <c r="I21" s="13"/>
      <c r="J21" s="0" t="s">
        <v>36</v>
      </c>
    </row>
    <row r="22" outlineLevel="1">
      <c r="A22" s="9" t="s">
        <v>37</v>
      </c>
      <c r="I22" s="13"/>
    </row>
    <row r="23" outlineLevel="2">
      <c r="A23" s="10" t="s">
        <v>38</v>
      </c>
      <c r="B23" s="0" t="s">
        <v>32</v>
      </c>
      <c r="C23" s="11">
        <f>IFERROR(47.53*(1-w),"")</f>
        <v>44.431044</v>
      </c>
      <c r="D23" s="11">
        <v>47.53</v>
      </c>
      <c r="E23" s="11">
        <v>50.633855331841914</v>
      </c>
      <c r="F23" s="11"/>
      <c r="G23" s="11"/>
      <c r="I23" s="13"/>
      <c r="J23" s="0" t="s">
        <v>39</v>
      </c>
    </row>
    <row r="24" outlineLevel="2">
      <c r="A24" s="10" t="s">
        <v>40</v>
      </c>
      <c r="B24" s="0" t="s">
        <v>32</v>
      </c>
      <c r="C24" s="11">
        <f>IFERROR(5.97*(1-w),"")</f>
        <v>5.5807559999999992</v>
      </c>
      <c r="D24" s="11">
        <v>5.97</v>
      </c>
      <c r="E24" s="11">
        <v>6.3598593799936083</v>
      </c>
      <c r="F24" s="11"/>
      <c r="G24" s="11"/>
      <c r="I24" s="13"/>
      <c r="J24" s="0" t="s">
        <v>39</v>
      </c>
    </row>
    <row r="25" outlineLevel="2">
      <c r="A25" s="10" t="s">
        <v>41</v>
      </c>
      <c r="B25" s="0" t="s">
        <v>32</v>
      </c>
      <c r="C25" s="11">
        <f>IFERROR(39.16*(1-w),"")</f>
        <v>36.606767999999995</v>
      </c>
      <c r="D25" s="11">
        <v>39.16</v>
      </c>
      <c r="E25" s="11">
        <v>41.717268562906142</v>
      </c>
      <c r="F25" s="11"/>
      <c r="G25" s="11"/>
      <c r="I25" s="13"/>
      <c r="J25" s="0" t="s">
        <v>36</v>
      </c>
    </row>
    <row r="26" outlineLevel="2">
      <c r="A26" s="10" t="s">
        <v>42</v>
      </c>
      <c r="B26" s="0" t="s">
        <v>32</v>
      </c>
      <c r="C26" s="11">
        <f>IFERROR(1.13*(1-w),"")</f>
        <v>1.0563239999999998</v>
      </c>
      <c r="D26" s="11">
        <v>1.13</v>
      </c>
      <c r="E26" s="11">
        <v>1.2037924789602641</v>
      </c>
      <c r="F26" s="11"/>
      <c r="G26" s="11"/>
      <c r="I26" s="13"/>
      <c r="J26" s="0" t="s">
        <v>39</v>
      </c>
    </row>
    <row r="27" outlineLevel="2">
      <c r="A27" s="10" t="s">
        <v>43</v>
      </c>
      <c r="B27" s="0" t="s">
        <v>32</v>
      </c>
      <c r="C27" s="11">
        <f>IFERROR(0.06*(1-w),"")</f>
        <v>0.056088</v>
      </c>
      <c r="D27" s="11">
        <v>0.06</v>
      </c>
      <c r="E27" s="11">
        <v>0.063918184723553845</v>
      </c>
      <c r="F27" s="11"/>
      <c r="G27" s="11"/>
      <c r="I27" s="13"/>
      <c r="J27" s="0" t="s">
        <v>39</v>
      </c>
    </row>
    <row r="28" outlineLevel="2">
      <c r="A28" s="10" t="s">
        <v>44</v>
      </c>
      <c r="B28" s="0" t="s">
        <v>32</v>
      </c>
      <c r="C28" s="11">
        <f>IFERROR(100*(1-w)+w*100,"")</f>
        <v>99.999999999999986</v>
      </c>
      <c r="D28" s="11">
        <v>99.999999999999986</v>
      </c>
      <c r="E28" s="11">
        <v>99.999999999999986</v>
      </c>
      <c r="F28" s="11"/>
      <c r="G28" s="11"/>
      <c r="I28" s="13"/>
      <c r="J28" s="0" t="s">
        <v>36</v>
      </c>
    </row>
    <row r="29" outlineLevel="1">
      <c r="A29" s="9" t="s">
        <v>45</v>
      </c>
      <c r="I29" s="13"/>
    </row>
    <row r="30" outlineLevel="2">
      <c r="A30" s="10" t="s">
        <v>46</v>
      </c>
      <c r="B30" s="0" t="s">
        <v>47</v>
      </c>
      <c r="C30" s="12">
        <f>IFERROR(200*(1-w),"")</f>
        <v>186.95999999999998</v>
      </c>
      <c r="D30" s="12">
        <v>200</v>
      </c>
      <c r="E30" s="12">
        <v>213.06061574517952</v>
      </c>
      <c r="F30" s="12"/>
      <c r="G30" s="12"/>
      <c r="I30" s="13"/>
      <c r="J30" s="0" t="s">
        <v>39</v>
      </c>
    </row>
    <row r="31" outlineLevel="1">
      <c r="A31" s="9" t="s">
        <v>48</v>
      </c>
      <c r="I31" s="13"/>
    </row>
    <row r="32" outlineLevel="2">
      <c r="A32" s="10" t="s">
        <v>49</v>
      </c>
      <c r="B32" s="0" t="s">
        <v>50</v>
      </c>
      <c r="C32" s="11">
        <f>IFERROR(17.60124*(1-w)-w*2.443,"")</f>
        <v>16.294355552000003</v>
      </c>
      <c r="D32" s="11">
        <v>17.60124</v>
      </c>
      <c r="E32" s="11">
        <v>18.750655161393418</v>
      </c>
      <c r="F32" s="11"/>
      <c r="G32" s="11"/>
      <c r="I32" s="13"/>
    </row>
    <row r="33" outlineLevel="2">
      <c r="A33" s="10" t="s">
        <v>51</v>
      </c>
      <c r="B33" s="0" t="s">
        <v>50</v>
      </c>
      <c r="C33" s="11">
        <f>IFERROR(18.904*(1-w),"")</f>
        <v>17.671459199999997</v>
      </c>
      <c r="D33" s="11">
        <v>18.904</v>
      </c>
      <c r="E33" s="11">
        <v>20.138489400234366</v>
      </c>
      <c r="F33" s="11"/>
      <c r="G33" s="11"/>
      <c r="I33" s="13"/>
    </row>
    <row r="34" outlineLevel="2">
      <c r="A34" s="10" t="s">
        <v>52</v>
      </c>
      <c r="B34" s="0" t="s">
        <v>50</v>
      </c>
      <c r="C34" s="11">
        <f>IFERROR(19.1813462657*(1-w),"")</f>
        <v>17.930722489176365</v>
      </c>
      <c r="D34" s="11">
        <v>19.181346265700004</v>
      </c>
      <c r="E34" s="11">
        <v>20.433947230957713</v>
      </c>
      <c r="F34" s="11"/>
      <c r="G34" s="11"/>
      <c r="I34" s="13"/>
      <c r="J34" s="0" t="s">
        <v>36</v>
      </c>
    </row>
    <row r="35">
      <c r="A35" s="5" t="s">
        <v>53</v>
      </c>
      <c r="I35" s="13"/>
    </row>
    <row r="36" outlineLevel="1">
      <c r="A36" s="9" t="s">
        <v>54</v>
      </c>
      <c r="I36" s="13"/>
    </row>
    <row r="37" outlineLevel="2">
      <c r="A37" s="10" t="s">
        <v>55</v>
      </c>
      <c r="B37" s="0" t="s">
        <v>56</v>
      </c>
      <c r="C37" s="11">
        <v>20.12</v>
      </c>
      <c r="D37" s="11"/>
      <c r="E37" s="11"/>
      <c r="F37" s="11"/>
      <c r="G37" s="11"/>
      <c r="I37" s="13"/>
    </row>
    <row r="38" outlineLevel="2">
      <c r="A38" s="10" t="s">
        <v>57</v>
      </c>
      <c r="B38" s="0" t="s">
        <v>56</v>
      </c>
      <c r="C38" s="11">
        <v>0.34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56</v>
      </c>
      <c r="C39" s="11">
        <v>5.1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56</v>
      </c>
      <c r="C40" s="11">
        <v>9.28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56</v>
      </c>
      <c r="C41" s="11">
        <v>0.76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56</v>
      </c>
      <c r="C42" s="11">
        <v>2.09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56</v>
      </c>
      <c r="C43" s="11">
        <v>8.07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56</v>
      </c>
      <c r="C44" s="11">
        <v>3.31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56</v>
      </c>
      <c r="C45" s="11">
        <v>0.87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56</v>
      </c>
      <c r="C46" s="11">
        <v>52.9</v>
      </c>
      <c r="D46" s="11"/>
      <c r="E46" s="11"/>
      <c r="F46" s="11"/>
      <c r="G46" s="11"/>
      <c r="I46" s="13"/>
    </row>
    <row r="47" outlineLevel="2">
      <c r="A47" s="10" t="s">
        <v>66</v>
      </c>
      <c r="B47" s="0" t="s">
        <v>56</v>
      </c>
      <c r="C47" s="11">
        <v>0.05</v>
      </c>
      <c r="D47" s="11"/>
      <c r="E47" s="11"/>
      <c r="F47" s="11"/>
      <c r="G47" s="11"/>
      <c r="I47" s="13"/>
    </row>
    <row r="48">
      <c r="I48" s="13"/>
    </row>
    <row r="49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</mergeCells>
  <dataValidations count="1">
    <dataValidation type="decimal" sqref="C18" errorStyle="stop" promptTitle="Enter moisture content" errorTitle="Invalid moisture content" prompt="Value should be between 0 and 100.&#10;Original value: 6.5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https://phyllis.nl/Biomass/View/352</dc:description>
  <dcterms:created xsi:type="dcterms:W3CDTF">2026-03-17T05:39:18Z</dcterms:created>
  <dc:title>Phyllis2 #352 almond shells (hulls)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