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21 Rice husk" sheetId="1" r:id="rId1"/>
  </sheets>
  <definedNames>
    <definedName name="w" localSheetId="0">IF(ISBLANK('Phyllis2 #3521 Rice husk'!$C$22),#N/A,'Phyllis2 #3521 Rice husk'!$C$22/100)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9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9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9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<sst xmlns="http://schemas.openxmlformats.org/spreadsheetml/2006/main" count="94" uniqueCount="94">
  <si>
    <t>Phyllis2</t>
  </si>
  <si>
    <t>https://phyllis.nl/Biomass/View/3521</t>
  </si>
  <si>
    <t>Rice husk (#3521)</t>
  </si>
  <si>
    <t>ID-number</t>
  </si>
  <si>
    <t>#3521</t>
  </si>
  <si>
    <t>Material</t>
  </si>
  <si>
    <t>Rice husk</t>
  </si>
  <si>
    <t>Description</t>
  </si>
  <si>
    <t>Residue from Agrino Greece</t>
  </si>
  <si>
    <t>Classification</t>
  </si>
  <si>
    <t>CEN/TS 14961 classification &gt; Solid biofuels &gt; Herbaceous biomass &gt; Agriculture and Horticulture herb &gt; Cereal crops &gt; Husks or shells</t>
  </si>
  <si>
    <t>ECN Phyllis classification &gt; husk/shell/pit &gt; rice &gt; rice husk</t>
  </si>
  <si>
    <t>NTA 8003 classification &gt; [500] biomassa uit de industrie &gt; [520] schillen/vliezen/pitten &gt; [523] rijstvliezen</t>
  </si>
  <si>
    <t>Sample date</t>
  </si>
  <si>
    <t>Sample location</t>
  </si>
  <si>
    <t>North Greece</t>
  </si>
  <si>
    <t>Submitter</t>
  </si>
  <si>
    <t>Lydia Fryda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</si>
  <si>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</si>
  <si>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</si>
  <si>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</si>
  <si>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</si>
  <si>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</si>
  <si>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</si>
  <si>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</si>
  <si>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</si>
  <si>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</si>
  <si>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</si>
  <si>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</si>
  <si>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</si>
  <si>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</si>
  <si>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</si>
  <si>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</si>
  <si>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</si>
  <si>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</si>
  <si>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</si>
  <si>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</si>
  <si>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</si>
  <si>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ECN</t>
  </si>
  <si>
    <t>EN 14774-1/2</t>
  </si>
  <si>
    <t>Ash content</t>
  </si>
  <si>
    <t>wt%</t>
  </si>
  <si>
    <t>EN 14775</t>
  </si>
  <si>
    <t>Ash content at 550°C</t>
  </si>
  <si>
    <t>EN 15148</t>
  </si>
  <si>
    <t>Ash content at 815°C</t>
  </si>
  <si>
    <t>Volatile matter</t>
  </si>
  <si>
    <t>Fixed carbon</t>
  </si>
  <si>
    <t>Calculated</t>
  </si>
  <si>
    <t>Ultimate analysis (macroelements)</t>
  </si>
  <si>
    <t>Carbon</t>
  </si>
  <si>
    <t>EN 15104</t>
  </si>
  <si>
    <t>Hydrogen</t>
  </si>
  <si>
    <t>Oxygen</t>
  </si>
  <si>
    <t>by difference</t>
  </si>
  <si>
    <t>Nitrogen</t>
  </si>
  <si>
    <t>Sulphur</t>
  </si>
  <si>
    <t>BS EN 15289</t>
  </si>
  <si>
    <t>Total (with halides)</t>
  </si>
  <si>
    <t>Halides</t>
  </si>
  <si>
    <t>Bromine (Br)</t>
  </si>
  <si>
    <t>mg/kg (dry)</t>
  </si>
  <si>
    <t>-</t>
  </si>
  <si>
    <t>Chlorine (Cl)</t>
  </si>
  <si>
    <t>mg/kg</t>
  </si>
  <si>
    <t>Fluorine (F)</t>
  </si>
  <si>
    <t>Heating value</t>
  </si>
  <si>
    <t>Gross calorific value (HHV)</t>
  </si>
  <si>
    <t>MJ/kg</t>
  </si>
  <si>
    <t>EN 14918</t>
  </si>
  <si>
    <t>HHVMilne</t>
  </si>
  <si>
    <t>Trace elements composition</t>
  </si>
  <si>
    <t>Aluminium (Al)</t>
  </si>
  <si>
    <t>NEN 6966</t>
  </si>
  <si>
    <t>Boron (B)</t>
  </si>
  <si>
    <t>Barium (Ba)</t>
  </si>
  <si>
    <t>Calcium (Ca)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</si>
  <si>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</si>
  <si>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</si>
  <si>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</si>
  <si>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</si>
  <si>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</si>
  <si>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</si>
  <si>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</si>
  <si>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Sodium (Na)</t>
  </si>
  <si>
    <t>Nickel (Ni)</t>
  </si>
  <si>
    <t>Phosphorus (P)</t>
  </si>
  <si>
    <t>Lead (Pb)</t>
  </si>
  <si>
    <t>Selenium (Se)</t>
  </si>
  <si>
    <t>Silicon (Si)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</si>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</sst>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2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498168945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8"/>
      <c r="B10" s="0" t="s">
        <v>12</v>
      </c>
    </row>
    <row r="11" outlineLevel="1">
      <c r="A11" s="7" t="s">
        <v>13</v>
      </c>
      <c r="B11" s="6">
        <v>41821</v>
      </c>
    </row>
    <row r="12" outlineLevel="1">
      <c r="A12" s="7" t="s">
        <v>14</v>
      </c>
      <c r="B12" s="0" t="s">
        <v>15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6">
        <v>42250.3360416667</v>
      </c>
    </row>
    <row r="16">
      <c r="A16" s="7"/>
    </row>
    <row r="17" s="1" customFormat="1">
      <c r="A17" s="9" t="s">
        <v>21</v>
      </c>
    </row>
    <row r="18" s="1" customFormat="1">
      <c r="A18" s="10" t="s">
        <v>22</v>
      </c>
      <c r="B18" s="10" t="s">
        <v>23</v>
      </c>
      <c r="C18" s="10" t="s">
        <v>24</v>
      </c>
      <c r="D18" s="10"/>
      <c r="E18" s="10"/>
      <c r="F18" s="10" t="s">
        <v>25</v>
      </c>
      <c r="G18" s="10" t="s">
        <v>26</v>
      </c>
      <c r="H18" s="10" t="s">
        <v>27</v>
      </c>
      <c r="I18" s="10" t="s">
        <v>28</v>
      </c>
      <c r="J18" s="10" t="s">
        <v>29</v>
      </c>
      <c r="K18" s="10" t="s">
        <v>30</v>
      </c>
      <c r="L18" s="10"/>
    </row>
    <row r="19" s="1" customFormat="1">
      <c r="A19" s="10"/>
      <c r="B19" s="10"/>
      <c r="C19" s="10" t="s">
        <v>31</v>
      </c>
      <c r="D19" s="10" t="s">
        <v>32</v>
      </c>
      <c r="E19" s="10" t="s">
        <v>33</v>
      </c>
      <c r="F19" s="10"/>
      <c r="G19" s="10"/>
      <c r="H19" s="10"/>
      <c r="I19" s="10"/>
      <c r="J19" s="10"/>
      <c r="K19" s="10"/>
      <c r="L19" s="10"/>
    </row>
    <row r="20">
      <c r="A20" s="7" t="s">
        <v>34</v>
      </c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37</v>
      </c>
      <c r="C22" s="13">
        <v/>
      </c>
      <c r="D22" s="13"/>
      <c r="E22" s="13"/>
      <c r="F22" s="13"/>
      <c r="G22" s="13"/>
      <c r="H22" s="0" t="s">
        <v>38</v>
      </c>
      <c r="I22" s="5"/>
      <c r="J22" s="0" t="s">
        <v>39</v>
      </c>
    </row>
    <row r="23" outlineLevel="2">
      <c r="A23" s="12" t="s">
        <v>40</v>
      </c>
      <c r="B23" s="0" t="s">
        <v>41</v>
      </c>
      <c r="C23" s="13">
        <f>IFERROR(18*(1-w),"")</f>
        <v/>
      </c>
      <c r="D23" s="13">
        <v>18</v>
      </c>
      <c r="E23" s="13">
        <v/>
      </c>
      <c r="F23" s="13"/>
      <c r="G23" s="13"/>
      <c r="I23" s="5"/>
      <c r="J23" s="0" t="s">
        <v>42</v>
      </c>
    </row>
    <row r="24" outlineLevel="2">
      <c r="A24" s="12" t="s">
        <v>43</v>
      </c>
      <c r="B24" s="0" t="s">
        <v>41</v>
      </c>
      <c r="C24" s="13">
        <f>IFERROR(18*(1-w),"")</f>
        <v/>
      </c>
      <c r="D24" s="13">
        <v>18</v>
      </c>
      <c r="E24" s="13">
        <v/>
      </c>
      <c r="F24" s="13"/>
      <c r="G24" s="13"/>
      <c r="I24" s="5"/>
      <c r="J24" s="0" t="s">
        <v>44</v>
      </c>
    </row>
    <row r="25" outlineLevel="2">
      <c r="A25" s="12" t="s">
        <v>45</v>
      </c>
      <c r="B25" s="0" t="s">
        <v>41</v>
      </c>
      <c r="C25" s="13">
        <f>IFERROR(18*(1-w),"")</f>
        <v/>
      </c>
      <c r="D25" s="13">
        <v>18</v>
      </c>
      <c r="E25" s="13">
        <v/>
      </c>
      <c r="F25" s="13"/>
      <c r="G25" s="13"/>
      <c r="I25" s="5"/>
      <c r="J25" s="0" t="s">
        <v>44</v>
      </c>
    </row>
    <row r="26" outlineLevel="2">
      <c r="A26" s="12" t="s">
        <v>46</v>
      </c>
      <c r="B26" s="0" t="s">
        <v>41</v>
      </c>
      <c r="C26" s="13">
        <f>IFERROR(67*(1-w),"")</f>
        <v/>
      </c>
      <c r="D26" s="13">
        <v>67</v>
      </c>
      <c r="E26" s="13">
        <v>81.707317073170728</v>
      </c>
      <c r="F26" s="13"/>
      <c r="G26" s="13"/>
      <c r="I26" s="5"/>
      <c r="J26" s="0" t="s">
        <v>44</v>
      </c>
    </row>
    <row r="27" outlineLevel="2">
      <c r="A27" s="12" t="s">
        <v>47</v>
      </c>
      <c r="B27" s="0" t="s">
        <v>41</v>
      </c>
      <c r="C27" s="13">
        <f>IFERROR(15*(1-w),"")</f>
        <v/>
      </c>
      <c r="D27" s="13">
        <v>15</v>
      </c>
      <c r="E27" s="13">
        <v>18.292682926829269</v>
      </c>
      <c r="F27" s="13"/>
      <c r="G27" s="13"/>
      <c r="I27" s="5"/>
      <c r="J27" s="0" t="s">
        <v>48</v>
      </c>
    </row>
    <row r="28" outlineLevel="1">
      <c r="A28" s="11" t="s">
        <v>49</v>
      </c>
      <c r="I28" s="5"/>
    </row>
    <row r="29" outlineLevel="2">
      <c r="A29" s="12" t="s">
        <v>50</v>
      </c>
      <c r="B29" s="0" t="s">
        <v>41</v>
      </c>
      <c r="C29" s="13">
        <f>IFERROR(36*(1-w),"")</f>
        <v/>
      </c>
      <c r="D29" s="13">
        <v>36</v>
      </c>
      <c r="E29" s="13">
        <v>43.90243902439024</v>
      </c>
      <c r="F29" s="13"/>
      <c r="G29" s="13"/>
      <c r="H29" s="0" t="s">
        <v>38</v>
      </c>
      <c r="I29" s="5"/>
      <c r="J29" s="0" t="s">
        <v>51</v>
      </c>
    </row>
    <row r="30" outlineLevel="2">
      <c r="A30" s="12" t="s">
        <v>52</v>
      </c>
      <c r="B30" s="0" t="s">
        <v>41</v>
      </c>
      <c r="C30" s="13">
        <f>IFERROR(5.2*(1-w),"")</f>
        <v/>
      </c>
      <c r="D30" s="13">
        <v>5.2</v>
      </c>
      <c r="E30" s="13">
        <v>6.3414634146341458</v>
      </c>
      <c r="F30" s="13"/>
      <c r="G30" s="13"/>
      <c r="I30" s="5"/>
      <c r="J30" s="0" t="s">
        <v>51</v>
      </c>
    </row>
    <row r="31" outlineLevel="2">
      <c r="A31" s="12" t="s">
        <v>53</v>
      </c>
      <c r="B31" s="0" t="s">
        <v>41</v>
      </c>
      <c r="C31" s="13">
        <f>IFERROR(38*(1-w),"")</f>
        <v/>
      </c>
      <c r="D31" s="13">
        <v>38</v>
      </c>
      <c r="E31" s="13">
        <v>46.341463414634141</v>
      </c>
      <c r="F31" s="13"/>
      <c r="G31" s="13"/>
      <c r="I31" s="5"/>
      <c r="J31" s="0" t="s">
        <v>54</v>
      </c>
    </row>
    <row r="32" outlineLevel="2">
      <c r="A32" s="12" t="s">
        <v>55</v>
      </c>
      <c r="B32" s="0" t="s">
        <v>41</v>
      </c>
      <c r="C32" s="13">
        <f>IFERROR(0.3*(1-w),"")</f>
        <v/>
      </c>
      <c r="D32" s="13">
        <v>0.3</v>
      </c>
      <c r="E32" s="13">
        <v>0.3658536585365853</v>
      </c>
      <c r="F32" s="13"/>
      <c r="G32" s="13"/>
      <c r="I32" s="5"/>
      <c r="J32" s="0" t="s">
        <v>51</v>
      </c>
    </row>
    <row r="33" outlineLevel="2">
      <c r="A33" s="12" t="s">
        <v>56</v>
      </c>
      <c r="B33" s="0" t="s">
        <v>41</v>
      </c>
      <c r="C33" s="13">
        <f>IFERROR(0.0398*(1-w),"")</f>
        <v/>
      </c>
      <c r="D33" s="13">
        <v>0.0398</v>
      </c>
      <c r="E33" s="13">
        <v>0.04853658536585366</v>
      </c>
      <c r="F33" s="13"/>
      <c r="G33" s="13"/>
      <c r="I33" s="5"/>
      <c r="J33" s="0" t="s">
        <v>57</v>
      </c>
    </row>
    <row r="34" outlineLevel="2">
      <c r="A34" s="12" t="s">
        <v>58</v>
      </c>
      <c r="B34" s="0" t="s">
        <v>41</v>
      </c>
      <c r="C34" s="13">
        <f>IFERROR(97.6082*(1-w)+w*100,"")</f>
        <v/>
      </c>
      <c r="D34" s="13">
        <v>97.6082</v>
      </c>
      <c r="E34" s="13">
        <v>97.083170731707312</v>
      </c>
      <c r="F34" s="13"/>
      <c r="G34" s="13"/>
      <c r="I34" s="5"/>
      <c r="J34" s="0" t="s">
        <v>48</v>
      </c>
    </row>
    <row r="35" outlineLevel="1">
      <c r="A35" s="11" t="s">
        <v>59</v>
      </c>
      <c r="I35" s="5"/>
    </row>
    <row r="36" outlineLevel="2">
      <c r="A36" s="12" t="s">
        <v>60</v>
      </c>
      <c r="B36" s="0" t="s">
        <v>61</v>
      </c>
      <c r="C36" s="14" t="s">
        <v>62</v>
      </c>
      <c r="D36" s="14"/>
      <c r="E36" s="14"/>
      <c r="F36" s="14"/>
      <c r="G36" s="14"/>
      <c r="I36" s="5"/>
      <c r="J36" s="0" t="s">
        <v>57</v>
      </c>
    </row>
    <row r="37" outlineLevel="2">
      <c r="A37" s="12" t="s">
        <v>63</v>
      </c>
      <c r="B37" s="0" t="s">
        <v>64</v>
      </c>
      <c r="C37" s="14">
        <f>IFERROR(684*(1-w),"")</f>
        <v/>
      </c>
      <c r="D37" s="14">
        <v>684</v>
      </c>
      <c r="E37" s="14">
        <v>834.14634146341461</v>
      </c>
      <c r="F37" s="14"/>
      <c r="G37" s="14"/>
      <c r="I37" s="5"/>
      <c r="J37" s="0" t="s">
        <v>57</v>
      </c>
    </row>
    <row r="38" outlineLevel="2">
      <c r="A38" s="12" t="s">
        <v>65</v>
      </c>
      <c r="B38" s="0" t="s">
        <v>61</v>
      </c>
      <c r="C38" s="14" t="s">
        <v>62</v>
      </c>
      <c r="D38" s="14"/>
      <c r="E38" s="14"/>
      <c r="F38" s="14"/>
      <c r="G38" s="14"/>
      <c r="I38" s="5"/>
      <c r="J38" s="0" t="s">
        <v>57</v>
      </c>
    </row>
    <row r="39" outlineLevel="1">
      <c r="A39" s="11" t="s">
        <v>66</v>
      </c>
      <c r="I39" s="5"/>
    </row>
    <row r="40" outlineLevel="2">
      <c r="A40" s="12" t="s">
        <v>67</v>
      </c>
      <c r="B40" s="0" t="s">
        <v>68</v>
      </c>
      <c r="C40" s="13">
        <f>IFERROR(14.5*(1-w),"")</f>
        <v/>
      </c>
      <c r="D40" s="13">
        <v>14.5</v>
      </c>
      <c r="E40" s="13">
        <v>17.68292682926829</v>
      </c>
      <c r="F40" s="13"/>
      <c r="G40" s="13"/>
      <c r="I40" s="5"/>
      <c r="J40" s="0" t="s">
        <v>69</v>
      </c>
    </row>
    <row r="41" outlineLevel="2">
      <c r="A41" s="12" t="s">
        <v>70</v>
      </c>
      <c r="B41" s="0" t="s">
        <v>68</v>
      </c>
      <c r="C41" s="13">
        <f>IFERROR(14.33130228*(1-w),"")</f>
        <v/>
      </c>
      <c r="D41" s="13">
        <v>14.331302279999997</v>
      </c>
      <c r="E41" s="13">
        <v>17.47719790243902</v>
      </c>
      <c r="F41" s="13"/>
      <c r="G41" s="13"/>
      <c r="I41" s="5"/>
      <c r="J41" s="0" t="s">
        <v>48</v>
      </c>
    </row>
    <row r="42" outlineLevel="1">
      <c r="A42" s="11" t="s">
        <v>71</v>
      </c>
      <c r="I42" s="5"/>
    </row>
    <row r="43" outlineLevel="2">
      <c r="A43" s="12" t="s">
        <v>72</v>
      </c>
      <c r="B43" s="0" t="s">
        <v>61</v>
      </c>
      <c r="C43" s="14">
        <v>115</v>
      </c>
      <c r="D43" s="14"/>
      <c r="E43" s="14"/>
      <c r="F43" s="14"/>
      <c r="G43" s="14"/>
      <c r="I43" s="5"/>
      <c r="J43" s="0" t="s">
        <v>73</v>
      </c>
    </row>
    <row r="44" outlineLevel="2">
      <c r="A44" s="12" t="s">
        <v>74</v>
      </c>
      <c r="B44" s="0" t="s">
        <v>61</v>
      </c>
      <c r="C44" s="14">
        <v>8</v>
      </c>
      <c r="D44" s="14"/>
      <c r="E44" s="14"/>
      <c r="F44" s="14"/>
      <c r="G44" s="14"/>
      <c r="I44" s="5"/>
      <c r="J44" s="0" t="s">
        <v>73</v>
      </c>
    </row>
    <row r="45" outlineLevel="2">
      <c r="A45" s="12" t="s">
        <v>75</v>
      </c>
      <c r="B45" s="0" t="s">
        <v>61</v>
      </c>
      <c r="C45" s="14">
        <v>4</v>
      </c>
      <c r="D45" s="14"/>
      <c r="E45" s="14"/>
      <c r="F45" s="14"/>
      <c r="G45" s="14"/>
      <c r="I45" s="5"/>
      <c r="J45" s="0" t="s">
        <v>73</v>
      </c>
    </row>
    <row r="46" outlineLevel="2">
      <c r="A46" s="12" t="s">
        <v>76</v>
      </c>
      <c r="B46" s="0" t="s">
        <v>61</v>
      </c>
      <c r="C46" s="14">
        <v>1256</v>
      </c>
      <c r="D46" s="14"/>
      <c r="E46" s="14"/>
      <c r="F46" s="14"/>
      <c r="G46" s="14"/>
      <c r="I46" s="5"/>
      <c r="J46" s="0" t="s">
        <v>73</v>
      </c>
    </row>
    <row r="47" outlineLevel="2">
      <c r="A47" s="12" t="s">
        <v>77</v>
      </c>
      <c r="B47" s="0" t="s">
        <v>61</v>
      </c>
      <c r="C47" s="14">
        <v>25</v>
      </c>
      <c r="D47" s="14"/>
      <c r="E47" s="14"/>
      <c r="F47" s="14"/>
      <c r="G47" s="14"/>
      <c r="I47" s="5"/>
      <c r="J47" s="0" t="s">
        <v>73</v>
      </c>
    </row>
    <row r="48" outlineLevel="2">
      <c r="A48" s="12" t="s">
        <v>78</v>
      </c>
      <c r="B48" s="0" t="s">
        <v>61</v>
      </c>
      <c r="C48" s="14">
        <v>2</v>
      </c>
      <c r="D48" s="14"/>
      <c r="E48" s="14"/>
      <c r="F48" s="14"/>
      <c r="G48" s="14"/>
      <c r="I48" s="5"/>
      <c r="J48" s="0" t="s">
        <v>73</v>
      </c>
    </row>
    <row r="49" outlineLevel="2">
      <c r="A49" s="12" t="s">
        <v>79</v>
      </c>
      <c r="B49" s="0" t="s">
        <v>61</v>
      </c>
      <c r="C49" s="14">
        <v>5</v>
      </c>
      <c r="D49" s="14"/>
      <c r="E49" s="14"/>
      <c r="F49" s="14"/>
      <c r="G49" s="14"/>
      <c r="I49" s="5"/>
      <c r="J49" s="0" t="s">
        <v>73</v>
      </c>
    </row>
    <row r="50" outlineLevel="2">
      <c r="A50" s="12" t="s">
        <v>80</v>
      </c>
      <c r="B50" s="0" t="s">
        <v>61</v>
      </c>
      <c r="C50" s="14">
        <v>186</v>
      </c>
      <c r="D50" s="14"/>
      <c r="E50" s="14"/>
      <c r="F50" s="14"/>
      <c r="G50" s="14"/>
      <c r="I50" s="5"/>
      <c r="J50" s="0" t="s">
        <v>73</v>
      </c>
    </row>
    <row r="51" outlineLevel="2">
      <c r="A51" s="12" t="s">
        <v>81</v>
      </c>
      <c r="B51" s="0" t="s">
        <v>61</v>
      </c>
      <c r="C51" s="14">
        <v>2794</v>
      </c>
      <c r="D51" s="14"/>
      <c r="E51" s="14"/>
      <c r="F51" s="14"/>
      <c r="G51" s="14"/>
      <c r="I51" s="5"/>
      <c r="J51" s="0" t="s">
        <v>73</v>
      </c>
    </row>
    <row r="52" outlineLevel="2">
      <c r="A52" s="12" t="s">
        <v>82</v>
      </c>
      <c r="B52" s="0" t="s">
        <v>61</v>
      </c>
      <c r="C52" s="14">
        <v>383</v>
      </c>
      <c r="D52" s="14"/>
      <c r="E52" s="14"/>
      <c r="F52" s="14"/>
      <c r="G52" s="14"/>
      <c r="I52" s="5"/>
      <c r="J52" s="0" t="s">
        <v>73</v>
      </c>
    </row>
    <row r="53" outlineLevel="2">
      <c r="A53" s="12" t="s">
        <v>83</v>
      </c>
      <c r="B53" s="0" t="s">
        <v>61</v>
      </c>
      <c r="C53" s="14">
        <v>220</v>
      </c>
      <c r="D53" s="14"/>
      <c r="E53" s="14"/>
      <c r="F53" s="14"/>
      <c r="G53" s="14"/>
      <c r="I53" s="5"/>
      <c r="J53" s="0" t="s">
        <v>73</v>
      </c>
    </row>
    <row r="54" outlineLevel="2">
      <c r="A54" s="12" t="s">
        <v>84</v>
      </c>
      <c r="B54" s="0" t="s">
        <v>61</v>
      </c>
      <c r="C54" s="14">
        <v>72</v>
      </c>
      <c r="D54" s="14"/>
      <c r="E54" s="14"/>
      <c r="F54" s="14"/>
      <c r="G54" s="14"/>
      <c r="I54" s="5"/>
      <c r="J54" s="0" t="s">
        <v>73</v>
      </c>
    </row>
    <row r="55" outlineLevel="2">
      <c r="A55" s="12" t="s">
        <v>85</v>
      </c>
      <c r="B55" s="0" t="s">
        <v>61</v>
      </c>
      <c r="C55" s="14">
        <v>2</v>
      </c>
      <c r="D55" s="14"/>
      <c r="E55" s="14"/>
      <c r="F55" s="14"/>
      <c r="G55" s="14"/>
      <c r="I55" s="5"/>
      <c r="J55" s="0" t="s">
        <v>73</v>
      </c>
    </row>
    <row r="56" outlineLevel="2">
      <c r="A56" s="12" t="s">
        <v>86</v>
      </c>
      <c r="B56" s="0" t="s">
        <v>61</v>
      </c>
      <c r="C56" s="14">
        <v>376</v>
      </c>
      <c r="D56" s="14"/>
      <c r="E56" s="14"/>
      <c r="F56" s="14"/>
      <c r="G56" s="14"/>
      <c r="I56" s="5"/>
      <c r="J56" s="0" t="s">
        <v>73</v>
      </c>
    </row>
    <row r="57" outlineLevel="2">
      <c r="A57" s="12" t="s">
        <v>87</v>
      </c>
      <c r="B57" s="0" t="s">
        <v>61</v>
      </c>
      <c r="C57" s="14">
        <v>1</v>
      </c>
      <c r="D57" s="14"/>
      <c r="E57" s="14"/>
      <c r="F57" s="14"/>
      <c r="G57" s="14"/>
      <c r="I57" s="5"/>
      <c r="J57" s="0" t="s">
        <v>73</v>
      </c>
    </row>
    <row r="58" outlineLevel="2">
      <c r="A58" s="12" t="s">
        <v>88</v>
      </c>
      <c r="B58" s="0" t="s">
        <v>61</v>
      </c>
      <c r="C58" s="14">
        <v>2</v>
      </c>
      <c r="D58" s="14"/>
      <c r="E58" s="14"/>
      <c r="F58" s="14"/>
      <c r="G58" s="14"/>
      <c r="I58" s="5"/>
      <c r="J58" s="0" t="s">
        <v>73</v>
      </c>
    </row>
    <row r="59" outlineLevel="2">
      <c r="A59" s="12" t="s">
        <v>89</v>
      </c>
      <c r="B59" s="0" t="s">
        <v>61</v>
      </c>
      <c r="C59" s="14">
        <v>81180</v>
      </c>
      <c r="D59" s="14"/>
      <c r="E59" s="14"/>
      <c r="F59" s="14"/>
      <c r="G59" s="14"/>
      <c r="I59" s="5"/>
      <c r="J59" s="0" t="s">
        <v>73</v>
      </c>
    </row>
    <row r="60" outlineLevel="2">
      <c r="A60" s="12" t="s">
        <v>90</v>
      </c>
      <c r="B60" s="0" t="s">
        <v>61</v>
      </c>
      <c r="C60" s="14">
        <v>3</v>
      </c>
      <c r="D60" s="14"/>
      <c r="E60" s="14"/>
      <c r="F60" s="14"/>
      <c r="G60" s="14"/>
      <c r="I60" s="5"/>
      <c r="J60" s="0" t="s">
        <v>73</v>
      </c>
    </row>
    <row r="61" outlineLevel="2">
      <c r="A61" s="12" t="s">
        <v>91</v>
      </c>
      <c r="B61" s="0" t="s">
        <v>61</v>
      </c>
      <c r="C61" s="14">
        <v>5</v>
      </c>
      <c r="D61" s="14"/>
      <c r="E61" s="14"/>
      <c r="F61" s="14"/>
      <c r="G61" s="14"/>
      <c r="I61" s="5"/>
      <c r="J61" s="0" t="s">
        <v>73</v>
      </c>
    </row>
    <row r="62" outlineLevel="2">
      <c r="A62" s="12" t="s">
        <v>92</v>
      </c>
      <c r="B62" s="0" t="s">
        <v>61</v>
      </c>
      <c r="C62" s="14" t="s">
        <v>62</v>
      </c>
      <c r="D62" s="14"/>
      <c r="E62" s="14"/>
      <c r="F62" s="14"/>
      <c r="G62" s="14"/>
      <c r="I62" s="5"/>
      <c r="J62" s="0" t="s">
        <v>73</v>
      </c>
    </row>
    <row r="63" outlineLevel="2">
      <c r="A63" s="12" t="s">
        <v>93</v>
      </c>
      <c r="B63" s="0" t="s">
        <v>61</v>
      </c>
      <c r="C63" s="14">
        <v>14</v>
      </c>
      <c r="D63" s="14"/>
      <c r="E63" s="14"/>
      <c r="F63" s="14"/>
      <c r="G63" s="14"/>
      <c r="I63" s="5"/>
      <c r="J63" s="0" t="s">
        <v>73</v>
      </c>
    </row>
    <row r="64">
      <c r="I64" s="5"/>
    </row>
    <row r="65" s="1" customFormat="1"/>
  </sheetData>
  <mergeCells>
    <mergeCell ref="A8:A10"/>
    <mergeCell ref="C18:E18"/>
    <mergeCell ref="A18:A19"/>
    <mergeCell ref="B18:B19"/>
    <mergeCell ref="F18:F19"/>
    <mergeCell ref="G18:G19"/>
    <mergeCell ref="H18:H19"/>
    <mergeCell ref="I18:I19"/>
    <mergeCell ref="J18:J19"/>
    <mergeCell ref="K18:K19"/>
    <mergeCell ref="C36:E36"/>
    <mergeCell ref="C38:E38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</mergeCells>
  <dataValidations count="1">
    <dataValidation type="decimal" sqref="C22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https://phyllis.nl/Biomass/View/3521</dc:description>
  <dcterms:created xsi:type="dcterms:W3CDTF">2026-03-17T05:47:48Z</dcterms:created>
  <dc:title>Phyllis2 #3521 Rice husk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