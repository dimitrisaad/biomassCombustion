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53 almond shells (hu" sheetId="1" r:id="rId1"/>
  </sheets>
  <definedNames>
    <definedName name="w" localSheetId="0">IF(ISBLANK('Phyllis2 #353 almond shells (hu'!$C$18),#N/A,'Phyllis2 #353 almond shells (hu'!$C$18/100)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<sst xmlns="http://schemas.openxmlformats.org/spreadsheetml/2006/main" count="65" uniqueCount="65">
  <si>
    <t>Phyllis2</t>
  </si>
  <si>
    <t>https://phyllis.nl/Biomass/View/353</t>
  </si>
  <si>
    <t>almond shells (hulls) (#353)</t>
  </si>
  <si>
    <t>ID-number</t>
  </si>
  <si>
    <t>#353</t>
  </si>
  <si>
    <t>Material</t>
  </si>
  <si>
    <t>almond shells (hulls)</t>
  </si>
  <si>
    <t>Classification</t>
  </si>
  <si>
    <t>ECN Phyllis classification &gt; husk/shell/pit &gt; almond &gt; almond shells (hulls)</t>
  </si>
  <si>
    <t>NTA 8003 classification &gt; [200] biomassa uit land- en tuinbouw &gt; [230] restproducten (doppen) &gt; [235] amandeldoppen</t>
  </si>
  <si>
    <t>Ash type</t>
  </si>
  <si>
    <t>laboratory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</si>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</sst>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53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3"/>
    </row>
    <row r="17" outlineLevel="1">
      <c r="A17" s="9" t="s">
        <v>30</v>
      </c>
      <c r="I17" s="13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3"/>
    </row>
    <row r="19" outlineLevel="2">
      <c r="A19" s="10" t="s">
        <v>33</v>
      </c>
      <c r="B19" s="0" t="s">
        <v>34</v>
      </c>
      <c r="C19" s="11">
        <f>IFERROR(6.17*(1-w),"")</f>
        <v/>
      </c>
      <c r="D19" s="11">
        <v>6.17</v>
      </c>
      <c r="E19" s="11">
        <v/>
      </c>
      <c r="F19" s="11"/>
      <c r="G19" s="11"/>
      <c r="I19" s="13"/>
    </row>
    <row r="20" outlineLevel="1">
      <c r="A20" s="9" t="s">
        <v>35</v>
      </c>
      <c r="I20" s="13"/>
    </row>
    <row r="21" outlineLevel="2">
      <c r="A21" s="10" t="s">
        <v>36</v>
      </c>
      <c r="B21" s="0" t="s">
        <v>34</v>
      </c>
      <c r="C21" s="11">
        <f>IFERROR(46.5*(1-w),"")</f>
        <v/>
      </c>
      <c r="D21" s="11">
        <v>46.5</v>
      </c>
      <c r="E21" s="11">
        <v>49.557710753490355</v>
      </c>
      <c r="F21" s="11"/>
      <c r="G21" s="11"/>
      <c r="I21" s="13"/>
      <c r="J21" s="0" t="s">
        <v>37</v>
      </c>
    </row>
    <row r="22" outlineLevel="2">
      <c r="A22" s="10" t="s">
        <v>38</v>
      </c>
      <c r="B22" s="0" t="s">
        <v>34</v>
      </c>
      <c r="C22" s="11">
        <f>IFERROR(5.97*(1-w),"")</f>
        <v/>
      </c>
      <c r="D22" s="11">
        <v>5.97</v>
      </c>
      <c r="E22" s="11">
        <v>6.3625706064158578</v>
      </c>
      <c r="F22" s="11"/>
      <c r="G22" s="11"/>
      <c r="I22" s="13"/>
      <c r="J22" s="0" t="s">
        <v>37</v>
      </c>
    </row>
    <row r="23" outlineLevel="2">
      <c r="A23" s="10" t="s">
        <v>39</v>
      </c>
      <c r="B23" s="0" t="s">
        <v>34</v>
      </c>
      <c r="C23" s="11">
        <f>IFERROR(40.12*(1-w),"")</f>
        <v/>
      </c>
      <c r="D23" s="11">
        <v>40.12</v>
      </c>
      <c r="E23" s="11">
        <v>42.758179686667376</v>
      </c>
      <c r="F23" s="11"/>
      <c r="G23" s="11"/>
      <c r="I23" s="13"/>
      <c r="J23" s="0" t="s">
        <v>40</v>
      </c>
    </row>
    <row r="24" outlineLevel="2">
      <c r="A24" s="10" t="s">
        <v>41</v>
      </c>
      <c r="B24" s="0" t="s">
        <v>34</v>
      </c>
      <c r="C24" s="11">
        <f>IFERROR(1.15*(1-w),"")</f>
        <v/>
      </c>
      <c r="D24" s="11">
        <v>1.15</v>
      </c>
      <c r="E24" s="11">
        <v>1.2256208035809442</v>
      </c>
      <c r="F24" s="11"/>
      <c r="G24" s="11"/>
      <c r="I24" s="13"/>
      <c r="J24" s="0" t="s">
        <v>37</v>
      </c>
    </row>
    <row r="25" outlineLevel="2">
      <c r="A25" s="10" t="s">
        <v>42</v>
      </c>
      <c r="B25" s="0" t="s">
        <v>34</v>
      </c>
      <c r="C25" s="11">
        <f>IFERROR(0.04*(1-w),"")</f>
        <v/>
      </c>
      <c r="D25" s="11">
        <v>0.04</v>
      </c>
      <c r="E25" s="11">
        <v>0.042630288820206759</v>
      </c>
      <c r="F25" s="11"/>
      <c r="G25" s="11"/>
      <c r="I25" s="13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100.00000000000001</v>
      </c>
      <c r="E26" s="11">
        <v>100.00000000000001</v>
      </c>
      <c r="F26" s="11"/>
      <c r="G26" s="11"/>
      <c r="I26" s="13"/>
      <c r="J26" s="0" t="s">
        <v>40</v>
      </c>
    </row>
    <row r="27" outlineLevel="1">
      <c r="A27" s="9" t="s">
        <v>44</v>
      </c>
      <c r="I27" s="13"/>
    </row>
    <row r="28" outlineLevel="2">
      <c r="A28" s="10" t="s">
        <v>45</v>
      </c>
      <c r="B28" s="0" t="s">
        <v>46</v>
      </c>
      <c r="C28" s="12">
        <f>IFERROR(500*(1-w),"")</f>
        <v/>
      </c>
      <c r="D28" s="12">
        <v>500</v>
      </c>
      <c r="E28" s="12">
        <v>532.87861025258439</v>
      </c>
      <c r="F28" s="12"/>
      <c r="G28" s="12"/>
      <c r="I28" s="13"/>
      <c r="J28" s="0" t="s">
        <v>37</v>
      </c>
    </row>
    <row r="29" outlineLevel="1">
      <c r="A29" s="9" t="s">
        <v>47</v>
      </c>
      <c r="I29" s="13"/>
    </row>
    <row r="30" outlineLevel="2">
      <c r="A30" s="10" t="s">
        <v>48</v>
      </c>
      <c r="B30" s="0" t="s">
        <v>49</v>
      </c>
      <c r="C30" s="11">
        <f>IFERROR(17.48524*(1-w)-w*2.443,"")</f>
        <v/>
      </c>
      <c r="D30" s="11">
        <v>17.48524</v>
      </c>
      <c r="E30" s="11">
        <v>18.6350207822658</v>
      </c>
      <c r="F30" s="11"/>
      <c r="G30" s="11"/>
      <c r="I30" s="13"/>
    </row>
    <row r="31" outlineLevel="2">
      <c r="A31" s="10" t="s">
        <v>50</v>
      </c>
      <c r="B31" s="0" t="s">
        <v>49</v>
      </c>
      <c r="C31" s="11">
        <f>IFERROR(18.788*(1-w),"")</f>
        <v/>
      </c>
      <c r="D31" s="11">
        <v>18.788</v>
      </c>
      <c r="E31" s="11">
        <v>20.023446658851114</v>
      </c>
      <c r="F31" s="11"/>
      <c r="G31" s="11"/>
      <c r="I31" s="13"/>
    </row>
    <row r="32" outlineLevel="2">
      <c r="A32" s="10" t="s">
        <v>51</v>
      </c>
      <c r="B32" s="0" t="s">
        <v>49</v>
      </c>
      <c r="C32" s="11">
        <f>IFERROR(18.7106075417*(1-w),"")</f>
        <v/>
      </c>
      <c r="D32" s="11">
        <v>18.710607541700007</v>
      </c>
      <c r="E32" s="11">
        <v>19.94096508760525</v>
      </c>
      <c r="F32" s="11"/>
      <c r="G32" s="11"/>
      <c r="I32" s="13"/>
      <c r="J32" s="0" t="s">
        <v>40</v>
      </c>
    </row>
    <row r="33">
      <c r="A33" s="5" t="s">
        <v>52</v>
      </c>
      <c r="I33" s="13"/>
    </row>
    <row r="34" outlineLevel="1">
      <c r="A34" s="9" t="s">
        <v>53</v>
      </c>
      <c r="I34" s="13"/>
    </row>
    <row r="35" outlineLevel="2">
      <c r="A35" s="10" t="s">
        <v>54</v>
      </c>
      <c r="B35" s="0" t="s">
        <v>55</v>
      </c>
      <c r="C35" s="11">
        <v>1.44</v>
      </c>
      <c r="D35" s="11"/>
      <c r="E35" s="11"/>
      <c r="F35" s="11"/>
      <c r="G35" s="11"/>
      <c r="I35" s="13"/>
    </row>
    <row r="36" outlineLevel="2">
      <c r="A36" s="10" t="s">
        <v>56</v>
      </c>
      <c r="B36" s="0" t="s">
        <v>55</v>
      </c>
      <c r="C36" s="11">
        <v>7.93</v>
      </c>
      <c r="D36" s="11"/>
      <c r="E36" s="11"/>
      <c r="F36" s="11"/>
      <c r="G36" s="11"/>
      <c r="I36" s="13"/>
    </row>
    <row r="37" outlineLevel="2">
      <c r="A37" s="10" t="s">
        <v>57</v>
      </c>
      <c r="B37" s="0" t="s">
        <v>55</v>
      </c>
      <c r="C37" s="11">
        <v>7.12</v>
      </c>
      <c r="D37" s="11"/>
      <c r="E37" s="11"/>
      <c r="F37" s="11"/>
      <c r="G37" s="11"/>
      <c r="I37" s="13"/>
    </row>
    <row r="38" outlineLevel="2">
      <c r="A38" s="10" t="s">
        <v>58</v>
      </c>
      <c r="B38" s="0" t="s">
        <v>55</v>
      </c>
      <c r="C38" s="11">
        <v>0.92</v>
      </c>
      <c r="D38" s="11"/>
      <c r="E38" s="11"/>
      <c r="F38" s="11"/>
      <c r="G38" s="11"/>
      <c r="I38" s="13"/>
    </row>
    <row r="39" outlineLevel="2">
      <c r="A39" s="10" t="s">
        <v>59</v>
      </c>
      <c r="B39" s="0" t="s">
        <v>55</v>
      </c>
      <c r="C39" s="11">
        <v>1.38</v>
      </c>
      <c r="D39" s="11"/>
      <c r="E39" s="11"/>
      <c r="F39" s="11"/>
      <c r="G39" s="11"/>
      <c r="I39" s="13"/>
    </row>
    <row r="40" outlineLevel="2">
      <c r="A40" s="10" t="s">
        <v>60</v>
      </c>
      <c r="B40" s="0" t="s">
        <v>55</v>
      </c>
      <c r="C40" s="11">
        <v>8.39</v>
      </c>
      <c r="D40" s="11"/>
      <c r="E40" s="11"/>
      <c r="F40" s="11"/>
      <c r="G40" s="11"/>
      <c r="I40" s="13"/>
    </row>
    <row r="41" outlineLevel="2">
      <c r="A41" s="10" t="s">
        <v>61</v>
      </c>
      <c r="B41" s="0" t="s">
        <v>55</v>
      </c>
      <c r="C41" s="11">
        <v>4.93</v>
      </c>
      <c r="D41" s="11"/>
      <c r="E41" s="11"/>
      <c r="F41" s="11"/>
      <c r="G41" s="11"/>
      <c r="I41" s="13"/>
    </row>
    <row r="42" outlineLevel="2">
      <c r="A42" s="10" t="s">
        <v>62</v>
      </c>
      <c r="B42" s="0" t="s">
        <v>55</v>
      </c>
      <c r="C42" s="11">
        <v>0.98</v>
      </c>
      <c r="D42" s="11"/>
      <c r="E42" s="11"/>
      <c r="F42" s="11"/>
      <c r="G42" s="11"/>
      <c r="I42" s="13"/>
    </row>
    <row r="43" outlineLevel="2">
      <c r="A43" s="10" t="s">
        <v>63</v>
      </c>
      <c r="B43" s="0" t="s">
        <v>55</v>
      </c>
      <c r="C43" s="11">
        <v>48.6</v>
      </c>
      <c r="D43" s="11"/>
      <c r="E43" s="11"/>
      <c r="F43" s="11"/>
      <c r="G43" s="11"/>
      <c r="I43" s="13"/>
    </row>
    <row r="44" outlineLevel="2">
      <c r="A44" s="10" t="s">
        <v>64</v>
      </c>
      <c r="B44" s="0" t="s">
        <v>55</v>
      </c>
      <c r="C44" s="11">
        <v>0.08</v>
      </c>
      <c r="D44" s="11"/>
      <c r="E44" s="11"/>
      <c r="F44" s="11"/>
      <c r="G44" s="11"/>
      <c r="I44" s="13"/>
    </row>
    <row r="45">
      <c r="I45" s="13"/>
    </row>
    <row r="4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https://phyllis.nl/Biomass/View/353</dc:description>
  <dcterms:created xsi:type="dcterms:W3CDTF">2026-03-17T05:39:22Z</dcterms:created>
  <dc:title>Phyllis2 #353 almond shells (hulls)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