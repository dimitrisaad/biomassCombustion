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38 Verge grass  (be" sheetId="1" r:id="rId1"/>
  </sheets>
  <definedNames>
    <definedName name="w" localSheetId="0">IF(ISBLANK('Phyllis2 #3538 Verge grass  (be'!$C$22),#N/A,'Phyllis2 #3538 Verge grass  (be'!$C$22/100)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<sst xmlns="http://schemas.openxmlformats.org/spreadsheetml/2006/main" count="95" uniqueCount="95">
  <si>
    <t>Phyllis2</t>
  </si>
  <si>
    <t>https://phyllis.nl/Biomass/View/3538</t>
  </si>
  <si>
    <t xml:space="preserve">Verge grass  (bermgras) (#3538)</t>
  </si>
  <si>
    <t>ID-number</t>
  </si>
  <si>
    <t>#3538</t>
  </si>
  <si>
    <t>Material</t>
  </si>
  <si>
    <t xml:space="preserve">Verge grass  (bermgras)</t>
  </si>
  <si>
    <t>Alternative name</t>
  </si>
  <si>
    <t>Grass from parks and road side</t>
  </si>
  <si>
    <t>Description</t>
  </si>
  <si>
    <t>Material collected in the frame of TKI Invent 2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</si>
  <si>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</si>
  <si>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</si>
  <si>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verge grass &gt; verge grass</t>
  </si>
  <si>
    <t>NTA 8003 classification &gt; [200] biomassa uit land- en tuinbouw &gt; [210] gras &gt; [213] bermgras</t>
  </si>
  <si>
    <t>Submitter</t>
  </si>
  <si>
    <t>ECN</t>
  </si>
  <si>
    <t>Submitter organisation</t>
  </si>
  <si>
    <t>ECN (Netherlands)</t>
  </si>
  <si>
    <t>Submission date</t>
  </si>
  <si>
    <t>Remarks</t>
  </si>
  <si>
    <t>Material collected in the frame of TKI Invent 2 to be processed in an autoclave (see ID 3539)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</si>
  <si>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</si>
  <si>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</si>
  <si>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</si>
  <si>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</si>
  <si>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</si>
  <si>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</si>
  <si>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</si>
  <si>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</si>
  <si>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</si>
  <si>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</si>
  <si>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</si>
  <si>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</si>
  <si>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</si>
  <si>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</si>
  <si>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</si>
  <si>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</si>
  <si>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 14774-1/2</t>
  </si>
  <si>
    <t>Ash content at 550°C</t>
  </si>
  <si>
    <t>EN 14775</t>
  </si>
  <si>
    <t>Ash content at 815°C</t>
  </si>
  <si>
    <t>Volatile matter</t>
  </si>
  <si>
    <t>EN 15148</t>
  </si>
  <si>
    <t>Fixed carbon</t>
  </si>
  <si>
    <t>Calculated</t>
  </si>
  <si>
    <t>Ultimate analysis (macroelements)</t>
  </si>
  <si>
    <t>Carbon</t>
  </si>
  <si>
    <t>EN 15104</t>
  </si>
  <si>
    <t>Hydrogen</t>
  </si>
  <si>
    <t>Oxygen</t>
  </si>
  <si>
    <t>Nitrogen</t>
  </si>
  <si>
    <t>Sulphur</t>
  </si>
  <si>
    <t>BS EN 15289</t>
  </si>
  <si>
    <t>Total (with halides)</t>
  </si>
  <si>
    <t>Halides</t>
  </si>
  <si>
    <t>Bromine (Br)</t>
  </si>
  <si>
    <t>mg/kg</t>
  </si>
  <si>
    <t>Chlorine (Cl)</t>
  </si>
  <si>
    <t>Fluorine (F)</t>
  </si>
  <si>
    <t>Heating value</t>
  </si>
  <si>
    <t>Gross calorific value (HHV)</t>
  </si>
  <si>
    <t>MJ/kg</t>
  </si>
  <si>
    <t>EN 14918</t>
  </si>
  <si>
    <t>HHVMilne</t>
  </si>
  <si>
    <t>Trace elements composition</t>
  </si>
  <si>
    <t>Aluminium (Al)</t>
  </si>
  <si>
    <t>mg/kg (dry)</t>
  </si>
  <si>
    <t xml:space="preserve"> NEN 6966</t>
  </si>
  <si>
    <t>Arsenic (As)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</si>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</sst>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498168945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42287.1441550926</v>
      </c>
    </row>
    <row r="15" outlineLevel="1">
      <c r="A15" s="7" t="s">
        <v>20</v>
      </c>
      <c r="B15" s="0" t="s">
        <v>21</v>
      </c>
    </row>
    <row r="16">
      <c r="A16" s="7"/>
    </row>
    <row r="17" s="1" customFormat="1">
      <c r="A17" s="9" t="s">
        <v>22</v>
      </c>
    </row>
    <row r="18" s="1" customFormat="1">
      <c r="A18" s="10" t="s">
        <v>23</v>
      </c>
      <c r="B18" s="10" t="s">
        <v>24</v>
      </c>
      <c r="C18" s="10" t="s">
        <v>25</v>
      </c>
      <c r="D18" s="10"/>
      <c r="E18" s="10"/>
      <c r="F18" s="10" t="s">
        <v>26</v>
      </c>
      <c r="G18" s="10" t="s">
        <v>27</v>
      </c>
      <c r="H18" s="10" t="s">
        <v>28</v>
      </c>
      <c r="I18" s="10" t="s">
        <v>29</v>
      </c>
      <c r="J18" s="10" t="s">
        <v>30</v>
      </c>
      <c r="K18" s="10" t="s">
        <v>20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7.5</v>
      </c>
      <c r="D22" s="13"/>
      <c r="E22" s="13"/>
      <c r="F22" s="13"/>
      <c r="G22" s="13"/>
      <c r="H22" s="0" t="s">
        <v>16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IFERROR(13.9*(1-w),"")</f>
        <v>12.857500000000002</v>
      </c>
      <c r="D23" s="13">
        <v>13.9</v>
      </c>
      <c r="E23" s="13">
        <v/>
      </c>
      <c r="F23" s="13"/>
      <c r="G23" s="13"/>
      <c r="H23" s="0" t="s">
        <v>16</v>
      </c>
      <c r="I23" s="5"/>
      <c r="J23" s="0" t="s">
        <v>40</v>
      </c>
    </row>
    <row r="24" outlineLevel="2">
      <c r="A24" s="12" t="s">
        <v>41</v>
      </c>
      <c r="B24" s="0" t="s">
        <v>37</v>
      </c>
      <c r="C24" s="13">
        <f>IFERROR(12.2*(1-w),"")</f>
        <v>11.285</v>
      </c>
      <c r="D24" s="13">
        <v>12.2</v>
      </c>
      <c r="E24" s="13">
        <v/>
      </c>
      <c r="F24" s="13"/>
      <c r="G24" s="13"/>
      <c r="H24" s="0" t="s">
        <v>16</v>
      </c>
      <c r="I24" s="5"/>
      <c r="J24" s="0" t="s">
        <v>40</v>
      </c>
    </row>
    <row r="25" outlineLevel="2">
      <c r="A25" s="12" t="s">
        <v>42</v>
      </c>
      <c r="B25" s="0" t="s">
        <v>37</v>
      </c>
      <c r="C25" s="13">
        <f>IFERROR(68*(1-w),"")</f>
        <v>62.900000000000006</v>
      </c>
      <c r="D25" s="13">
        <v>68</v>
      </c>
      <c r="E25" s="13">
        <v>78.97793263646922</v>
      </c>
      <c r="F25" s="13"/>
      <c r="G25" s="13"/>
      <c r="H25" s="0" t="s">
        <v>16</v>
      </c>
      <c r="I25" s="5"/>
      <c r="J25" s="0" t="s">
        <v>43</v>
      </c>
    </row>
    <row r="26" outlineLevel="2">
      <c r="A26" s="12" t="s">
        <v>44</v>
      </c>
      <c r="B26" s="0" t="s">
        <v>37</v>
      </c>
      <c r="C26" s="13">
        <f>IFERROR(18.1*(1-w),"")</f>
        <v>16.742499999999996</v>
      </c>
      <c r="D26" s="13">
        <v>18.099999999999994</v>
      </c>
      <c r="E26" s="13">
        <v>21.022067363530773</v>
      </c>
      <c r="F26" s="13"/>
      <c r="G26" s="13"/>
      <c r="I26" s="5"/>
      <c r="J26" s="0" t="s">
        <v>45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37</v>
      </c>
      <c r="C28" s="13">
        <f>IFERROR(41.5*(1-w),"")</f>
        <v>38.3875</v>
      </c>
      <c r="D28" s="13">
        <v>41.5</v>
      </c>
      <c r="E28" s="13">
        <v>48.199767711962835</v>
      </c>
      <c r="F28" s="13"/>
      <c r="G28" s="13"/>
      <c r="H28" s="0" t="s">
        <v>16</v>
      </c>
      <c r="I28" s="5"/>
      <c r="J28" s="0" t="s">
        <v>48</v>
      </c>
    </row>
    <row r="29" outlineLevel="2">
      <c r="A29" s="12" t="s">
        <v>49</v>
      </c>
      <c r="B29" s="0" t="s">
        <v>37</v>
      </c>
      <c r="C29" s="13">
        <f>IFERROR(5.6*(1-w),"")</f>
        <v>5.18</v>
      </c>
      <c r="D29" s="13">
        <v>5.6</v>
      </c>
      <c r="E29" s="13">
        <v>6.5040650406504064</v>
      </c>
      <c r="F29" s="13"/>
      <c r="G29" s="13"/>
      <c r="H29" s="0" t="s">
        <v>16</v>
      </c>
      <c r="I29" s="5"/>
      <c r="J29" s="0" t="s">
        <v>48</v>
      </c>
    </row>
    <row r="30" outlineLevel="2">
      <c r="A30" s="12" t="s">
        <v>50</v>
      </c>
      <c r="B30" s="0" t="s">
        <v>37</v>
      </c>
      <c r="C30" s="13">
        <f>IFERROR(37.4*(1-w),"")</f>
        <v>34.595</v>
      </c>
      <c r="D30" s="13">
        <v>37.4</v>
      </c>
      <c r="E30" s="13">
        <v>43.437862950058069</v>
      </c>
      <c r="F30" s="13"/>
      <c r="G30" s="13"/>
      <c r="H30" s="0" t="s">
        <v>16</v>
      </c>
      <c r="I30" s="5"/>
      <c r="J30" s="0" t="s">
        <v>48</v>
      </c>
    </row>
    <row r="31" outlineLevel="2">
      <c r="A31" s="12" t="s">
        <v>51</v>
      </c>
      <c r="B31" s="0" t="s">
        <v>37</v>
      </c>
      <c r="C31" s="13">
        <f>IFERROR(1.5*(1-w),"")</f>
        <v>1.3875000000000002</v>
      </c>
      <c r="D31" s="13">
        <v>1.5</v>
      </c>
      <c r="E31" s="13">
        <v>1.7421602787456447</v>
      </c>
      <c r="F31" s="13"/>
      <c r="G31" s="13"/>
      <c r="H31" s="0" t="s">
        <v>16</v>
      </c>
      <c r="I31" s="5"/>
      <c r="J31" s="0" t="s">
        <v>48</v>
      </c>
    </row>
    <row r="32" outlineLevel="2">
      <c r="A32" s="12" t="s">
        <v>52</v>
      </c>
      <c r="B32" s="0" t="s">
        <v>37</v>
      </c>
      <c r="C32" s="13">
        <f>IFERROR(0.25*(1-w),"")</f>
        <v>0.23125</v>
      </c>
      <c r="D32" s="13">
        <v>0.25</v>
      </c>
      <c r="E32" s="13">
        <v>0.29036004645760743</v>
      </c>
      <c r="F32" s="13"/>
      <c r="G32" s="13"/>
      <c r="H32" s="0" t="s">
        <v>16</v>
      </c>
      <c r="I32" s="5"/>
      <c r="J32" s="0" t="s">
        <v>53</v>
      </c>
    </row>
    <row r="33" outlineLevel="2">
      <c r="A33" s="12" t="s">
        <v>54</v>
      </c>
      <c r="B33" s="0" t="s">
        <v>37</v>
      </c>
      <c r="C33" s="13">
        <f>IFERROR(101.06823*(1-w)+w*100,"")</f>
        <v>100.98811275</v>
      </c>
      <c r="D33" s="13">
        <v>101.06823</v>
      </c>
      <c r="E33" s="13">
        <v>101.24068524970963</v>
      </c>
      <c r="F33" s="13"/>
      <c r="G33" s="13"/>
      <c r="I33" s="5"/>
      <c r="J33" s="0" t="s">
        <v>45</v>
      </c>
    </row>
    <row r="34" outlineLevel="1">
      <c r="A34" s="11" t="s">
        <v>55</v>
      </c>
      <c r="I34" s="5"/>
    </row>
    <row r="35" outlineLevel="2">
      <c r="A35" s="12" t="s">
        <v>56</v>
      </c>
      <c r="B35" s="0" t="s">
        <v>57</v>
      </c>
      <c r="C35" s="14">
        <f>IFERROR(17.3*(1-w),"")</f>
        <v>16.0025</v>
      </c>
      <c r="D35" s="14">
        <v>17.3</v>
      </c>
      <c r="E35" s="14">
        <v>20.092915214866437</v>
      </c>
      <c r="F35" s="14"/>
      <c r="G35" s="14"/>
      <c r="H35" s="0" t="s">
        <v>16</v>
      </c>
      <c r="I35" s="5"/>
      <c r="J35" s="0" t="s">
        <v>53</v>
      </c>
    </row>
    <row r="36" outlineLevel="2">
      <c r="A36" s="12" t="s">
        <v>58</v>
      </c>
      <c r="B36" s="0" t="s">
        <v>57</v>
      </c>
      <c r="C36" s="14">
        <f>IFERROR(9155*(1-w),"")</f>
        <v>8468.375</v>
      </c>
      <c r="D36" s="14">
        <v>9155</v>
      </c>
      <c r="E36" s="14">
        <v>10632.984901277585</v>
      </c>
      <c r="F36" s="14"/>
      <c r="G36" s="14"/>
      <c r="H36" s="0" t="s">
        <v>16</v>
      </c>
      <c r="I36" s="5"/>
      <c r="J36" s="0" t="s">
        <v>53</v>
      </c>
    </row>
    <row r="37" outlineLevel="2">
      <c r="A37" s="12" t="s">
        <v>59</v>
      </c>
      <c r="B37" s="0" t="s">
        <v>57</v>
      </c>
      <c r="C37" s="14">
        <f>IFERROR(10*(1-w),"")</f>
        <v>9.25</v>
      </c>
      <c r="D37" s="14">
        <v>10</v>
      </c>
      <c r="E37" s="14">
        <v>11.614401858304298</v>
      </c>
      <c r="F37" s="14"/>
      <c r="G37" s="14"/>
      <c r="H37" s="0" t="s">
        <v>16</v>
      </c>
      <c r="I37" s="5"/>
      <c r="J37" s="0" t="s">
        <v>53</v>
      </c>
    </row>
    <row r="38" outlineLevel="1">
      <c r="A38" s="11" t="s">
        <v>60</v>
      </c>
      <c r="I38" s="5"/>
    </row>
    <row r="39" outlineLevel="2">
      <c r="A39" s="12" t="s">
        <v>61</v>
      </c>
      <c r="B39" s="0" t="s">
        <v>62</v>
      </c>
      <c r="C39" s="13">
        <f>IFERROR(17*(1-w),"")</f>
        <v>15.725000000000001</v>
      </c>
      <c r="D39" s="13">
        <v>17</v>
      </c>
      <c r="E39" s="13">
        <v>19.744483159117305</v>
      </c>
      <c r="F39" s="13"/>
      <c r="G39" s="13"/>
      <c r="H39" s="0" t="s">
        <v>16</v>
      </c>
      <c r="I39" s="5"/>
      <c r="J39" s="0" t="s">
        <v>63</v>
      </c>
    </row>
    <row r="40" outlineLevel="2">
      <c r="A40" s="12" t="s">
        <v>64</v>
      </c>
      <c r="B40" s="0" t="s">
        <v>62</v>
      </c>
      <c r="C40" s="13">
        <f>IFERROR(16.72074113*(1-w),"")</f>
        <v>15.466685545250002</v>
      </c>
      <c r="D40" s="13">
        <v>16.72074113</v>
      </c>
      <c r="E40" s="13">
        <v>19.420140685249709</v>
      </c>
      <c r="F40" s="13"/>
      <c r="G40" s="13"/>
      <c r="I40" s="5"/>
      <c r="J40" s="0" t="s">
        <v>45</v>
      </c>
    </row>
    <row r="41" outlineLevel="1">
      <c r="A41" s="11" t="s">
        <v>65</v>
      </c>
      <c r="I41" s="5"/>
    </row>
    <row r="42" outlineLevel="2">
      <c r="A42" s="12" t="s">
        <v>66</v>
      </c>
      <c r="B42" s="0" t="s">
        <v>67</v>
      </c>
      <c r="C42" s="14">
        <v>1466</v>
      </c>
      <c r="D42" s="14"/>
      <c r="E42" s="14"/>
      <c r="F42" s="14"/>
      <c r="G42" s="14"/>
      <c r="H42" s="0" t="s">
        <v>16</v>
      </c>
      <c r="I42" s="5"/>
      <c r="J42" s="0" t="s">
        <v>68</v>
      </c>
    </row>
    <row r="43" outlineLevel="2">
      <c r="A43" s="12" t="s">
        <v>69</v>
      </c>
      <c r="B43" s="0" t="s">
        <v>67</v>
      </c>
      <c r="C43" s="14">
        <v>0</v>
      </c>
      <c r="D43" s="14"/>
      <c r="E43" s="14"/>
      <c r="F43" s="14"/>
      <c r="G43" s="14"/>
      <c r="H43" s="0" t="s">
        <v>16</v>
      </c>
      <c r="I43" s="5"/>
      <c r="J43" s="0" t="s">
        <v>68</v>
      </c>
    </row>
    <row r="44" outlineLevel="2">
      <c r="A44" s="12" t="s">
        <v>70</v>
      </c>
      <c r="B44" s="0" t="s">
        <v>67</v>
      </c>
      <c r="C44" s="14">
        <v>16</v>
      </c>
      <c r="D44" s="14"/>
      <c r="E44" s="14"/>
      <c r="F44" s="14"/>
      <c r="G44" s="14"/>
      <c r="H44" s="0" t="s">
        <v>16</v>
      </c>
      <c r="I44" s="5"/>
      <c r="J44" s="0" t="s">
        <v>68</v>
      </c>
    </row>
    <row r="45" outlineLevel="2">
      <c r="A45" s="12" t="s">
        <v>71</v>
      </c>
      <c r="B45" s="0" t="s">
        <v>67</v>
      </c>
      <c r="C45" s="14">
        <v>8993</v>
      </c>
      <c r="D45" s="14"/>
      <c r="E45" s="14"/>
      <c r="F45" s="14"/>
      <c r="G45" s="14"/>
      <c r="H45" s="0" t="s">
        <v>16</v>
      </c>
      <c r="I45" s="5"/>
      <c r="J45" s="0" t="s">
        <v>68</v>
      </c>
    </row>
    <row r="46" outlineLevel="2">
      <c r="A46" s="12" t="s">
        <v>72</v>
      </c>
      <c r="B46" s="0" t="s">
        <v>67</v>
      </c>
      <c r="C46" s="14">
        <v>0</v>
      </c>
      <c r="D46" s="14"/>
      <c r="E46" s="14"/>
      <c r="F46" s="14"/>
      <c r="G46" s="14"/>
      <c r="H46" s="0" t="s">
        <v>16</v>
      </c>
      <c r="I46" s="5"/>
      <c r="J46" s="0" t="s">
        <v>68</v>
      </c>
    </row>
    <row r="47" outlineLevel="2">
      <c r="A47" s="12" t="s">
        <v>73</v>
      </c>
      <c r="B47" s="0" t="s">
        <v>67</v>
      </c>
      <c r="C47" s="14">
        <v>0.5</v>
      </c>
      <c r="D47" s="14"/>
      <c r="E47" s="14"/>
      <c r="F47" s="14"/>
      <c r="G47" s="14"/>
      <c r="H47" s="0" t="s">
        <v>16</v>
      </c>
      <c r="I47" s="5"/>
      <c r="J47" s="0" t="s">
        <v>68</v>
      </c>
    </row>
    <row r="48" outlineLevel="2">
      <c r="A48" s="12" t="s">
        <v>74</v>
      </c>
      <c r="B48" s="0" t="s">
        <v>67</v>
      </c>
      <c r="C48" s="14">
        <v>21</v>
      </c>
      <c r="D48" s="14"/>
      <c r="E48" s="14"/>
      <c r="F48" s="14"/>
      <c r="G48" s="14"/>
      <c r="H48" s="0" t="s">
        <v>16</v>
      </c>
      <c r="I48" s="5"/>
      <c r="J48" s="0" t="s">
        <v>68</v>
      </c>
    </row>
    <row r="49" outlineLevel="2">
      <c r="A49" s="12" t="s">
        <v>75</v>
      </c>
      <c r="B49" s="0" t="s">
        <v>67</v>
      </c>
      <c r="C49" s="14">
        <v>6</v>
      </c>
      <c r="D49" s="14"/>
      <c r="E49" s="14"/>
      <c r="F49" s="14"/>
      <c r="G49" s="14"/>
      <c r="H49" s="0" t="s">
        <v>16</v>
      </c>
      <c r="I49" s="5"/>
      <c r="J49" s="0" t="s">
        <v>68</v>
      </c>
    </row>
    <row r="50" outlineLevel="2">
      <c r="A50" s="12" t="s">
        <v>76</v>
      </c>
      <c r="B50" s="0" t="s">
        <v>67</v>
      </c>
      <c r="C50" s="14">
        <v>965</v>
      </c>
      <c r="D50" s="14"/>
      <c r="E50" s="14"/>
      <c r="F50" s="14"/>
      <c r="G50" s="14"/>
      <c r="H50" s="0" t="s">
        <v>16</v>
      </c>
      <c r="I50" s="5"/>
      <c r="J50" s="0" t="s">
        <v>68</v>
      </c>
    </row>
    <row r="51" outlineLevel="2">
      <c r="A51" s="12" t="s">
        <v>77</v>
      </c>
      <c r="B51" s="0" t="s">
        <v>67</v>
      </c>
      <c r="C51" s="14">
        <v>96</v>
      </c>
      <c r="D51" s="14"/>
      <c r="E51" s="14"/>
      <c r="F51" s="14"/>
      <c r="G51" s="14"/>
      <c r="H51" s="0" t="s">
        <v>16</v>
      </c>
      <c r="I51" s="5"/>
      <c r="J51" s="0" t="s">
        <v>68</v>
      </c>
    </row>
    <row r="52" outlineLevel="2">
      <c r="A52" s="12" t="s">
        <v>78</v>
      </c>
      <c r="B52" s="0" t="s">
        <v>67</v>
      </c>
      <c r="C52" s="14">
        <v>19885</v>
      </c>
      <c r="D52" s="14"/>
      <c r="E52" s="14"/>
      <c r="F52" s="14"/>
      <c r="G52" s="14"/>
      <c r="H52" s="0" t="s">
        <v>16</v>
      </c>
      <c r="I52" s="5"/>
      <c r="J52" s="0" t="s">
        <v>68</v>
      </c>
    </row>
    <row r="53" outlineLevel="2">
      <c r="A53" s="12" t="s">
        <v>79</v>
      </c>
      <c r="B53" s="0" t="s">
        <v>67</v>
      </c>
      <c r="C53" s="14">
        <v>1722</v>
      </c>
      <c r="D53" s="14"/>
      <c r="E53" s="14"/>
      <c r="F53" s="14"/>
      <c r="G53" s="14"/>
      <c r="H53" s="0" t="s">
        <v>16</v>
      </c>
      <c r="I53" s="5"/>
      <c r="J53" s="0" t="s">
        <v>68</v>
      </c>
    </row>
    <row r="54" outlineLevel="2">
      <c r="A54" s="12" t="s">
        <v>80</v>
      </c>
      <c r="B54" s="0" t="s">
        <v>67</v>
      </c>
      <c r="C54" s="14">
        <v>57</v>
      </c>
      <c r="D54" s="14"/>
      <c r="E54" s="14"/>
      <c r="F54" s="14"/>
      <c r="G54" s="14"/>
      <c r="H54" s="0" t="s">
        <v>16</v>
      </c>
      <c r="I54" s="5"/>
      <c r="J54" s="0" t="s">
        <v>68</v>
      </c>
    </row>
    <row r="55" outlineLevel="2">
      <c r="A55" s="12" t="s">
        <v>81</v>
      </c>
      <c r="B55" s="0" t="s">
        <v>67</v>
      </c>
      <c r="C55" s="14">
        <v>2.2</v>
      </c>
      <c r="D55" s="14"/>
      <c r="E55" s="14"/>
      <c r="F55" s="14"/>
      <c r="G55" s="14"/>
      <c r="H55" s="0" t="s">
        <v>16</v>
      </c>
      <c r="I55" s="5"/>
      <c r="J55" s="0" t="s">
        <v>68</v>
      </c>
    </row>
    <row r="56" outlineLevel="2">
      <c r="A56" s="12" t="s">
        <v>82</v>
      </c>
      <c r="B56" s="0" t="s">
        <v>67</v>
      </c>
      <c r="C56" s="14">
        <v>1611</v>
      </c>
      <c r="D56" s="14"/>
      <c r="E56" s="14"/>
      <c r="F56" s="14"/>
      <c r="G56" s="14"/>
      <c r="H56" s="0" t="s">
        <v>16</v>
      </c>
      <c r="I56" s="5"/>
      <c r="J56" s="0" t="s">
        <v>68</v>
      </c>
    </row>
    <row r="57" outlineLevel="2">
      <c r="A57" s="12" t="s">
        <v>83</v>
      </c>
      <c r="B57" s="0" t="s">
        <v>67</v>
      </c>
      <c r="C57" s="14">
        <v>105</v>
      </c>
      <c r="D57" s="14"/>
      <c r="E57" s="14"/>
      <c r="F57" s="14"/>
      <c r="G57" s="14"/>
      <c r="H57" s="0" t="s">
        <v>16</v>
      </c>
      <c r="I57" s="5"/>
      <c r="J57" s="0" t="s">
        <v>68</v>
      </c>
    </row>
    <row r="58" outlineLevel="2">
      <c r="A58" s="12" t="s">
        <v>84</v>
      </c>
      <c r="B58" s="0" t="s">
        <v>67</v>
      </c>
      <c r="C58" s="14">
        <v>2590</v>
      </c>
      <c r="D58" s="14"/>
      <c r="E58" s="14"/>
      <c r="F58" s="14"/>
      <c r="G58" s="14"/>
      <c r="H58" s="0" t="s">
        <v>16</v>
      </c>
      <c r="I58" s="5"/>
      <c r="J58" s="0" t="s">
        <v>68</v>
      </c>
    </row>
    <row r="59" outlineLevel="2">
      <c r="A59" s="12" t="s">
        <v>85</v>
      </c>
      <c r="B59" s="0" t="s">
        <v>67</v>
      </c>
      <c r="C59" s="14">
        <v>1.8</v>
      </c>
      <c r="D59" s="14"/>
      <c r="E59" s="14"/>
      <c r="F59" s="14"/>
      <c r="G59" s="14"/>
      <c r="H59" s="0" t="s">
        <v>16</v>
      </c>
      <c r="I59" s="5"/>
      <c r="J59" s="0" t="s">
        <v>68</v>
      </c>
    </row>
    <row r="60" outlineLevel="2">
      <c r="A60" s="12" t="s">
        <v>86</v>
      </c>
      <c r="B60" s="0" t="s">
        <v>67</v>
      </c>
      <c r="C60" s="14">
        <v>0</v>
      </c>
      <c r="D60" s="14"/>
      <c r="E60" s="14"/>
      <c r="F60" s="14"/>
      <c r="G60" s="14"/>
      <c r="H60" s="0" t="s">
        <v>16</v>
      </c>
      <c r="I60" s="5"/>
      <c r="J60" s="0" t="s">
        <v>68</v>
      </c>
    </row>
    <row r="61" outlineLevel="2">
      <c r="A61" s="12" t="s">
        <v>87</v>
      </c>
      <c r="B61" s="0" t="s">
        <v>67</v>
      </c>
      <c r="C61" s="14">
        <v>0</v>
      </c>
      <c r="D61" s="14"/>
      <c r="E61" s="14"/>
      <c r="F61" s="14"/>
      <c r="G61" s="14"/>
      <c r="H61" s="0" t="s">
        <v>16</v>
      </c>
      <c r="I61" s="5"/>
      <c r="J61" s="0" t="s">
        <v>68</v>
      </c>
    </row>
    <row r="62" outlineLevel="2">
      <c r="A62" s="12" t="s">
        <v>88</v>
      </c>
      <c r="B62" s="0" t="s">
        <v>67</v>
      </c>
      <c r="C62" s="14">
        <v>34646</v>
      </c>
      <c r="D62" s="14"/>
      <c r="E62" s="14"/>
      <c r="F62" s="14"/>
      <c r="G62" s="14"/>
      <c r="H62" s="0" t="s">
        <v>16</v>
      </c>
      <c r="I62" s="5"/>
      <c r="J62" s="0" t="s">
        <v>68</v>
      </c>
    </row>
    <row r="63" outlineLevel="2">
      <c r="A63" s="12" t="s">
        <v>89</v>
      </c>
      <c r="B63" s="0" t="s">
        <v>67</v>
      </c>
      <c r="C63" s="14">
        <v>1.1</v>
      </c>
      <c r="D63" s="14"/>
      <c r="E63" s="14"/>
      <c r="F63" s="14"/>
      <c r="G63" s="14"/>
      <c r="H63" s="0" t="s">
        <v>16</v>
      </c>
      <c r="I63" s="5"/>
      <c r="J63" s="0" t="s">
        <v>68</v>
      </c>
    </row>
    <row r="64" outlineLevel="2">
      <c r="A64" s="12" t="s">
        <v>90</v>
      </c>
      <c r="B64" s="0" t="s">
        <v>67</v>
      </c>
      <c r="C64" s="14">
        <v>32.8</v>
      </c>
      <c r="D64" s="14"/>
      <c r="E64" s="14"/>
      <c r="F64" s="14"/>
      <c r="G64" s="14"/>
      <c r="H64" s="0" t="s">
        <v>16</v>
      </c>
      <c r="I64" s="5"/>
      <c r="J64" s="0" t="s">
        <v>68</v>
      </c>
    </row>
    <row r="65" outlineLevel="2">
      <c r="A65" s="12" t="s">
        <v>91</v>
      </c>
      <c r="B65" s="0" t="s">
        <v>67</v>
      </c>
      <c r="C65" s="14">
        <v>96.8</v>
      </c>
      <c r="D65" s="14"/>
      <c r="E65" s="14"/>
      <c r="F65" s="14"/>
      <c r="G65" s="14"/>
      <c r="H65" s="0" t="s">
        <v>16</v>
      </c>
      <c r="I65" s="5"/>
      <c r="J65" s="0" t="s">
        <v>68</v>
      </c>
    </row>
    <row r="66" outlineLevel="2">
      <c r="A66" s="12" t="s">
        <v>92</v>
      </c>
      <c r="B66" s="0" t="s">
        <v>67</v>
      </c>
      <c r="C66" s="14">
        <v>2.25</v>
      </c>
      <c r="D66" s="14"/>
      <c r="E66" s="14"/>
      <c r="F66" s="14"/>
      <c r="G66" s="14"/>
      <c r="H66" s="0" t="s">
        <v>16</v>
      </c>
      <c r="I66" s="5"/>
      <c r="J66" s="0" t="s">
        <v>68</v>
      </c>
    </row>
    <row r="67" outlineLevel="2">
      <c r="A67" s="12" t="s">
        <v>93</v>
      </c>
      <c r="B67" s="0" t="s">
        <v>67</v>
      </c>
      <c r="C67" s="14">
        <v>1.1</v>
      </c>
      <c r="D67" s="14"/>
      <c r="E67" s="14"/>
      <c r="F67" s="14"/>
      <c r="G67" s="14"/>
      <c r="H67" s="0" t="s">
        <v>16</v>
      </c>
      <c r="I67" s="5"/>
      <c r="J67" s="0" t="s">
        <v>68</v>
      </c>
    </row>
    <row r="68" outlineLevel="2">
      <c r="A68" s="12" t="s">
        <v>94</v>
      </c>
      <c r="B68" s="0" t="s">
        <v>67</v>
      </c>
      <c r="C68" s="14">
        <v>31.4</v>
      </c>
      <c r="D68" s="14"/>
      <c r="E68" s="14"/>
      <c r="F68" s="14"/>
      <c r="G68" s="14"/>
      <c r="H68" s="0" t="s">
        <v>16</v>
      </c>
      <c r="I68" s="5"/>
      <c r="J68" s="0" t="s">
        <v>68</v>
      </c>
    </row>
    <row r="69">
      <c r="I69" s="5"/>
    </row>
    <row r="70" s="1" customFormat="1"/>
  </sheetData>
  <mergeCells>
    <mergeCell ref="A9:A11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</mergeCells>
  <dataValidations count="1">
    <dataValidation type="decimal" sqref="C22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https://phyllis.nl/Biomass/View/3538</dc:description>
  <dcterms:created xsi:type="dcterms:W3CDTF">2026-03-04T04:46:06Z</dcterms:created>
  <dc:title>Phyllis2 #3538 Verge grass  (bermgras)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