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47 Miscanthus, fres" sheetId="1" r:id="rId1"/>
  </sheets>
  <definedNames>
    <definedName name="w" localSheetId="0">IF(ISBLANK('Phyllis2 #3547 Miscanthus, fres'!$C$19),#N/A,'Phyllis2 #3547 Miscanthus, fres'!$C$19/100)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<sst xmlns="http://schemas.openxmlformats.org/spreadsheetml/2006/main" count="81" uniqueCount="81">
  <si>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</si>
  <si>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https://phyllis.nl/Biomass/View/3547</t>
  </si>
  <si>
    <t>Miscanthus, fresh (#3547)</t>
  </si>
  <si>
    <t>ID-number</t>
  </si>
  <si>
    <t>#3547</t>
  </si>
  <si>
    <t>Material</t>
  </si>
  <si>
    <t>Miscanthus, fresh</t>
  </si>
  <si>
    <t>Description</t>
  </si>
  <si>
    <t>Sample obtained in the frame of the EU H2020 Biofficiency project</t>
  </si>
  <si>
    <t>Classification</t>
  </si>
  <si>
    <t>ECN Phyllis classification &gt; grass/plant &gt; miscanthus &gt; miscanthus, fresh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</si>
  <si>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</si>
  <si>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</si>
  <si>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</si>
  <si>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</si>
  <si>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</si>
  <si>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</si>
  <si>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</si>
  <si>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</si>
  <si>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</si>
  <si>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</si>
  <si>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</si>
  <si>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</si>
  <si>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</si>
  <si>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</si>
  <si>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</si>
  <si>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</si>
  <si>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</si>
  <si>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</si>
  <si>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</si>
  <si>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</si>
  <si>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</si>
  <si>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</si>
  <si>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</si>
  <si>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</si>
  <si>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NEN-EN-ISO 18134-3:2015</t>
  </si>
  <si>
    <t>Ash content at 550°C</t>
  </si>
  <si>
    <t>NEN-EN-ISO 18122:2015</t>
  </si>
  <si>
    <t>Ash content at 815°C</t>
  </si>
  <si>
    <t>Volatile matter</t>
  </si>
  <si>
    <t>NEN-EN-ISO 18123:2015</t>
  </si>
  <si>
    <t>Fixed carbon</t>
  </si>
  <si>
    <t>Calculated</t>
  </si>
  <si>
    <t>Ultimate analysis (macroelements)</t>
  </si>
  <si>
    <t>Carbon</t>
  </si>
  <si>
    <t xml:space="preserve">NEN-EN-ISO 16948: 2015 </t>
  </si>
  <si>
    <t>Hydrogen</t>
  </si>
  <si>
    <t>Oxygen</t>
  </si>
  <si>
    <t>Nitrogen</t>
  </si>
  <si>
    <t>Sulphur</t>
  </si>
  <si>
    <t>NEN 6966</t>
  </si>
  <si>
    <t>ICP/OES</t>
  </si>
  <si>
    <t>Total (with halides)</t>
  </si>
  <si>
    <t>Halides</t>
  </si>
  <si>
    <t>Chlorine (Cl)</t>
  </si>
  <si>
    <t>mg/kg</t>
  </si>
  <si>
    <t>NEN-EN-ISO 10304-1:2009</t>
  </si>
  <si>
    <t>Heating value</t>
  </si>
  <si>
    <t>Net calorific value (LHV)</t>
  </si>
  <si>
    <t>MJ/kg</t>
  </si>
  <si>
    <t>NEN-EN-ISO 18125:2017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</si>
  <si>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</si>
  <si>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</si>
  <si>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</si>
  <si>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</si>
  <si>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</si>
  <si>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</si>
  <si>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</si>
  <si>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Chromium (Cr)</t>
  </si>
  <si>
    <t>Iron (Fe)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</si>
  <si>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</si>
  <si>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</si>
  <si>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</si>
  <si>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</si>
  <si>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</si>
  <si>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</si>
  <si>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</si>
  <si>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</si>
  <si>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Strontium (Sr)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</si>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</sst>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24.6485576629639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0" t="s">
        <v>14</v>
      </c>
    </row>
    <row r="11" outlineLevel="1">
      <c r="A11" s="7" t="s">
        <v>15</v>
      </c>
      <c r="B11" s="0" t="s">
        <v>16</v>
      </c>
    </row>
    <row r="12" outlineLevel="1">
      <c r="A12" s="7" t="s">
        <v>17</v>
      </c>
      <c r="B12" s="6">
        <v>43671.5659953704</v>
      </c>
    </row>
    <row r="13">
      <c r="A13" s="7"/>
    </row>
    <row r="14" s="1" customFormat="1">
      <c r="A14" s="9" t="s">
        <v>18</v>
      </c>
    </row>
    <row r="15" s="1" customFormat="1">
      <c r="A15" s="10" t="s">
        <v>19</v>
      </c>
      <c r="B15" s="10" t="s">
        <v>20</v>
      </c>
      <c r="C15" s="10" t="s">
        <v>21</v>
      </c>
      <c r="D15" s="10"/>
      <c r="E15" s="10"/>
      <c r="F15" s="10" t="s">
        <v>22</v>
      </c>
      <c r="G15" s="10" t="s">
        <v>23</v>
      </c>
      <c r="H15" s="10" t="s">
        <v>24</v>
      </c>
      <c r="I15" s="10" t="s">
        <v>25</v>
      </c>
      <c r="J15" s="10" t="s">
        <v>26</v>
      </c>
      <c r="K15" s="10" t="s">
        <v>27</v>
      </c>
      <c r="L15" s="10"/>
    </row>
    <row r="16" s="1" customFormat="1">
      <c r="A16" s="10"/>
      <c r="B16" s="10"/>
      <c r="C16" s="10" t="s">
        <v>28</v>
      </c>
      <c r="D16" s="10" t="s">
        <v>29</v>
      </c>
      <c r="E16" s="10" t="s">
        <v>30</v>
      </c>
      <c r="F16" s="10"/>
      <c r="G16" s="10"/>
      <c r="H16" s="10"/>
      <c r="I16" s="10"/>
      <c r="J16" s="10"/>
      <c r="K16" s="10"/>
      <c r="L16" s="10"/>
    </row>
    <row r="17">
      <c r="A17" s="7" t="s">
        <v>31</v>
      </c>
      <c r="I17" s="5"/>
    </row>
    <row r="18" outlineLevel="1">
      <c r="A18" s="11" t="s">
        <v>32</v>
      </c>
      <c r="I18" s="5"/>
    </row>
    <row r="19" outlineLevel="2">
      <c r="A19" s="12" t="s">
        <v>33</v>
      </c>
      <c r="B19" s="0" t="s">
        <v>34</v>
      </c>
      <c r="C19" s="13">
        <v>1.5</v>
      </c>
      <c r="D19" s="13"/>
      <c r="E19" s="13"/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34</v>
      </c>
      <c r="C20" s="13">
        <f>IFERROR(2.1*(1-w),"")</f>
        <v>2.0685000000000002</v>
      </c>
      <c r="D20" s="13">
        <v>2.1</v>
      </c>
      <c r="E20" s="13">
        <v/>
      </c>
      <c r="F20" s="13"/>
      <c r="G20" s="13"/>
      <c r="I20" s="5"/>
      <c r="J20" s="0" t="s">
        <v>37</v>
      </c>
    </row>
    <row r="21" outlineLevel="2">
      <c r="A21" s="12" t="s">
        <v>38</v>
      </c>
      <c r="B21" s="0" t="s">
        <v>34</v>
      </c>
      <c r="C21" s="13">
        <f>IFERROR(2*(1-w),"")</f>
        <v>1.97</v>
      </c>
      <c r="D21" s="13">
        <v>2</v>
      </c>
      <c r="E21" s="13">
        <v/>
      </c>
      <c r="F21" s="13"/>
      <c r="G21" s="13"/>
      <c r="I21" s="5"/>
      <c r="J21" s="0" t="s">
        <v>37</v>
      </c>
    </row>
    <row r="22" outlineLevel="2">
      <c r="A22" s="12" t="s">
        <v>39</v>
      </c>
      <c r="B22" s="0" t="s">
        <v>34</v>
      </c>
      <c r="C22" s="13">
        <f>IFERROR(81.7*(1-w),"")</f>
        <v>80.4745</v>
      </c>
      <c r="D22" s="13">
        <v>81.7</v>
      </c>
      <c r="E22" s="13">
        <v>83.452502553626147</v>
      </c>
      <c r="F22" s="13"/>
      <c r="G22" s="13"/>
      <c r="I22" s="5"/>
      <c r="J22" s="0" t="s">
        <v>40</v>
      </c>
    </row>
    <row r="23" outlineLevel="2">
      <c r="A23" s="12" t="s">
        <v>41</v>
      </c>
      <c r="B23" s="0" t="s">
        <v>34</v>
      </c>
      <c r="C23" s="13">
        <f>IFERROR(16.2*(1-w),"")</f>
        <v>15.957000000000003</v>
      </c>
      <c r="D23" s="13">
        <v>16.200000000000003</v>
      </c>
      <c r="E23" s="13">
        <v>16.547497446373853</v>
      </c>
      <c r="F23" s="13"/>
      <c r="G23" s="13"/>
      <c r="I23" s="5"/>
      <c r="J23" s="0" t="s">
        <v>42</v>
      </c>
    </row>
    <row r="24" outlineLevel="1">
      <c r="A24" s="11" t="s">
        <v>43</v>
      </c>
      <c r="I24" s="5"/>
    </row>
    <row r="25" outlineLevel="2">
      <c r="A25" s="12" t="s">
        <v>44</v>
      </c>
      <c r="B25" s="0" t="s">
        <v>34</v>
      </c>
      <c r="C25" s="13">
        <f>IFERROR(47.7*(1-w),"")</f>
        <v>46.984500000000004</v>
      </c>
      <c r="D25" s="13">
        <v>47.7</v>
      </c>
      <c r="E25" s="13">
        <v>48.723186925434121</v>
      </c>
      <c r="F25" s="13"/>
      <c r="G25" s="13"/>
      <c r="I25" s="5"/>
      <c r="J25" s="0" t="s">
        <v>45</v>
      </c>
    </row>
    <row r="26" outlineLevel="2">
      <c r="A26" s="12" t="s">
        <v>46</v>
      </c>
      <c r="B26" s="0" t="s">
        <v>34</v>
      </c>
      <c r="C26" s="13">
        <f>IFERROR(5.9*(1-w),"")</f>
        <v>5.8115000000000006</v>
      </c>
      <c r="D26" s="13">
        <v>5.9</v>
      </c>
      <c r="E26" s="13">
        <v>6.0265577119509706</v>
      </c>
      <c r="F26" s="13"/>
      <c r="G26" s="13"/>
      <c r="I26" s="5"/>
      <c r="J26" s="0" t="s">
        <v>45</v>
      </c>
    </row>
    <row r="27" outlineLevel="2">
      <c r="A27" s="12" t="s">
        <v>47</v>
      </c>
      <c r="B27" s="0" t="s">
        <v>34</v>
      </c>
      <c r="C27" s="13">
        <f>IFERROR(43.3*(1-w),"")</f>
        <v>42.650499999999994</v>
      </c>
      <c r="D27" s="13">
        <v>43.3</v>
      </c>
      <c r="E27" s="13">
        <v>44.2288049029622</v>
      </c>
      <c r="F27" s="13"/>
      <c r="G27" s="13"/>
      <c r="I27" s="5"/>
      <c r="J27" s="0" t="s">
        <v>42</v>
      </c>
    </row>
    <row r="28" outlineLevel="2">
      <c r="A28" s="12" t="s">
        <v>48</v>
      </c>
      <c r="B28" s="0" t="s">
        <v>34</v>
      </c>
      <c r="C28" s="13">
        <f>IFERROR(0.3*(1-w),"")</f>
        <v>0.2955</v>
      </c>
      <c r="D28" s="13">
        <v>0.3</v>
      </c>
      <c r="E28" s="13">
        <v>0.30643513789581206</v>
      </c>
      <c r="F28" s="13"/>
      <c r="G28" s="13"/>
      <c r="I28" s="5"/>
      <c r="J28" s="0" t="s">
        <v>45</v>
      </c>
    </row>
    <row r="29" outlineLevel="2">
      <c r="A29" s="12" t="s">
        <v>49</v>
      </c>
      <c r="B29" s="0" t="s">
        <v>34</v>
      </c>
      <c r="C29" s="13">
        <f>IFERROR(0.048*(1-w),"")</f>
        <v>0.04728</v>
      </c>
      <c r="D29" s="13">
        <v>0.048</v>
      </c>
      <c r="E29" s="13">
        <v>0.049029622063329933</v>
      </c>
      <c r="F29" s="13"/>
      <c r="G29" s="13"/>
      <c r="I29" s="5"/>
      <c r="J29" s="0" t="s">
        <v>50</v>
      </c>
      <c r="K29" s="0" t="s">
        <v>51</v>
      </c>
    </row>
    <row r="30" outlineLevel="2">
      <c r="A30" s="12" t="s">
        <v>52</v>
      </c>
      <c r="B30" s="0" t="s">
        <v>34</v>
      </c>
      <c r="C30" s="13">
        <f>IFERROR(99.478*(1-w)+w*100,"")</f>
        <v>99.485829999999993</v>
      </c>
      <c r="D30" s="13">
        <v>99.478</v>
      </c>
      <c r="E30" s="13">
        <v>99.466802860061293</v>
      </c>
      <c r="F30" s="13"/>
      <c r="G30" s="13"/>
      <c r="I30" s="5"/>
      <c r="J30" s="0" t="s">
        <v>42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4">
        <f>IFERROR(1300*(1-w),"")</f>
        <v>1280.5</v>
      </c>
      <c r="D32" s="14">
        <v>1300</v>
      </c>
      <c r="E32" s="14">
        <v>1327.8855975485189</v>
      </c>
      <c r="F32" s="14"/>
      <c r="G32" s="14"/>
      <c r="I32" s="5"/>
      <c r="J32" s="0" t="s">
        <v>56</v>
      </c>
    </row>
    <row r="33" outlineLevel="1">
      <c r="A33" s="11" t="s">
        <v>57</v>
      </c>
      <c r="I33" s="5"/>
    </row>
    <row r="34" outlineLevel="2">
      <c r="A34" s="12" t="s">
        <v>58</v>
      </c>
      <c r="B34" s="0" t="s">
        <v>59</v>
      </c>
      <c r="C34" s="13">
        <f>IFERROR(19.3*(1-w)-w*2.443,"")</f>
        <v>18.973855</v>
      </c>
      <c r="D34" s="13">
        <v>19.3</v>
      </c>
      <c r="E34" s="13">
        <v>19.713993871297244</v>
      </c>
      <c r="F34" s="13"/>
      <c r="G34" s="13"/>
      <c r="I34" s="5"/>
      <c r="J34" s="0" t="s">
        <v>60</v>
      </c>
    </row>
    <row r="35" outlineLevel="2">
      <c r="A35" s="12" t="s">
        <v>61</v>
      </c>
      <c r="B35" s="0" t="s">
        <v>59</v>
      </c>
      <c r="C35" s="13">
        <f>IFERROR(18.80533753*(1-w),"")</f>
        <v>18.523257467050005</v>
      </c>
      <c r="D35" s="13">
        <v>18.805337530000006</v>
      </c>
      <c r="E35" s="13">
        <v>19.208720663942806</v>
      </c>
      <c r="F35" s="13"/>
      <c r="G35" s="13"/>
      <c r="I35" s="5"/>
      <c r="J35" s="0" t="s">
        <v>42</v>
      </c>
    </row>
    <row r="36" outlineLevel="1">
      <c r="A36" s="11" t="s">
        <v>62</v>
      </c>
      <c r="I36" s="5"/>
    </row>
    <row r="37" outlineLevel="2">
      <c r="A37" s="12" t="s">
        <v>63</v>
      </c>
      <c r="B37" s="0" t="s">
        <v>64</v>
      </c>
      <c r="C37" s="14">
        <v>79</v>
      </c>
      <c r="D37" s="14"/>
      <c r="E37" s="14"/>
      <c r="F37" s="14"/>
      <c r="G37" s="14"/>
      <c r="I37" s="5"/>
      <c r="J37" s="0" t="s">
        <v>50</v>
      </c>
      <c r="K37" s="0" t="s">
        <v>51</v>
      </c>
    </row>
    <row r="38" outlineLevel="2">
      <c r="A38" s="12" t="s">
        <v>65</v>
      </c>
      <c r="B38" s="0" t="s">
        <v>64</v>
      </c>
      <c r="C38" s="14">
        <v>1.9</v>
      </c>
      <c r="D38" s="14"/>
      <c r="E38" s="14"/>
      <c r="F38" s="14"/>
      <c r="G38" s="14"/>
      <c r="I38" s="5"/>
      <c r="J38" s="0" t="s">
        <v>50</v>
      </c>
      <c r="K38" s="0" t="s">
        <v>51</v>
      </c>
    </row>
    <row r="39" outlineLevel="2">
      <c r="A39" s="12" t="s">
        <v>66</v>
      </c>
      <c r="B39" s="0" t="s">
        <v>64</v>
      </c>
      <c r="C39" s="14">
        <v>8.2</v>
      </c>
      <c r="D39" s="14"/>
      <c r="E39" s="14"/>
      <c r="F39" s="14"/>
      <c r="G39" s="14"/>
      <c r="I39" s="5"/>
      <c r="J39" s="0" t="s">
        <v>50</v>
      </c>
      <c r="K39" s="0" t="s">
        <v>51</v>
      </c>
    </row>
    <row r="40" outlineLevel="2">
      <c r="A40" s="12" t="s">
        <v>67</v>
      </c>
      <c r="B40" s="0" t="s">
        <v>64</v>
      </c>
      <c r="C40" s="14">
        <v>1000</v>
      </c>
      <c r="D40" s="14"/>
      <c r="E40" s="14"/>
      <c r="F40" s="14"/>
      <c r="G40" s="14"/>
      <c r="I40" s="5"/>
      <c r="J40" s="0" t="s">
        <v>50</v>
      </c>
      <c r="K40" s="0" t="s">
        <v>51</v>
      </c>
    </row>
    <row r="41" outlineLevel="2">
      <c r="A41" s="12" t="s">
        <v>68</v>
      </c>
      <c r="B41" s="0" t="s">
        <v>64</v>
      </c>
      <c r="C41" s="14">
        <v>1.4</v>
      </c>
      <c r="D41" s="14"/>
      <c r="E41" s="14"/>
      <c r="F41" s="14"/>
      <c r="G41" s="14"/>
      <c r="I41" s="5"/>
      <c r="J41" s="0" t="s">
        <v>50</v>
      </c>
      <c r="K41" s="0" t="s">
        <v>51</v>
      </c>
    </row>
    <row r="42" outlineLevel="2">
      <c r="A42" s="12" t="s">
        <v>69</v>
      </c>
      <c r="B42" s="0" t="s">
        <v>64</v>
      </c>
      <c r="C42" s="14">
        <v>61</v>
      </c>
      <c r="D42" s="14"/>
      <c r="E42" s="14"/>
      <c r="F42" s="14"/>
      <c r="G42" s="14"/>
      <c r="I42" s="5"/>
      <c r="J42" s="0" t="s">
        <v>50</v>
      </c>
      <c r="K42" s="0" t="s">
        <v>51</v>
      </c>
    </row>
    <row r="43" outlineLevel="2">
      <c r="A43" s="12" t="s">
        <v>70</v>
      </c>
      <c r="B43" s="0" t="s">
        <v>64</v>
      </c>
      <c r="C43" s="14">
        <v>0.0023</v>
      </c>
      <c r="D43" s="14"/>
      <c r="E43" s="14"/>
      <c r="F43" s="14"/>
      <c r="G43" s="14"/>
      <c r="I43" s="5"/>
      <c r="J43" s="0" t="s">
        <v>50</v>
      </c>
      <c r="K43" s="0" t="s">
        <v>51</v>
      </c>
    </row>
    <row r="44" outlineLevel="2">
      <c r="A44" s="12" t="s">
        <v>71</v>
      </c>
      <c r="B44" s="0" t="s">
        <v>64</v>
      </c>
      <c r="C44" s="14">
        <v>2300</v>
      </c>
      <c r="D44" s="14"/>
      <c r="E44" s="14"/>
      <c r="F44" s="14"/>
      <c r="G44" s="14"/>
      <c r="I44" s="5"/>
      <c r="J44" s="0" t="s">
        <v>50</v>
      </c>
      <c r="K44" s="0" t="s">
        <v>51</v>
      </c>
    </row>
    <row r="45" outlineLevel="2">
      <c r="A45" s="12" t="s">
        <v>72</v>
      </c>
      <c r="B45" s="0" t="s">
        <v>64</v>
      </c>
      <c r="C45" s="14">
        <v>360</v>
      </c>
      <c r="D45" s="14"/>
      <c r="E45" s="14"/>
      <c r="F45" s="14"/>
      <c r="G45" s="14"/>
      <c r="I45" s="5"/>
      <c r="J45" s="0" t="s">
        <v>50</v>
      </c>
      <c r="K45" s="0" t="s">
        <v>51</v>
      </c>
    </row>
    <row r="46" outlineLevel="2">
      <c r="A46" s="12" t="s">
        <v>73</v>
      </c>
      <c r="B46" s="0" t="s">
        <v>64</v>
      </c>
      <c r="C46" s="14">
        <v>22</v>
      </c>
      <c r="D46" s="14"/>
      <c r="E46" s="14"/>
      <c r="F46" s="14"/>
      <c r="G46" s="14"/>
      <c r="I46" s="5"/>
      <c r="J46" s="0" t="s">
        <v>50</v>
      </c>
      <c r="K46" s="0" t="s">
        <v>51</v>
      </c>
    </row>
    <row r="47" outlineLevel="2">
      <c r="A47" s="12" t="s">
        <v>74</v>
      </c>
      <c r="B47" s="0" t="s">
        <v>64</v>
      </c>
      <c r="C47" s="14">
        <v>260</v>
      </c>
      <c r="D47" s="14"/>
      <c r="E47" s="14"/>
      <c r="F47" s="14"/>
      <c r="G47" s="14"/>
      <c r="I47" s="5"/>
      <c r="J47" s="0" t="s">
        <v>50</v>
      </c>
      <c r="K47" s="0" t="s">
        <v>51</v>
      </c>
    </row>
    <row r="48" outlineLevel="2">
      <c r="A48" s="12" t="s">
        <v>75</v>
      </c>
      <c r="B48" s="0" t="s">
        <v>64</v>
      </c>
      <c r="C48" s="14">
        <v>0.66</v>
      </c>
      <c r="D48" s="14"/>
      <c r="E48" s="14"/>
      <c r="F48" s="14"/>
      <c r="G48" s="14"/>
      <c r="I48" s="5"/>
      <c r="J48" s="0" t="s">
        <v>50</v>
      </c>
      <c r="K48" s="0" t="s">
        <v>51</v>
      </c>
    </row>
    <row r="49" outlineLevel="2">
      <c r="A49" s="12" t="s">
        <v>76</v>
      </c>
      <c r="B49" s="0" t="s">
        <v>64</v>
      </c>
      <c r="C49" s="14">
        <v>220</v>
      </c>
      <c r="D49" s="14"/>
      <c r="E49" s="14"/>
      <c r="F49" s="14"/>
      <c r="G49" s="14"/>
      <c r="I49" s="5"/>
      <c r="J49" s="0" t="s">
        <v>50</v>
      </c>
      <c r="K49" s="0" t="s">
        <v>51</v>
      </c>
    </row>
    <row r="50" outlineLevel="2">
      <c r="A50" s="12" t="s">
        <v>77</v>
      </c>
      <c r="B50" s="0" t="s">
        <v>64</v>
      </c>
      <c r="C50" s="14">
        <v>6500</v>
      </c>
      <c r="D50" s="14"/>
      <c r="E50" s="14"/>
      <c r="F50" s="14"/>
      <c r="G50" s="14"/>
      <c r="I50" s="5"/>
      <c r="J50" s="0" t="s">
        <v>50</v>
      </c>
      <c r="K50" s="0" t="s">
        <v>51</v>
      </c>
    </row>
    <row r="51" outlineLevel="2">
      <c r="A51" s="12" t="s">
        <v>78</v>
      </c>
      <c r="B51" s="0" t="s">
        <v>64</v>
      </c>
      <c r="C51" s="14">
        <v>5.3</v>
      </c>
      <c r="D51" s="14"/>
      <c r="E51" s="14"/>
      <c r="F51" s="14"/>
      <c r="G51" s="14"/>
      <c r="I51" s="5"/>
      <c r="J51" s="0" t="s">
        <v>50</v>
      </c>
      <c r="K51" s="0" t="s">
        <v>51</v>
      </c>
    </row>
    <row r="52" outlineLevel="2">
      <c r="A52" s="12" t="s">
        <v>79</v>
      </c>
      <c r="B52" s="0" t="s">
        <v>64</v>
      </c>
      <c r="C52" s="14">
        <v>220</v>
      </c>
      <c r="D52" s="14"/>
      <c r="E52" s="14"/>
      <c r="F52" s="14"/>
      <c r="G52" s="14"/>
      <c r="I52" s="5"/>
      <c r="J52" s="0" t="s">
        <v>50</v>
      </c>
      <c r="K52" s="0" t="s">
        <v>51</v>
      </c>
    </row>
    <row r="53" outlineLevel="2">
      <c r="A53" s="12" t="s">
        <v>80</v>
      </c>
      <c r="B53" s="0" t="s">
        <v>64</v>
      </c>
      <c r="C53" s="14">
        <v>9.1</v>
      </c>
      <c r="D53" s="14"/>
      <c r="E53" s="14"/>
      <c r="F53" s="14"/>
      <c r="G53" s="14"/>
      <c r="I53" s="5"/>
      <c r="J53" s="0" t="s">
        <v>50</v>
      </c>
      <c r="K53" s="0" t="s">
        <v>51</v>
      </c>
    </row>
    <row r="54">
      <c r="I54" s="5"/>
    </row>
    <row r="55" s="1" customFormat="1"/>
  </sheetData>
  <mergeCells>
    <mergeCell ref="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&#10;Original value: 1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https://phyllis.nl/Biomass/View/3547</dc:description>
  <dcterms:created xsi:type="dcterms:W3CDTF">2026-03-04T04:14:23Z</dcterms:created>
  <dc:title>Phyllis2 #3547 Miscanthus,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