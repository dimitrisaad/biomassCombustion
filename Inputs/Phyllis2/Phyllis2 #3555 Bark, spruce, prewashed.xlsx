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5 Bark, spruce, pr" sheetId="1" r:id="rId1"/>
  </sheets>
  <definedNames>
    <definedName name="w" localSheetId="0">IF(ISBLANK('Phyllis2 #3555 Bark, spruce, pr'!$C$19),#N/A,'Phyllis2 #3555 Bark, spruce, pr'!$C$19/100)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<sst xmlns="http://schemas.openxmlformats.org/spreadsheetml/2006/main" count="87" uniqueCount="87">
  <si>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</si>
  <si>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https://phyllis.nl/Biomass/View/3555</t>
  </si>
  <si>
    <t>Bark, spruce, prewashed (#3555)</t>
  </si>
  <si>
    <t>ID-number</t>
  </si>
  <si>
    <t>#3555</t>
  </si>
  <si>
    <t>Material</t>
  </si>
  <si>
    <t>Bark, spruce, prewashed</t>
  </si>
  <si>
    <t>Description</t>
  </si>
  <si>
    <t>Sample acquired in the frame of the EU H2020 project Biofficiency</t>
  </si>
  <si>
    <t>Classification</t>
  </si>
  <si>
    <t>ECN Phyllis classification &gt; untreated wood &gt; bark &gt; bark, spruce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</si>
  <si>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</si>
  <si>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</si>
  <si>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</si>
  <si>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</si>
  <si>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</si>
  <si>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</si>
  <si>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</si>
  <si>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</si>
  <si>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</si>
  <si>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</si>
  <si>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</si>
  <si>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</si>
  <si>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</si>
  <si>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</si>
  <si>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</si>
  <si>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</si>
  <si>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</si>
  <si>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</si>
  <si>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</si>
  <si>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</si>
  <si>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</si>
  <si>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</si>
  <si>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</si>
  <si>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</si>
  <si>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</si>
  <si>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</si>
  <si>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 xml:space="preserve">NEN-EN-ISO 18122:2015 </t>
  </si>
  <si>
    <t>Ash content at 815°C</t>
  </si>
  <si>
    <t>Volatile matter</t>
  </si>
  <si>
    <t xml:space="preserve">NEN-EN-ISO 18123:2015 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</si>
  <si>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</si>
  <si>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</si>
  <si>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</si>
  <si>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</si>
  <si>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</si>
  <si>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</si>
  <si>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</si>
  <si>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</si>
  <si>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</si>
  <si>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</si>
  <si>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</si>
  <si>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</si>
  <si>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</si>
  <si>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</si>
  <si>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</si>
  <si>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</si>
  <si>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</si>
  <si>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</si>
  <si>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</si>
  <si>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</si>
  <si>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</si>
  <si>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</si>
  <si>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</si>
  <si>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</si>
  <si>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</si>
  <si>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</si>
  <si>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</si>
  <si>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</si>
  <si>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</si>
  <si>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</si>
  <si>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</si>
  <si>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</si>
  <si>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</si>
  <si>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</si>
  <si>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</si>
  <si>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</si>
  <si>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</si>
  <si>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</si>
  <si>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</si>
  <si>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</si>
  <si>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</si>
  <si>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Strontium (Sr)</t>
  </si>
  <si>
    <t>Titanium (Ti)</t>
  </si>
  <si>
    <t>Vanadium (V)</t>
  </si>
  <si>
    <t>Tungsten (W)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</si>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</sst>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43673.6002083333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0.5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IFERROR(4.8*(1-w),"")</f>
        <v>4.776</v>
      </c>
      <c r="D20" s="13">
        <v>4.8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IFERROR(3.4*(1-w),"")</f>
        <v>3.383</v>
      </c>
      <c r="D21" s="13">
        <v>3.4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IFERROR(74.7*(1-w),"")</f>
        <v>74.3265</v>
      </c>
      <c r="D22" s="13">
        <v>74.7</v>
      </c>
      <c r="E22" s="13">
        <v>78.466386554621849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34</v>
      </c>
      <c r="C23" s="13">
        <f>IFERROR(20.5*(1-w),"")</f>
        <v>20.3975</v>
      </c>
      <c r="D23" s="13">
        <v>20.5</v>
      </c>
      <c r="E23" s="13">
        <v>21.533613445378151</v>
      </c>
      <c r="F23" s="13"/>
      <c r="G23" s="13"/>
      <c r="I23" s="5"/>
      <c r="J23" s="0" t="s">
        <v>42</v>
      </c>
    </row>
    <row r="24" outlineLevel="1">
      <c r="A24" s="11" t="s">
        <v>43</v>
      </c>
      <c r="I24" s="5"/>
    </row>
    <row r="25" outlineLevel="2">
      <c r="A25" s="12" t="s">
        <v>44</v>
      </c>
      <c r="B25" s="0" t="s">
        <v>34</v>
      </c>
      <c r="C25" s="13">
        <f>IFERROR(49.9*(1-w),"")</f>
        <v>49.6505</v>
      </c>
      <c r="D25" s="13">
        <v>49.9</v>
      </c>
      <c r="E25" s="13">
        <v>52.415966386554622</v>
      </c>
      <c r="F25" s="13"/>
      <c r="G25" s="13"/>
      <c r="I25" s="5"/>
      <c r="J25" s="0" t="s">
        <v>45</v>
      </c>
    </row>
    <row r="26" outlineLevel="2">
      <c r="A26" s="12" t="s">
        <v>46</v>
      </c>
      <c r="B26" s="0" t="s">
        <v>34</v>
      </c>
      <c r="C26" s="13">
        <f>IFERROR(5.9*(1-w),"")</f>
        <v>5.8705000000000007</v>
      </c>
      <c r="D26" s="13">
        <v>5.9</v>
      </c>
      <c r="E26" s="13">
        <v>6.19747899159664</v>
      </c>
      <c r="F26" s="13"/>
      <c r="G26" s="13"/>
      <c r="I26" s="5"/>
      <c r="J26" s="0" t="s">
        <v>45</v>
      </c>
    </row>
    <row r="27" outlineLevel="2">
      <c r="A27" s="12" t="s">
        <v>47</v>
      </c>
      <c r="B27" s="0" t="s">
        <v>34</v>
      </c>
      <c r="C27" s="13">
        <f>IFERROR(41.3*(1-w),"")</f>
        <v>41.0935</v>
      </c>
      <c r="D27" s="13">
        <v>41.3</v>
      </c>
      <c r="E27" s="13">
        <v>43.382352941176471</v>
      </c>
      <c r="F27" s="13"/>
      <c r="G27" s="13"/>
      <c r="I27" s="5"/>
      <c r="J27" s="0" t="s">
        <v>42</v>
      </c>
    </row>
    <row r="28" outlineLevel="2">
      <c r="A28" s="12" t="s">
        <v>48</v>
      </c>
      <c r="B28" s="0" t="s">
        <v>34</v>
      </c>
      <c r="C28" s="13">
        <f>IFERROR(0.4*(1-w),"")</f>
        <v>0.398</v>
      </c>
      <c r="D28" s="13">
        <v>0.4</v>
      </c>
      <c r="E28" s="13">
        <v>0.42016806722689082</v>
      </c>
      <c r="F28" s="13"/>
      <c r="G28" s="13"/>
      <c r="I28" s="5"/>
      <c r="J28" s="0" t="s">
        <v>45</v>
      </c>
    </row>
    <row r="29" outlineLevel="2">
      <c r="A29" s="12" t="s">
        <v>49</v>
      </c>
      <c r="B29" s="0" t="s">
        <v>34</v>
      </c>
      <c r="C29" s="13">
        <f>IFERROR(0.034*(1-w),"")</f>
        <v>0.03383</v>
      </c>
      <c r="D29" s="13">
        <v>0.034</v>
      </c>
      <c r="E29" s="13">
        <v>0.035714285714285719</v>
      </c>
      <c r="F29" s="13"/>
      <c r="G29" s="13"/>
      <c r="I29" s="5"/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IFERROR(102.347*(1-w)+w*100,"")</f>
        <v>102.335265</v>
      </c>
      <c r="D30" s="13">
        <v>102.34700000000001</v>
      </c>
      <c r="E30" s="13">
        <v>102.46533613445379</v>
      </c>
      <c r="F30" s="13"/>
      <c r="G30" s="13"/>
      <c r="I30" s="5"/>
      <c r="J30" s="0" t="s">
        <v>42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IFERROR(130*(1-w),"")</f>
        <v>129.35</v>
      </c>
      <c r="D32" s="14">
        <v>130</v>
      </c>
      <c r="E32" s="14">
        <v>136.55462184873952</v>
      </c>
      <c r="F32" s="14"/>
      <c r="G32" s="14"/>
      <c r="I32" s="5"/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IFERROR(20*(1-w)-w*2.443,"")</f>
        <v>19.887784999999997</v>
      </c>
      <c r="D34" s="13">
        <v>20</v>
      </c>
      <c r="E34" s="13">
        <v>21.008403361344538</v>
      </c>
      <c r="F34" s="13"/>
      <c r="G34" s="13"/>
      <c r="I34" s="5"/>
      <c r="J34" s="0" t="s">
        <v>60</v>
      </c>
    </row>
    <row r="35" outlineLevel="2">
      <c r="A35" s="12" t="s">
        <v>61</v>
      </c>
      <c r="B35" s="0" t="s">
        <v>59</v>
      </c>
      <c r="C35" s="13">
        <f>IFERROR(19.74411752*(1-w),"")</f>
        <v>19.6453969324</v>
      </c>
      <c r="D35" s="13">
        <v>19.74411752</v>
      </c>
      <c r="E35" s="13">
        <v>20.739619243697479</v>
      </c>
      <c r="F35" s="13"/>
      <c r="G35" s="13"/>
      <c r="I35" s="5"/>
      <c r="J35" s="0" t="s">
        <v>42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560</v>
      </c>
      <c r="D37" s="14"/>
      <c r="E37" s="14"/>
      <c r="F37" s="14"/>
      <c r="G37" s="14"/>
      <c r="I37" s="5"/>
      <c r="J37" s="0" t="s">
        <v>50</v>
      </c>
      <c r="K37" s="0" t="s">
        <v>51</v>
      </c>
    </row>
    <row r="38" outlineLevel="2">
      <c r="A38" s="12" t="s">
        <v>65</v>
      </c>
      <c r="B38" s="0" t="s">
        <v>64</v>
      </c>
      <c r="C38" s="14">
        <v>11</v>
      </c>
      <c r="D38" s="14"/>
      <c r="E38" s="14"/>
      <c r="F38" s="14"/>
      <c r="G38" s="14"/>
      <c r="I38" s="5"/>
      <c r="J38" s="0" t="s">
        <v>50</v>
      </c>
      <c r="K38" s="0" t="s">
        <v>51</v>
      </c>
    </row>
    <row r="39" outlineLevel="2">
      <c r="A39" s="12" t="s">
        <v>66</v>
      </c>
      <c r="B39" s="0" t="s">
        <v>64</v>
      </c>
      <c r="C39" s="14">
        <v>220</v>
      </c>
      <c r="D39" s="14"/>
      <c r="E39" s="14"/>
      <c r="F39" s="14"/>
      <c r="G39" s="14"/>
      <c r="I39" s="5"/>
      <c r="J39" s="0" t="s">
        <v>50</v>
      </c>
      <c r="K39" s="0" t="s">
        <v>51</v>
      </c>
    </row>
    <row r="40" outlineLevel="2">
      <c r="A40" s="12" t="s">
        <v>67</v>
      </c>
      <c r="B40" s="0" t="s">
        <v>64</v>
      </c>
      <c r="C40" s="14">
        <v>12000</v>
      </c>
      <c r="D40" s="14"/>
      <c r="E40" s="14"/>
      <c r="F40" s="14"/>
      <c r="G40" s="14"/>
      <c r="I40" s="5"/>
      <c r="J40" s="0" t="s">
        <v>50</v>
      </c>
      <c r="K40" s="0" t="s">
        <v>51</v>
      </c>
    </row>
    <row r="41" outlineLevel="2">
      <c r="A41" s="12" t="s">
        <v>68</v>
      </c>
      <c r="B41" s="0" t="s">
        <v>64</v>
      </c>
      <c r="C41" s="14">
        <v>0.37</v>
      </c>
      <c r="D41" s="14"/>
      <c r="E41" s="14"/>
      <c r="F41" s="14"/>
      <c r="G41" s="14"/>
      <c r="I41" s="5"/>
      <c r="J41" s="0" t="s">
        <v>50</v>
      </c>
      <c r="K41" s="0" t="s">
        <v>51</v>
      </c>
    </row>
    <row r="42" outlineLevel="2">
      <c r="A42" s="12" t="s">
        <v>69</v>
      </c>
      <c r="B42" s="0" t="s">
        <v>64</v>
      </c>
      <c r="C42" s="14">
        <v>0.49</v>
      </c>
      <c r="D42" s="14"/>
      <c r="E42" s="14"/>
      <c r="F42" s="14"/>
      <c r="G42" s="14"/>
      <c r="I42" s="5"/>
      <c r="J42" s="0" t="s">
        <v>50</v>
      </c>
      <c r="K42" s="0" t="s">
        <v>51</v>
      </c>
    </row>
    <row r="43" outlineLevel="2">
      <c r="A43" s="12" t="s">
        <v>70</v>
      </c>
      <c r="B43" s="0" t="s">
        <v>64</v>
      </c>
      <c r="C43" s="14">
        <v>2.1</v>
      </c>
      <c r="D43" s="14"/>
      <c r="E43" s="14"/>
      <c r="F43" s="14"/>
      <c r="G43" s="14"/>
      <c r="I43" s="5"/>
      <c r="J43" s="0" t="s">
        <v>50</v>
      </c>
      <c r="K43" s="0" t="s">
        <v>51</v>
      </c>
    </row>
    <row r="44" outlineLevel="2">
      <c r="A44" s="12" t="s">
        <v>71</v>
      </c>
      <c r="B44" s="0" t="s">
        <v>64</v>
      </c>
      <c r="C44" s="14">
        <v>4.3</v>
      </c>
      <c r="D44" s="14"/>
      <c r="E44" s="14"/>
      <c r="F44" s="14"/>
      <c r="G44" s="14"/>
      <c r="I44" s="5"/>
      <c r="J44" s="0" t="s">
        <v>50</v>
      </c>
      <c r="K44" s="0" t="s">
        <v>51</v>
      </c>
    </row>
    <row r="45" outlineLevel="2">
      <c r="A45" s="12" t="s">
        <v>72</v>
      </c>
      <c r="B45" s="0" t="s">
        <v>64</v>
      </c>
      <c r="C45" s="14">
        <v>340</v>
      </c>
      <c r="D45" s="14"/>
      <c r="E45" s="14"/>
      <c r="F45" s="14"/>
      <c r="G45" s="14"/>
      <c r="I45" s="5"/>
      <c r="J45" s="0" t="s">
        <v>50</v>
      </c>
      <c r="K45" s="0" t="s">
        <v>51</v>
      </c>
    </row>
    <row r="46" outlineLevel="2">
      <c r="A46" s="12" t="s">
        <v>73</v>
      </c>
      <c r="B46" s="0" t="s">
        <v>64</v>
      </c>
      <c r="C46" s="14">
        <v>0.034</v>
      </c>
      <c r="D46" s="14"/>
      <c r="E46" s="14"/>
      <c r="F46" s="14"/>
      <c r="G46" s="14"/>
      <c r="I46" s="5"/>
      <c r="J46" s="0" t="s">
        <v>50</v>
      </c>
      <c r="K46" s="0" t="s">
        <v>51</v>
      </c>
    </row>
    <row r="47" outlineLevel="2">
      <c r="A47" s="12" t="s">
        <v>74</v>
      </c>
      <c r="B47" s="0" t="s">
        <v>64</v>
      </c>
      <c r="C47" s="14">
        <v>1000</v>
      </c>
      <c r="D47" s="14"/>
      <c r="E47" s="14"/>
      <c r="F47" s="14"/>
      <c r="G47" s="14"/>
      <c r="I47" s="5"/>
      <c r="J47" s="0" t="s">
        <v>50</v>
      </c>
      <c r="K47" s="0" t="s">
        <v>51</v>
      </c>
    </row>
    <row r="48" outlineLevel="2">
      <c r="A48" s="12" t="s">
        <v>75</v>
      </c>
      <c r="B48" s="0" t="s">
        <v>64</v>
      </c>
      <c r="C48" s="14">
        <v>790</v>
      </c>
      <c r="D48" s="14"/>
      <c r="E48" s="14"/>
      <c r="F48" s="14"/>
      <c r="G48" s="14"/>
      <c r="I48" s="5"/>
      <c r="J48" s="0" t="s">
        <v>50</v>
      </c>
      <c r="K48" s="0" t="s">
        <v>51</v>
      </c>
    </row>
    <row r="49" outlineLevel="2">
      <c r="A49" s="12" t="s">
        <v>76</v>
      </c>
      <c r="B49" s="0" t="s">
        <v>64</v>
      </c>
      <c r="C49" s="14">
        <v>620</v>
      </c>
      <c r="D49" s="14"/>
      <c r="E49" s="14"/>
      <c r="F49" s="14"/>
      <c r="G49" s="14"/>
      <c r="I49" s="5"/>
      <c r="J49" s="0" t="s">
        <v>50</v>
      </c>
      <c r="K49" s="0" t="s">
        <v>51</v>
      </c>
    </row>
    <row r="50" outlineLevel="2">
      <c r="A50" s="12" t="s">
        <v>77</v>
      </c>
      <c r="B50" s="0" t="s">
        <v>64</v>
      </c>
      <c r="C50" s="14">
        <v>430</v>
      </c>
      <c r="D50" s="14"/>
      <c r="E50" s="14"/>
      <c r="F50" s="14"/>
      <c r="G50" s="14"/>
      <c r="I50" s="5"/>
      <c r="J50" s="0" t="s">
        <v>50</v>
      </c>
      <c r="K50" s="0" t="s">
        <v>51</v>
      </c>
    </row>
    <row r="51" outlineLevel="2">
      <c r="A51" s="12" t="s">
        <v>78</v>
      </c>
      <c r="B51" s="0" t="s">
        <v>64</v>
      </c>
      <c r="C51" s="14">
        <v>1.8</v>
      </c>
      <c r="D51" s="14"/>
      <c r="E51" s="14"/>
      <c r="F51" s="14"/>
      <c r="G51" s="14"/>
      <c r="I51" s="5"/>
      <c r="J51" s="0" t="s">
        <v>50</v>
      </c>
      <c r="K51" s="0" t="s">
        <v>51</v>
      </c>
    </row>
    <row r="52" outlineLevel="2">
      <c r="A52" s="12" t="s">
        <v>79</v>
      </c>
      <c r="B52" s="0" t="s">
        <v>64</v>
      </c>
      <c r="C52" s="14">
        <v>440</v>
      </c>
      <c r="D52" s="14"/>
      <c r="E52" s="14"/>
      <c r="F52" s="14"/>
      <c r="G52" s="14"/>
      <c r="I52" s="5"/>
      <c r="J52" s="0" t="s">
        <v>50</v>
      </c>
      <c r="K52" s="0" t="s">
        <v>51</v>
      </c>
    </row>
    <row r="53" outlineLevel="2">
      <c r="A53" s="12" t="s">
        <v>80</v>
      </c>
      <c r="B53" s="0" t="s">
        <v>64</v>
      </c>
      <c r="C53" s="14">
        <v>0.7</v>
      </c>
      <c r="D53" s="14"/>
      <c r="E53" s="14"/>
      <c r="F53" s="14"/>
      <c r="G53" s="14"/>
      <c r="I53" s="5"/>
      <c r="J53" s="0" t="s">
        <v>50</v>
      </c>
      <c r="K53" s="0" t="s">
        <v>51</v>
      </c>
    </row>
    <row r="54" outlineLevel="2">
      <c r="A54" s="12" t="s">
        <v>81</v>
      </c>
      <c r="B54" s="0" t="s">
        <v>64</v>
      </c>
      <c r="C54" s="14">
        <v>3800</v>
      </c>
      <c r="D54" s="14"/>
      <c r="E54" s="14"/>
      <c r="F54" s="14"/>
      <c r="G54" s="14"/>
      <c r="I54" s="5"/>
      <c r="J54" s="0" t="s">
        <v>50</v>
      </c>
      <c r="K54" s="0" t="s">
        <v>51</v>
      </c>
    </row>
    <row r="55" outlineLevel="2">
      <c r="A55" s="12" t="s">
        <v>82</v>
      </c>
      <c r="B55" s="0" t="s">
        <v>64</v>
      </c>
      <c r="C55" s="14">
        <v>46</v>
      </c>
      <c r="D55" s="14"/>
      <c r="E55" s="14"/>
      <c r="F55" s="14"/>
      <c r="G55" s="14"/>
      <c r="I55" s="5"/>
      <c r="J55" s="0" t="s">
        <v>50</v>
      </c>
      <c r="K55" s="0" t="s">
        <v>51</v>
      </c>
    </row>
    <row r="56" outlineLevel="2">
      <c r="A56" s="12" t="s">
        <v>83</v>
      </c>
      <c r="B56" s="0" t="s">
        <v>64</v>
      </c>
      <c r="C56" s="14">
        <v>280</v>
      </c>
      <c r="D56" s="14"/>
      <c r="E56" s="14"/>
      <c r="F56" s="14"/>
      <c r="G56" s="14"/>
      <c r="I56" s="5"/>
      <c r="J56" s="0" t="s">
        <v>50</v>
      </c>
      <c r="K56" s="0" t="s">
        <v>51</v>
      </c>
    </row>
    <row r="57" outlineLevel="2">
      <c r="A57" s="12" t="s">
        <v>84</v>
      </c>
      <c r="B57" s="0" t="s">
        <v>64</v>
      </c>
      <c r="C57" s="14">
        <v>0.78</v>
      </c>
      <c r="D57" s="14"/>
      <c r="E57" s="14"/>
      <c r="F57" s="14"/>
      <c r="G57" s="14"/>
      <c r="I57" s="5"/>
      <c r="J57" s="0" t="s">
        <v>50</v>
      </c>
      <c r="K57" s="0" t="s">
        <v>51</v>
      </c>
    </row>
    <row r="58" outlineLevel="2">
      <c r="A58" s="12" t="s">
        <v>85</v>
      </c>
      <c r="B58" s="0" t="s">
        <v>64</v>
      </c>
      <c r="C58" s="14">
        <v>1.6</v>
      </c>
      <c r="D58" s="14"/>
      <c r="E58" s="14"/>
      <c r="F58" s="14"/>
      <c r="G58" s="14"/>
      <c r="I58" s="5"/>
      <c r="J58" s="0" t="s">
        <v>50</v>
      </c>
      <c r="K58" s="0" t="s">
        <v>51</v>
      </c>
    </row>
    <row r="59" outlineLevel="2">
      <c r="A59" s="12" t="s">
        <v>86</v>
      </c>
      <c r="B59" s="0" t="s">
        <v>64</v>
      </c>
      <c r="C59" s="14">
        <v>160</v>
      </c>
      <c r="D59" s="14"/>
      <c r="E59" s="14"/>
      <c r="F59" s="14"/>
      <c r="G59" s="14"/>
      <c r="I59" s="5"/>
      <c r="J59" s="0" t="s">
        <v>50</v>
      </c>
      <c r="K59" s="0" t="s">
        <v>51</v>
      </c>
    </row>
    <row r="60">
      <c r="I60" s="5"/>
    </row>
    <row r="61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</mergeCells>
  <dataValidations count="1">
    <dataValidation type="decimal" sqref="C19" errorStyle="stop" promptTitle="Enter moisture content" errorTitle="Invalid moisture content" prompt="Value should be between 0 and 100.&#10;Original value: 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https://phyllis.nl/Biomass/View/3555</dc:description>
  <dcterms:created xsi:type="dcterms:W3CDTF">2026-03-19T04:16:22Z</dcterms:created>
  <dc:title>Phyllis2 #3555 Bark, spruce, prewashed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