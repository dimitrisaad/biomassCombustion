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58 White pellets" sheetId="1" r:id="rId1"/>
  </sheets>
  <definedNames>
    <definedName name="w" localSheetId="0">IF(ISBLANK('Phyllis2 #3558 White pellets'!$C$21),#N/A,'Phyllis2 #3558 White pellets'!$C$21/100)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<sst xmlns="http://schemas.openxmlformats.org/spreadsheetml/2006/main" count="62" uniqueCount="62">
  <si>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</si>
  <si>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https://phyllis.nl/Biomass/View/3558</t>
  </si>
  <si>
    <t>White pellets (#3558)</t>
  </si>
  <si>
    <t>ID-number</t>
  </si>
  <si>
    <t>#3558</t>
  </si>
  <si>
    <t>Material</t>
  </si>
  <si>
    <t>White pellets</t>
  </si>
  <si>
    <t>Description</t>
  </si>
  <si>
    <t>Sample acquired in the frame of the EU H2020 project Biofficiency</t>
  </si>
  <si>
    <t>Pretreatment: no</t>
  </si>
  <si>
    <t>Classification</t>
  </si>
  <si>
    <t>ECN Phyllis classification &gt; untreated wood &gt; others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</si>
  <si>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</si>
  <si>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</si>
  <si>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</si>
  <si>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</si>
  <si>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</si>
  <si>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</si>
  <si>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</si>
  <si>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</si>
  <si>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</si>
  <si>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</si>
  <si>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</si>
  <si>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</si>
  <si>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</si>
  <si>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</si>
  <si>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</si>
  <si>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</si>
  <si>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</si>
  <si>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</si>
  <si>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</si>
  <si>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</si>
  <si>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</si>
  <si>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</si>
  <si>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</si>
  <si>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</si>
  <si>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</si>
  <si>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</si>
  <si>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</si>
  <si>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</si>
  <si>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</si>
  <si>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</si>
  <si>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</si>
  <si>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</si>
  <si>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</si>
  <si>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</si>
  <si>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</si>
  <si>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</si>
  <si>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</si>
  <si>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</si>
  <si>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</si>
  <si>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</si>
  <si>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</si>
  <si>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</si>
  <si>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</si>
  <si>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</si>
  <si>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</si>
  <si>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European standard method</t>
  </si>
  <si>
    <t>DEF (deformation temperature)</t>
  </si>
  <si>
    <t>°C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</si>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</sst>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5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43347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43712.3086111111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5.9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IFERROR(1.54*(1-w),"")</f>
        <v>1.4491399999999999</v>
      </c>
      <c r="D22" s="13">
        <v>1.54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IFERROR(83*(1-w),"")</f>
        <v>78.103</v>
      </c>
      <c r="D23" s="13">
        <v>83</v>
      </c>
      <c r="E23" s="13">
        <v>84.29819215925248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IFERROR(15.46*(1-w),"")</f>
        <v>14.547859999999993</v>
      </c>
      <c r="D24" s="13">
        <v>15.459999999999994</v>
      </c>
      <c r="E24" s="13">
        <v>15.701807840747504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IFERROR(49.2*(1-w),"")</f>
        <v>46.2972</v>
      </c>
      <c r="D26" s="13">
        <v>49.2</v>
      </c>
      <c r="E26" s="13">
        <v>49.969530773918343</v>
      </c>
      <c r="F26" s="13"/>
      <c r="G26" s="13"/>
      <c r="I26" s="5"/>
    </row>
    <row r="27" outlineLevel="2">
      <c r="A27" s="12" t="s">
        <v>43</v>
      </c>
      <c r="B27" s="0" t="s">
        <v>36</v>
      </c>
      <c r="C27" s="13">
        <f>IFERROR(6.04*(1-w),"")</f>
        <v>5.68364</v>
      </c>
      <c r="D27" s="13">
        <v>6.04</v>
      </c>
      <c r="E27" s="13">
        <v>6.1344708511070483</v>
      </c>
      <c r="F27" s="13"/>
      <c r="G27" s="13"/>
      <c r="I27" s="5"/>
    </row>
    <row r="28" outlineLevel="2">
      <c r="A28" s="12" t="s">
        <v>44</v>
      </c>
      <c r="B28" s="0" t="s">
        <v>36</v>
      </c>
      <c r="C28" s="13">
        <f>IFERROR(43.04*(1-w),"")</f>
        <v>40.50064</v>
      </c>
      <c r="D28" s="13">
        <v>43.04</v>
      </c>
      <c r="E28" s="13">
        <v>43.713183018484663</v>
      </c>
      <c r="F28" s="13"/>
      <c r="G28" s="13"/>
      <c r="I28" s="5"/>
    </row>
    <row r="29" outlineLevel="2">
      <c r="A29" s="12" t="s">
        <v>45</v>
      </c>
      <c r="B29" s="0" t="s">
        <v>36</v>
      </c>
      <c r="C29" s="13">
        <f>IFERROR(0.11*(1-w),"")</f>
        <v>0.10350999999999999</v>
      </c>
      <c r="D29" s="13">
        <v>0.11</v>
      </c>
      <c r="E29" s="13">
        <v>0.11172049563274426</v>
      </c>
      <c r="F29" s="13"/>
      <c r="G29" s="13"/>
      <c r="I29" s="5"/>
    </row>
    <row r="30" outlineLevel="2">
      <c r="A30" s="12" t="s">
        <v>46</v>
      </c>
      <c r="B30" s="0" t="s">
        <v>36</v>
      </c>
      <c r="C30" s="13">
        <f>IFERROR(0.06*(1-w),"")</f>
        <v>0.056459999999999996</v>
      </c>
      <c r="D30" s="13">
        <v>0.06</v>
      </c>
      <c r="E30" s="13">
        <v>0.060938452163315046</v>
      </c>
      <c r="F30" s="13"/>
      <c r="G30" s="13"/>
      <c r="I30" s="5"/>
    </row>
    <row r="31" outlineLevel="2">
      <c r="A31" s="12" t="s">
        <v>47</v>
      </c>
      <c r="B31" s="0" t="s">
        <v>36</v>
      </c>
      <c r="C31" s="13">
        <f>IFERROR(99.990002*(1-w)+w*100,"")</f>
        <v>99.990591882</v>
      </c>
      <c r="D31" s="13">
        <v>99.990002</v>
      </c>
      <c r="E31" s="13">
        <v>99.98984562258785</v>
      </c>
      <c r="F31" s="13"/>
      <c r="G31" s="13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f>IFERROR(0.02*(1-w),"")</f>
        <v>0.01882</v>
      </c>
      <c r="D33" s="14">
        <v>0.02</v>
      </c>
      <c r="E33" s="14">
        <v>0.020312817387771683</v>
      </c>
      <c r="F33" s="14"/>
      <c r="G33" s="14"/>
      <c r="I33" s="5"/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IFERROR(18.36*(1-w)-w*2.443,"")</f>
        <v>17.132623</v>
      </c>
      <c r="D35" s="13">
        <v>18.36</v>
      </c>
      <c r="E35" s="13">
        <v>18.647166361974406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IFERROR(19.68*(1-w),"")</f>
        <v>18.51888</v>
      </c>
      <c r="D36" s="13">
        <v>19.68</v>
      </c>
      <c r="E36" s="13">
        <v>19.987812309567335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IFERROR(19.5649968548*(1-w),"")</f>
        <v>18.4106620403668</v>
      </c>
      <c r="D37" s="13">
        <v>19.564996854800004</v>
      </c>
      <c r="E37" s="13">
        <v>19.871010415193989</v>
      </c>
      <c r="F37" s="13"/>
      <c r="G37" s="13"/>
      <c r="I37" s="5"/>
      <c r="J37" s="0" t="s">
        <v>40</v>
      </c>
    </row>
    <row r="38" outlineLevel="1">
      <c r="A38" s="11" t="s">
        <v>56</v>
      </c>
      <c r="I38" s="5"/>
    </row>
    <row r="39" outlineLevel="2">
      <c r="A39" s="15" t="s">
        <v>57</v>
      </c>
      <c r="I39" s="5"/>
    </row>
    <row r="40" outlineLevel="3">
      <c r="A40" s="16" t="s">
        <v>58</v>
      </c>
      <c r="B40" s="0" t="s">
        <v>59</v>
      </c>
      <c r="C40" s="17">
        <v>1190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59</v>
      </c>
      <c r="C41" s="17">
        <v>1250</v>
      </c>
      <c r="D41" s="17"/>
      <c r="E41" s="17"/>
      <c r="F41" s="17"/>
      <c r="G41" s="17"/>
      <c r="I41" s="5"/>
    </row>
    <row r="42" outlineLevel="3">
      <c r="A42" s="16" t="s">
        <v>61</v>
      </c>
      <c r="B42" s="0" t="s">
        <v>59</v>
      </c>
      <c r="C42" s="17">
        <v>1260</v>
      </c>
      <c r="D42" s="17"/>
      <c r="E42" s="17"/>
      <c r="F42" s="17"/>
      <c r="G42" s="17"/>
      <c r="I42" s="5"/>
    </row>
    <row r="43">
      <c r="I43" s="5"/>
    </row>
    <row r="44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40:E40"/>
    <mergeCell ref="C41:E41"/>
    <mergeCell ref="C42:E42"/>
  </mergeCells>
  <dataValidations count="1">
    <dataValidation type="decimal" sqref="C21" errorStyle="stop" promptTitle="Enter moisture content" errorTitle="Invalid moisture content" prompt="Value should be between 0 and 100.&#10;Original value: 5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https://phyllis.nl/Biomass/View/3558</dc:description>
  <dcterms:created xsi:type="dcterms:W3CDTF">2026-03-19T07:22:18Z</dcterms:created>
  <dc:title>Phyllis2 #3558 White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