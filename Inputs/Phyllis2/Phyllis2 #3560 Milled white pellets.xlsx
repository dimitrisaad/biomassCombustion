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60 Milled white pel" sheetId="1" r:id="rId1"/>
  </sheets>
  <definedNames>
    <definedName name="w" localSheetId="0">IF(ISBLANK('Phyllis2 #3560 Milled white pel'!$C$21),#N/A,'Phyllis2 #3560 Milled white pel'!$C$21/100)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<sst xmlns="http://schemas.openxmlformats.org/spreadsheetml/2006/main" count="62" uniqueCount="62">
  <si>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</si>
  <si>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https://phyllis.nl/Biomass/View/3560</t>
  </si>
  <si>
    <t>Milled white pellets (#3560)</t>
  </si>
  <si>
    <t>ID-number</t>
  </si>
  <si>
    <t>#3560</t>
  </si>
  <si>
    <t>Material</t>
  </si>
  <si>
    <t>Milled white pellets</t>
  </si>
  <si>
    <t>Description</t>
  </si>
  <si>
    <t>Sample acquired in the frame of the EU H2020 project Biofficiency</t>
  </si>
  <si>
    <t>Pretreatment: no</t>
  </si>
  <si>
    <t>Classification</t>
  </si>
  <si>
    <t>ECN Phyllis classification &gt; untreated wood &gt; others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</si>
  <si>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</si>
  <si>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</si>
  <si>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</si>
  <si>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</si>
  <si>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</si>
  <si>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</si>
  <si>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</si>
  <si>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</si>
  <si>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</si>
  <si>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</si>
  <si>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</si>
  <si>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</si>
  <si>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</si>
  <si>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</si>
  <si>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</si>
  <si>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</si>
  <si>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</si>
  <si>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</si>
  <si>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</si>
  <si>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</si>
  <si>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</si>
  <si>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</si>
  <si>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</si>
  <si>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</si>
  <si>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</si>
  <si>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</si>
  <si>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</si>
  <si>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</si>
  <si>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</si>
  <si>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</si>
  <si>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</si>
  <si>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</si>
  <si>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</si>
  <si>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</si>
  <si>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</si>
  <si>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</si>
  <si>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</si>
  <si>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</si>
  <si>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</si>
  <si>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</si>
  <si>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</si>
  <si>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</si>
  <si>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</si>
  <si>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</si>
  <si>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</si>
  <si>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European standard method</t>
  </si>
  <si>
    <t>DEF (deformation temperature)</t>
  </si>
  <si>
    <t>°C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</si>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</sst>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43108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43712.5816898148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5.92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IFERROR(1.25*(1-w),"")</f>
        <v>1.176</v>
      </c>
      <c r="D22" s="13">
        <v>1.25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IFERROR(84.52*(1-w),"")</f>
        <v>79.516415999999992</v>
      </c>
      <c r="D23" s="13">
        <v>84.52</v>
      </c>
      <c r="E23" s="13">
        <v>85.5898734177215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IFERROR(14.23*(1-w),"")</f>
        <v>13.387584000000004</v>
      </c>
      <c r="D24" s="13">
        <v>14.230000000000004</v>
      </c>
      <c r="E24" s="13">
        <v>14.410126582278485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IFERROR(50.98*(1-w),"")</f>
        <v>47.961983999999994</v>
      </c>
      <c r="D26" s="13">
        <v>50.98</v>
      </c>
      <c r="E26" s="13">
        <v>51.6253164556962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IFERROR(5.87*(1-w),"")</f>
        <v>5.522496</v>
      </c>
      <c r="D27" s="13">
        <v>5.87</v>
      </c>
      <c r="E27" s="13">
        <v>5.9443037974683541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IFERROR(41.68*(1-w),"")</f>
        <v>39.212544</v>
      </c>
      <c r="D28" s="13">
        <v>41.68</v>
      </c>
      <c r="E28" s="13">
        <v>42.207594936708858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IFERROR(0.14*(1-w),"")</f>
        <v>0.131712</v>
      </c>
      <c r="D29" s="13">
        <v>0.14</v>
      </c>
      <c r="E29" s="13">
        <v>0.14177215189873418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IFERROR(0.07*(1-w),"")</f>
        <v>0.065856</v>
      </c>
      <c r="D30" s="13">
        <v>0.07</v>
      </c>
      <c r="E30" s="13">
        <v>0.070886075949367092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IFERROR(99.990001*(1-w)+w*100,"")</f>
        <v>99.990592940799985</v>
      </c>
      <c r="D31" s="13">
        <v>99.990000999999992</v>
      </c>
      <c r="E31" s="13">
        <v>99.989874430379729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IFERROR(0.01*(1-w),"")</f>
        <v>0.009408</v>
      </c>
      <c r="D33" s="14">
        <v>0.01</v>
      </c>
      <c r="E33" s="14">
        <v>0.010126582278481013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IFERROR(20.18*(1-w)-w*2.443,"")</f>
        <v>18.840718399999997</v>
      </c>
      <c r="D35" s="13">
        <v>20.18</v>
      </c>
      <c r="E35" s="13">
        <v>20.435443037974682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IFERROR(21.47*(1-w),"")</f>
        <v>20.198976</v>
      </c>
      <c r="D36" s="13">
        <v>21.47</v>
      </c>
      <c r="E36" s="13">
        <v>21.741772151898733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IFERROR(20.1118360625*(1-w),"")</f>
        <v>18.9212153676</v>
      </c>
      <c r="D37" s="13">
        <v>20.1118360625</v>
      </c>
      <c r="E37" s="13">
        <v>20.366416265822785</v>
      </c>
      <c r="F37" s="13"/>
      <c r="G37" s="13"/>
      <c r="I37" s="5"/>
      <c r="J37" s="0" t="s">
        <v>40</v>
      </c>
    </row>
    <row r="38" outlineLevel="1">
      <c r="A38" s="11" t="s">
        <v>56</v>
      </c>
      <c r="I38" s="5"/>
    </row>
    <row r="39" outlineLevel="2">
      <c r="A39" s="15" t="s">
        <v>57</v>
      </c>
      <c r="I39" s="5"/>
    </row>
    <row r="40" outlineLevel="3">
      <c r="A40" s="16" t="s">
        <v>58</v>
      </c>
      <c r="B40" s="0" t="s">
        <v>59</v>
      </c>
      <c r="C40" s="17">
        <v>1351.5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59</v>
      </c>
      <c r="C41" s="17">
        <v>1381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59</v>
      </c>
      <c r="C42" s="17">
        <v>1402.5</v>
      </c>
      <c r="D42" s="17"/>
      <c r="E42" s="17"/>
      <c r="F42" s="17"/>
      <c r="G42" s="17"/>
      <c r="I42" s="5"/>
    </row>
    <row r="43">
      <c r="I43" s="5"/>
    </row>
    <row r="44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0:E40"/>
    <mergeCell ref="C41:E41"/>
    <mergeCell ref="C42:E42"/>
  </mergeCells>
  <dataValidations count="1">
    <dataValidation type="decimal" sqref="C21" errorStyle="stop" promptTitle="Enter moisture content" errorTitle="Invalid moisture content" prompt="Value should be between 0 and 100.&#10;Original value: 5.9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https://phyllis.nl/Biomass/View/3560</dc:description>
  <dcterms:created xsi:type="dcterms:W3CDTF">2026-03-19T07:22:14Z</dcterms:created>
  <dc:title>Phyllis2 #3560 Milled white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