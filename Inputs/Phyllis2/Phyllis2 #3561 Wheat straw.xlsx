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61 Wheat straw" sheetId="1" r:id="rId1"/>
  </sheets>
  <definedNames>
    <definedName name="w" localSheetId="0">IF(ISBLANK('Phyllis2 #3561 Wheat straw'!$C$21),#N/A,'Phyllis2 #3561 Wheat straw'!$C$21/100)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<sst xmlns="http://schemas.openxmlformats.org/spreadsheetml/2006/main" count="65" uniqueCount="65">
  <si>
    <t>Phyllis2</t>
  </si>
  <si>
    <t>https://phyllis.nl/Biomass/View/3561</t>
  </si>
  <si>
    <t>Wheat straw (#3561)</t>
  </si>
  <si>
    <t>ID-number</t>
  </si>
  <si>
    <t>#3561</t>
  </si>
  <si>
    <t>Material</t>
  </si>
  <si>
    <t>Wheat straw</t>
  </si>
  <si>
    <t>Description</t>
  </si>
  <si>
    <t>Sample acquired in the frame of the EU H2020 project Biofficiency</t>
  </si>
  <si>
    <t>Pretreatment: pulverised and sieved</t>
  </si>
  <si>
    <t>Classification</t>
  </si>
  <si>
    <t>ECN Phyllis classification &gt; straw (stalk/cob/ear) &gt; wheat &gt; wheat straw</t>
  </si>
  <si>
    <t>Producer</t>
  </si>
  <si>
    <t>EU H2020 project Biofficiency</t>
  </si>
  <si>
    <t>Production date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</si>
  <si>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</si>
  <si>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</si>
  <si>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</si>
  <si>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</si>
  <si>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</si>
  <si>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</si>
  <si>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</si>
  <si>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</si>
  <si>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</si>
  <si>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</si>
  <si>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</si>
  <si>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</si>
  <si>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</si>
  <si>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</si>
  <si>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</si>
  <si>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</si>
  <si>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</si>
  <si>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</si>
  <si>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</si>
  <si>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</si>
  <si>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</si>
  <si>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</si>
  <si>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</si>
  <si>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</si>
  <si>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</si>
  <si>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</si>
  <si>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</si>
  <si>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</si>
  <si>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</si>
  <si>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</si>
  <si>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</si>
  <si>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</si>
  <si>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</si>
  <si>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</si>
  <si>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Trace elements composition</t>
  </si>
  <si>
    <t>Aluminium (Al)</t>
  </si>
  <si>
    <t>mg/kg (dry)</t>
  </si>
  <si>
    <t>ICP/OES</t>
  </si>
  <si>
    <t>Calcium (Ca)</t>
  </si>
  <si>
    <t>Cadmium (Cd)</t>
  </si>
  <si>
    <t>Copper (Cu)</t>
  </si>
  <si>
    <t>Iron (Fe)</t>
  </si>
  <si>
    <t>Potassium (K)</t>
  </si>
  <si>
    <t>Magnesium (Mg)</t>
  </si>
  <si>
    <t>Manganese (Mn)</t>
  </si>
  <si>
    <t>Sodium (Na)</t>
  </si>
  <si>
    <t>Phosphorus (P)</t>
  </si>
  <si>
    <t>Lead (Pb)</t>
  </si>
  <si>
    <t>Silicon (Si)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</si>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</sst>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6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42920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43712.5855902778</v>
      </c>
    </row>
    <row r="15">
      <c r="A15" s="7"/>
    </row>
    <row r="16" s="1" customFormat="1">
      <c r="A16" s="9" t="s">
        <v>20</v>
      </c>
    </row>
    <row r="17" s="1" customFormat="1">
      <c r="A17" s="10" t="s">
        <v>21</v>
      </c>
      <c r="B17" s="10" t="s">
        <v>22</v>
      </c>
      <c r="C17" s="10" t="s">
        <v>23</v>
      </c>
      <c r="D17" s="10"/>
      <c r="E17" s="10"/>
      <c r="F17" s="10" t="s">
        <v>24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29</v>
      </c>
      <c r="L17" s="10"/>
    </row>
    <row r="18" s="1" customFormat="1">
      <c r="A18" s="10"/>
      <c r="B18" s="10"/>
      <c r="C18" s="10" t="s">
        <v>30</v>
      </c>
      <c r="D18" s="10" t="s">
        <v>31</v>
      </c>
      <c r="E18" s="10" t="s">
        <v>32</v>
      </c>
      <c r="F18" s="10"/>
      <c r="G18" s="10"/>
      <c r="H18" s="10"/>
      <c r="I18" s="10"/>
      <c r="J18" s="10"/>
      <c r="K18" s="10"/>
      <c r="L18" s="10"/>
    </row>
    <row r="19">
      <c r="A19" s="7" t="s">
        <v>33</v>
      </c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36</v>
      </c>
      <c r="C21" s="13">
        <v>10</v>
      </c>
      <c r="D21" s="13"/>
      <c r="E21" s="13"/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IFERROR(6.19*(1-w),"")</f>
        <v>5.5710000000000006</v>
      </c>
      <c r="D22" s="13">
        <v>6.19</v>
      </c>
      <c r="E22" s="13">
        <v/>
      </c>
      <c r="F22" s="13"/>
      <c r="G22" s="13"/>
      <c r="I22" s="5"/>
    </row>
    <row r="23" outlineLevel="1">
      <c r="A23" s="11" t="s">
        <v>38</v>
      </c>
      <c r="I23" s="5"/>
    </row>
    <row r="24" outlineLevel="2">
      <c r="A24" s="12" t="s">
        <v>39</v>
      </c>
      <c r="B24" s="0" t="s">
        <v>36</v>
      </c>
      <c r="C24" s="13">
        <f>IFERROR(51.03*(1-w),"")</f>
        <v>45.927</v>
      </c>
      <c r="D24" s="13">
        <v>51.03</v>
      </c>
      <c r="E24" s="13">
        <v>54.3971858010873</v>
      </c>
      <c r="F24" s="13"/>
      <c r="G24" s="13"/>
      <c r="I24" s="5"/>
    </row>
    <row r="25" outlineLevel="2">
      <c r="A25" s="12" t="s">
        <v>40</v>
      </c>
      <c r="B25" s="0" t="s">
        <v>36</v>
      </c>
      <c r="C25" s="13">
        <f>IFERROR(6.51*(1-w),"")</f>
        <v>5.859</v>
      </c>
      <c r="D25" s="13">
        <v>6.51</v>
      </c>
      <c r="E25" s="13">
        <v>6.939558682443236</v>
      </c>
      <c r="F25" s="13"/>
      <c r="G25" s="13"/>
      <c r="I25" s="5"/>
    </row>
    <row r="26" outlineLevel="2">
      <c r="A26" s="12" t="s">
        <v>41</v>
      </c>
      <c r="B26" s="0" t="s">
        <v>36</v>
      </c>
      <c r="C26" s="13">
        <f>IFERROR(35.56*(1-w),"")</f>
        <v>32.004000000000005</v>
      </c>
      <c r="D26" s="13">
        <v>35.56</v>
      </c>
      <c r="E26" s="13">
        <v>37.906406566464128</v>
      </c>
      <c r="F26" s="13"/>
      <c r="G26" s="13"/>
      <c r="I26" s="5"/>
    </row>
    <row r="27" outlineLevel="2">
      <c r="A27" s="12" t="s">
        <v>42</v>
      </c>
      <c r="B27" s="0" t="s">
        <v>36</v>
      </c>
      <c r="C27" s="13">
        <f>IFERROR(0.71*(1-w),"")</f>
        <v>0.639</v>
      </c>
      <c r="D27" s="13">
        <v>0.71</v>
      </c>
      <c r="E27" s="13">
        <v>0.75684895000532981</v>
      </c>
      <c r="F27" s="13"/>
      <c r="G27" s="13"/>
      <c r="I27" s="5"/>
    </row>
    <row r="28" outlineLevel="2">
      <c r="A28" s="12" t="s">
        <v>43</v>
      </c>
      <c r="B28" s="0" t="s">
        <v>36</v>
      </c>
      <c r="C28" s="13">
        <f>IFERROR(0.11*(1-w),"")</f>
        <v>0.099</v>
      </c>
      <c r="D28" s="13">
        <v>0.11</v>
      </c>
      <c r="E28" s="13">
        <v>0.11725828802899477</v>
      </c>
      <c r="F28" s="13"/>
      <c r="G28" s="13"/>
      <c r="I28" s="5"/>
    </row>
    <row r="29" outlineLevel="2">
      <c r="A29" s="12" t="s">
        <v>44</v>
      </c>
      <c r="B29" s="0" t="s">
        <v>36</v>
      </c>
      <c r="C29" s="13">
        <f>IFERROR(100.11*(1-w)+w*100,"")</f>
        <v>100.09899999999999</v>
      </c>
      <c r="D29" s="13">
        <v>100.10999999999999</v>
      </c>
      <c r="E29" s="13">
        <v>100.11725828802898</v>
      </c>
      <c r="F29" s="13"/>
      <c r="G29" s="13"/>
      <c r="I29" s="5"/>
      <c r="J29" s="0" t="s">
        <v>45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IFERROR(21.5737513633*(1-w),"")</f>
        <v>19.416376226970005</v>
      </c>
      <c r="D31" s="13">
        <v>21.573751363300005</v>
      </c>
      <c r="E31" s="13">
        <v>22.997283192943186</v>
      </c>
      <c r="F31" s="13"/>
      <c r="G31" s="13"/>
      <c r="I31" s="5"/>
      <c r="J31" s="0" t="s">
        <v>45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4">
        <v>61</v>
      </c>
      <c r="D33" s="14"/>
      <c r="E33" s="14"/>
      <c r="F33" s="14"/>
      <c r="G33" s="14"/>
      <c r="I33" s="5"/>
      <c r="J33" s="0" t="s">
        <v>52</v>
      </c>
    </row>
    <row r="34" outlineLevel="2">
      <c r="A34" s="12" t="s">
        <v>53</v>
      </c>
      <c r="B34" s="0" t="s">
        <v>51</v>
      </c>
      <c r="C34" s="14">
        <v>10800</v>
      </c>
      <c r="D34" s="14"/>
      <c r="E34" s="14"/>
      <c r="F34" s="14"/>
      <c r="G34" s="14"/>
      <c r="I34" s="5"/>
      <c r="J34" s="0" t="s">
        <v>52</v>
      </c>
    </row>
    <row r="35" outlineLevel="2">
      <c r="A35" s="12" t="s">
        <v>54</v>
      </c>
      <c r="B35" s="0" t="s">
        <v>51</v>
      </c>
      <c r="C35" s="14">
        <v>0.1</v>
      </c>
      <c r="D35" s="14"/>
      <c r="E35" s="14"/>
      <c r="F35" s="14"/>
      <c r="G35" s="14"/>
      <c r="I35" s="5"/>
      <c r="J35" s="0" t="s">
        <v>52</v>
      </c>
    </row>
    <row r="36" outlineLevel="2">
      <c r="A36" s="12" t="s">
        <v>55</v>
      </c>
      <c r="B36" s="0" t="s">
        <v>51</v>
      </c>
      <c r="C36" s="14">
        <v>2.6</v>
      </c>
      <c r="D36" s="14"/>
      <c r="E36" s="14"/>
      <c r="F36" s="14"/>
      <c r="G36" s="14"/>
      <c r="I36" s="5"/>
      <c r="J36" s="0" t="s">
        <v>52</v>
      </c>
    </row>
    <row r="37" outlineLevel="2">
      <c r="A37" s="12" t="s">
        <v>56</v>
      </c>
      <c r="B37" s="0" t="s">
        <v>51</v>
      </c>
      <c r="C37" s="14">
        <v>84</v>
      </c>
      <c r="D37" s="14"/>
      <c r="E37" s="14"/>
      <c r="F37" s="14"/>
      <c r="G37" s="14"/>
      <c r="I37" s="5"/>
      <c r="J37" s="0" t="s">
        <v>52</v>
      </c>
    </row>
    <row r="38" outlineLevel="2">
      <c r="A38" s="12" t="s">
        <v>57</v>
      </c>
      <c r="B38" s="0" t="s">
        <v>51</v>
      </c>
      <c r="C38" s="14">
        <v>9040</v>
      </c>
      <c r="D38" s="14"/>
      <c r="E38" s="14"/>
      <c r="F38" s="14"/>
      <c r="G38" s="14"/>
      <c r="I38" s="5"/>
      <c r="J38" s="0" t="s">
        <v>52</v>
      </c>
    </row>
    <row r="39" outlineLevel="2">
      <c r="A39" s="12" t="s">
        <v>58</v>
      </c>
      <c r="B39" s="0" t="s">
        <v>51</v>
      </c>
      <c r="C39" s="14">
        <v>792</v>
      </c>
      <c r="D39" s="14"/>
      <c r="E39" s="14"/>
      <c r="F39" s="14"/>
      <c r="G39" s="14"/>
      <c r="I39" s="5"/>
      <c r="J39" s="0" t="s">
        <v>52</v>
      </c>
    </row>
    <row r="40" outlineLevel="2">
      <c r="A40" s="12" t="s">
        <v>59</v>
      </c>
      <c r="B40" s="0" t="s">
        <v>51</v>
      </c>
      <c r="C40" s="14">
        <v>23.4</v>
      </c>
      <c r="D40" s="14"/>
      <c r="E40" s="14"/>
      <c r="F40" s="14"/>
      <c r="G40" s="14"/>
      <c r="I40" s="5"/>
      <c r="J40" s="0" t="s">
        <v>52</v>
      </c>
    </row>
    <row r="41" outlineLevel="2">
      <c r="A41" s="12" t="s">
        <v>60</v>
      </c>
      <c r="B41" s="0" t="s">
        <v>51</v>
      </c>
      <c r="C41" s="14">
        <v>114</v>
      </c>
      <c r="D41" s="14"/>
      <c r="E41" s="14"/>
      <c r="F41" s="14"/>
      <c r="G41" s="14"/>
      <c r="I41" s="5"/>
      <c r="J41" s="0" t="s">
        <v>52</v>
      </c>
    </row>
    <row r="42" outlineLevel="2">
      <c r="A42" s="12" t="s">
        <v>61</v>
      </c>
      <c r="B42" s="0" t="s">
        <v>51</v>
      </c>
      <c r="C42" s="14">
        <v>1110</v>
      </c>
      <c r="D42" s="14"/>
      <c r="E42" s="14"/>
      <c r="F42" s="14"/>
      <c r="G42" s="14"/>
      <c r="I42" s="5"/>
      <c r="J42" s="0" t="s">
        <v>52</v>
      </c>
    </row>
    <row r="43" outlineLevel="2">
      <c r="A43" s="12" t="s">
        <v>62</v>
      </c>
      <c r="B43" s="0" t="s">
        <v>51</v>
      </c>
      <c r="C43" s="14">
        <v>0.4</v>
      </c>
      <c r="D43" s="14"/>
      <c r="E43" s="14"/>
      <c r="F43" s="14"/>
      <c r="G43" s="14"/>
      <c r="I43" s="5"/>
      <c r="J43" s="0" t="s">
        <v>52</v>
      </c>
    </row>
    <row r="44" outlineLevel="2">
      <c r="A44" s="12" t="s">
        <v>63</v>
      </c>
      <c r="B44" s="0" t="s">
        <v>51</v>
      </c>
      <c r="C44" s="14">
        <v>14000</v>
      </c>
      <c r="D44" s="14"/>
      <c r="E44" s="14"/>
      <c r="F44" s="14"/>
      <c r="G44" s="14"/>
      <c r="I44" s="5"/>
      <c r="J44" s="0" t="s">
        <v>52</v>
      </c>
    </row>
    <row r="45" outlineLevel="2">
      <c r="A45" s="12" t="s">
        <v>64</v>
      </c>
      <c r="B45" s="0" t="s">
        <v>51</v>
      </c>
      <c r="C45" s="14">
        <v>8</v>
      </c>
      <c r="D45" s="14"/>
      <c r="E45" s="14"/>
      <c r="F45" s="14"/>
      <c r="G45" s="14"/>
      <c r="I45" s="5"/>
      <c r="J45" s="0" t="s">
        <v>52</v>
      </c>
    </row>
    <row r="46">
      <c r="I46" s="5"/>
    </row>
    <row r="47" s="1" customFormat="1"/>
  </sheetData>
  <mergeCells>
    <mergeCell ref="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21" errorStyle="stop" promptTitle="Enter moisture content" errorTitle="Invalid moisture content" prompt="Value should be between 0 and 100.&#10;Original value: 1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https://phyllis.nl/Biomass/View/3561</dc:description>
  <dcterms:created xsi:type="dcterms:W3CDTF">2026-03-17T06:16:41Z</dcterms:created>
  <dc:title>Phyllis2 #3561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