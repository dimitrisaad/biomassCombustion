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62 Wheat straw" sheetId="1" r:id="rId1"/>
  </sheets>
  <definedNames>
    <definedName name="w" localSheetId="0">IF(ISBLANK('Phyllis2 #3562 Wheat straw'!$C$21),#N/A,'Phyllis2 #3562 Wheat straw'!$C$21/100)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<sst xmlns="http://schemas.openxmlformats.org/spreadsheetml/2006/main" count="56" uniqueCount="56">
  <si>
    <t>Phyllis2</t>
  </si>
  <si>
    <t>https://phyllis.nl/Biomass/View/3562</t>
  </si>
  <si>
    <t>Wheat straw (#3562)</t>
  </si>
  <si>
    <t>ID-number</t>
  </si>
  <si>
    <t>#3562</t>
  </si>
  <si>
    <t>Material</t>
  </si>
  <si>
    <t>Wheat straw</t>
  </si>
  <si>
    <t>Description</t>
  </si>
  <si>
    <t>Sample acquired in the frame of the EU H2020 project Biofficiency</t>
  </si>
  <si>
    <t>Pretreatment: no</t>
  </si>
  <si>
    <t>Classification</t>
  </si>
  <si>
    <t>ECN Phyllis classification &gt; straw (stalk/cob/ear) &gt; wheat &gt; wheat straw</t>
  </si>
  <si>
    <t>Producer</t>
  </si>
  <si>
    <t>EU H2020 project Biofficiency</t>
  </si>
  <si>
    <t>Production date</t>
  </si>
  <si>
    <t>Submitter</t>
  </si>
  <si>
    <t>Lydia Fryda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</si>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</sst>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6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/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43370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6">
        <v>43712.5943634259</v>
      </c>
    </row>
    <row r="15">
      <c r="A15" s="7"/>
    </row>
    <row r="16" s="1" customFormat="1">
      <c r="A16" s="9" t="s">
        <v>20</v>
      </c>
    </row>
    <row r="17" s="1" customFormat="1">
      <c r="A17" s="10" t="s">
        <v>21</v>
      </c>
      <c r="B17" s="10" t="s">
        <v>22</v>
      </c>
      <c r="C17" s="10" t="s">
        <v>23</v>
      </c>
      <c r="D17" s="10"/>
      <c r="E17" s="10"/>
      <c r="F17" s="10" t="s">
        <v>24</v>
      </c>
      <c r="G17" s="10" t="s">
        <v>25</v>
      </c>
      <c r="H17" s="10" t="s">
        <v>26</v>
      </c>
      <c r="I17" s="10" t="s">
        <v>27</v>
      </c>
      <c r="J17" s="10" t="s">
        <v>28</v>
      </c>
      <c r="K17" s="10" t="s">
        <v>29</v>
      </c>
      <c r="L17" s="10"/>
    </row>
    <row r="18" s="1" customFormat="1">
      <c r="A18" s="10"/>
      <c r="B18" s="10"/>
      <c r="C18" s="10" t="s">
        <v>30</v>
      </c>
      <c r="D18" s="10" t="s">
        <v>31</v>
      </c>
      <c r="E18" s="10" t="s">
        <v>32</v>
      </c>
      <c r="F18" s="10"/>
      <c r="G18" s="10"/>
      <c r="H18" s="10"/>
      <c r="I18" s="10"/>
      <c r="J18" s="10"/>
      <c r="K18" s="10"/>
      <c r="L18" s="10"/>
    </row>
    <row r="19">
      <c r="A19" s="7" t="s">
        <v>33</v>
      </c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36</v>
      </c>
      <c r="C21" s="13">
        <v>7.32</v>
      </c>
      <c r="D21" s="13"/>
      <c r="E21" s="13"/>
      <c r="F21" s="13"/>
      <c r="G21" s="13"/>
      <c r="I21" s="5"/>
    </row>
    <row r="22" outlineLevel="2">
      <c r="A22" s="12" t="s">
        <v>37</v>
      </c>
      <c r="B22" s="0" t="s">
        <v>36</v>
      </c>
      <c r="C22" s="13">
        <f>IFERROR(11.69*(1-w),"")</f>
        <v>10.834292</v>
      </c>
      <c r="D22" s="13">
        <v>11.69</v>
      </c>
      <c r="E22" s="13">
        <v/>
      </c>
      <c r="F22" s="13"/>
      <c r="G22" s="13"/>
      <c r="I22" s="5"/>
    </row>
    <row r="23" outlineLevel="2">
      <c r="A23" s="12" t="s">
        <v>38</v>
      </c>
      <c r="B23" s="0" t="s">
        <v>36</v>
      </c>
      <c r="C23" s="13">
        <f>IFERROR(70.54*(1-w),"")</f>
        <v>65.376472</v>
      </c>
      <c r="D23" s="13">
        <v>70.54</v>
      </c>
      <c r="E23" s="13">
        <v>79.877703544332476</v>
      </c>
      <c r="F23" s="13"/>
      <c r="G23" s="13"/>
      <c r="I23" s="5"/>
    </row>
    <row r="24" outlineLevel="2">
      <c r="A24" s="12" t="s">
        <v>39</v>
      </c>
      <c r="B24" s="0" t="s">
        <v>36</v>
      </c>
      <c r="C24" s="13">
        <f>IFERROR(17.77*(1-w),"")</f>
        <v>16.469235999999995</v>
      </c>
      <c r="D24" s="13">
        <v>17.769999999999996</v>
      </c>
      <c r="E24" s="13">
        <v>20.122296455667531</v>
      </c>
      <c r="F24" s="13"/>
      <c r="G24" s="13"/>
      <c r="I24" s="5"/>
      <c r="J24" s="0" t="s">
        <v>40</v>
      </c>
    </row>
    <row r="25" outlineLevel="1">
      <c r="A25" s="11" t="s">
        <v>41</v>
      </c>
      <c r="I25" s="5"/>
    </row>
    <row r="26" outlineLevel="2">
      <c r="A26" s="12" t="s">
        <v>42</v>
      </c>
      <c r="B26" s="0" t="s">
        <v>36</v>
      </c>
      <c r="C26" s="13">
        <f>IFERROR(45.05*(1-w),"")</f>
        <v>41.75234</v>
      </c>
      <c r="D26" s="13">
        <v>45.05</v>
      </c>
      <c r="E26" s="13">
        <v>51.01347525761522</v>
      </c>
      <c r="F26" s="13"/>
      <c r="G26" s="13"/>
      <c r="I26" s="5"/>
    </row>
    <row r="27" outlineLevel="2">
      <c r="A27" s="12" t="s">
        <v>43</v>
      </c>
      <c r="B27" s="0" t="s">
        <v>36</v>
      </c>
      <c r="C27" s="13">
        <f>IFERROR(5.23*(1-w),"")</f>
        <v>4.847164</v>
      </c>
      <c r="D27" s="13">
        <v>5.23</v>
      </c>
      <c r="E27" s="13">
        <v>5.9223191031593254</v>
      </c>
      <c r="F27" s="13"/>
      <c r="G27" s="13"/>
      <c r="I27" s="5"/>
    </row>
    <row r="28" outlineLevel="2">
      <c r="A28" s="12" t="s">
        <v>44</v>
      </c>
      <c r="B28" s="0" t="s">
        <v>36</v>
      </c>
      <c r="C28" s="13">
        <f>IFERROR(37.21*(1-w),"")</f>
        <v>34.486228</v>
      </c>
      <c r="D28" s="13">
        <v>37.21</v>
      </c>
      <c r="E28" s="13">
        <v>42.1356584758238</v>
      </c>
      <c r="F28" s="13"/>
      <c r="G28" s="13"/>
      <c r="I28" s="5"/>
    </row>
    <row r="29" outlineLevel="2">
      <c r="A29" s="12" t="s">
        <v>45</v>
      </c>
      <c r="B29" s="0" t="s">
        <v>36</v>
      </c>
      <c r="C29" s="13">
        <f>IFERROR(0.65*(1-w),"")</f>
        <v>0.60242</v>
      </c>
      <c r="D29" s="13">
        <v>0.65</v>
      </c>
      <c r="E29" s="13">
        <v>0.7360434831842374</v>
      </c>
      <c r="F29" s="13"/>
      <c r="G29" s="13"/>
      <c r="I29" s="5"/>
    </row>
    <row r="30" outlineLevel="2">
      <c r="A30" s="12" t="s">
        <v>46</v>
      </c>
      <c r="B30" s="0" t="s">
        <v>36</v>
      </c>
      <c r="C30" s="13">
        <f>IFERROR(0.17*(1-w),"")</f>
        <v>0.157556</v>
      </c>
      <c r="D30" s="13">
        <v>0.17</v>
      </c>
      <c r="E30" s="13">
        <v>0.19250368021741593</v>
      </c>
      <c r="F30" s="13"/>
      <c r="G30" s="13"/>
      <c r="I30" s="5"/>
    </row>
    <row r="31" outlineLevel="2">
      <c r="A31" s="12" t="s">
        <v>47</v>
      </c>
      <c r="B31" s="0" t="s">
        <v>36</v>
      </c>
      <c r="C31" s="13">
        <f>IFERROR(100.000026*(1-w)+w*100,"")</f>
        <v>100.00002409680002</v>
      </c>
      <c r="D31" s="13">
        <v>100.00002600000002</v>
      </c>
      <c r="E31" s="13">
        <v>100.00002944173936</v>
      </c>
      <c r="F31" s="13"/>
      <c r="G31" s="13"/>
      <c r="I31" s="5"/>
      <c r="J31" s="0" t="s">
        <v>40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4">
        <f>IFERROR(0.26*(1-w),"")</f>
        <v>0.240968</v>
      </c>
      <c r="D33" s="14">
        <v>0.26</v>
      </c>
      <c r="E33" s="14">
        <v>0.29441739327369493</v>
      </c>
      <c r="F33" s="14"/>
      <c r="G33" s="14"/>
      <c r="I33" s="5"/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IFERROR(16.4*(1-w)-w*2.443,"")</f>
        <v>15.020692399999998</v>
      </c>
      <c r="D35" s="13">
        <v>16.4</v>
      </c>
      <c r="E35" s="13">
        <v>18.570943268033062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IFERROR(17.55*(1-w),"")</f>
        <v>16.26534</v>
      </c>
      <c r="D36" s="13">
        <v>17.55</v>
      </c>
      <c r="E36" s="13">
        <v>19.873174045974409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IFERROR(17.5866233833*(1-w),"")</f>
        <v>16.299282551642442</v>
      </c>
      <c r="D37" s="13">
        <v>17.5866233833</v>
      </c>
      <c r="E37" s="13">
        <v>19.914645434605369</v>
      </c>
      <c r="F37" s="13"/>
      <c r="G37" s="13"/>
      <c r="I37" s="5"/>
      <c r="J37" s="0" t="s">
        <v>40</v>
      </c>
    </row>
    <row r="38">
      <c r="I38" s="5"/>
    </row>
    <row r="39" s="1" customFormat="1"/>
  </sheetData>
  <mergeCells>
    <mergeCell ref="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</mergeCells>
  <dataValidations count="1">
    <dataValidation type="decimal" sqref="C21" errorStyle="stop" promptTitle="Enter moisture content" errorTitle="Invalid moisture content" prompt="Value should be between 0 and 100.&#10;Original value: 7.3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https://phyllis.nl/Biomass/View/3562</dc:description>
  <dcterms:created xsi:type="dcterms:W3CDTF">2026-03-17T06:16:45Z</dcterms:created>
  <dc:title>Phyllis2 #3562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