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67 Spruce bark pell" sheetId="1" r:id="rId1"/>
  </sheets>
  <definedNames>
    <definedName name="w" localSheetId="0">IF(ISBLANK('Phyllis2 #3567 Spruce bark pell'!$C$21),#N/A,'Phyllis2 #3567 Spruce bark pell'!$C$21/100)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<sst xmlns="http://schemas.openxmlformats.org/spreadsheetml/2006/main" count="63" uniqueCount="63">
  <si>
    <t>Phyllis2</t>
  </si>
  <si>
    <t>https://phyllis.nl/Biomass/View/3567</t>
  </si>
  <si>
    <t>Spruce bark pellets (#3567)</t>
  </si>
  <si>
    <t>ID-number</t>
  </si>
  <si>
    <t>#3567</t>
  </si>
  <si>
    <t>Material</t>
  </si>
  <si>
    <t>Spruce bark pellets</t>
  </si>
  <si>
    <t>Description</t>
  </si>
  <si>
    <t>Sample acquired in the frame of the EU H2020 project Biofficiency</t>
  </si>
  <si>
    <t>Pretreatment: no</t>
  </si>
  <si>
    <t>Classification</t>
  </si>
  <si>
    <t>ECN Phyllis classification &gt; untreated wood &gt; bark &gt; bark, spruce</t>
  </si>
  <si>
    <t>Producer</t>
  </si>
  <si>
    <t>EU H2020 project Biofficiency</t>
  </si>
  <si>
    <t>Production date</t>
  </si>
  <si>
    <t>Submitter</t>
  </si>
  <si>
    <t>Lydia Fryda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</si>
  <si>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</si>
  <si>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</si>
  <si>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</si>
  <si>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</si>
  <si>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</si>
  <si>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</si>
  <si>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</si>
  <si>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</si>
  <si>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</si>
  <si>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</si>
  <si>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</si>
  <si>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</si>
  <si>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</si>
  <si>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</si>
  <si>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</si>
  <si>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</si>
  <si>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</si>
  <si>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</si>
  <si>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</si>
  <si>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</si>
  <si>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 at 550°C</t>
  </si>
  <si>
    <t>Volatile matter</t>
  </si>
  <si>
    <t>Fixed carbon</t>
  </si>
  <si>
    <t>Calculated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</si>
  <si>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</si>
  <si>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</si>
  <si>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</si>
  <si>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</si>
  <si>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</si>
  <si>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</si>
  <si>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</si>
  <si>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</si>
  <si>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</si>
  <si>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</si>
  <si>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</si>
  <si>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</si>
  <si>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</si>
  <si>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</si>
  <si>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</si>
  <si>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</si>
  <si>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European standard method</t>
  </si>
  <si>
    <t>DEF (deformation temperature)</t>
  </si>
  <si>
    <t>°C</t>
  </si>
  <si>
    <t>HE (hemispherical temperature)</t>
  </si>
  <si>
    <t>FL (flow temperature)</t>
  </si>
  <si>
    <t>&gt;1530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</si>
</sst>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6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/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42852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6">
        <v>43713.2982523148</v>
      </c>
    </row>
    <row r="15">
      <c r="A15" s="7"/>
    </row>
    <row r="16" s="1" customFormat="1">
      <c r="A16" s="9" t="s">
        <v>20</v>
      </c>
    </row>
    <row r="17" s="1" customFormat="1">
      <c r="A17" s="10" t="s">
        <v>21</v>
      </c>
      <c r="B17" s="10" t="s">
        <v>22</v>
      </c>
      <c r="C17" s="10" t="s">
        <v>23</v>
      </c>
      <c r="D17" s="10"/>
      <c r="E17" s="10"/>
      <c r="F17" s="10" t="s">
        <v>24</v>
      </c>
      <c r="G17" s="10" t="s">
        <v>25</v>
      </c>
      <c r="H17" s="10" t="s">
        <v>26</v>
      </c>
      <c r="I17" s="10" t="s">
        <v>27</v>
      </c>
      <c r="J17" s="10" t="s">
        <v>28</v>
      </c>
      <c r="K17" s="10" t="s">
        <v>29</v>
      </c>
      <c r="L17" s="10"/>
    </row>
    <row r="18" s="1" customFormat="1">
      <c r="A18" s="10"/>
      <c r="B18" s="10"/>
      <c r="C18" s="10" t="s">
        <v>30</v>
      </c>
      <c r="D18" s="10" t="s">
        <v>31</v>
      </c>
      <c r="E18" s="10" t="s">
        <v>32</v>
      </c>
      <c r="F18" s="10"/>
      <c r="G18" s="10"/>
      <c r="H18" s="10"/>
      <c r="I18" s="10"/>
      <c r="J18" s="10"/>
      <c r="K18" s="10"/>
      <c r="L18" s="10"/>
    </row>
    <row r="19">
      <c r="A19" s="7" t="s">
        <v>33</v>
      </c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36</v>
      </c>
      <c r="C21" s="13">
        <v>7.6</v>
      </c>
      <c r="D21" s="13"/>
      <c r="E21" s="13"/>
      <c r="F21" s="13"/>
      <c r="G21" s="13"/>
      <c r="I21" s="5"/>
    </row>
    <row r="22" outlineLevel="2">
      <c r="A22" s="12" t="s">
        <v>37</v>
      </c>
      <c r="B22" s="0" t="s">
        <v>36</v>
      </c>
      <c r="C22" s="13">
        <f>IFERROR(5.38*(1-w),"")</f>
        <v>4.97112</v>
      </c>
      <c r="D22" s="13">
        <v>5.38</v>
      </c>
      <c r="E22" s="13">
        <v/>
      </c>
      <c r="F22" s="13"/>
      <c r="G22" s="13"/>
      <c r="I22" s="5"/>
    </row>
    <row r="23" outlineLevel="2">
      <c r="A23" s="12" t="s">
        <v>38</v>
      </c>
      <c r="B23" s="0" t="s">
        <v>36</v>
      </c>
      <c r="C23" s="13">
        <f>IFERROR(72.51*(1-w),"")</f>
        <v>66.999240000000015</v>
      </c>
      <c r="D23" s="13">
        <v>72.51</v>
      </c>
      <c r="E23" s="13">
        <v>76.632847178186438</v>
      </c>
      <c r="F23" s="13"/>
      <c r="G23" s="13"/>
      <c r="I23" s="5"/>
    </row>
    <row r="24" outlineLevel="2">
      <c r="A24" s="12" t="s">
        <v>39</v>
      </c>
      <c r="B24" s="0" t="s">
        <v>36</v>
      </c>
      <c r="C24" s="13">
        <f>IFERROR(22.11*(1-w),"")</f>
        <v>20.42964</v>
      </c>
      <c r="D24" s="13">
        <v>22.11</v>
      </c>
      <c r="E24" s="13">
        <v>23.367152821813569</v>
      </c>
      <c r="F24" s="13"/>
      <c r="G24" s="13"/>
      <c r="I24" s="5"/>
      <c r="J24" s="0" t="s">
        <v>40</v>
      </c>
    </row>
    <row r="25" outlineLevel="1">
      <c r="A25" s="11" t="s">
        <v>41</v>
      </c>
      <c r="I25" s="5"/>
    </row>
    <row r="26" outlineLevel="2">
      <c r="A26" s="12" t="s">
        <v>42</v>
      </c>
      <c r="B26" s="0" t="s">
        <v>36</v>
      </c>
      <c r="C26" s="13">
        <f>IFERROR(51.19*(1-w),"")</f>
        <v>47.29956</v>
      </c>
      <c r="D26" s="13">
        <v>51.19</v>
      </c>
      <c r="E26" s="13">
        <v>54.100612978228696</v>
      </c>
      <c r="F26" s="13"/>
      <c r="G26" s="13"/>
      <c r="I26" s="5"/>
    </row>
    <row r="27" outlineLevel="2">
      <c r="A27" s="12" t="s">
        <v>43</v>
      </c>
      <c r="B27" s="0" t="s">
        <v>36</v>
      </c>
      <c r="C27" s="13">
        <f>IFERROR(5.66*(1-w),"")</f>
        <v>5.22984</v>
      </c>
      <c r="D27" s="13">
        <v>5.66</v>
      </c>
      <c r="E27" s="13">
        <v>5.9818220249418728</v>
      </c>
      <c r="F27" s="13"/>
      <c r="G27" s="13"/>
      <c r="I27" s="5"/>
    </row>
    <row r="28" outlineLevel="2">
      <c r="A28" s="12" t="s">
        <v>44</v>
      </c>
      <c r="B28" s="0" t="s">
        <v>36</v>
      </c>
      <c r="C28" s="13">
        <f>IFERROR(37.23*(1-w),"")</f>
        <v>34.40052</v>
      </c>
      <c r="D28" s="13">
        <v>37.23</v>
      </c>
      <c r="E28" s="13">
        <v>39.346861128725422</v>
      </c>
      <c r="F28" s="13"/>
      <c r="G28" s="13"/>
      <c r="I28" s="5"/>
    </row>
    <row r="29" outlineLevel="2">
      <c r="A29" s="12" t="s">
        <v>45</v>
      </c>
      <c r="B29" s="0" t="s">
        <v>36</v>
      </c>
      <c r="C29" s="13">
        <f>IFERROR(0.45*(1-w),"")</f>
        <v>0.4158</v>
      </c>
      <c r="D29" s="13">
        <v>0.45</v>
      </c>
      <c r="E29" s="13">
        <v>0.47558655675332911</v>
      </c>
      <c r="F29" s="13"/>
      <c r="G29" s="13"/>
      <c r="I29" s="5"/>
    </row>
    <row r="30" outlineLevel="2">
      <c r="A30" s="12" t="s">
        <v>46</v>
      </c>
      <c r="B30" s="0" t="s">
        <v>36</v>
      </c>
      <c r="C30" s="13">
        <f>IFERROR(0.08*(1-w),"")</f>
        <v>0.07392</v>
      </c>
      <c r="D30" s="13">
        <v>0.08</v>
      </c>
      <c r="E30" s="13">
        <v>0.084548721200591842</v>
      </c>
      <c r="F30" s="13"/>
      <c r="G30" s="13"/>
      <c r="I30" s="5"/>
    </row>
    <row r="31" outlineLevel="2">
      <c r="A31" s="12" t="s">
        <v>47</v>
      </c>
      <c r="B31" s="0" t="s">
        <v>36</v>
      </c>
      <c r="C31" s="13">
        <f>IFERROR(99.990002*(1-w)+w*100,"")</f>
        <v>99.990761847999977</v>
      </c>
      <c r="D31" s="13">
        <v>99.990001999999976</v>
      </c>
      <c r="E31" s="13">
        <v>99.989433523567925</v>
      </c>
      <c r="F31" s="13"/>
      <c r="G31" s="13"/>
      <c r="I31" s="5"/>
      <c r="J31" s="0" t="s">
        <v>40</v>
      </c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4">
        <f>IFERROR(0.02*(1-w),"")</f>
        <v>0.01848</v>
      </c>
      <c r="D33" s="14">
        <v>0.02</v>
      </c>
      <c r="E33" s="14">
        <v>0.021137180300147961</v>
      </c>
      <c r="F33" s="14"/>
      <c r="G33" s="14"/>
      <c r="I33" s="5"/>
    </row>
    <row r="34" outlineLevel="1">
      <c r="A34" s="11" t="s">
        <v>51</v>
      </c>
      <c r="I34" s="5"/>
    </row>
    <row r="35" outlineLevel="2">
      <c r="A35" s="12" t="s">
        <v>52</v>
      </c>
      <c r="B35" s="0" t="s">
        <v>53</v>
      </c>
      <c r="C35" s="13">
        <f>IFERROR(18.82*(1-w)-w*2.443,"")</f>
        <v>17.204012000000002</v>
      </c>
      <c r="D35" s="13">
        <v>18.82</v>
      </c>
      <c r="E35" s="13">
        <v>19.890086662439231</v>
      </c>
      <c r="F35" s="13"/>
      <c r="G35" s="13"/>
      <c r="I35" s="5"/>
    </row>
    <row r="36" outlineLevel="2">
      <c r="A36" s="12" t="s">
        <v>54</v>
      </c>
      <c r="B36" s="0" t="s">
        <v>53</v>
      </c>
      <c r="C36" s="13">
        <f>IFERROR(20.06*(1-w),"")</f>
        <v>18.53544</v>
      </c>
      <c r="D36" s="13">
        <v>20.06</v>
      </c>
      <c r="E36" s="13">
        <v>21.200591841048404</v>
      </c>
      <c r="F36" s="13"/>
      <c r="G36" s="13"/>
      <c r="I36" s="5"/>
    </row>
    <row r="37" outlineLevel="2">
      <c r="A37" s="12" t="s">
        <v>55</v>
      </c>
      <c r="B37" s="0" t="s">
        <v>53</v>
      </c>
      <c r="C37" s="13">
        <f>IFERROR(20.3443124932*(1-w),"")</f>
        <v>18.798144743716797</v>
      </c>
      <c r="D37" s="13">
        <v>20.344312493199997</v>
      </c>
      <c r="E37" s="13">
        <v>21.50107006256605</v>
      </c>
      <c r="F37" s="13"/>
      <c r="G37" s="13"/>
      <c r="I37" s="5"/>
      <c r="J37" s="0" t="s">
        <v>40</v>
      </c>
    </row>
    <row r="38" outlineLevel="1">
      <c r="A38" s="11" t="s">
        <v>56</v>
      </c>
      <c r="I38" s="5"/>
    </row>
    <row r="39" outlineLevel="2">
      <c r="A39" s="15" t="s">
        <v>57</v>
      </c>
      <c r="I39" s="5"/>
    </row>
    <row r="40" outlineLevel="3">
      <c r="A40" s="16" t="s">
        <v>58</v>
      </c>
      <c r="B40" s="0" t="s">
        <v>59</v>
      </c>
      <c r="C40" s="17">
        <v>1340</v>
      </c>
      <c r="D40" s="17"/>
      <c r="E40" s="17"/>
      <c r="F40" s="17"/>
      <c r="G40" s="17"/>
      <c r="I40" s="5"/>
    </row>
    <row r="41" outlineLevel="3">
      <c r="A41" s="16" t="s">
        <v>60</v>
      </c>
      <c r="B41" s="0" t="s">
        <v>59</v>
      </c>
      <c r="C41" s="17">
        <v>1490</v>
      </c>
      <c r="D41" s="17"/>
      <c r="E41" s="17"/>
      <c r="F41" s="17"/>
      <c r="G41" s="17"/>
      <c r="I41" s="5"/>
    </row>
    <row r="42" outlineLevel="3">
      <c r="A42" s="16" t="s">
        <v>61</v>
      </c>
      <c r="B42" s="0" t="s">
        <v>59</v>
      </c>
      <c r="C42" s="17" t="s">
        <v>62</v>
      </c>
      <c r="D42" s="17"/>
      <c r="E42" s="17"/>
      <c r="F42" s="17"/>
      <c r="G42" s="17"/>
      <c r="I42" s="5"/>
    </row>
    <row r="43">
      <c r="I43" s="5"/>
    </row>
    <row r="44" s="1" customFormat="1"/>
  </sheetData>
  <mergeCells>
    <mergeCell ref="A9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40:E40"/>
    <mergeCell ref="C41:E41"/>
    <mergeCell ref="C42:E42"/>
  </mergeCells>
  <dataValidations count="1">
    <dataValidation type="decimal" sqref="C21" errorStyle="stop" promptTitle="Enter moisture content" errorTitle="Invalid moisture content" prompt="Value should be between 0 and 100.&#10;Original value: 7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https://phyllis.nl/Biomass/View/3567</dc:description>
  <dcterms:created xsi:type="dcterms:W3CDTF">2026-03-19T04:16:38Z</dcterms:created>
  <dc:title>Phyllis2 #3567 Spruce bark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