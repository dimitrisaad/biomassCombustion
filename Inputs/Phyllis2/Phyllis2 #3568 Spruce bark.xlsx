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68 Spruce bark" sheetId="1" r:id="rId1"/>
  </sheets>
  <definedNames>
    <definedName name="w" localSheetId="0">IF(ISBLANK('Phyllis2 #3568 Spruce bark'!$C$21),#N/A,'Phyllis2 #3568 Spruce bark'!$C$21/100)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<sst xmlns="http://schemas.openxmlformats.org/spreadsheetml/2006/main" count="73" uniqueCount="73">
  <si>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</si>
  <si>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https://phyllis.nl/Biomass/View/3568</t>
  </si>
  <si>
    <t>Spruce bark (#3568)</t>
  </si>
  <si>
    <t>ID-number</t>
  </si>
  <si>
    <t>#3568</t>
  </si>
  <si>
    <t>Material</t>
  </si>
  <si>
    <t>Spruce bark</t>
  </si>
  <si>
    <t>Description</t>
  </si>
  <si>
    <t>Sample acquired in the frame of the EU H2020 project Biofficiency</t>
  </si>
  <si>
    <t>Pretreatment: no</t>
  </si>
  <si>
    <t>Classification</t>
  </si>
  <si>
    <t>ECN Phyllis classification &gt; untreated wood &gt; bark &gt; bark, spruce</t>
  </si>
  <si>
    <t>Producer</t>
  </si>
  <si>
    <t>EU H2020 project Biofficiency</t>
  </si>
  <si>
    <t>Production date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</si>
  <si>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</si>
  <si>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</si>
  <si>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</si>
  <si>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</si>
  <si>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</si>
  <si>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</si>
  <si>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</si>
  <si>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</si>
  <si>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</si>
  <si>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</si>
  <si>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</si>
  <si>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</si>
  <si>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</si>
  <si>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</si>
  <si>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</si>
  <si>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</si>
  <si>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</si>
  <si>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</si>
  <si>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</si>
  <si>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</si>
  <si>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</si>
  <si>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</si>
  <si>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</si>
  <si>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</si>
  <si>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</si>
  <si>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</si>
  <si>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</si>
  <si>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</si>
  <si>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</si>
  <si>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</si>
  <si>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</si>
  <si>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</si>
  <si>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</si>
  <si>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</si>
  <si>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</si>
  <si>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</si>
  <si>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</si>
  <si>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</si>
  <si>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</si>
  <si>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</si>
  <si>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</si>
  <si>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</si>
  <si>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</si>
  <si>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</si>
  <si>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ICP/OES</t>
  </si>
  <si>
    <t>Calcium (Ca)</t>
  </si>
  <si>
    <t>Cadmium (Cd)</t>
  </si>
  <si>
    <t>Chromium (Cr)</t>
  </si>
  <si>
    <t>Copper (Cu)</t>
  </si>
  <si>
    <t>Iron (Fe)</t>
  </si>
  <si>
    <t>Potassium (K)</t>
  </si>
  <si>
    <t>Magnesium (Mg)</t>
  </si>
  <si>
    <t>Manganese (Mn)</t>
  </si>
  <si>
    <t>Sodium (Na)</t>
  </si>
  <si>
    <t>Nickel (Ni)</t>
  </si>
  <si>
    <t>Phosphorus (P)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</si>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</sst>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43255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43713.3047569444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6.7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IFERROR(3.2*(1-w),"")</f>
        <v>2.9856000000000003</v>
      </c>
      <c r="D22" s="13">
        <v>3.2</v>
      </c>
      <c r="E22" s="13">
        <v/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IFERROR(74.6*(1-w),"")</f>
        <v>69.6018</v>
      </c>
      <c r="D23" s="13">
        <v>74.6</v>
      </c>
      <c r="E23" s="13">
        <v>77.066115702479337</v>
      </c>
      <c r="F23" s="13"/>
      <c r="G23" s="13"/>
      <c r="I23" s="5"/>
    </row>
    <row r="24" outlineLevel="2">
      <c r="A24" s="12" t="s">
        <v>39</v>
      </c>
      <c r="B24" s="0" t="s">
        <v>36</v>
      </c>
      <c r="C24" s="13">
        <f>IFERROR(22.2*(1-w),"")</f>
        <v>20.712600000000005</v>
      </c>
      <c r="D24" s="13">
        <v>22.200000000000003</v>
      </c>
      <c r="E24" s="13">
        <v>22.933884297520663</v>
      </c>
      <c r="F24" s="13"/>
      <c r="G24" s="13"/>
      <c r="I24" s="5"/>
      <c r="J24" s="0" t="s">
        <v>40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36</v>
      </c>
      <c r="C26" s="13">
        <f>IFERROR(50.8*(1-w),"")</f>
        <v>47.3964</v>
      </c>
      <c r="D26" s="13">
        <v>50.8</v>
      </c>
      <c r="E26" s="13">
        <v>52.4793388429752</v>
      </c>
      <c r="F26" s="13"/>
      <c r="G26" s="13"/>
      <c r="I26" s="5"/>
    </row>
    <row r="27" outlineLevel="2">
      <c r="A27" s="12" t="s">
        <v>43</v>
      </c>
      <c r="B27" s="0" t="s">
        <v>36</v>
      </c>
      <c r="C27" s="13">
        <f>IFERROR(5.89*(1-w),"")</f>
        <v>5.49537</v>
      </c>
      <c r="D27" s="13">
        <v>5.89</v>
      </c>
      <c r="E27" s="13">
        <v>6.0847107438016526</v>
      </c>
      <c r="F27" s="13"/>
      <c r="G27" s="13"/>
      <c r="I27" s="5"/>
    </row>
    <row r="28" outlineLevel="2">
      <c r="A28" s="12" t="s">
        <v>44</v>
      </c>
      <c r="B28" s="0" t="s">
        <v>36</v>
      </c>
      <c r="C28" s="13">
        <f>IFERROR(39.62*(1-w),"")</f>
        <v>36.96546</v>
      </c>
      <c r="D28" s="13">
        <v>39.62</v>
      </c>
      <c r="E28" s="13">
        <v>40.929752066115704</v>
      </c>
      <c r="F28" s="13"/>
      <c r="G28" s="13"/>
      <c r="I28" s="5"/>
    </row>
    <row r="29" outlineLevel="2">
      <c r="A29" s="12" t="s">
        <v>45</v>
      </c>
      <c r="B29" s="0" t="s">
        <v>36</v>
      </c>
      <c r="C29" s="13">
        <f>IFERROR(0.41*(1-w),"")</f>
        <v>0.38253</v>
      </c>
      <c r="D29" s="13">
        <v>0.41</v>
      </c>
      <c r="E29" s="13">
        <v>0.42355371900826444</v>
      </c>
      <c r="F29" s="13"/>
      <c r="G29" s="13"/>
      <c r="I29" s="5"/>
    </row>
    <row r="30" outlineLevel="2">
      <c r="A30" s="12" t="s">
        <v>46</v>
      </c>
      <c r="B30" s="0" t="s">
        <v>36</v>
      </c>
      <c r="C30" s="13">
        <f>IFERROR(0.05*(1-w),"")</f>
        <v>0.046650000000000004</v>
      </c>
      <c r="D30" s="13">
        <v>0.05</v>
      </c>
      <c r="E30" s="13">
        <v>0.051652892561983473</v>
      </c>
      <c r="F30" s="13"/>
      <c r="G30" s="13"/>
      <c r="I30" s="5"/>
    </row>
    <row r="31" outlineLevel="2">
      <c r="A31" s="12" t="s">
        <v>47</v>
      </c>
      <c r="B31" s="0" t="s">
        <v>36</v>
      </c>
      <c r="C31" s="13">
        <f>IFERROR(99.970001*(1-w)+w*100,"")</f>
        <v>99.972010933</v>
      </c>
      <c r="D31" s="13">
        <v>99.970001</v>
      </c>
      <c r="E31" s="13">
        <v>99.969009297520657</v>
      </c>
      <c r="F31" s="13"/>
      <c r="G31" s="13"/>
      <c r="I31" s="5"/>
      <c r="J31" s="0" t="s">
        <v>40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4">
        <f>IFERROR(0.01*(1-w),"")</f>
        <v>0.0093300000000000015</v>
      </c>
      <c r="D33" s="14">
        <v>0.01</v>
      </c>
      <c r="E33" s="14">
        <v>0.010330578512396695</v>
      </c>
      <c r="F33" s="14"/>
      <c r="G33" s="14"/>
      <c r="I33" s="5"/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IFERROR(19.08*(1-w)-w*2.443,"")</f>
        <v>17.637959</v>
      </c>
      <c r="D35" s="13">
        <v>19.08</v>
      </c>
      <c r="E35" s="13">
        <v>19.710743801652892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IFERROR(20.38*(1-w),"")</f>
        <v>19.01454</v>
      </c>
      <c r="D36" s="13">
        <v>20.38</v>
      </c>
      <c r="E36" s="13">
        <v>21.053719008264462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IFERROR(20.26181672*(1-w),"")</f>
        <v>18.90427499976</v>
      </c>
      <c r="D37" s="13">
        <v>20.261816719999995</v>
      </c>
      <c r="E37" s="13">
        <v>20.9316288429752</v>
      </c>
      <c r="F37" s="13"/>
      <c r="G37" s="13"/>
      <c r="I37" s="5"/>
      <c r="J37" s="0" t="s">
        <v>40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370</v>
      </c>
      <c r="D39" s="14"/>
      <c r="E39" s="14"/>
      <c r="F39" s="14"/>
      <c r="G39" s="14"/>
      <c r="I39" s="5"/>
      <c r="J39" s="0" t="s">
        <v>59</v>
      </c>
    </row>
    <row r="40" outlineLevel="2">
      <c r="A40" s="12" t="s">
        <v>60</v>
      </c>
      <c r="B40" s="0" t="s">
        <v>58</v>
      </c>
      <c r="C40" s="14">
        <v>9000</v>
      </c>
      <c r="D40" s="14"/>
      <c r="E40" s="14"/>
      <c r="F40" s="14"/>
      <c r="G40" s="14"/>
      <c r="I40" s="5"/>
      <c r="J40" s="0" t="s">
        <v>59</v>
      </c>
    </row>
    <row r="41" outlineLevel="2">
      <c r="A41" s="12" t="s">
        <v>61</v>
      </c>
      <c r="B41" s="0" t="s">
        <v>58</v>
      </c>
      <c r="C41" s="14">
        <v>7</v>
      </c>
      <c r="D41" s="14"/>
      <c r="E41" s="14"/>
      <c r="F41" s="14"/>
      <c r="G41" s="14"/>
      <c r="I41" s="5"/>
      <c r="J41" s="0" t="s">
        <v>59</v>
      </c>
    </row>
    <row r="42" outlineLevel="2">
      <c r="A42" s="12" t="s">
        <v>62</v>
      </c>
      <c r="B42" s="0" t="s">
        <v>58</v>
      </c>
      <c r="C42" s="14">
        <v>38</v>
      </c>
      <c r="D42" s="14"/>
      <c r="E42" s="14"/>
      <c r="F42" s="14"/>
      <c r="G42" s="14"/>
      <c r="I42" s="5"/>
      <c r="J42" s="0" t="s">
        <v>59</v>
      </c>
    </row>
    <row r="43" outlineLevel="2">
      <c r="A43" s="12" t="s">
        <v>63</v>
      </c>
      <c r="B43" s="0" t="s">
        <v>58</v>
      </c>
      <c r="C43" s="14">
        <v>88</v>
      </c>
      <c r="D43" s="14"/>
      <c r="E43" s="14"/>
      <c r="F43" s="14"/>
      <c r="G43" s="14"/>
      <c r="I43" s="5"/>
      <c r="J43" s="0" t="s">
        <v>59</v>
      </c>
    </row>
    <row r="44" outlineLevel="2">
      <c r="A44" s="12" t="s">
        <v>64</v>
      </c>
      <c r="B44" s="0" t="s">
        <v>58</v>
      </c>
      <c r="C44" s="14">
        <v>230</v>
      </c>
      <c r="D44" s="14"/>
      <c r="E44" s="14"/>
      <c r="F44" s="14"/>
      <c r="G44" s="14"/>
      <c r="I44" s="5"/>
      <c r="J44" s="0" t="s">
        <v>59</v>
      </c>
    </row>
    <row r="45" outlineLevel="2">
      <c r="A45" s="12" t="s">
        <v>65</v>
      </c>
      <c r="B45" s="0" t="s">
        <v>58</v>
      </c>
      <c r="C45" s="14">
        <v>2400</v>
      </c>
      <c r="D45" s="14"/>
      <c r="E45" s="14"/>
      <c r="F45" s="14"/>
      <c r="G45" s="14"/>
      <c r="I45" s="5"/>
      <c r="J45" s="0" t="s">
        <v>59</v>
      </c>
    </row>
    <row r="46" outlineLevel="2">
      <c r="A46" s="12" t="s">
        <v>66</v>
      </c>
      <c r="B46" s="0" t="s">
        <v>58</v>
      </c>
      <c r="C46" s="14">
        <v>780</v>
      </c>
      <c r="D46" s="14"/>
      <c r="E46" s="14"/>
      <c r="F46" s="14"/>
      <c r="G46" s="14"/>
      <c r="I46" s="5"/>
      <c r="J46" s="0" t="s">
        <v>59</v>
      </c>
    </row>
    <row r="47" outlineLevel="2">
      <c r="A47" s="12" t="s">
        <v>67</v>
      </c>
      <c r="B47" s="0" t="s">
        <v>58</v>
      </c>
      <c r="C47" s="14">
        <v>450</v>
      </c>
      <c r="D47" s="14"/>
      <c r="E47" s="14"/>
      <c r="F47" s="14"/>
      <c r="G47" s="14"/>
      <c r="I47" s="5"/>
      <c r="J47" s="0" t="s">
        <v>59</v>
      </c>
    </row>
    <row r="48" outlineLevel="2">
      <c r="A48" s="12" t="s">
        <v>68</v>
      </c>
      <c r="B48" s="0" t="s">
        <v>58</v>
      </c>
      <c r="C48" s="14">
        <v>140</v>
      </c>
      <c r="D48" s="14"/>
      <c r="E48" s="14"/>
      <c r="F48" s="14"/>
      <c r="G48" s="14"/>
      <c r="I48" s="5"/>
      <c r="J48" s="0" t="s">
        <v>59</v>
      </c>
    </row>
    <row r="49" outlineLevel="2">
      <c r="A49" s="12" t="s">
        <v>69</v>
      </c>
      <c r="B49" s="0" t="s">
        <v>58</v>
      </c>
      <c r="C49" s="14">
        <v>56</v>
      </c>
      <c r="D49" s="14"/>
      <c r="E49" s="14"/>
      <c r="F49" s="14"/>
      <c r="G49" s="14"/>
      <c r="I49" s="5"/>
      <c r="J49" s="0" t="s">
        <v>59</v>
      </c>
    </row>
    <row r="50" outlineLevel="2">
      <c r="A50" s="12" t="s">
        <v>70</v>
      </c>
      <c r="B50" s="0" t="s">
        <v>58</v>
      </c>
      <c r="C50" s="14">
        <v>520</v>
      </c>
      <c r="D50" s="14"/>
      <c r="E50" s="14"/>
      <c r="F50" s="14"/>
      <c r="G50" s="14"/>
      <c r="I50" s="5"/>
      <c r="J50" s="0" t="s">
        <v>59</v>
      </c>
    </row>
    <row r="51" outlineLevel="2">
      <c r="A51" s="12" t="s">
        <v>71</v>
      </c>
      <c r="B51" s="0" t="s">
        <v>58</v>
      </c>
      <c r="C51" s="14">
        <v>12</v>
      </c>
      <c r="D51" s="14"/>
      <c r="E51" s="14"/>
      <c r="F51" s="14"/>
      <c r="G51" s="14"/>
      <c r="I51" s="5"/>
      <c r="J51" s="0" t="s">
        <v>59</v>
      </c>
    </row>
    <row r="52" outlineLevel="2">
      <c r="A52" s="12" t="s">
        <v>72</v>
      </c>
      <c r="B52" s="0" t="s">
        <v>58</v>
      </c>
      <c r="C52" s="14">
        <v>3125</v>
      </c>
      <c r="D52" s="14"/>
      <c r="E52" s="14"/>
      <c r="F52" s="14"/>
      <c r="G52" s="14"/>
      <c r="I52" s="5"/>
      <c r="J52" s="0" t="s">
        <v>59</v>
      </c>
    </row>
    <row r="53">
      <c r="I53" s="5"/>
    </row>
    <row r="54" s="1" customFormat="1"/>
  </sheetData>
  <mergeCells>
    <mergeCell ref="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21" errorStyle="stop" promptTitle="Enter moisture content" errorTitle="Invalid moisture content" prompt="Value should be between 0 and 100.&#10;Original value: 6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https://phyllis.nl/Biomass/View/3568</dc:description>
  <dcterms:created xsi:type="dcterms:W3CDTF">2026-03-19T04:16:34Z</dcterms:created>
  <dc:title>Phyllis2 #3568 Spruce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