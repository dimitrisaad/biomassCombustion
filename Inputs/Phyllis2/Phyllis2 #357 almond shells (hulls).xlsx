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7 almond shells (hu" sheetId="1" r:id="rId1"/>
  </sheets>
  <definedNames>
    <definedName name="w" localSheetId="0">IF(ISBLANK('Phyllis2 #357 almond shells (hu'!$C$18),#N/A,'Phyllis2 #357 almond shells (hu'!$C$18/100)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<sst xmlns="http://schemas.openxmlformats.org/spreadsheetml/2006/main" count="67" uniqueCount="67">
  <si>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</si>
  <si>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https://phyllis.nl/Biomass/View/357</t>
  </si>
  <si>
    <t>almond shells (hulls) (#357)</t>
  </si>
  <si>
    <t>ID-number</t>
  </si>
  <si>
    <t>#357</t>
  </si>
  <si>
    <t>Material</t>
  </si>
  <si>
    <t>almond shells (hulls)</t>
  </si>
  <si>
    <t>Classification</t>
  </si>
  <si>
    <t>ECN Phyllis classification &gt; husk/shell/pit &gt; almond &gt; almond shells (hulls)</t>
  </si>
  <si>
    <t>NTA 8003 classification &gt; [200] biomassa uit land- en tuinbouw &gt; [230] restproducten (doppen) &gt; [235] amandeldoppen</t>
  </si>
  <si>
    <t>Ash type</t>
  </si>
  <si>
    <t>ASTM D1102; 600C ASTM D 1102, 600 Degree Celcius</t>
  </si>
  <si>
    <t>Submitter organisation</t>
  </si>
  <si>
    <t>ECN (Netherlands)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</si>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</sst>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6.93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IFERROR(3.29*(1-w),"")</f>
        <v>3.062003</v>
      </c>
      <c r="D19" s="11">
        <v>3.29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IFERROR(76*(1-w),"")</f>
        <v>70.7332</v>
      </c>
      <c r="D20" s="11">
        <v>76</v>
      </c>
      <c r="E20" s="11">
        <v>78.585461689587433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IFERROR(20.71*(1-w),"")</f>
        <v>19.274796999999992</v>
      </c>
      <c r="D21" s="11">
        <v>20.709999999999994</v>
      </c>
      <c r="E21" s="11">
        <v>21.414538310412567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IFERROR(49.3*(1-w),"")</f>
        <v>45.883509999999994</v>
      </c>
      <c r="D23" s="11">
        <v>49.3</v>
      </c>
      <c r="E23" s="11">
        <v>50.977148174956056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IFERROR(5.97*(1-w),"")</f>
        <v>5.556279</v>
      </c>
      <c r="D24" s="11">
        <v>5.97</v>
      </c>
      <c r="E24" s="11">
        <v>6.1730948195636435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IFERROR(40.63*(1-w),"")</f>
        <v>37.814341</v>
      </c>
      <c r="D25" s="11">
        <v>40.63</v>
      </c>
      <c r="E25" s="11">
        <v>42.012201426946547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IFERROR(0.76*(1-w),"")</f>
        <v>0.707332</v>
      </c>
      <c r="D26" s="11">
        <v>0.76</v>
      </c>
      <c r="E26" s="11">
        <v>0.78585461689587432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IFERROR(0.04*(1-w),"")</f>
        <v>0.037228</v>
      </c>
      <c r="D27" s="11">
        <v>0.04</v>
      </c>
      <c r="E27" s="11">
        <v>0.041360769310309173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IFERROR(99.99*(1-w)+w*100,"")</f>
        <v>99.990693000000022</v>
      </c>
      <c r="D28" s="11">
        <v>99.990000000000023</v>
      </c>
      <c r="E28" s="11">
        <v>99.989659807672439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/>
      <c r="D30" s="12"/>
      <c r="E30" s="12"/>
      <c r="F30" s="12"/>
      <c r="G30" s="12">
        <v>100</v>
      </c>
      <c r="I30" s="13"/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IFERROR(18.20424*(1-w)-w*2.443,"")</f>
        <v>16.773386268</v>
      </c>
      <c r="D32" s="11">
        <v>18.20424</v>
      </c>
      <c r="E32" s="11">
        <v>18.823534277737565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IFERROR(19.507*(1-w),"")</f>
        <v>18.1551649</v>
      </c>
      <c r="D33" s="11">
        <v>19.507</v>
      </c>
      <c r="E33" s="11">
        <v>20.170613173405027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IFERROR(19.6909030873*(1-w),"")</f>
        <v>18.326323503350114</v>
      </c>
      <c r="D34" s="11">
        <v>19.690903087300004</v>
      </c>
      <c r="E34" s="11">
        <v>20.360772502636753</v>
      </c>
      <c r="F34" s="11"/>
      <c r="G34" s="11"/>
      <c r="I34" s="13"/>
      <c r="J34" s="0" t="s">
        <v>36</v>
      </c>
    </row>
    <row r="35">
      <c r="A35" s="5" t="s">
        <v>53</v>
      </c>
      <c r="I35" s="13"/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1">
        <v>17.38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56</v>
      </c>
      <c r="C38" s="11">
        <v>0.88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56</v>
      </c>
      <c r="C39" s="11">
        <v>4.46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56</v>
      </c>
      <c r="C40" s="11">
        <v>8.71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56</v>
      </c>
      <c r="C41" s="11">
        <v>2.3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56</v>
      </c>
      <c r="C42" s="11">
        <v>2.72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56</v>
      </c>
      <c r="C43" s="11">
        <v>10.5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56</v>
      </c>
      <c r="C44" s="11">
        <v>3.19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56</v>
      </c>
      <c r="C45" s="11">
        <v>1.6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56</v>
      </c>
      <c r="C46" s="11">
        <v>48.7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56</v>
      </c>
      <c r="C47" s="11">
        <v>0.09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0:E30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8" errorStyle="stop" promptTitle="Enter moisture content" errorTitle="Invalid moisture content" prompt="Value should be between 0 and 100.&#10;Original value: 6.9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https://phyllis.nl/Biomass/View/357</dc:description>
  <dcterms:created xsi:type="dcterms:W3CDTF">2026-03-17T05:39:31Z</dcterms:created>
  <dc:title>Phyllis2 #357 almond shells (hulls)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