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70 Spruce bark" sheetId="1" r:id="rId1"/>
  </sheets>
  <definedNames>
    <definedName name="w" localSheetId="0">IF(ISBLANK('Phyllis2 #3570 Spruce bark'!$C$20),#N/A,'Phyllis2 #3570 Spruce bark'!$C$20/100)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<sst xmlns="http://schemas.openxmlformats.org/spreadsheetml/2006/main" count="66" uniqueCount="66">
  <si>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</si>
  <si>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https://phyllis.nl/Biomass/View/3570</t>
  </si>
  <si>
    <t>Spruce bark (#3570)</t>
  </si>
  <si>
    <t>ID-number</t>
  </si>
  <si>
    <t>#3570</t>
  </si>
  <si>
    <t>Material</t>
  </si>
  <si>
    <t>Spruce bark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</si>
  <si>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</si>
  <si>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</si>
  <si>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</si>
  <si>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</si>
  <si>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bark &gt; bark, spruce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</si>
  <si>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</si>
  <si>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</si>
  <si>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</si>
  <si>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</si>
  <si>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</si>
  <si>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</si>
  <si>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</si>
  <si>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</si>
  <si>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</si>
  <si>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</si>
  <si>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</si>
  <si>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</si>
  <si>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</si>
  <si>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</si>
  <si>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</si>
  <si>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</si>
  <si>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</si>
  <si>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</si>
  <si>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</si>
  <si>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</si>
  <si>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</si>
  <si>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</si>
  <si>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</si>
  <si>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</si>
  <si>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</si>
  <si>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</si>
  <si>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</si>
  <si>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</si>
  <si>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</si>
  <si>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</si>
  <si>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</si>
  <si>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</si>
  <si>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</si>
  <si>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</si>
  <si>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</si>
  <si>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</si>
  <si>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</si>
  <si>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</si>
  <si>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</si>
  <si>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</si>
  <si>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</si>
  <si>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</si>
  <si>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</si>
  <si>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</si>
  <si>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ICP/MS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</si>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</sst>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43713.363287037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28</v>
      </c>
      <c r="L16" s="10"/>
    </row>
    <row r="17" s="1" customFormat="1">
      <c r="A17" s="10"/>
      <c r="B17" s="10"/>
      <c r="C17" s="10" t="s">
        <v>29</v>
      </c>
      <c r="D17" s="10" t="s">
        <v>30</v>
      </c>
      <c r="E17" s="10" t="s">
        <v>31</v>
      </c>
      <c r="F17" s="10"/>
      <c r="G17" s="10"/>
      <c r="H17" s="10"/>
      <c r="I17" s="10"/>
      <c r="J17" s="10"/>
      <c r="K17" s="10"/>
      <c r="L17" s="10"/>
    </row>
    <row r="18">
      <c r="A18" s="7" t="s">
        <v>32</v>
      </c>
      <c r="I18" s="5"/>
    </row>
    <row r="19" outlineLevel="1">
      <c r="A19" s="11" t="s">
        <v>33</v>
      </c>
      <c r="I19" s="5"/>
    </row>
    <row r="20" outlineLevel="2">
      <c r="A20" s="12" t="s">
        <v>34</v>
      </c>
      <c r="B20" s="0" t="s">
        <v>35</v>
      </c>
      <c r="C20" s="13">
        <v>7.4</v>
      </c>
      <c r="D20" s="13"/>
      <c r="E20" s="13"/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IFERROR(4*(1-w),"")</f>
        <v>3.7039999999999997</v>
      </c>
      <c r="D21" s="13">
        <v>4</v>
      </c>
      <c r="E21" s="13">
        <v/>
      </c>
      <c r="F21" s="13"/>
      <c r="G21" s="13"/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35</v>
      </c>
      <c r="C23" s="13">
        <f>IFERROR(51.62*(1-w),"")</f>
        <v>47.800119999999993</v>
      </c>
      <c r="D23" s="13">
        <v>51.62</v>
      </c>
      <c r="E23" s="13">
        <v>53.770833333333336</v>
      </c>
      <c r="F23" s="13"/>
      <c r="G23" s="13"/>
      <c r="I23" s="5"/>
    </row>
    <row r="24" outlineLevel="2">
      <c r="A24" s="12" t="s">
        <v>39</v>
      </c>
      <c r="B24" s="0" t="s">
        <v>35</v>
      </c>
      <c r="C24" s="13">
        <f>IFERROR(6.02*(1-w),"")</f>
        <v>5.5745199999999988</v>
      </c>
      <c r="D24" s="13">
        <v>6.02</v>
      </c>
      <c r="E24" s="13">
        <v>6.270833333333333</v>
      </c>
      <c r="F24" s="13"/>
      <c r="G24" s="13"/>
      <c r="I24" s="5"/>
    </row>
    <row r="25" outlineLevel="2">
      <c r="A25" s="12" t="s">
        <v>40</v>
      </c>
      <c r="B25" s="0" t="s">
        <v>35</v>
      </c>
      <c r="C25" s="13">
        <f>IFERROR(37.93*(1-w),"")</f>
        <v>35.12318</v>
      </c>
      <c r="D25" s="13">
        <v>37.93</v>
      </c>
      <c r="E25" s="13">
        <v>39.510416666666664</v>
      </c>
      <c r="F25" s="13"/>
      <c r="G25" s="13"/>
      <c r="I25" s="5"/>
    </row>
    <row r="26" outlineLevel="2">
      <c r="A26" s="12" t="s">
        <v>41</v>
      </c>
      <c r="B26" s="0" t="s">
        <v>35</v>
      </c>
      <c r="C26" s="13">
        <f>IFERROR(0.38*(1-w),"")</f>
        <v>0.35187999999999997</v>
      </c>
      <c r="D26" s="13">
        <v>0.38</v>
      </c>
      <c r="E26" s="13">
        <v>0.39583333333333337</v>
      </c>
      <c r="F26" s="13"/>
      <c r="G26" s="13"/>
      <c r="I26" s="5"/>
    </row>
    <row r="27" outlineLevel="2">
      <c r="A27" s="12" t="s">
        <v>42</v>
      </c>
      <c r="B27" s="0" t="s">
        <v>35</v>
      </c>
      <c r="C27" s="13">
        <f>IFERROR(0.02*(1-w),"")</f>
        <v>0.018519999999999998</v>
      </c>
      <c r="D27" s="13">
        <v>0.02</v>
      </c>
      <c r="E27" s="13">
        <v>0.020833333333333336</v>
      </c>
      <c r="F27" s="13"/>
      <c r="G27" s="13"/>
      <c r="I27" s="5"/>
    </row>
    <row r="28" outlineLevel="2">
      <c r="A28" s="12" t="s">
        <v>43</v>
      </c>
      <c r="B28" s="0" t="s">
        <v>35</v>
      </c>
      <c r="C28" s="13">
        <f>IFERROR(99.970001*(1-w)+w*100,"")</f>
        <v>99.972220925999977</v>
      </c>
      <c r="D28" s="13">
        <v>99.970000999999982</v>
      </c>
      <c r="E28" s="13">
        <v>99.96875104166665</v>
      </c>
      <c r="F28" s="13"/>
      <c r="G28" s="13"/>
      <c r="I28" s="5"/>
      <c r="J28" s="0" t="s">
        <v>44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IFERROR(0.01*(1-w),"")</f>
        <v>0.00926</v>
      </c>
      <c r="D30" s="14">
        <v>0.01</v>
      </c>
      <c r="E30" s="14">
        <v>0.010416666666666668</v>
      </c>
      <c r="F30" s="14"/>
      <c r="G30" s="14"/>
      <c r="I30" s="5"/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IFERROR(19.01*(1-w)-w*2.443,"")</f>
        <v>17.422477999999998</v>
      </c>
      <c r="D32" s="13">
        <v>19.01</v>
      </c>
      <c r="E32" s="13">
        <v>19.802083333333336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IFERROR(20.34*(1-w),"")</f>
        <v>18.83484</v>
      </c>
      <c r="D33" s="13">
        <v>20.34</v>
      </c>
      <c r="E33" s="13">
        <v>21.1875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IFERROR(20.90628*(1-w),"")</f>
        <v>19.35921528</v>
      </c>
      <c r="D34" s="13">
        <v>20.906280000000002</v>
      </c>
      <c r="E34" s="13">
        <v>21.777375000000003</v>
      </c>
      <c r="F34" s="13"/>
      <c r="G34" s="13"/>
      <c r="I34" s="5"/>
      <c r="J34" s="0" t="s">
        <v>44</v>
      </c>
    </row>
    <row r="35" outlineLevel="1">
      <c r="A35" s="11" t="s">
        <v>53</v>
      </c>
      <c r="I35" s="5"/>
    </row>
    <row r="36" outlineLevel="2">
      <c r="A36" s="12" t="s">
        <v>54</v>
      </c>
      <c r="B36" s="0" t="s">
        <v>55</v>
      </c>
      <c r="C36" s="14">
        <v>434</v>
      </c>
      <c r="D36" s="14"/>
      <c r="E36" s="14"/>
      <c r="F36" s="14"/>
      <c r="G36" s="14"/>
      <c r="I36" s="5"/>
      <c r="J36" s="0" t="s">
        <v>56</v>
      </c>
    </row>
    <row r="37" outlineLevel="2">
      <c r="A37" s="12" t="s">
        <v>57</v>
      </c>
      <c r="B37" s="0" t="s">
        <v>55</v>
      </c>
      <c r="C37" s="14">
        <v>8888</v>
      </c>
      <c r="D37" s="14"/>
      <c r="E37" s="14"/>
      <c r="F37" s="14"/>
      <c r="G37" s="14"/>
      <c r="I37" s="5"/>
      <c r="J37" s="0" t="s">
        <v>56</v>
      </c>
    </row>
    <row r="38" outlineLevel="2">
      <c r="A38" s="12" t="s">
        <v>58</v>
      </c>
      <c r="B38" s="0" t="s">
        <v>55</v>
      </c>
      <c r="C38" s="14">
        <v>227</v>
      </c>
      <c r="D38" s="14"/>
      <c r="E38" s="14"/>
      <c r="F38" s="14"/>
      <c r="G38" s="14"/>
      <c r="I38" s="5"/>
      <c r="J38" s="0" t="s">
        <v>56</v>
      </c>
    </row>
    <row r="39" outlineLevel="2">
      <c r="A39" s="12" t="s">
        <v>59</v>
      </c>
      <c r="B39" s="0" t="s">
        <v>55</v>
      </c>
      <c r="C39" s="14">
        <v>1760</v>
      </c>
      <c r="D39" s="14"/>
      <c r="E39" s="14"/>
      <c r="F39" s="14"/>
      <c r="G39" s="14"/>
      <c r="I39" s="5"/>
      <c r="J39" s="0" t="s">
        <v>56</v>
      </c>
    </row>
    <row r="40" outlineLevel="2">
      <c r="A40" s="12" t="s">
        <v>60</v>
      </c>
      <c r="B40" s="0" t="s">
        <v>55</v>
      </c>
      <c r="C40" s="14">
        <v>602</v>
      </c>
      <c r="D40" s="14"/>
      <c r="E40" s="14"/>
      <c r="F40" s="14"/>
      <c r="G40" s="14"/>
      <c r="I40" s="5"/>
      <c r="J40" s="0" t="s">
        <v>56</v>
      </c>
    </row>
    <row r="41" outlineLevel="2">
      <c r="A41" s="12" t="s">
        <v>61</v>
      </c>
      <c r="B41" s="0" t="s">
        <v>55</v>
      </c>
      <c r="C41" s="14">
        <v>529</v>
      </c>
      <c r="D41" s="14"/>
      <c r="E41" s="14"/>
      <c r="F41" s="14"/>
      <c r="G41" s="14"/>
      <c r="I41" s="5"/>
      <c r="J41" s="0" t="s">
        <v>56</v>
      </c>
    </row>
    <row r="42" outlineLevel="2">
      <c r="A42" s="12" t="s">
        <v>62</v>
      </c>
      <c r="B42" s="0" t="s">
        <v>55</v>
      </c>
      <c r="C42" s="14">
        <v>148</v>
      </c>
      <c r="D42" s="14"/>
      <c r="E42" s="14"/>
      <c r="F42" s="14"/>
      <c r="G42" s="14"/>
      <c r="I42" s="5"/>
      <c r="J42" s="0" t="s">
        <v>56</v>
      </c>
    </row>
    <row r="43" outlineLevel="2">
      <c r="A43" s="12" t="s">
        <v>63</v>
      </c>
      <c r="B43" s="0" t="s">
        <v>55</v>
      </c>
      <c r="C43" s="14">
        <v>398</v>
      </c>
      <c r="D43" s="14"/>
      <c r="E43" s="14"/>
      <c r="F43" s="14"/>
      <c r="G43" s="14"/>
      <c r="I43" s="5"/>
      <c r="J43" s="0" t="s">
        <v>56</v>
      </c>
    </row>
    <row r="44" outlineLevel="2">
      <c r="A44" s="12" t="s">
        <v>64</v>
      </c>
      <c r="B44" s="0" t="s">
        <v>55</v>
      </c>
      <c r="C44" s="14">
        <v>2640</v>
      </c>
      <c r="D44" s="14"/>
      <c r="E44" s="14"/>
      <c r="F44" s="14"/>
      <c r="G44" s="14"/>
      <c r="I44" s="5"/>
      <c r="J44" s="0" t="s">
        <v>56</v>
      </c>
    </row>
    <row r="45" outlineLevel="2">
      <c r="A45" s="12" t="s">
        <v>65</v>
      </c>
      <c r="B45" s="0" t="s">
        <v>55</v>
      </c>
      <c r="C45" s="14">
        <v>21.1</v>
      </c>
      <c r="D45" s="14"/>
      <c r="E45" s="14"/>
      <c r="F45" s="14"/>
      <c r="G45" s="14"/>
      <c r="I45" s="5"/>
      <c r="J45" s="0" t="s">
        <v>56</v>
      </c>
    </row>
    <row r="46">
      <c r="I46" s="5"/>
    </row>
    <row r="47" s="1" customFormat="1"/>
  </sheetData>
  <mergeCells>
    <mergeCell ref="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20" errorStyle="stop" promptTitle="Enter moisture content" errorTitle="Invalid moisture content" prompt="Value should be between 0 and 100.&#10;Original value: 7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https://phyllis.nl/Biomass/View/3570</dc:description>
  <dcterms:created xsi:type="dcterms:W3CDTF">2026-03-19T04:16:36Z</dcterms:created>
  <dc:title>Phyllis2 #3570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