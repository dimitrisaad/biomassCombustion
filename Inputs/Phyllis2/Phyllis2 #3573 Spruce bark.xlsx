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573 Spruce bark" sheetId="1" r:id="rId1"/>
  </sheets>
  <definedNames>
    <definedName name="w" localSheetId="0">IF(ISBLANK('Phyllis2 #3573 Spruce bark'!$C$20),#N/A,'Phyllis2 #3573 Spruce bark'!$C$20/100)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7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7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7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<sst xmlns="http://schemas.openxmlformats.org/spreadsheetml/2006/main" count="66" uniqueCount="66">
  <si>
    <t>Phyllis2</t>
  </si>
  <si>
    <t>https://phyllis.nl/Biomass/View/3573</t>
  </si>
  <si>
    <t>Spruce bark (#3573)</t>
  </si>
  <si>
    <t>ID-number</t>
  </si>
  <si>
    <t>#3573</t>
  </si>
  <si>
    <t>Material</t>
  </si>
  <si>
    <t>Spruce bark</t>
  </si>
  <si>
    <t>Description</t>
  </si>
  <si>
    <t>Sample acquired in the frame of the EU H2020 project Biofficiency</t>
  </si>
  <si>
    <t>Pretreatment: yes, steam exploded</t>
  </si>
  <si>
    <t>Classification</t>
  </si>
  <si>
    <t>ECN Phyllis classification &gt; treated wood &gt; others</t>
  </si>
  <si>
    <t>Producer</t>
  </si>
  <si>
    <t>EU H2020 project Biofficiency</t>
  </si>
  <si>
    <t>Submitter</t>
  </si>
  <si>
    <t>Lydia Fryda</t>
  </si>
  <si>
    <t>Submitter organisation</t>
  </si>
  <si>
    <t>ECN (Netherlands)</t>
  </si>
  <si>
    <t>Submission date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</si>
  <si>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</si>
  <si>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</si>
  <si>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</si>
  <si>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</si>
  <si>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</si>
  <si>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</si>
  <si>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</si>
  <si>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</si>
  <si>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</si>
  <si>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</si>
  <si>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</si>
  <si>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</si>
  <si>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</si>
  <si>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</si>
  <si>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</si>
  <si>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</si>
  <si>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</si>
  <si>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 at 550°C</t>
  </si>
  <si>
    <t>Ultimate analysis (macroelements)</t>
  </si>
  <si>
    <t>Carbon</t>
  </si>
  <si>
    <t>Hydrogen</t>
  </si>
  <si>
    <t>Oxygen</t>
  </si>
  <si>
    <t>Nitrogen</t>
  </si>
  <si>
    <t>Sulphur</t>
  </si>
  <si>
    <t>Total (with halides)</t>
  </si>
  <si>
    <t>Calculated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</si>
  <si>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</si>
  <si>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</si>
  <si>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</si>
  <si>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</si>
  <si>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</si>
  <si>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</si>
  <si>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</si>
  <si>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</si>
  <si>
    <t>Trace elements composition</t>
  </si>
  <si>
    <t>Aluminium (Al)</t>
  </si>
  <si>
    <t>mg/kg (dry)</t>
  </si>
  <si>
    <t>ICP/MS</t>
  </si>
  <si>
    <t>Calcium (Ca)</t>
  </si>
  <si>
    <t>Iron (Fe)</t>
  </si>
  <si>
    <t>Potassium (K)</t>
  </si>
  <si>
    <t>Magnesium (Mg)</t>
  </si>
  <si>
    <t>Manganese (Mn)</t>
  </si>
  <si>
    <t>Sodium (Na)</t>
  </si>
  <si>
    <t>Phosphorus (P)</t>
  </si>
  <si>
    <t>Silicon (Si)</t>
  </si>
  <si>
    <t>Titanium (Ti)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</si>
</sst>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573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46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7" t="s">
        <v>7</v>
      </c>
      <c r="B7" s="0" t="s">
        <v>8</v>
      </c>
    </row>
    <row r="8" outlineLevel="1">
      <c r="A8" s="7"/>
      <c r="B8" s="0" t="s">
        <v>9</v>
      </c>
    </row>
    <row r="9" outlineLevel="1">
      <c r="A9" s="8" t="s">
        <v>10</v>
      </c>
      <c r="B9" s="0" t="s">
        <v>11</v>
      </c>
    </row>
    <row r="10" outlineLevel="1">
      <c r="A10" s="7" t="s">
        <v>12</v>
      </c>
      <c r="B10" s="0" t="s">
        <v>13</v>
      </c>
    </row>
    <row r="11" outlineLevel="1">
      <c r="A11" s="7" t="s">
        <v>14</v>
      </c>
      <c r="B11" s="0" t="s">
        <v>15</v>
      </c>
    </row>
    <row r="12" outlineLevel="1">
      <c r="A12" s="7" t="s">
        <v>16</v>
      </c>
      <c r="B12" s="0" t="s">
        <v>17</v>
      </c>
    </row>
    <row r="13" outlineLevel="1">
      <c r="A13" s="7" t="s">
        <v>18</v>
      </c>
      <c r="B13" s="6">
        <v>43713.3810300926</v>
      </c>
    </row>
    <row r="14">
      <c r="A14" s="7"/>
    </row>
    <row r="15" s="1" customFormat="1">
      <c r="A15" s="9" t="s">
        <v>19</v>
      </c>
    </row>
    <row r="16" s="1" customFormat="1">
      <c r="A16" s="10" t="s">
        <v>20</v>
      </c>
      <c r="B16" s="10" t="s">
        <v>21</v>
      </c>
      <c r="C16" s="10" t="s">
        <v>22</v>
      </c>
      <c r="D16" s="10"/>
      <c r="E16" s="10"/>
      <c r="F16" s="10" t="s">
        <v>23</v>
      </c>
      <c r="G16" s="10" t="s">
        <v>24</v>
      </c>
      <c r="H16" s="10" t="s">
        <v>25</v>
      </c>
      <c r="I16" s="10" t="s">
        <v>26</v>
      </c>
      <c r="J16" s="10" t="s">
        <v>27</v>
      </c>
      <c r="K16" s="10" t="s">
        <v>28</v>
      </c>
      <c r="L16" s="10"/>
    </row>
    <row r="17" s="1" customFormat="1">
      <c r="A17" s="10"/>
      <c r="B17" s="10"/>
      <c r="C17" s="10" t="s">
        <v>29</v>
      </c>
      <c r="D17" s="10" t="s">
        <v>30</v>
      </c>
      <c r="E17" s="10" t="s">
        <v>31</v>
      </c>
      <c r="F17" s="10"/>
      <c r="G17" s="10"/>
      <c r="H17" s="10"/>
      <c r="I17" s="10"/>
      <c r="J17" s="10"/>
      <c r="K17" s="10"/>
      <c r="L17" s="10"/>
    </row>
    <row r="18">
      <c r="A18" s="7" t="s">
        <v>32</v>
      </c>
      <c r="I18" s="5"/>
    </row>
    <row r="19" outlineLevel="1">
      <c r="A19" s="11" t="s">
        <v>33</v>
      </c>
      <c r="I19" s="5"/>
    </row>
    <row r="20" outlineLevel="2">
      <c r="A20" s="12" t="s">
        <v>34</v>
      </c>
      <c r="B20" s="0" t="s">
        <v>35</v>
      </c>
      <c r="C20" s="13">
        <v>6.8</v>
      </c>
      <c r="D20" s="13"/>
      <c r="E20" s="13"/>
      <c r="F20" s="13"/>
      <c r="G20" s="13"/>
      <c r="I20" s="5"/>
    </row>
    <row r="21" outlineLevel="2">
      <c r="A21" s="12" t="s">
        <v>36</v>
      </c>
      <c r="B21" s="0" t="s">
        <v>35</v>
      </c>
      <c r="C21" s="13">
        <f>IFERROR(4.61*(1-w),"")</f>
        <v>4.29652</v>
      </c>
      <c r="D21" s="13">
        <v>4.61</v>
      </c>
      <c r="E21" s="13">
        <v/>
      </c>
      <c r="F21" s="13"/>
      <c r="G21" s="13"/>
      <c r="I21" s="5"/>
    </row>
    <row r="22" outlineLevel="1">
      <c r="A22" s="11" t="s">
        <v>37</v>
      </c>
      <c r="I22" s="5"/>
    </row>
    <row r="23" outlineLevel="2">
      <c r="A23" s="12" t="s">
        <v>38</v>
      </c>
      <c r="B23" s="0" t="s">
        <v>35</v>
      </c>
      <c r="C23" s="13">
        <f>IFERROR(52.47*(1-w),"")</f>
        <v>48.902039999999992</v>
      </c>
      <c r="D23" s="13">
        <v>52.47</v>
      </c>
      <c r="E23" s="13">
        <v>55.005765803543348</v>
      </c>
      <c r="F23" s="13"/>
      <c r="G23" s="13"/>
      <c r="I23" s="5"/>
    </row>
    <row r="24" outlineLevel="2">
      <c r="A24" s="12" t="s">
        <v>39</v>
      </c>
      <c r="B24" s="0" t="s">
        <v>35</v>
      </c>
      <c r="C24" s="13">
        <f>IFERROR(5.84*(1-w),"")</f>
        <v>5.44288</v>
      </c>
      <c r="D24" s="13">
        <v>5.84</v>
      </c>
      <c r="E24" s="13">
        <v>6.1222350351189849</v>
      </c>
      <c r="F24" s="13"/>
      <c r="G24" s="13"/>
      <c r="I24" s="5"/>
    </row>
    <row r="25" outlineLevel="2">
      <c r="A25" s="12" t="s">
        <v>40</v>
      </c>
      <c r="B25" s="0" t="s">
        <v>35</v>
      </c>
      <c r="C25" s="13">
        <f>IFERROR(36.75*(1-w),"")</f>
        <v>34.251</v>
      </c>
      <c r="D25" s="13">
        <v>36.75</v>
      </c>
      <c r="E25" s="13">
        <v>38.526050948736767</v>
      </c>
      <c r="F25" s="13"/>
      <c r="G25" s="13"/>
      <c r="I25" s="5"/>
    </row>
    <row r="26" outlineLevel="2">
      <c r="A26" s="12" t="s">
        <v>41</v>
      </c>
      <c r="B26" s="0" t="s">
        <v>35</v>
      </c>
      <c r="C26" s="13">
        <f>IFERROR(0.35*(1-w),"")</f>
        <v>0.32619999999999993</v>
      </c>
      <c r="D26" s="13">
        <v>0.35</v>
      </c>
      <c r="E26" s="13">
        <v>0.36691477094035013</v>
      </c>
      <c r="F26" s="13"/>
      <c r="G26" s="13"/>
      <c r="I26" s="5"/>
    </row>
    <row r="27" outlineLevel="2">
      <c r="A27" s="12" t="s">
        <v>42</v>
      </c>
      <c r="B27" s="0" t="s">
        <v>35</v>
      </c>
      <c r="C27" s="13">
        <f>IFERROR(0.03*(1-w),"")</f>
        <v>0.02796</v>
      </c>
      <c r="D27" s="13">
        <v>0.03</v>
      </c>
      <c r="E27" s="13">
        <v>0.031449837509172872</v>
      </c>
      <c r="F27" s="13"/>
      <c r="G27" s="13"/>
      <c r="I27" s="5"/>
    </row>
    <row r="28" outlineLevel="2">
      <c r="A28" s="12" t="s">
        <v>43</v>
      </c>
      <c r="B28" s="0" t="s">
        <v>35</v>
      </c>
      <c r="C28" s="13">
        <f>IFERROR(100.050001*(1-w)+w*100,"")</f>
        <v>100.04660093199999</v>
      </c>
      <c r="D28" s="13">
        <v>100.050001</v>
      </c>
      <c r="E28" s="13">
        <v>100.05241744417654</v>
      </c>
      <c r="F28" s="13"/>
      <c r="G28" s="13"/>
      <c r="I28" s="5"/>
      <c r="J28" s="0" t="s">
        <v>44</v>
      </c>
    </row>
    <row r="29" outlineLevel="1">
      <c r="A29" s="11" t="s">
        <v>45</v>
      </c>
      <c r="I29" s="5"/>
    </row>
    <row r="30" outlineLevel="2">
      <c r="A30" s="12" t="s">
        <v>46</v>
      </c>
      <c r="B30" s="0" t="s">
        <v>47</v>
      </c>
      <c r="C30" s="14">
        <f>IFERROR(0.01*(1-w),"")</f>
        <v>0.00932</v>
      </c>
      <c r="D30" s="14">
        <v>0.01</v>
      </c>
      <c r="E30" s="14">
        <v>0.01048327916972429</v>
      </c>
      <c r="F30" s="14"/>
      <c r="G30" s="14"/>
      <c r="I30" s="5"/>
    </row>
    <row r="31" outlineLevel="1">
      <c r="A31" s="11" t="s">
        <v>48</v>
      </c>
      <c r="I31" s="5"/>
    </row>
    <row r="32" outlineLevel="2">
      <c r="A32" s="12" t="s">
        <v>49</v>
      </c>
      <c r="B32" s="0" t="s">
        <v>50</v>
      </c>
      <c r="C32" s="13">
        <f>IFERROR(19.76*(1-w)-w*2.443,"")</f>
        <v>18.250196</v>
      </c>
      <c r="D32" s="13">
        <v>19.76</v>
      </c>
      <c r="E32" s="13">
        <v>20.7149596393752</v>
      </c>
      <c r="F32" s="13"/>
      <c r="G32" s="13"/>
      <c r="I32" s="5"/>
    </row>
    <row r="33" outlineLevel="2">
      <c r="A33" s="12" t="s">
        <v>51</v>
      </c>
      <c r="B33" s="0" t="s">
        <v>50</v>
      </c>
      <c r="C33" s="13">
        <f>IFERROR(21.01*(1-w),"")</f>
        <v>19.58132</v>
      </c>
      <c r="D33" s="13">
        <v>21.01</v>
      </c>
      <c r="E33" s="13">
        <v>22.025369535590734</v>
      </c>
      <c r="F33" s="13"/>
      <c r="G33" s="13"/>
      <c r="I33" s="5"/>
    </row>
    <row r="34" outlineLevel="2">
      <c r="A34" s="12" t="s">
        <v>52</v>
      </c>
      <c r="B34" s="0" t="s">
        <v>50</v>
      </c>
      <c r="C34" s="13">
        <f>IFERROR(21.0955265713*(1-w),"")</f>
        <v>19.6610307644516</v>
      </c>
      <c r="D34" s="13">
        <v>21.0955265713</v>
      </c>
      <c r="E34" s="13">
        <v>22.115029427927457</v>
      </c>
      <c r="F34" s="13"/>
      <c r="G34" s="13"/>
      <c r="I34" s="5"/>
      <c r="J34" s="0" t="s">
        <v>44</v>
      </c>
    </row>
    <row r="35" outlineLevel="1">
      <c r="A35" s="11" t="s">
        <v>53</v>
      </c>
      <c r="I35" s="5"/>
    </row>
    <row r="36" outlineLevel="2">
      <c r="A36" s="12" t="s">
        <v>54</v>
      </c>
      <c r="B36" s="0" t="s">
        <v>55</v>
      </c>
      <c r="C36" s="14">
        <v>909</v>
      </c>
      <c r="D36" s="14"/>
      <c r="E36" s="14"/>
      <c r="F36" s="14"/>
      <c r="G36" s="14"/>
      <c r="I36" s="5"/>
      <c r="J36" s="0" t="s">
        <v>56</v>
      </c>
    </row>
    <row r="37" outlineLevel="2">
      <c r="A37" s="12" t="s">
        <v>57</v>
      </c>
      <c r="B37" s="0" t="s">
        <v>55</v>
      </c>
      <c r="C37" s="14">
        <v>10800</v>
      </c>
      <c r="D37" s="14"/>
      <c r="E37" s="14"/>
      <c r="F37" s="14"/>
      <c r="G37" s="14"/>
      <c r="I37" s="5"/>
      <c r="J37" s="0" t="s">
        <v>56</v>
      </c>
    </row>
    <row r="38" outlineLevel="2">
      <c r="A38" s="12" t="s">
        <v>58</v>
      </c>
      <c r="B38" s="0" t="s">
        <v>55</v>
      </c>
      <c r="C38" s="14">
        <v>433</v>
      </c>
      <c r="D38" s="14"/>
      <c r="E38" s="14"/>
      <c r="F38" s="14"/>
      <c r="G38" s="14"/>
      <c r="I38" s="5"/>
      <c r="J38" s="0" t="s">
        <v>56</v>
      </c>
    </row>
    <row r="39" outlineLevel="2">
      <c r="A39" s="12" t="s">
        <v>59</v>
      </c>
      <c r="B39" s="0" t="s">
        <v>55</v>
      </c>
      <c r="C39" s="14">
        <v>1960</v>
      </c>
      <c r="D39" s="14"/>
      <c r="E39" s="14"/>
      <c r="F39" s="14"/>
      <c r="G39" s="14"/>
      <c r="I39" s="5"/>
      <c r="J39" s="0" t="s">
        <v>56</v>
      </c>
    </row>
    <row r="40" outlineLevel="2">
      <c r="A40" s="12" t="s">
        <v>60</v>
      </c>
      <c r="B40" s="0" t="s">
        <v>55</v>
      </c>
      <c r="C40" s="14">
        <v>742</v>
      </c>
      <c r="D40" s="14"/>
      <c r="E40" s="14"/>
      <c r="F40" s="14"/>
      <c r="G40" s="14"/>
      <c r="I40" s="5"/>
      <c r="J40" s="0" t="s">
        <v>56</v>
      </c>
    </row>
    <row r="41" outlineLevel="2">
      <c r="A41" s="12" t="s">
        <v>61</v>
      </c>
      <c r="B41" s="0" t="s">
        <v>55</v>
      </c>
      <c r="C41" s="14">
        <v>632</v>
      </c>
      <c r="D41" s="14"/>
      <c r="E41" s="14"/>
      <c r="F41" s="14"/>
      <c r="G41" s="14"/>
      <c r="I41" s="5"/>
      <c r="J41" s="0" t="s">
        <v>56</v>
      </c>
    </row>
    <row r="42" outlineLevel="2">
      <c r="A42" s="12" t="s">
        <v>62</v>
      </c>
      <c r="B42" s="0" t="s">
        <v>55</v>
      </c>
      <c r="C42" s="14">
        <v>311</v>
      </c>
      <c r="D42" s="14"/>
      <c r="E42" s="14"/>
      <c r="F42" s="14"/>
      <c r="G42" s="14"/>
      <c r="I42" s="5"/>
      <c r="J42" s="0" t="s">
        <v>56</v>
      </c>
    </row>
    <row r="43" outlineLevel="2">
      <c r="A43" s="12" t="s">
        <v>63</v>
      </c>
      <c r="B43" s="0" t="s">
        <v>55</v>
      </c>
      <c r="C43" s="14">
        <v>450</v>
      </c>
      <c r="D43" s="14"/>
      <c r="E43" s="14"/>
      <c r="F43" s="14"/>
      <c r="G43" s="14"/>
      <c r="I43" s="5"/>
      <c r="J43" s="0" t="s">
        <v>56</v>
      </c>
    </row>
    <row r="44" outlineLevel="2">
      <c r="A44" s="12" t="s">
        <v>64</v>
      </c>
      <c r="B44" s="0" t="s">
        <v>55</v>
      </c>
      <c r="C44" s="14">
        <v>4180</v>
      </c>
      <c r="D44" s="14"/>
      <c r="E44" s="14"/>
      <c r="F44" s="14"/>
      <c r="G44" s="14"/>
      <c r="I44" s="5"/>
      <c r="J44" s="0" t="s">
        <v>56</v>
      </c>
    </row>
    <row r="45" outlineLevel="2">
      <c r="A45" s="12" t="s">
        <v>65</v>
      </c>
      <c r="B45" s="0" t="s">
        <v>55</v>
      </c>
      <c r="C45" s="14">
        <v>30.5</v>
      </c>
      <c r="D45" s="14"/>
      <c r="E45" s="14"/>
      <c r="F45" s="14"/>
      <c r="G45" s="14"/>
      <c r="I45" s="5"/>
      <c r="J45" s="0" t="s">
        <v>56</v>
      </c>
    </row>
    <row r="46">
      <c r="I46" s="5"/>
    </row>
    <row r="47" s="1" customFormat="1"/>
  </sheetData>
  <mergeCells>
    <mergeCell ref="A9"/>
    <mergeCell ref="C16:E16"/>
    <mergeCell ref="A16:A17"/>
    <mergeCell ref="B16:B17"/>
    <mergeCell ref="F16:F17"/>
    <mergeCell ref="G16:G17"/>
    <mergeCell ref="H16:H17"/>
    <mergeCell ref="I16:I17"/>
    <mergeCell ref="J16:J17"/>
    <mergeCell ref="K16:K17"/>
    <mergeCell ref="C36:E36"/>
    <mergeCell ref="C37:E37"/>
    <mergeCell ref="C38:E38"/>
    <mergeCell ref="C39:E39"/>
    <mergeCell ref="C40:E40"/>
    <mergeCell ref="C41:E41"/>
    <mergeCell ref="C42:E42"/>
    <mergeCell ref="C43:E43"/>
    <mergeCell ref="C44:E44"/>
    <mergeCell ref="C45:E45"/>
  </mergeCells>
  <dataValidations count="1">
    <dataValidation type="decimal" sqref="C20" errorStyle="stop" promptTitle="Enter moisture content" errorTitle="Invalid moisture content" prompt="Value should be between 0 and 100.&#10;Original value: 6.8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https://phyllis.nl/Biomass/View/3573</dc:description>
  <dcterms:created xsi:type="dcterms:W3CDTF">2026-03-19T04:07:17Z</dcterms:created>
  <dc:title>Phyllis2 #3573 Spruce bark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