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574 Spruce bark pell" sheetId="1" r:id="rId1"/>
  </sheets>
  <definedNames>
    <definedName name="w" localSheetId="0">IF(ISBLANK('Phyllis2 #3574 Spruce bark pell'!$C$21),#N/A,'Phyllis2 #3574 Spruce bark pell'!$C$21/100)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8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8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8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<sst xmlns="http://schemas.openxmlformats.org/spreadsheetml/2006/main" count="63" uniqueCount="63">
  <si>
    <t>Phyllis2</t>
  </si>
  <si>
    <t>https://phyllis.nl/Biomass/View/3574</t>
  </si>
  <si>
    <t>Spruce bark pellets (#3574)</t>
  </si>
  <si>
    <t>ID-number</t>
  </si>
  <si>
    <t>#3574</t>
  </si>
  <si>
    <t>Material</t>
  </si>
  <si>
    <t>Spruce bark pellets</t>
  </si>
  <si>
    <t>Description</t>
  </si>
  <si>
    <t>Sample acquired in the frame of the EU H2020 project Biofficiency</t>
  </si>
  <si>
    <t>Pretreatment: yes, steam explosion</t>
  </si>
  <si>
    <t>Classification</t>
  </si>
  <si>
    <t>ECN Phyllis classification &gt; treated wood &gt; others</t>
  </si>
  <si>
    <t>Producer</t>
  </si>
  <si>
    <t>EU H2020 project Biofficiency</t>
  </si>
  <si>
    <t>Production date</t>
  </si>
  <si>
    <t>Submitter</t>
  </si>
  <si>
    <t>Lydia Fryda</t>
  </si>
  <si>
    <t>Submitter organisation</t>
  </si>
  <si>
    <t>ECN (Netherlands)</t>
  </si>
  <si>
    <t>Submission date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</si>
  <si>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</si>
  <si>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</si>
  <si>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</si>
  <si>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</si>
  <si>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</si>
  <si>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</si>
  <si>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</si>
  <si>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</si>
  <si>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</si>
  <si>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</si>
  <si>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</si>
  <si>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</si>
  <si>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</si>
  <si>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</si>
  <si>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</si>
  <si>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</si>
  <si>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</si>
  <si>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 at 550°C</t>
  </si>
  <si>
    <t>Volatile matter</t>
  </si>
  <si>
    <t>Fixed carbon</t>
  </si>
  <si>
    <t>Calculated</t>
  </si>
  <si>
    <t>Ultimate analysis (macroelements)</t>
  </si>
  <si>
    <t>Carbon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</si>
  <si>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</si>
  <si>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</si>
  <si>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</si>
  <si>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</si>
  <si>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</si>
  <si>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</si>
  <si>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</si>
  <si>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</si>
  <si>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</si>
  <si>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</si>
  <si>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</si>
  <si>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</si>
  <si>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</si>
  <si>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Ash melting behaviour</t>
  </si>
  <si>
    <t>European standard method</t>
  </si>
  <si>
    <t>DEF (deformation temperature)</t>
  </si>
  <si>
    <t>°C</t>
  </si>
  <si>
    <t>HE (hemispherical temperature)</t>
  </si>
  <si>
    <t>FL (flow temperature)</t>
  </si>
  <si>
    <t>&gt;1530</t>
  </si>
</sst>
</file>

<file path=xl/styles.xml><?xml version="1.0" encoding="utf-8"?>
<styleSheet xmlns="http://schemas.openxmlformats.org/spreadsheetml/2006/main">
  <numFmts count="4">
    <numFmt numFmtId="164" formatCode="yyyy-mm-dd"/>
    <numFmt numFmtId="165" formatCode="#,0.00"/>
    <numFmt numFmtId="166" formatCode="#,0.0"/>
    <numFmt numFmtId="167" formatCode="#,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574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3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7" t="s">
        <v>7</v>
      </c>
      <c r="B7" s="0" t="s">
        <v>8</v>
      </c>
    </row>
    <row r="8" outlineLevel="1">
      <c r="A8" s="7"/>
      <c r="B8" s="0" t="s">
        <v>9</v>
      </c>
    </row>
    <row r="9" outlineLevel="1">
      <c r="A9" s="8" t="s">
        <v>10</v>
      </c>
      <c r="B9" s="0" t="s">
        <v>11</v>
      </c>
    </row>
    <row r="10" outlineLevel="1">
      <c r="A10" s="7" t="s">
        <v>12</v>
      </c>
      <c r="B10" s="0" t="s">
        <v>13</v>
      </c>
    </row>
    <row r="11" outlineLevel="1">
      <c r="A11" s="7" t="s">
        <v>14</v>
      </c>
      <c r="B11" s="6">
        <v>42852</v>
      </c>
    </row>
    <row r="12" outlineLevel="1">
      <c r="A12" s="7" t="s">
        <v>15</v>
      </c>
      <c r="B12" s="0" t="s">
        <v>16</v>
      </c>
    </row>
    <row r="13" outlineLevel="1">
      <c r="A13" s="7" t="s">
        <v>17</v>
      </c>
      <c r="B13" s="0" t="s">
        <v>18</v>
      </c>
    </row>
    <row r="14" outlineLevel="1">
      <c r="A14" s="7" t="s">
        <v>19</v>
      </c>
      <c r="B14" s="6">
        <v>43713.4656712963</v>
      </c>
    </row>
    <row r="15">
      <c r="A15" s="7"/>
    </row>
    <row r="16" s="1" customFormat="1">
      <c r="A16" s="9" t="s">
        <v>20</v>
      </c>
    </row>
    <row r="17" s="1" customFormat="1">
      <c r="A17" s="10" t="s">
        <v>21</v>
      </c>
      <c r="B17" s="10" t="s">
        <v>22</v>
      </c>
      <c r="C17" s="10" t="s">
        <v>23</v>
      </c>
      <c r="D17" s="10"/>
      <c r="E17" s="10"/>
      <c r="F17" s="10" t="s">
        <v>24</v>
      </c>
      <c r="G17" s="10" t="s">
        <v>25</v>
      </c>
      <c r="H17" s="10" t="s">
        <v>26</v>
      </c>
      <c r="I17" s="10" t="s">
        <v>27</v>
      </c>
      <c r="J17" s="10" t="s">
        <v>28</v>
      </c>
      <c r="K17" s="10" t="s">
        <v>29</v>
      </c>
      <c r="L17" s="10"/>
    </row>
    <row r="18" s="1" customFormat="1">
      <c r="A18" s="10"/>
      <c r="B18" s="10"/>
      <c r="C18" s="10" t="s">
        <v>30</v>
      </c>
      <c r="D18" s="10" t="s">
        <v>31</v>
      </c>
      <c r="E18" s="10" t="s">
        <v>32</v>
      </c>
      <c r="F18" s="10"/>
      <c r="G18" s="10"/>
      <c r="H18" s="10"/>
      <c r="I18" s="10"/>
      <c r="J18" s="10"/>
      <c r="K18" s="10"/>
      <c r="L18" s="10"/>
    </row>
    <row r="19">
      <c r="A19" s="7" t="s">
        <v>33</v>
      </c>
      <c r="I19" s="5"/>
    </row>
    <row r="20" outlineLevel="1">
      <c r="A20" s="11" t="s">
        <v>34</v>
      </c>
      <c r="I20" s="5"/>
    </row>
    <row r="21" outlineLevel="2">
      <c r="A21" s="12" t="s">
        <v>35</v>
      </c>
      <c r="B21" s="0" t="s">
        <v>36</v>
      </c>
      <c r="C21" s="13">
        <v>6.4</v>
      </c>
      <c r="D21" s="13"/>
      <c r="E21" s="13"/>
      <c r="F21" s="13"/>
      <c r="G21" s="13"/>
      <c r="I21" s="5"/>
    </row>
    <row r="22" outlineLevel="2">
      <c r="A22" s="12" t="s">
        <v>37</v>
      </c>
      <c r="B22" s="0" t="s">
        <v>36</v>
      </c>
      <c r="C22" s="13">
        <f>IFERROR(5.87*(1-w),"")</f>
        <v>5.49432</v>
      </c>
      <c r="D22" s="13">
        <v>5.87</v>
      </c>
      <c r="E22" s="13">
        <v/>
      </c>
      <c r="F22" s="13"/>
      <c r="G22" s="13"/>
      <c r="I22" s="5"/>
    </row>
    <row r="23" outlineLevel="2">
      <c r="A23" s="12" t="s">
        <v>38</v>
      </c>
      <c r="B23" s="0" t="s">
        <v>36</v>
      </c>
      <c r="C23" s="13">
        <f>IFERROR(69.98*(1-w),"")</f>
        <v>65.50128</v>
      </c>
      <c r="D23" s="13">
        <v>69.98</v>
      </c>
      <c r="E23" s="13">
        <v>74.343992351003934</v>
      </c>
      <c r="F23" s="13"/>
      <c r="G23" s="13"/>
      <c r="I23" s="5"/>
    </row>
    <row r="24" outlineLevel="2">
      <c r="A24" s="12" t="s">
        <v>39</v>
      </c>
      <c r="B24" s="0" t="s">
        <v>36</v>
      </c>
      <c r="C24" s="13">
        <f>IFERROR(24.15*(1-w),"")</f>
        <v>22.604399999999991</v>
      </c>
      <c r="D24" s="13">
        <v>24.149999999999991</v>
      </c>
      <c r="E24" s="13">
        <v>25.656007648996059</v>
      </c>
      <c r="F24" s="13"/>
      <c r="G24" s="13"/>
      <c r="I24" s="5"/>
      <c r="J24" s="0" t="s">
        <v>40</v>
      </c>
    </row>
    <row r="25" outlineLevel="1">
      <c r="A25" s="11" t="s">
        <v>41</v>
      </c>
      <c r="I25" s="5"/>
    </row>
    <row r="26" outlineLevel="2">
      <c r="A26" s="12" t="s">
        <v>42</v>
      </c>
      <c r="B26" s="0" t="s">
        <v>36</v>
      </c>
      <c r="C26" s="13">
        <f>IFERROR(52.99*(1-w),"")</f>
        <v>49.598639999999996</v>
      </c>
      <c r="D26" s="13">
        <v>52.99</v>
      </c>
      <c r="E26" s="13">
        <v>56.294486348666737</v>
      </c>
      <c r="F26" s="13"/>
      <c r="G26" s="13"/>
      <c r="I26" s="5"/>
    </row>
    <row r="27" outlineLevel="2">
      <c r="A27" s="12" t="s">
        <v>43</v>
      </c>
      <c r="B27" s="0" t="s">
        <v>36</v>
      </c>
      <c r="C27" s="13">
        <f>IFERROR(5.53*(1-w),"")</f>
        <v>5.17608</v>
      </c>
      <c r="D27" s="13">
        <v>5.53</v>
      </c>
      <c r="E27" s="13">
        <v>5.874853925422288</v>
      </c>
      <c r="F27" s="13"/>
      <c r="G27" s="13"/>
      <c r="I27" s="5"/>
    </row>
    <row r="28" outlineLevel="2">
      <c r="A28" s="12" t="s">
        <v>44</v>
      </c>
      <c r="B28" s="0" t="s">
        <v>36</v>
      </c>
      <c r="C28" s="13">
        <f>IFERROR(35.15*(1-w),"")</f>
        <v>32.9004</v>
      </c>
      <c r="D28" s="13">
        <v>35.15</v>
      </c>
      <c r="E28" s="13">
        <v>37.341973865930093</v>
      </c>
      <c r="F28" s="13"/>
      <c r="G28" s="13"/>
      <c r="I28" s="5"/>
    </row>
    <row r="29" outlineLevel="2">
      <c r="A29" s="12" t="s">
        <v>45</v>
      </c>
      <c r="B29" s="0" t="s">
        <v>36</v>
      </c>
      <c r="C29" s="13">
        <f>IFERROR(0.49*(1-w),"")</f>
        <v>0.45863999999999994</v>
      </c>
      <c r="D29" s="13">
        <v>0.49</v>
      </c>
      <c r="E29" s="13">
        <v>0.52055667693615215</v>
      </c>
      <c r="F29" s="13"/>
      <c r="G29" s="13"/>
      <c r="I29" s="5"/>
    </row>
    <row r="30" outlineLevel="2">
      <c r="A30" s="12" t="s">
        <v>46</v>
      </c>
      <c r="B30" s="0" t="s">
        <v>36</v>
      </c>
      <c r="C30" s="13">
        <f>IFERROR(0.05*(1-w),"")</f>
        <v>0.0468</v>
      </c>
      <c r="D30" s="13">
        <v>0.05</v>
      </c>
      <c r="E30" s="13">
        <v>0.053118028258791035</v>
      </c>
      <c r="F30" s="13"/>
      <c r="G30" s="13"/>
      <c r="I30" s="5"/>
    </row>
    <row r="31" outlineLevel="2">
      <c r="A31" s="12" t="s">
        <v>47</v>
      </c>
      <c r="B31" s="0" t="s">
        <v>36</v>
      </c>
      <c r="C31" s="13">
        <f>IFERROR(100.080002*(1-w)+w*100,"")</f>
        <v>100.07488187199999</v>
      </c>
      <c r="D31" s="13">
        <v>100.080002</v>
      </c>
      <c r="E31" s="13">
        <v>100.08499096993518</v>
      </c>
      <c r="F31" s="13"/>
      <c r="G31" s="13"/>
      <c r="I31" s="5"/>
      <c r="J31" s="0" t="s">
        <v>40</v>
      </c>
    </row>
    <row r="32" outlineLevel="1">
      <c r="A32" s="11" t="s">
        <v>48</v>
      </c>
      <c r="I32" s="5"/>
    </row>
    <row r="33" outlineLevel="2">
      <c r="A33" s="12" t="s">
        <v>49</v>
      </c>
      <c r="B33" s="0" t="s">
        <v>50</v>
      </c>
      <c r="C33" s="14">
        <f>IFERROR(0.02*(1-w),"")</f>
        <v>0.01872</v>
      </c>
      <c r="D33" s="14">
        <v>0.02</v>
      </c>
      <c r="E33" s="14">
        <v>0.021247211303516412</v>
      </c>
      <c r="F33" s="14"/>
      <c r="G33" s="14"/>
      <c r="I33" s="5"/>
    </row>
    <row r="34" outlineLevel="1">
      <c r="A34" s="11" t="s">
        <v>51</v>
      </c>
      <c r="I34" s="5"/>
    </row>
    <row r="35" outlineLevel="2">
      <c r="A35" s="12" t="s">
        <v>52</v>
      </c>
      <c r="B35" s="0" t="s">
        <v>53</v>
      </c>
      <c r="C35" s="13">
        <f>IFERROR(19.62*(1-w)-w*2.443,"")</f>
        <v>18.207968</v>
      </c>
      <c r="D35" s="13">
        <v>19.62</v>
      </c>
      <c r="E35" s="13">
        <v>20.843514288749603</v>
      </c>
      <c r="F35" s="13"/>
      <c r="G35" s="13"/>
      <c r="I35" s="5"/>
    </row>
    <row r="36" outlineLevel="2">
      <c r="A36" s="12" t="s">
        <v>54</v>
      </c>
      <c r="B36" s="0" t="s">
        <v>53</v>
      </c>
      <c r="C36" s="13">
        <f>IFERROR(20.84*(1-w),"")</f>
        <v>19.50624</v>
      </c>
      <c r="D36" s="13">
        <v>20.84</v>
      </c>
      <c r="E36" s="13">
        <v>22.1395941782641</v>
      </c>
      <c r="F36" s="13"/>
      <c r="G36" s="13"/>
      <c r="I36" s="5"/>
    </row>
    <row r="37" outlineLevel="2">
      <c r="A37" s="12" t="s">
        <v>55</v>
      </c>
      <c r="B37" s="0" t="s">
        <v>53</v>
      </c>
      <c r="C37" s="13">
        <f>IFERROR(21.0223409057*(1-w),"")</f>
        <v>19.676911087735196</v>
      </c>
      <c r="D37" s="13">
        <v>21.0223409057</v>
      </c>
      <c r="E37" s="13">
        <v>22.333305965898223</v>
      </c>
      <c r="F37" s="13"/>
      <c r="G37" s="13"/>
      <c r="I37" s="5"/>
      <c r="J37" s="0" t="s">
        <v>40</v>
      </c>
    </row>
    <row r="38" outlineLevel="1">
      <c r="A38" s="11" t="s">
        <v>56</v>
      </c>
      <c r="I38" s="5"/>
    </row>
    <row r="39" outlineLevel="2">
      <c r="A39" s="15" t="s">
        <v>57</v>
      </c>
      <c r="I39" s="5"/>
    </row>
    <row r="40" outlineLevel="3">
      <c r="A40" s="16" t="s">
        <v>58</v>
      </c>
      <c r="B40" s="0" t="s">
        <v>59</v>
      </c>
      <c r="C40" s="17">
        <v>1330</v>
      </c>
      <c r="D40" s="17"/>
      <c r="E40" s="17"/>
      <c r="F40" s="17"/>
      <c r="G40" s="17"/>
      <c r="I40" s="5"/>
    </row>
    <row r="41" outlineLevel="3">
      <c r="A41" s="16" t="s">
        <v>60</v>
      </c>
      <c r="B41" s="0" t="s">
        <v>59</v>
      </c>
      <c r="C41" s="17">
        <v>1410</v>
      </c>
      <c r="D41" s="17"/>
      <c r="E41" s="17"/>
      <c r="F41" s="17"/>
      <c r="G41" s="17"/>
      <c r="I41" s="5"/>
    </row>
    <row r="42" outlineLevel="3">
      <c r="A42" s="16" t="s">
        <v>61</v>
      </c>
      <c r="B42" s="0" t="s">
        <v>59</v>
      </c>
      <c r="C42" s="17" t="s">
        <v>62</v>
      </c>
      <c r="D42" s="17"/>
      <c r="E42" s="17"/>
      <c r="F42" s="17"/>
      <c r="G42" s="17"/>
      <c r="I42" s="5"/>
    </row>
    <row r="43">
      <c r="I43" s="5"/>
    </row>
    <row r="44" s="1" customFormat="1"/>
  </sheetData>
  <mergeCells>
    <mergeCell ref="A9"/>
    <mergeCell ref="C17:E17"/>
    <mergeCell ref="A17:A18"/>
    <mergeCell ref="B17:B18"/>
    <mergeCell ref="F17:F18"/>
    <mergeCell ref="G17:G18"/>
    <mergeCell ref="H17:H18"/>
    <mergeCell ref="I17:I18"/>
    <mergeCell ref="J17:J18"/>
    <mergeCell ref="K17:K18"/>
    <mergeCell ref="C40:E40"/>
    <mergeCell ref="C41:E41"/>
    <mergeCell ref="C42:E42"/>
  </mergeCells>
  <dataValidations count="1">
    <dataValidation type="decimal" sqref="C21" errorStyle="stop" promptTitle="Enter moisture content" errorTitle="Invalid moisture content" prompt="Value should be between 0 and 100.&#10;Original value: 6.4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https://phyllis.nl/Biomass/View/3574</dc:description>
  <dcterms:created xsi:type="dcterms:W3CDTF">2026-03-19T04:07:20Z</dcterms:created>
  <dc:title>Phyllis2 #3574 Spruce bark pellets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