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75 Spruce bark powd" sheetId="1" r:id="rId1"/>
  </sheets>
  <definedNames>
    <definedName name="w" localSheetId="0">IF(ISBLANK('Phyllis2 #3575 Spruce bark powd'!$C$21),#N/A,'Phyllis2 #3575 Spruce bark powd'!$C$21/100)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<sst xmlns="http://schemas.openxmlformats.org/spreadsheetml/2006/main" count="63" uniqueCount="63">
  <si>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</si>
  <si>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https://phyllis.nl/Biomass/View/3575</t>
  </si>
  <si>
    <t>Spruce bark powder (#3575)</t>
  </si>
  <si>
    <t>ID-number</t>
  </si>
  <si>
    <t>#3575</t>
  </si>
  <si>
    <t>Material</t>
  </si>
  <si>
    <t>Spruce bark powder</t>
  </si>
  <si>
    <t>Description</t>
  </si>
  <si>
    <t>Sample acquired in the frame of the EU H2020 project Biofficiency</t>
  </si>
  <si>
    <t>Pretreatment: yes, steam explosion</t>
  </si>
  <si>
    <t>Classification</t>
  </si>
  <si>
    <t>ECN Phyllis classification &gt; treated wood &gt; others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</si>
  <si>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</si>
  <si>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</si>
  <si>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</si>
  <si>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</si>
  <si>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</si>
  <si>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</si>
  <si>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</si>
  <si>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</si>
  <si>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</si>
  <si>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</si>
  <si>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</si>
  <si>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</si>
  <si>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</si>
  <si>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</si>
  <si>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</si>
  <si>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</si>
  <si>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</si>
  <si>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</si>
  <si>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</si>
  <si>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</si>
  <si>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</si>
  <si>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</si>
  <si>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</si>
  <si>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</si>
  <si>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</si>
  <si>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</si>
  <si>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</si>
  <si>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</si>
  <si>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</si>
  <si>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</si>
  <si>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</si>
  <si>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</si>
  <si>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</si>
  <si>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</si>
  <si>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</si>
  <si>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</si>
  <si>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</si>
  <si>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</si>
  <si>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</si>
  <si>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</si>
  <si>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</si>
  <si>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</si>
  <si>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</si>
  <si>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</si>
  <si>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</si>
  <si>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</si>
  <si>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</si>
  <si>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</si>
  <si>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</si>
  <si>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</si>
  <si>
    <t>&gt;1530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</si>
</sst>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42852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43713.4734606482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6.5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IFERROR(4.7*(1-w),"")</f>
        <v>4.3945000000000007</v>
      </c>
      <c r="D22" s="13">
        <v>4.7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IFERROR(71.55*(1-w),"")</f>
        <v>66.89925</v>
      </c>
      <c r="D23" s="13">
        <v>71.55</v>
      </c>
      <c r="E23" s="13">
        <v>75.078698845750267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IFERROR(23.75*(1-w),"")</f>
        <v>22.20625</v>
      </c>
      <c r="D24" s="13">
        <v>23.75</v>
      </c>
      <c r="E24" s="13">
        <v>24.92130115424974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IFERROR(53.69*(1-w),"")</f>
        <v>50.20015</v>
      </c>
      <c r="D26" s="13">
        <v>53.69</v>
      </c>
      <c r="E26" s="13">
        <v>56.337880377754459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IFERROR(5.72*(1-w),"")</f>
        <v>5.3482</v>
      </c>
      <c r="D27" s="13">
        <v>5.72</v>
      </c>
      <c r="E27" s="13">
        <v>6.0020986358866733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IFERROR(35.4*(1-w),"")</f>
        <v>33.099000000000004</v>
      </c>
      <c r="D28" s="13">
        <v>35.4</v>
      </c>
      <c r="E28" s="13">
        <v>37.145855194123818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IFERROR(0.39*(1-w),"")</f>
        <v>0.36465000000000003</v>
      </c>
      <c r="D29" s="13">
        <v>0.39</v>
      </c>
      <c r="E29" s="13">
        <v>0.40923399790136417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IFERROR(0.06*(1-w),"")</f>
        <v>0.056100000000000004</v>
      </c>
      <c r="D30" s="13">
        <v>0.06</v>
      </c>
      <c r="E30" s="13">
        <v>0.062959076600209871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IFERROR(99.960002*(1-w)+w*100,"")</f>
        <v>99.962601870000015</v>
      </c>
      <c r="D31" s="13">
        <v>99.960002</v>
      </c>
      <c r="E31" s="13">
        <v>99.958029380902417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IFERROR(0.02*(1-w),"")</f>
        <v>0.0187</v>
      </c>
      <c r="D33" s="14">
        <v>0.02</v>
      </c>
      <c r="E33" s="14">
        <v>0.020986358866736624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IFERROR(19.94*(1-w)-w*2.443,"")</f>
        <v>18.485105</v>
      </c>
      <c r="D35" s="13">
        <v>19.94</v>
      </c>
      <c r="E35" s="13">
        <v>20.923399790136415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IFERROR(21.2*(1-w),"")</f>
        <v>19.822</v>
      </c>
      <c r="D36" s="13">
        <v>21.2</v>
      </c>
      <c r="E36" s="13">
        <v>22.245540398740818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IFERROR(21.51091577*(1-w),"")</f>
        <v>20.112706244950004</v>
      </c>
      <c r="D37" s="13">
        <v>21.510915770000004</v>
      </c>
      <c r="E37" s="13">
        <v>22.571789895068211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5" t="s">
        <v>57</v>
      </c>
      <c r="I39" s="5"/>
    </row>
    <row r="40" outlineLevel="3">
      <c r="A40" s="16" t="s">
        <v>58</v>
      </c>
      <c r="B40" s="0" t="s">
        <v>59</v>
      </c>
      <c r="C40" s="17">
        <v>1340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59</v>
      </c>
      <c r="C41" s="17">
        <v>1480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59</v>
      </c>
      <c r="C42" s="17" t="s">
        <v>62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</mergeCells>
  <dataValidations count="1">
    <dataValidation type="decimal" sqref="C21" errorStyle="stop" promptTitle="Enter moisture content" errorTitle="Invalid moisture content" prompt="Value should be between 0 and 100.&#10;Original value: 6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https://phyllis.nl/Biomass/View/3575</dc:description>
  <dcterms:created xsi:type="dcterms:W3CDTF">2026-03-19T04:07:25Z</dcterms:created>
  <dc:title>Phyllis2 #3575 Spruce bark powder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