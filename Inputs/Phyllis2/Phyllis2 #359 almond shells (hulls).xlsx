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9 almond shells (hu" sheetId="1" r:id="rId1"/>
  </sheets>
  <definedNames>
    <definedName name="w" localSheetId="0">IF(ISBLANK('Phyllis2 #359 almond shells (hu'!$C$18),#N/A,'Phyllis2 #359 almond shells (hu'!$C$18/100)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<sst xmlns="http://schemas.openxmlformats.org/spreadsheetml/2006/main" count="65" uniqueCount="65">
  <si>
    <t>Phyllis2</t>
  </si>
  <si>
    <t>https://phyllis.nl/Biomass/View/359</t>
  </si>
  <si>
    <t>almond shells (hulls) (#359)</t>
  </si>
  <si>
    <t>ID-number</t>
  </si>
  <si>
    <t>#359</t>
  </si>
  <si>
    <t>Material</t>
  </si>
  <si>
    <t>almond shells (hulls)</t>
  </si>
  <si>
    <t>Classification</t>
  </si>
  <si>
    <t>ECN Phyllis classification &gt; husk/shell/pit &gt; almond &gt; almond shells (hulls)</t>
  </si>
  <si>
    <t>NTA 8003 classification &gt; [200] biomassa uit land- en tuinbouw &gt; [230] restproducten (doppen) &gt; [235] amandeldoppen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</si>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</sst>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IFERROR(3.04*(1-w),"")</f>
        <v/>
      </c>
      <c r="D19" s="11">
        <v>3.04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IFERROR(50.14*(1-w),"")</f>
        <v/>
      </c>
      <c r="D21" s="11">
        <v>50.14</v>
      </c>
      <c r="E21" s="11">
        <v>51.712046204620464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IFERROR(5.95*(1-w),"")</f>
        <v/>
      </c>
      <c r="D22" s="11">
        <v>5.95</v>
      </c>
      <c r="E22" s="11">
        <v>6.1365511551155114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IFERROR(40.08*(1-w),"")</f>
        <v/>
      </c>
      <c r="D23" s="11">
        <v>40.08</v>
      </c>
      <c r="E23" s="11">
        <v>41.336633663366335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IFERROR(0.74*(1-w),"")</f>
        <v/>
      </c>
      <c r="D24" s="11">
        <v>0.74</v>
      </c>
      <c r="E24" s="11">
        <v>0.76320132013201314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IFERROR(0.03*(1-w),"")</f>
        <v/>
      </c>
      <c r="D25" s="11">
        <v>0.03</v>
      </c>
      <c r="E25" s="11">
        <v>0.03094059405940594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99.999999999999986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IFERROR(200*(1-w),"")</f>
        <v/>
      </c>
      <c r="D28" s="12">
        <v>200</v>
      </c>
      <c r="E28" s="12">
        <v>206.27062706270627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IFERROR(17.76861*(1-w)-w*2.443,"")</f>
        <v/>
      </c>
      <c r="D30" s="11">
        <v>17.76861</v>
      </c>
      <c r="E30" s="11">
        <v>18.325711633663364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IFERROR(19.067*(1-w),"")</f>
        <v/>
      </c>
      <c r="D31" s="11">
        <v>19.067</v>
      </c>
      <c r="E31" s="11">
        <v>19.664810231023104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IFERROR(20.0221999648*(1-w),"")</f>
        <v/>
      </c>
      <c r="D32" s="11">
        <v>20.022199964800002</v>
      </c>
      <c r="E32" s="11">
        <v>20.64995870957096</v>
      </c>
      <c r="F32" s="11"/>
      <c r="G32" s="11"/>
      <c r="I32" s="13"/>
      <c r="J32" s="0" t="s">
        <v>40</v>
      </c>
    </row>
    <row r="33">
      <c r="A33" s="5" t="s">
        <v>52</v>
      </c>
      <c r="I33" s="13"/>
    </row>
    <row r="34" outlineLevel="1">
      <c r="A34" s="9" t="s">
        <v>53</v>
      </c>
      <c r="I34" s="13"/>
    </row>
    <row r="35" outlineLevel="2">
      <c r="A35" s="10" t="s">
        <v>54</v>
      </c>
      <c r="B35" s="0" t="s">
        <v>55</v>
      </c>
      <c r="C35" s="11">
        <v>2.77</v>
      </c>
      <c r="D35" s="11"/>
      <c r="E35" s="11"/>
      <c r="F35" s="11"/>
      <c r="G35" s="11"/>
      <c r="I35" s="13"/>
    </row>
    <row r="36" outlineLevel="2">
      <c r="A36" s="10" t="s">
        <v>56</v>
      </c>
      <c r="B36" s="0" t="s">
        <v>55</v>
      </c>
      <c r="C36" s="11">
        <v>10.14</v>
      </c>
      <c r="D36" s="11"/>
      <c r="E36" s="11"/>
      <c r="F36" s="11"/>
      <c r="G36" s="11"/>
      <c r="I36" s="13"/>
    </row>
    <row r="37" outlineLevel="2">
      <c r="A37" s="10" t="s">
        <v>57</v>
      </c>
      <c r="B37" s="0" t="s">
        <v>55</v>
      </c>
      <c r="C37" s="11">
        <v>12.52</v>
      </c>
      <c r="D37" s="11"/>
      <c r="E37" s="11"/>
      <c r="F37" s="11"/>
      <c r="G37" s="11"/>
      <c r="I37" s="13"/>
    </row>
    <row r="38" outlineLevel="2">
      <c r="A38" s="10" t="s">
        <v>58</v>
      </c>
      <c r="B38" s="0" t="s">
        <v>55</v>
      </c>
      <c r="C38" s="11">
        <v>3.8</v>
      </c>
      <c r="D38" s="11"/>
      <c r="E38" s="11"/>
      <c r="F38" s="11"/>
      <c r="G38" s="11"/>
      <c r="I38" s="13"/>
    </row>
    <row r="39" outlineLevel="2">
      <c r="A39" s="10" t="s">
        <v>59</v>
      </c>
      <c r="B39" s="0" t="s">
        <v>55</v>
      </c>
      <c r="C39" s="11">
        <v>2.85</v>
      </c>
      <c r="D39" s="11"/>
      <c r="E39" s="11"/>
      <c r="F39" s="11"/>
      <c r="G39" s="11"/>
      <c r="I39" s="13"/>
    </row>
    <row r="40" outlineLevel="2">
      <c r="A40" s="10" t="s">
        <v>60</v>
      </c>
      <c r="B40" s="0" t="s">
        <v>55</v>
      </c>
      <c r="C40" s="11">
        <v>17.2</v>
      </c>
      <c r="D40" s="11"/>
      <c r="E40" s="11"/>
      <c r="F40" s="11"/>
      <c r="G40" s="11"/>
      <c r="I40" s="13"/>
    </row>
    <row r="41" outlineLevel="2">
      <c r="A41" s="10" t="s">
        <v>61</v>
      </c>
      <c r="B41" s="0" t="s">
        <v>55</v>
      </c>
      <c r="C41" s="11">
        <v>6.58</v>
      </c>
      <c r="D41" s="11"/>
      <c r="E41" s="11"/>
      <c r="F41" s="11"/>
      <c r="G41" s="11"/>
      <c r="I41" s="13"/>
    </row>
    <row r="42" outlineLevel="2">
      <c r="A42" s="10" t="s">
        <v>62</v>
      </c>
      <c r="B42" s="0" t="s">
        <v>55</v>
      </c>
      <c r="C42" s="11">
        <v>2.62</v>
      </c>
      <c r="D42" s="11"/>
      <c r="E42" s="11"/>
      <c r="F42" s="11"/>
      <c r="G42" s="11"/>
      <c r="I42" s="13"/>
    </row>
    <row r="43" outlineLevel="2">
      <c r="A43" s="10" t="s">
        <v>63</v>
      </c>
      <c r="B43" s="0" t="s">
        <v>55</v>
      </c>
      <c r="C43" s="11">
        <v>30.93</v>
      </c>
      <c r="D43" s="11"/>
      <c r="E43" s="11"/>
      <c r="F43" s="11"/>
      <c r="G43" s="11"/>
      <c r="I43" s="13"/>
    </row>
    <row r="44" outlineLevel="2">
      <c r="A44" s="10" t="s">
        <v>64</v>
      </c>
      <c r="B44" s="0" t="s">
        <v>55</v>
      </c>
      <c r="C44" s="11">
        <v>0.15</v>
      </c>
      <c r="D44" s="11"/>
      <c r="E44" s="11"/>
      <c r="F44" s="11"/>
      <c r="G44" s="11"/>
      <c r="I44" s="13"/>
    </row>
    <row r="45">
      <c r="I45" s="13"/>
    </row>
    <row r="4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https://phyllis.nl/Biomass/View/359</dc:description>
  <dcterms:created xsi:type="dcterms:W3CDTF">2026-03-17T05:39:36Z</dcterms:created>
  <dc:title>Phyllis2 #359 almond shells (hulls)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