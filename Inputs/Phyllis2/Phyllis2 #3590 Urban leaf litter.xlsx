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90 Urban leaf litte" sheetId="1" r:id="rId1"/>
  </sheets>
  <definedNames>
    <definedName name="w" localSheetId="0">IF(ISBLANK('Phyllis2 #3590 Urban leaf litte'!$C$21),#N/A,'Phyllis2 #3590 Urban leaf litte'!$C$21/100)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<sst xmlns="http://schemas.openxmlformats.org/spreadsheetml/2006/main" count="56" uniqueCount="56">
  <si>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</si>
  <si>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https://phyllis.nl/Biomass/View/3590</t>
  </si>
  <si>
    <t>Urban leaf litter (#3590)</t>
  </si>
  <si>
    <t>ID-number</t>
  </si>
  <si>
    <t>#3590</t>
  </si>
  <si>
    <t>Material</t>
  </si>
  <si>
    <t>Urban leaf litter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</si>
  <si>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</si>
  <si>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</si>
  <si>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</si>
  <si>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</si>
  <si>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leaves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</si>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</sst>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43126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43717.3837152778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9.07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IFERROR(12.42*(1-w),"")</f>
        <v>11.293506</v>
      </c>
      <c r="D22" s="13">
        <v>12.42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IFERROR(71.32*(1-w),"")</f>
        <v>64.851276</v>
      </c>
      <c r="D23" s="13">
        <v>71.32</v>
      </c>
      <c r="E23" s="13">
        <v>81.434117378396891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IFERROR(16.26*(1-w),"")</f>
        <v>14.785218000000004</v>
      </c>
      <c r="D24" s="13">
        <v>16.260000000000005</v>
      </c>
      <c r="E24" s="13">
        <v>18.565882621603112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IFERROR(50.81*(1-w),"")</f>
        <v>46.201533000000005</v>
      </c>
      <c r="D26" s="13">
        <v>50.81</v>
      </c>
      <c r="E26" s="13">
        <v>58.015528659511304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IFERROR(5.81*(1-w),"")</f>
        <v>5.283033</v>
      </c>
      <c r="D27" s="13">
        <v>5.81</v>
      </c>
      <c r="E27" s="13">
        <v>6.6339346882849961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IFERROR(29.35*(1-w),"")</f>
        <v>26.687955000000002</v>
      </c>
      <c r="D28" s="13">
        <v>29.35</v>
      </c>
      <c r="E28" s="13">
        <v>33.512217401233158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IFERROR(1.49*(1-w),"")</f>
        <v>1.354857</v>
      </c>
      <c r="D29" s="13">
        <v>1.49</v>
      </c>
      <c r="E29" s="13">
        <v>1.7013016670472709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IFERROR(0.13*(1-w),"")</f>
        <v>0.11820900000000001</v>
      </c>
      <c r="D30" s="13">
        <v>0.13</v>
      </c>
      <c r="E30" s="13">
        <v>0.148435715916876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IFERROR(100.010002*(1-w)+w*100,"")</f>
        <v>100.00909481859998</v>
      </c>
      <c r="D31" s="13">
        <v>100.01000199999999</v>
      </c>
      <c r="E31" s="13">
        <v>100.01142041561998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IFERROR(0.02*(1-w),"")</f>
        <v>0.018186</v>
      </c>
      <c r="D33" s="14">
        <v>0.02</v>
      </c>
      <c r="E33" s="14">
        <v>0.022836263987211693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IFERROR(18.62*(1-w)-w*2.443,"")</f>
        <v>16.7095859</v>
      </c>
      <c r="D35" s="13">
        <v>18.62</v>
      </c>
      <c r="E35" s="13">
        <v>21.260561772094086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IFERROR(19.89*(1-w),"")</f>
        <v>18.085977</v>
      </c>
      <c r="D36" s="13">
        <v>19.89</v>
      </c>
      <c r="E36" s="13">
        <v>22.710664535282028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IFERROR(21.1487232292*(1-w),"")</f>
        <v>19.23053403231156</v>
      </c>
      <c r="D37" s="13">
        <v>21.1487232292</v>
      </c>
      <c r="E37" s="13">
        <v>24.147891332724367</v>
      </c>
      <c r="F37" s="13"/>
      <c r="G37" s="13"/>
      <c r="I37" s="5"/>
      <c r="J37" s="0" t="s">
        <v>40</v>
      </c>
    </row>
    <row r="38">
      <c r="I38" s="5"/>
    </row>
    <row r="39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</mergeCells>
  <dataValidations count="1">
    <dataValidation type="decimal" sqref="C21" errorStyle="stop" promptTitle="Enter moisture content" errorTitle="Invalid moisture content" prompt="Value should be between 0 and 100.&#10;Original value: 9.0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https://phyllis.nl/Biomass/View/3590</dc:description>
  <dcterms:created xsi:type="dcterms:W3CDTF">2026-03-19T07:09:04Z</dcterms:created>
  <dc:title>Phyllis2 #3590 Urban leaf litter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