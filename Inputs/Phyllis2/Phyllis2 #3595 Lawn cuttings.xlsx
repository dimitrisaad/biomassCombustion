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95 Lawn cuttings" sheetId="1" r:id="rId1"/>
  </sheets>
  <definedNames>
    <definedName name="w" localSheetId="0">IF(ISBLANK('Phyllis2 #3595 Lawn cuttings'!$C$21),#N/A,'Phyllis2 #3595 Lawn cuttings'!$C$21/100)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<sst xmlns="http://schemas.openxmlformats.org/spreadsheetml/2006/main" count="62" uniqueCount="62">
  <si>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</si>
  <si>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https://phyllis.nl/Biomass/View/3595</t>
  </si>
  <si>
    <t>Lawn cuttings (#3595)</t>
  </si>
  <si>
    <t>ID-number</t>
  </si>
  <si>
    <t>#3595</t>
  </si>
  <si>
    <t>Material</t>
  </si>
  <si>
    <t>Lawn cuttings</t>
  </si>
  <si>
    <t>Description</t>
  </si>
  <si>
    <t>Sample acquired in the frame of the EU H2020 project Biofficiency</t>
  </si>
  <si>
    <t>Pretreatment: no</t>
  </si>
  <si>
    <t>Classification</t>
  </si>
  <si>
    <t>ECN Phyllis classification &gt; grass/plant &gt; other grass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</si>
  <si>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</si>
  <si>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</si>
  <si>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</si>
  <si>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</si>
  <si>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</si>
  <si>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</si>
  <si>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</si>
  <si>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</si>
  <si>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</si>
  <si>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</si>
  <si>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</si>
  <si>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</si>
  <si>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</si>
  <si>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</si>
  <si>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</si>
  <si>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</si>
  <si>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</si>
  <si>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</si>
  <si>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</si>
  <si>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</si>
  <si>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</si>
  <si>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</si>
  <si>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</si>
  <si>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</si>
  <si>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</si>
  <si>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</si>
  <si>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</si>
  <si>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</si>
  <si>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</si>
  <si>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</si>
  <si>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</si>
  <si>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</si>
  <si>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</si>
  <si>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</si>
  <si>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</si>
  <si>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</si>
  <si>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</si>
  <si>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</si>
  <si>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</si>
  <si>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</si>
  <si>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</si>
  <si>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</si>
  <si>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</si>
  <si>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</si>
  <si>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</si>
  <si>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European standard method</t>
  </si>
  <si>
    <t>DEF (deformation temperature)</t>
  </si>
  <si>
    <t>°C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</si>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</sst>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43244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43717.4621064815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9.53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IFERROR(10.47*(1-w),"")</f>
        <v>9.4722090000000012</v>
      </c>
      <c r="D22" s="13">
        <v>10.47</v>
      </c>
      <c r="E22" s="13">
        <v/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IFERROR(72.66*(1-w),"")</f>
        <v>65.735502</v>
      </c>
      <c r="D23" s="13">
        <v>72.66</v>
      </c>
      <c r="E23" s="13">
        <v>81.157154026583271</v>
      </c>
      <c r="F23" s="13"/>
      <c r="G23" s="13"/>
      <c r="I23" s="5"/>
    </row>
    <row r="24" outlineLevel="2">
      <c r="A24" s="12" t="s">
        <v>39</v>
      </c>
      <c r="B24" s="0" t="s">
        <v>36</v>
      </c>
      <c r="C24" s="13">
        <f>IFERROR(16.87*(1-w),"")</f>
        <v>15.262289000000004</v>
      </c>
      <c r="D24" s="13">
        <v>16.870000000000005</v>
      </c>
      <c r="E24" s="13">
        <v>18.842845973416736</v>
      </c>
      <c r="F24" s="13"/>
      <c r="G24" s="13"/>
      <c r="I24" s="5"/>
      <c r="J24" s="0" t="s">
        <v>40</v>
      </c>
    </row>
    <row r="25" outlineLevel="1">
      <c r="A25" s="11" t="s">
        <v>41</v>
      </c>
      <c r="I25" s="5"/>
    </row>
    <row r="26" outlineLevel="2">
      <c r="A26" s="12" t="s">
        <v>42</v>
      </c>
      <c r="B26" s="0" t="s">
        <v>36</v>
      </c>
      <c r="C26" s="13">
        <f>IFERROR(48.03*(1-w),"")</f>
        <v>43.452741</v>
      </c>
      <c r="D26" s="13">
        <v>48.03</v>
      </c>
      <c r="E26" s="13">
        <v>53.646822294203062</v>
      </c>
      <c r="F26" s="13"/>
      <c r="G26" s="13"/>
      <c r="I26" s="5"/>
    </row>
    <row r="27" outlineLevel="2">
      <c r="A27" s="12" t="s">
        <v>43</v>
      </c>
      <c r="B27" s="0" t="s">
        <v>36</v>
      </c>
      <c r="C27" s="13">
        <f>IFERROR(6.08*(1-w),"")</f>
        <v>5.5005760000000006</v>
      </c>
      <c r="D27" s="13">
        <v>6.08</v>
      </c>
      <c r="E27" s="13">
        <v>6.7910197699095276</v>
      </c>
      <c r="F27" s="13"/>
      <c r="G27" s="13"/>
      <c r="I27" s="5"/>
    </row>
    <row r="28" outlineLevel="2">
      <c r="A28" s="12" t="s">
        <v>44</v>
      </c>
      <c r="B28" s="0" t="s">
        <v>36</v>
      </c>
      <c r="C28" s="13">
        <f>IFERROR(33.06*(1-w),"")</f>
        <v>29.909382000000004</v>
      </c>
      <c r="D28" s="13">
        <v>33.06</v>
      </c>
      <c r="E28" s="13">
        <v>36.926169998883061</v>
      </c>
      <c r="F28" s="13"/>
      <c r="G28" s="13"/>
      <c r="I28" s="5"/>
    </row>
    <row r="29" outlineLevel="2">
      <c r="A29" s="12" t="s">
        <v>45</v>
      </c>
      <c r="B29" s="0" t="s">
        <v>36</v>
      </c>
      <c r="C29" s="13">
        <f>IFERROR(2.18*(1-w),"")</f>
        <v>1.9722460000000002</v>
      </c>
      <c r="D29" s="13">
        <v>2.18</v>
      </c>
      <c r="E29" s="13">
        <v>2.4349380096057192</v>
      </c>
      <c r="F29" s="13"/>
      <c r="G29" s="13"/>
      <c r="I29" s="5"/>
    </row>
    <row r="30" outlineLevel="2">
      <c r="A30" s="12" t="s">
        <v>46</v>
      </c>
      <c r="B30" s="0" t="s">
        <v>36</v>
      </c>
      <c r="C30" s="13">
        <f>IFERROR(0.18*(1-w),"")</f>
        <v>0.16284600000000002</v>
      </c>
      <c r="D30" s="13">
        <v>0.18</v>
      </c>
      <c r="E30" s="13">
        <v>0.20104992739863733</v>
      </c>
      <c r="F30" s="13"/>
      <c r="G30" s="13"/>
      <c r="I30" s="5"/>
    </row>
    <row r="31" outlineLevel="2">
      <c r="A31" s="12" t="s">
        <v>47</v>
      </c>
      <c r="B31" s="0" t="s">
        <v>36</v>
      </c>
      <c r="C31" s="13">
        <f>IFERROR(100.000026*(1-w)+w*100,"")</f>
        <v>100.00002352220002</v>
      </c>
      <c r="D31" s="13">
        <v>100.00002600000002</v>
      </c>
      <c r="E31" s="13">
        <v>100.00002904054509</v>
      </c>
      <c r="F31" s="13"/>
      <c r="G31" s="13"/>
      <c r="I31" s="5"/>
      <c r="J31" s="0" t="s">
        <v>40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4">
        <f>IFERROR(0.26*(1-w),"")</f>
        <v>0.23522200000000001</v>
      </c>
      <c r="D33" s="14">
        <v>0.26</v>
      </c>
      <c r="E33" s="14">
        <v>0.29040545068692059</v>
      </c>
      <c r="F33" s="14"/>
      <c r="G33" s="14"/>
      <c r="I33" s="5"/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IFERROR(17.07*(1-w)-w*2.443,"")</f>
        <v>15.2104111</v>
      </c>
      <c r="D35" s="13">
        <v>17.07</v>
      </c>
      <c r="E35" s="13">
        <v>19.066234781637441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IFERROR(18.4*(1-w),"")</f>
        <v>16.64648</v>
      </c>
      <c r="D36" s="13">
        <v>18.4</v>
      </c>
      <c r="E36" s="13">
        <v>20.551770356305148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IFERROR(20.0561189977*(1-w),"")</f>
        <v>18.144770857219196</v>
      </c>
      <c r="D37" s="13">
        <v>20.056118997700004</v>
      </c>
      <c r="E37" s="13">
        <v>22.401562602144537</v>
      </c>
      <c r="F37" s="13"/>
      <c r="G37" s="13"/>
      <c r="I37" s="5"/>
      <c r="J37" s="0" t="s">
        <v>40</v>
      </c>
    </row>
    <row r="38" outlineLevel="1">
      <c r="A38" s="11" t="s">
        <v>56</v>
      </c>
      <c r="I38" s="5"/>
    </row>
    <row r="39" outlineLevel="2">
      <c r="A39" s="15" t="s">
        <v>57</v>
      </c>
      <c r="I39" s="5"/>
    </row>
    <row r="40" outlineLevel="3">
      <c r="A40" s="16" t="s">
        <v>58</v>
      </c>
      <c r="B40" s="0" t="s">
        <v>59</v>
      </c>
      <c r="C40" s="17">
        <v>1083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59</v>
      </c>
      <c r="C41" s="17">
        <v>1170.7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59</v>
      </c>
      <c r="C42" s="17">
        <v>1214</v>
      </c>
      <c r="D42" s="17"/>
      <c r="E42" s="17"/>
      <c r="F42" s="17"/>
      <c r="G42" s="17"/>
      <c r="I42" s="5"/>
    </row>
    <row r="43">
      <c r="I43" s="5"/>
    </row>
    <row r="44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40:E40"/>
    <mergeCell ref="C41:E41"/>
    <mergeCell ref="C42:E42"/>
  </mergeCells>
  <dataValidations count="1">
    <dataValidation type="decimal" sqref="C21" errorStyle="stop" promptTitle="Enter moisture content" errorTitle="Invalid moisture content" prompt="Value should be between 0 and 100.&#10;Original value: 9.5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https://phyllis.nl/Biomass/View/3595</dc:description>
  <dcterms:created xsi:type="dcterms:W3CDTF">2026-03-04T04:26:44Z</dcterms:created>
  <dc:title>Phyllis2 #3595 Lawn cuttings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