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99 Miscanthus" sheetId="1" r:id="rId1"/>
  </sheets>
  <definedNames>
    <definedName name="w" localSheetId="0">IF(ISBLANK('Phyllis2 #3599 Miscanthus'!$C$21),#N/A,'Phyllis2 #3599 Miscanthus'!$C$21/100)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<sst xmlns="http://schemas.openxmlformats.org/spreadsheetml/2006/main" count="56" uniqueCount="56">
  <si>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</si>
  <si>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https://phyllis.nl/Biomass/View/3599</t>
  </si>
  <si>
    <t>Miscanthus (#3599)</t>
  </si>
  <si>
    <t>ID-number</t>
  </si>
  <si>
    <t>#3599</t>
  </si>
  <si>
    <t>Material</t>
  </si>
  <si>
    <t>Miscanthus</t>
  </si>
  <si>
    <t>Description</t>
  </si>
  <si>
    <t>Sample acquired in the frame of the EU H2020 project Biofficiency</t>
  </si>
  <si>
    <t>Pretreatment: no</t>
  </si>
  <si>
    <t>Classification</t>
  </si>
  <si>
    <t>ECN Phyllis classification &gt; grass/plant &gt; miscanthus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</si>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</sst>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43068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43717.4764699074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5.24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IFERROR(1.76*(1-w),"")</f>
        <v>1.667776</v>
      </c>
      <c r="D22" s="13">
        <v>1.76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IFERROR(81.12*(1-w),"")</f>
        <v>76.869312000000008</v>
      </c>
      <c r="D23" s="13">
        <v>81.12</v>
      </c>
      <c r="E23" s="13">
        <v>82.573289902280138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IFERROR(17.12*(1-w),"")</f>
        <v>16.22291199999999</v>
      </c>
      <c r="D24" s="13">
        <v>17.11999999999999</v>
      </c>
      <c r="E24" s="13">
        <v>17.426710097719859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IFERROR(51.76*(1-w),"")</f>
        <v>49.047776</v>
      </c>
      <c r="D26" s="13">
        <v>51.76</v>
      </c>
      <c r="E26" s="13">
        <v>52.6872964169381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IFERROR(5.43*(1-w),"")</f>
        <v>5.145468</v>
      </c>
      <c r="D27" s="13">
        <v>5.43</v>
      </c>
      <c r="E27" s="13">
        <v>5.5272801302931587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IFERROR(40.68*(1-w),"")</f>
        <v>38.548367999999996</v>
      </c>
      <c r="D28" s="13">
        <v>40.68</v>
      </c>
      <c r="E28" s="13">
        <v>41.40879478827361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IFERROR(0.26*(1-w),"")</f>
        <v>0.246376</v>
      </c>
      <c r="D29" s="13">
        <v>0.26</v>
      </c>
      <c r="E29" s="13">
        <v>0.26465798045602607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IFERROR(0.1*(1-w),"")</f>
        <v>0.094760000000000011</v>
      </c>
      <c r="D30" s="13">
        <v>0.1</v>
      </c>
      <c r="E30" s="13">
        <v>0.10179153094462541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IFERROR(99.990015*(1-w)+w*100,"")</f>
        <v>99.990538214000011</v>
      </c>
      <c r="D31" s="13">
        <v>99.990015000000014</v>
      </c>
      <c r="E31" s="13">
        <v>99.989836115635185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f>IFERROR(0.15*(1-w),"")</f>
        <v>0.14214</v>
      </c>
      <c r="D33" s="14">
        <v>0.15</v>
      </c>
      <c r="E33" s="14">
        <v>0.1526872964169381</v>
      </c>
      <c r="F33" s="14"/>
      <c r="G33" s="14"/>
      <c r="I33" s="5"/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IFERROR(18.42*(1-w)-w*2.443,"")</f>
        <v>17.3267788</v>
      </c>
      <c r="D35" s="13">
        <v>18.42</v>
      </c>
      <c r="E35" s="13">
        <v>18.75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IFERROR(19.61*(1-w),"")</f>
        <v>18.582435999999998</v>
      </c>
      <c r="D36" s="13">
        <v>19.61</v>
      </c>
      <c r="E36" s="13">
        <v>19.961319218241041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IFERROR(19.8962259328*(1-w),"")</f>
        <v>18.853663693921277</v>
      </c>
      <c r="D37" s="13">
        <v>19.896225932799997</v>
      </c>
      <c r="E37" s="13">
        <v>20.252672977198692</v>
      </c>
      <c r="F37" s="13"/>
      <c r="G37" s="13"/>
      <c r="I37" s="5"/>
      <c r="J37" s="0" t="s">
        <v>40</v>
      </c>
    </row>
    <row r="38">
      <c r="I38" s="5"/>
    </row>
    <row r="39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</mergeCells>
  <dataValidations count="1">
    <dataValidation type="decimal" sqref="C21" errorStyle="stop" promptTitle="Enter moisture content" errorTitle="Invalid moisture content" prompt="Value should be between 0 and 100.&#10;Original value: 5.2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https://phyllis.nl/Biomass/View/3599</dc:description>
  <dcterms:created xsi:type="dcterms:W3CDTF">2026-03-04T04:15:13Z</dcterms:created>
  <dc:title>Phyllis2 #3599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