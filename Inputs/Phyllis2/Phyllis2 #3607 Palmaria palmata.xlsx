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07 Palmaria palmata" sheetId="1" r:id="rId1"/>
  </sheets>
  <definedNames>
    <definedName name="w" localSheetId="0">IF(ISBLANK('Phyllis2 #3607 Palmaria palmata'!$C$26),#N/A,'Phyllis2 #3607 Palmaria palmata'!$C$26/100)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<sst xmlns="http://schemas.openxmlformats.org/spreadsheetml/2006/main" count="62" uniqueCount="62">
  <si>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</si>
  <si>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https://phyllis.nl/Biomass/View/3607</t>
  </si>
  <si>
    <t>Palmaria palmata (#3607)</t>
  </si>
  <si>
    <t>ID-number</t>
  </si>
  <si>
    <t>#3607</t>
  </si>
  <si>
    <t>Material</t>
  </si>
  <si>
    <t>Palmaria palmata</t>
  </si>
  <si>
    <t>Description</t>
  </si>
  <si>
    <t>Air dry - Wild harvested Aug 2016 - Scotland</t>
  </si>
  <si>
    <t>Classification</t>
  </si>
  <si>
    <t>ECN Phyllis classification &gt; Marine biomass (algae) &gt; Macroalgae &gt; Palmaria palmata</t>
  </si>
  <si>
    <t>Submitter organisation</t>
  </si>
  <si>
    <t>TNO (Netherlands)</t>
  </si>
  <si>
    <t>Submission date</t>
  </si>
  <si>
    <t>Remarks</t>
  </si>
  <si>
    <t>Phylum: Rhodophyta</t>
  </si>
  <si>
    <t>Genus: Palmaria</t>
  </si>
  <si>
    <t>Species: Palmaria palmata</t>
  </si>
  <si>
    <t>Generic algae family: Red</t>
  </si>
  <si>
    <t>Cultivation region: North Luing, Scotland</t>
  </si>
  <si>
    <t>Wild/culture: Wild</t>
  </si>
  <si>
    <t>Harvesting date: 1</t>
  </si>
  <si>
    <t>Literature</t>
  </si>
  <si>
    <t>Author/institution: TNO</t>
  </si>
  <si>
    <t>Journal/project: H2020 MacroFuels project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</si>
  <si>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</si>
  <si>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</si>
  <si>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</si>
  <si>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</si>
  <si>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</si>
  <si>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</si>
  <si>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</si>
  <si>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</si>
  <si>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</si>
  <si>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</si>
  <si>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</si>
  <si>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</si>
  <si>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</si>
  <si>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</si>
  <si>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</si>
  <si>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</si>
  <si>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</si>
  <si>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</si>
  <si>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</si>
  <si>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</si>
  <si>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</si>
  <si>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</si>
  <si>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</si>
  <si>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</si>
  <si>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</si>
  <si>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Biochemical analysis</t>
  </si>
  <si>
    <t>Carbohydrate analysis</t>
  </si>
  <si>
    <t>Glycerol</t>
  </si>
  <si>
    <t>wt% (dry)</t>
  </si>
  <si>
    <t>Galactose</t>
  </si>
  <si>
    <t>Glucose</t>
  </si>
  <si>
    <t>Xylose</t>
  </si>
  <si>
    <t>Fucose</t>
  </si>
  <si>
    <t>Protein characterisation</t>
  </si>
  <si>
    <t>Protein content</t>
  </si>
  <si>
    <t>N*5</t>
  </si>
  <si>
    <t>Nitrogen-to-protein conversion factor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</si>
</sst>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7.7847099304199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44105.6026041667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42</v>
      </c>
      <c r="C27" s="13">
        <f>IFERROR(21.99*(1-w),"")</f>
        <v/>
      </c>
      <c r="D27" s="13">
        <v>21.99</v>
      </c>
      <c r="E27" s="13">
        <v/>
      </c>
      <c r="F27" s="13"/>
      <c r="G27" s="13"/>
      <c r="I27" s="5"/>
    </row>
    <row r="28" outlineLevel="1">
      <c r="A28" s="11" t="s">
        <v>43</v>
      </c>
      <c r="I28" s="5"/>
    </row>
    <row r="29" outlineLevel="2">
      <c r="A29" s="12" t="s">
        <v>44</v>
      </c>
      <c r="B29" s="0" t="s">
        <v>42</v>
      </c>
      <c r="C29" s="13">
        <f>IFERROR(35.2739358850649*(1-w),"")</f>
        <v/>
      </c>
      <c r="D29" s="13">
        <v>35.2739358850649</v>
      </c>
      <c r="E29" s="13">
        <v>45.217197647820662</v>
      </c>
      <c r="F29" s="13"/>
      <c r="G29" s="13"/>
      <c r="I29" s="5"/>
    </row>
    <row r="30" outlineLevel="2">
      <c r="A30" s="12" t="s">
        <v>45</v>
      </c>
      <c r="B30" s="0" t="s">
        <v>42</v>
      </c>
      <c r="C30" s="13">
        <f>IFERROR(5.57521175083092*(1-w),"")</f>
        <v/>
      </c>
      <c r="D30" s="13">
        <v>5.57521175083092</v>
      </c>
      <c r="E30" s="13">
        <v>7.1467911175886671</v>
      </c>
      <c r="F30" s="13"/>
      <c r="G30" s="13"/>
      <c r="I30" s="5"/>
    </row>
    <row r="31" outlineLevel="2">
      <c r="A31" s="12" t="s">
        <v>46</v>
      </c>
      <c r="B31" s="0" t="s">
        <v>42</v>
      </c>
      <c r="C31" s="13">
        <f>IFERROR(2.46595904363675*(1-w),"")</f>
        <v/>
      </c>
      <c r="D31" s="13">
        <v>2.46595904363675</v>
      </c>
      <c r="E31" s="13">
        <v>3.1610806866257533</v>
      </c>
      <c r="F31" s="13"/>
      <c r="G31" s="13"/>
      <c r="I31" s="5"/>
    </row>
    <row r="32" outlineLevel="2">
      <c r="A32" s="12" t="s">
        <v>47</v>
      </c>
      <c r="B32" s="0" t="s">
        <v>42</v>
      </c>
      <c r="C32" s="13">
        <f>IFERROR(0.707515814302563*(1-w),"")</f>
        <v/>
      </c>
      <c r="D32" s="13">
        <v>0.707515814302563</v>
      </c>
      <c r="E32" s="13">
        <v>0.90695528048014751</v>
      </c>
      <c r="F32" s="13"/>
      <c r="G32" s="13"/>
      <c r="I32" s="5"/>
    </row>
    <row r="33" outlineLevel="2">
      <c r="A33" s="12" t="s">
        <v>48</v>
      </c>
      <c r="B33" s="0" t="s">
        <v>42</v>
      </c>
      <c r="C33" s="13">
        <f>IFERROR(66.0126224938351*(1-w)+w*100,"")</f>
        <v/>
      </c>
      <c r="D33" s="13">
        <v>66.012622493835124</v>
      </c>
      <c r="E33" s="13">
        <v>56.432024732515224</v>
      </c>
      <c r="F33" s="13"/>
      <c r="G33" s="13"/>
      <c r="I33" s="5"/>
      <c r="J33" s="0" t="s">
        <v>49</v>
      </c>
    </row>
    <row r="34" outlineLevel="1">
      <c r="A34" s="11" t="s">
        <v>50</v>
      </c>
      <c r="I34" s="5"/>
    </row>
    <row r="35" outlineLevel="2">
      <c r="A35" s="14" t="s">
        <v>51</v>
      </c>
      <c r="I35" s="5"/>
    </row>
    <row r="36" outlineLevel="3">
      <c r="A36" s="15" t="s">
        <v>52</v>
      </c>
      <c r="B36" s="0" t="s">
        <v>53</v>
      </c>
      <c r="C36" s="13">
        <v>7.36057310100476</v>
      </c>
      <c r="D36" s="13"/>
      <c r="E36" s="13"/>
      <c r="F36" s="13"/>
      <c r="G36" s="13"/>
      <c r="I36" s="5"/>
    </row>
    <row r="37" outlineLevel="3">
      <c r="A37" s="15" t="s">
        <v>54</v>
      </c>
      <c r="B37" s="0" t="s">
        <v>53</v>
      </c>
      <c r="C37" s="13">
        <v>15.0731794288922</v>
      </c>
      <c r="D37" s="13"/>
      <c r="E37" s="13"/>
      <c r="F37" s="13"/>
      <c r="G37" s="13"/>
      <c r="I37" s="5"/>
    </row>
    <row r="38" outlineLevel="3">
      <c r="A38" s="15" t="s">
        <v>55</v>
      </c>
      <c r="B38" s="0" t="s">
        <v>53</v>
      </c>
      <c r="C38" s="13">
        <v>4.11590298706064</v>
      </c>
      <c r="D38" s="13"/>
      <c r="E38" s="13"/>
      <c r="F38" s="13"/>
      <c r="G38" s="13"/>
      <c r="I38" s="5"/>
    </row>
    <row r="39" outlineLevel="3">
      <c r="A39" s="15" t="s">
        <v>56</v>
      </c>
      <c r="B39" s="0" t="s">
        <v>53</v>
      </c>
      <c r="C39" s="13">
        <v>31.1071413194616</v>
      </c>
      <c r="D39" s="13"/>
      <c r="E39" s="13"/>
      <c r="F39" s="13"/>
      <c r="G39" s="13"/>
      <c r="I39" s="5"/>
    </row>
    <row r="40" outlineLevel="3">
      <c r="A40" s="15" t="s">
        <v>57</v>
      </c>
      <c r="B40" s="0" t="s">
        <v>53</v>
      </c>
      <c r="C40" s="13">
        <v>0.378218782842801</v>
      </c>
      <c r="D40" s="13"/>
      <c r="E40" s="13"/>
      <c r="F40" s="13"/>
      <c r="G40" s="13"/>
      <c r="I40" s="5"/>
    </row>
    <row r="41" outlineLevel="2">
      <c r="A41" s="14" t="s">
        <v>58</v>
      </c>
      <c r="I41" s="5"/>
    </row>
    <row r="42" outlineLevel="3">
      <c r="A42" s="15" t="s">
        <v>59</v>
      </c>
      <c r="B42" s="0" t="s">
        <v>53</v>
      </c>
      <c r="C42" s="13">
        <v>12.3297952181838</v>
      </c>
      <c r="D42" s="13"/>
      <c r="E42" s="13"/>
      <c r="F42" s="13"/>
      <c r="G42" s="13"/>
      <c r="I42" s="5"/>
      <c r="J42" s="0" t="s">
        <v>60</v>
      </c>
    </row>
    <row r="43" outlineLevel="3">
      <c r="A43" s="15" t="s">
        <v>61</v>
      </c>
      <c r="B43" s="0" t="s">
        <v>42</v>
      </c>
      <c r="C43" s="13">
        <v>5</v>
      </c>
      <c r="D43" s="13"/>
      <c r="E43" s="13"/>
      <c r="F43" s="13"/>
      <c r="G43" s="13"/>
      <c r="I43" s="5"/>
    </row>
    <row r="44">
      <c r="I44" s="5"/>
    </row>
    <row r="45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36:E36"/>
    <mergeCell ref="C37:E37"/>
    <mergeCell ref="C38:E38"/>
    <mergeCell ref="C39:E39"/>
    <mergeCell ref="C40:E40"/>
    <mergeCell ref="C42:E42"/>
    <mergeCell ref="C43:E43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https://phyllis.nl/Biomass/View/3607</dc:description>
  <dcterms:created xsi:type="dcterms:W3CDTF">2026-03-17T05:56:25Z</dcterms:created>
  <dc:title>Phyllis2 #3607 Palmaria palmata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