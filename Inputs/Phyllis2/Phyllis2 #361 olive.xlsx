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 olive" sheetId="1" r:id="rId1"/>
  </sheets>
  <definedNames>
    <definedName name="w" localSheetId="0">IF(ISBLANK('Phyllis2 #361 olive'!$C$18),#N/A,'Phyllis2 #361 olive'!$C$18/100)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<sst xmlns="http://schemas.openxmlformats.org/spreadsheetml/2006/main" count="65" uniqueCount="65">
  <si>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</si>
  <si>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https://phyllis.nl/Biomass/View/361</t>
  </si>
  <si>
    <t>olive (#361)</t>
  </si>
  <si>
    <t>ID-number</t>
  </si>
  <si>
    <t>#361</t>
  </si>
  <si>
    <t>Material</t>
  </si>
  <si>
    <t>olive</t>
  </si>
  <si>
    <t>Classification</t>
  </si>
  <si>
    <t>ECN Phyllis classification &gt; husk/shell/pit &gt; olive &gt; olive</t>
  </si>
  <si>
    <t>NTA 8003 classification &gt; [500] biomassa uit de industrie &gt; [520] schillen/vliezen/pitten &gt; [524] olijven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</si>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</sst>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IFERROR(1.63*(1-w),"")</f>
        <v/>
      </c>
      <c r="D19" s="11">
        <v>1.63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IFERROR(49.26*(1-w),"")</f>
        <v/>
      </c>
      <c r="D21" s="11">
        <v>49.26</v>
      </c>
      <c r="E21" s="11">
        <v>50.076242756938086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IFERROR(6.06*(1-w),"")</f>
        <v/>
      </c>
      <c r="D22" s="11">
        <v>6.06</v>
      </c>
      <c r="E22" s="11">
        <v>6.1604147605977424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IFERROR(42.46*(1-w),"")</f>
        <v/>
      </c>
      <c r="D23" s="11">
        <v>42.46</v>
      </c>
      <c r="E23" s="11">
        <v>43.163566127884515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IFERROR(0.44*(1-w),"")</f>
        <v/>
      </c>
      <c r="D24" s="11">
        <v>0.44</v>
      </c>
      <c r="E24" s="11">
        <v>0.44729084070346647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IFERROR(0.09*(1-w),"")</f>
        <v/>
      </c>
      <c r="D25" s="11">
        <v>0.09</v>
      </c>
      <c r="E25" s="11">
        <v>0.09149130832570905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IFERROR(600*(1-w),"")</f>
        <v/>
      </c>
      <c r="D28" s="12">
        <v>600</v>
      </c>
      <c r="E28" s="12">
        <v>609.942055504727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IFERROR(20.1986*(1-w)-w*2.443,"")</f>
        <v/>
      </c>
      <c r="D30" s="11">
        <v>20.1986</v>
      </c>
      <c r="E30" s="11">
        <v>20.533292670529633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IFERROR(21.521*(1-w),"")</f>
        <v/>
      </c>
      <c r="D31" s="11">
        <v>21.521</v>
      </c>
      <c r="E31" s="11">
        <v>21.877604960862051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IFERROR(19.6426215057*(1-w),"")</f>
        <v/>
      </c>
      <c r="D32" s="11">
        <v>19.642621505700003</v>
      </c>
      <c r="E32" s="11">
        <v>19.968101561146693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2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3.54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29.81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7.12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6.4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14.09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5.67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28.17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1.46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55</v>
      </c>
      <c r="C44" s="11">
        <v>0.35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</dc:description>
  <dcterms:created xsi:type="dcterms:W3CDTF">2026-03-17T05:41:29Z</dcterms:created>
  <dc:title>Phyllis2 #361 olive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