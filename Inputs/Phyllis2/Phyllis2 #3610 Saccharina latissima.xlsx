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0 Saccharina latis" sheetId="1" r:id="rId1"/>
  </sheets>
  <definedNames>
    <definedName name="w" localSheetId="0">IF(ISBLANK('Phyllis2 #3610 Saccharina latis'!$C$24),#N/A,'Phyllis2 #3610 Saccharina latis'!$C$24/100)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<sst xmlns="http://schemas.openxmlformats.org/spreadsheetml/2006/main" count="67" uniqueCount="67">
  <si>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</si>
  <si>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https://phyllis.nl/Biomass/View/3610</t>
  </si>
  <si>
    <t>Saccharina latissima (#3610)</t>
  </si>
  <si>
    <t>ID-number</t>
  </si>
  <si>
    <t>#3610</t>
  </si>
  <si>
    <t>Material</t>
  </si>
  <si>
    <t>Saccharina latissima</t>
  </si>
  <si>
    <t>Description</t>
  </si>
  <si>
    <t>Freeze dry - Harvested February 2017 - Netherlands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</si>
  <si>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</si>
  <si>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</si>
  <si>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</si>
  <si>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</si>
  <si>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</si>
  <si>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</si>
  <si>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</si>
  <si>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</si>
  <si>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</si>
  <si>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</si>
  <si>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Scheveningen, Netherlands</t>
  </si>
  <si>
    <t>Harvesting date: 5</t>
  </si>
  <si>
    <t>Literature</t>
  </si>
  <si>
    <t>Author/institution: TNO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</si>
  <si>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</si>
  <si>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</si>
  <si>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</si>
  <si>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</si>
  <si>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</si>
  <si>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</si>
  <si>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</si>
  <si>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</si>
  <si>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</si>
  <si>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</si>
  <si>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</si>
  <si>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</si>
  <si>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</si>
  <si>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</si>
  <si>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</si>
  <si>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</si>
  <si>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</si>
  <si>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</si>
  <si>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</si>
  <si>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</si>
  <si>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</si>
  <si>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</si>
  <si>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</si>
  <si>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</si>
  <si>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</si>
  <si>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</si>
  <si>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</si>
  <si>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</si>
  <si>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</si>
  <si>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</si>
  <si>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</si>
  <si>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</si>
  <si>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Mannitol</t>
  </si>
  <si>
    <t>wt% (dry)</t>
  </si>
  <si>
    <t>Glucose</t>
  </si>
  <si>
    <t>Fucose</t>
  </si>
  <si>
    <t>Uronic acids</t>
  </si>
  <si>
    <t>Guluronic acid</t>
  </si>
  <si>
    <t>Glucuronic acid</t>
  </si>
  <si>
    <t>Mannuronic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</si>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</sst>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>
      <c r="A18" s="7"/>
    </row>
    <row r="19" s="1" customFormat="1">
      <c r="A19" s="9" t="s">
        <v>23</v>
      </c>
    </row>
    <row r="20" s="1" customFormat="1">
      <c r="A20" s="10" t="s">
        <v>24</v>
      </c>
      <c r="B20" s="10" t="s">
        <v>25</v>
      </c>
      <c r="C20" s="10" t="s">
        <v>26</v>
      </c>
      <c r="D20" s="10"/>
      <c r="E20" s="10"/>
      <c r="F20" s="10" t="s">
        <v>27</v>
      </c>
      <c r="G20" s="10" t="s">
        <v>28</v>
      </c>
      <c r="H20" s="10" t="s">
        <v>29</v>
      </c>
      <c r="I20" s="10" t="s">
        <v>30</v>
      </c>
      <c r="J20" s="10" t="s">
        <v>31</v>
      </c>
      <c r="K20" s="10" t="s">
        <v>14</v>
      </c>
      <c r="L20" s="10"/>
    </row>
    <row r="21" s="1" customFormat="1">
      <c r="A21" s="10"/>
      <c r="B21" s="10"/>
      <c r="C21" s="10" t="s">
        <v>32</v>
      </c>
      <c r="D21" s="10" t="s">
        <v>33</v>
      </c>
      <c r="E21" s="10" t="s">
        <v>34</v>
      </c>
      <c r="F21" s="10"/>
      <c r="G21" s="10"/>
      <c r="H21" s="10"/>
      <c r="I21" s="10"/>
      <c r="J21" s="10"/>
      <c r="K21" s="10"/>
      <c r="L21" s="10"/>
    </row>
    <row r="22">
      <c r="A22" s="7" t="s">
        <v>35</v>
      </c>
      <c r="I22" s="5"/>
    </row>
    <row r="23" outlineLevel="1">
      <c r="A23" s="11" t="s">
        <v>36</v>
      </c>
      <c r="I23" s="5"/>
    </row>
    <row r="24" outlineLevel="2">
      <c r="A24" s="12" t="s">
        <v>37</v>
      </c>
      <c r="B24" s="0" t="s">
        <v>38</v>
      </c>
      <c r="C24" s="13">
        <v/>
      </c>
      <c r="D24" s="13"/>
      <c r="E24" s="13"/>
      <c r="F24" s="13"/>
      <c r="G24" s="13"/>
      <c r="I24" s="5"/>
    </row>
    <row r="25" outlineLevel="2">
      <c r="A25" s="12" t="s">
        <v>39</v>
      </c>
      <c r="B25" s="0" t="s">
        <v>40</v>
      </c>
      <c r="C25" s="13">
        <f>IFERROR(29.5*(1-w),"")</f>
        <v/>
      </c>
      <c r="D25" s="13">
        <v>29.5</v>
      </c>
      <c r="E25" s="13">
        <v/>
      </c>
      <c r="F25" s="13"/>
      <c r="G25" s="13"/>
      <c r="I25" s="5"/>
    </row>
    <row r="26" outlineLevel="1">
      <c r="A26" s="11" t="s">
        <v>41</v>
      </c>
      <c r="I26" s="5"/>
    </row>
    <row r="27" outlineLevel="2">
      <c r="A27" s="12" t="s">
        <v>42</v>
      </c>
      <c r="B27" s="0" t="s">
        <v>40</v>
      </c>
      <c r="C27" s="13">
        <f>IFERROR(29.4401600508063*(1-w),"")</f>
        <v/>
      </c>
      <c r="D27" s="13">
        <v>29.4401600508063</v>
      </c>
      <c r="E27" s="13">
        <v>41.75909227064723</v>
      </c>
      <c r="F27" s="13"/>
      <c r="G27" s="13"/>
      <c r="I27" s="5"/>
    </row>
    <row r="28" outlineLevel="2">
      <c r="A28" s="12" t="s">
        <v>43</v>
      </c>
      <c r="B28" s="0" t="s">
        <v>40</v>
      </c>
      <c r="C28" s="13">
        <f>IFERROR(4.85657199072207*(1-w),"")</f>
        <v/>
      </c>
      <c r="D28" s="13">
        <v>4.85657199072207</v>
      </c>
      <c r="E28" s="13">
        <v>6.8887545967688935</v>
      </c>
      <c r="F28" s="13"/>
      <c r="G28" s="13"/>
      <c r="I28" s="5"/>
    </row>
    <row r="29" outlineLevel="2">
      <c r="A29" s="12" t="s">
        <v>44</v>
      </c>
      <c r="B29" s="0" t="s">
        <v>40</v>
      </c>
      <c r="C29" s="13">
        <f>IFERROR(3.87071499861595*(1-w),"")</f>
        <v/>
      </c>
      <c r="D29" s="13">
        <v>3.87071499861595</v>
      </c>
      <c r="E29" s="13">
        <v>5.49037588456163</v>
      </c>
      <c r="F29" s="13"/>
      <c r="G29" s="13"/>
      <c r="I29" s="5"/>
    </row>
    <row r="30" outlineLevel="2">
      <c r="A30" s="12" t="s">
        <v>45</v>
      </c>
      <c r="B30" s="0" t="s">
        <v>40</v>
      </c>
      <c r="C30" s="13">
        <f>IFERROR(0.987882767924899*(1-w),"")</f>
        <v/>
      </c>
      <c r="D30" s="13">
        <v>0.987882767924899</v>
      </c>
      <c r="E30" s="13">
        <v>1.4012521530849631</v>
      </c>
      <c r="F30" s="13"/>
      <c r="G30" s="13"/>
      <c r="I30" s="5"/>
    </row>
    <row r="31" outlineLevel="2">
      <c r="A31" s="12" t="s">
        <v>46</v>
      </c>
      <c r="B31" s="0" t="s">
        <v>40</v>
      </c>
      <c r="C31" s="13">
        <f>IFERROR(68.6553298080692*(1-w)+w*100,"")</f>
        <v/>
      </c>
      <c r="D31" s="13">
        <v>68.655329808069226</v>
      </c>
      <c r="E31" s="13">
        <v>55.539474905062725</v>
      </c>
      <c r="F31" s="13"/>
      <c r="G31" s="13"/>
      <c r="I31" s="5"/>
      <c r="J31" s="0" t="s">
        <v>47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v>9390.45711141223</v>
      </c>
      <c r="D33" s="14"/>
      <c r="E33" s="14"/>
      <c r="F33" s="14"/>
      <c r="G33" s="14"/>
      <c r="I33" s="5"/>
    </row>
    <row r="34" outlineLevel="2">
      <c r="A34" s="12" t="s">
        <v>51</v>
      </c>
      <c r="B34" s="0" t="s">
        <v>50</v>
      </c>
      <c r="C34" s="14">
        <v>81229.7066162985</v>
      </c>
      <c r="D34" s="14"/>
      <c r="E34" s="14"/>
      <c r="F34" s="14"/>
      <c r="G34" s="14"/>
      <c r="I34" s="5"/>
    </row>
    <row r="35" outlineLevel="2">
      <c r="A35" s="12" t="s">
        <v>52</v>
      </c>
      <c r="B35" s="0" t="s">
        <v>50</v>
      </c>
      <c r="C35" s="14">
        <v>44181.6639155618</v>
      </c>
      <c r="D35" s="14"/>
      <c r="E35" s="14"/>
      <c r="F35" s="14"/>
      <c r="G35" s="14"/>
      <c r="I35" s="5"/>
    </row>
    <row r="36" outlineLevel="1">
      <c r="A36" s="11" t="s">
        <v>53</v>
      </c>
      <c r="I36" s="5"/>
    </row>
    <row r="37" outlineLevel="2">
      <c r="A37" s="15" t="s">
        <v>54</v>
      </c>
      <c r="I37" s="5"/>
    </row>
    <row r="38" outlineLevel="3">
      <c r="A38" s="16" t="s">
        <v>55</v>
      </c>
      <c r="B38" s="0" t="s">
        <v>56</v>
      </c>
      <c r="C38" s="13">
        <v>9.28224419399551</v>
      </c>
      <c r="D38" s="13"/>
      <c r="E38" s="13"/>
      <c r="F38" s="13"/>
      <c r="G38" s="13"/>
      <c r="I38" s="5"/>
    </row>
    <row r="39" outlineLevel="3">
      <c r="A39" s="16" t="s">
        <v>57</v>
      </c>
      <c r="B39" s="0" t="s">
        <v>56</v>
      </c>
      <c r="C39" s="13">
        <v>8.14228717783601</v>
      </c>
      <c r="D39" s="13"/>
      <c r="E39" s="13"/>
      <c r="F39" s="13"/>
      <c r="G39" s="13"/>
      <c r="I39" s="5"/>
    </row>
    <row r="40" outlineLevel="3">
      <c r="A40" s="16" t="s">
        <v>58</v>
      </c>
      <c r="B40" s="0" t="s">
        <v>56</v>
      </c>
      <c r="C40" s="13">
        <v>0.551714683549609</v>
      </c>
      <c r="D40" s="13"/>
      <c r="E40" s="13"/>
      <c r="F40" s="13"/>
      <c r="G40" s="13"/>
      <c r="I40" s="5"/>
    </row>
    <row r="41" outlineLevel="2">
      <c r="A41" s="15" t="s">
        <v>59</v>
      </c>
      <c r="I41" s="5"/>
    </row>
    <row r="42" outlineLevel="3">
      <c r="A42" s="16" t="s">
        <v>60</v>
      </c>
      <c r="B42" s="0" t="s">
        <v>56</v>
      </c>
      <c r="C42" s="13">
        <v>4.68137255518532</v>
      </c>
      <c r="D42" s="13"/>
      <c r="E42" s="13"/>
      <c r="F42" s="13"/>
      <c r="G42" s="13"/>
      <c r="I42" s="5"/>
    </row>
    <row r="43" outlineLevel="3">
      <c r="A43" s="16" t="s">
        <v>61</v>
      </c>
      <c r="B43" s="0" t="s">
        <v>56</v>
      </c>
      <c r="C43" s="13">
        <v>0.77572500845113</v>
      </c>
      <c r="D43" s="13"/>
      <c r="E43" s="13"/>
      <c r="F43" s="13"/>
      <c r="G43" s="13"/>
      <c r="I43" s="5"/>
    </row>
    <row r="44" outlineLevel="3">
      <c r="A44" s="16" t="s">
        <v>62</v>
      </c>
      <c r="B44" s="0" t="s">
        <v>56</v>
      </c>
      <c r="C44" s="13">
        <v>10.0423545043347</v>
      </c>
      <c r="D44" s="13"/>
      <c r="E44" s="13"/>
      <c r="F44" s="13"/>
      <c r="G44" s="13"/>
      <c r="I44" s="5"/>
    </row>
    <row r="45" outlineLevel="2">
      <c r="A45" s="15" t="s">
        <v>63</v>
      </c>
      <c r="I45" s="5"/>
    </row>
    <row r="46" outlineLevel="3">
      <c r="A46" s="16" t="s">
        <v>64</v>
      </c>
      <c r="B46" s="0" t="s">
        <v>56</v>
      </c>
      <c r="C46" s="13">
        <v>19.3535749930797</v>
      </c>
      <c r="D46" s="13"/>
      <c r="E46" s="13"/>
      <c r="F46" s="13"/>
      <c r="G46" s="13"/>
      <c r="I46" s="5"/>
      <c r="J46" s="0" t="s">
        <v>65</v>
      </c>
    </row>
    <row r="47" outlineLevel="3">
      <c r="A47" s="16" t="s">
        <v>66</v>
      </c>
      <c r="B47" s="0" t="s">
        <v>40</v>
      </c>
      <c r="C47" s="13">
        <v>5</v>
      </c>
      <c r="D47" s="13"/>
      <c r="E47" s="13"/>
      <c r="F47" s="13"/>
      <c r="G47" s="13"/>
      <c r="I47" s="5"/>
    </row>
    <row r="48">
      <c r="I48" s="5"/>
    </row>
    <row r="49" s="1" customFormat="1"/>
  </sheetData>
  <mergeCells>
    <mergeCell ref="A8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3:E33"/>
    <mergeCell ref="C34:E34"/>
    <mergeCell ref="C35:E35"/>
    <mergeCell ref="C38:E38"/>
    <mergeCell ref="C39:E39"/>
    <mergeCell ref="C40:E40"/>
    <mergeCell ref="C42:E42"/>
    <mergeCell ref="C43:E43"/>
    <mergeCell ref="C44:E44"/>
    <mergeCell ref="C46:E46"/>
    <mergeCell ref="C47:E47"/>
  </mergeCells>
  <dataValidations count="1">
    <dataValidation type="decimal" sqref="C24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https://phyllis.nl/Biomass/View/3610</dc:description>
  <dcterms:created xsi:type="dcterms:W3CDTF">2026-03-17T05:56:47Z</dcterms:created>
  <dc:title>Phyllis2 #3610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