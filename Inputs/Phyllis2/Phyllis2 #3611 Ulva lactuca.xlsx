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1 Ulva lactuca" sheetId="1" r:id="rId1"/>
  </sheets>
  <definedNames>
    <definedName name="w" localSheetId="0">IF(ISBLANK('Phyllis2 #3611 Ulva lactuca'!$C$25),#N/A,'Phyllis2 #3611 Ulva lactuca'!$C$25/100)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<sst xmlns="http://schemas.openxmlformats.org/spreadsheetml/2006/main" count="68" uniqueCount="68">
  <si>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</si>
  <si>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https://phyllis.nl/Biomass/View/3611</t>
  </si>
  <si>
    <t>Ulva lactuca (#3611)</t>
  </si>
  <si>
    <t>ID-number</t>
  </si>
  <si>
    <t>#3611</t>
  </si>
  <si>
    <t>Material</t>
  </si>
  <si>
    <t>Ulva lactuca</t>
  </si>
  <si>
    <t>Description</t>
  </si>
  <si>
    <t>Air dry - Harvested Feb 2017 - Netherlands</t>
  </si>
  <si>
    <t>Classification</t>
  </si>
  <si>
    <t>ECN Phyllis classification &gt; Marine biomass (algae) &gt; Macroalgae &gt; Ulva lactuca</t>
  </si>
  <si>
    <t>Submitter organisation</t>
  </si>
  <si>
    <t>TNO (Netherlands)</t>
  </si>
  <si>
    <t>Submission date</t>
  </si>
  <si>
    <t>Remarks</t>
  </si>
  <si>
    <t>Phylum: Chlorophyta</t>
  </si>
  <si>
    <t>Genus: Ulva</t>
  </si>
  <si>
    <t>Species: Ulva lactuca</t>
  </si>
  <si>
    <t>Generic algae family: Green</t>
  </si>
  <si>
    <t>Cultivation region: Texel, Netherlands</t>
  </si>
  <si>
    <t>Harvesting date: 21</t>
  </si>
  <si>
    <t>Literature</t>
  </si>
  <si>
    <t>Author/institution: TNO</t>
  </si>
  <si>
    <t>Journal/project: Port4Innovation project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</si>
  <si>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</si>
  <si>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</si>
  <si>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</si>
  <si>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</si>
  <si>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</si>
  <si>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</si>
  <si>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</si>
  <si>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</si>
  <si>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</si>
  <si>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</si>
  <si>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</si>
  <si>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</si>
  <si>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</si>
  <si>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</si>
  <si>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</si>
  <si>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</si>
  <si>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</si>
  <si>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</si>
  <si>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</si>
  <si>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</si>
  <si>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</si>
  <si>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</si>
  <si>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</si>
  <si>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</si>
  <si>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</si>
  <si>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</si>
  <si>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Calcium (Ca)</t>
  </si>
  <si>
    <t>mg/kg (dry)</t>
  </si>
  <si>
    <t>Potassium (K)</t>
  </si>
  <si>
    <t>Sodium (Na)</t>
  </si>
  <si>
    <t>Biochemical analysis</t>
  </si>
  <si>
    <t>Carbohydrate analysis</t>
  </si>
  <si>
    <t>Glycerol</t>
  </si>
  <si>
    <t>wt% (dry)</t>
  </si>
  <si>
    <t>Galactose</t>
  </si>
  <si>
    <t>Glucose</t>
  </si>
  <si>
    <t>Xylose</t>
  </si>
  <si>
    <t>Rhamnose</t>
  </si>
  <si>
    <t>Uronic acids</t>
  </si>
  <si>
    <t>Glucuronic acid</t>
  </si>
  <si>
    <t>Protein characterisation</t>
  </si>
  <si>
    <t>Protein content</t>
  </si>
  <si>
    <t>N*5</t>
  </si>
  <si>
    <t>Nitrogen-to-protein conversion factor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</si>
</sst>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7.7847099304199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44105.6026041667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>
      <c r="A19" s="7"/>
    </row>
    <row r="20" s="1" customFormat="1">
      <c r="A20" s="9" t="s">
        <v>24</v>
      </c>
    </row>
    <row r="21" s="1" customFormat="1">
      <c r="A21" s="10" t="s">
        <v>25</v>
      </c>
      <c r="B21" s="10" t="s">
        <v>26</v>
      </c>
      <c r="C21" s="10" t="s">
        <v>27</v>
      </c>
      <c r="D21" s="10"/>
      <c r="E21" s="10"/>
      <c r="F21" s="10" t="s">
        <v>28</v>
      </c>
      <c r="G21" s="10" t="s">
        <v>29</v>
      </c>
      <c r="H21" s="10" t="s">
        <v>30</v>
      </c>
      <c r="I21" s="10" t="s">
        <v>31</v>
      </c>
      <c r="J21" s="10" t="s">
        <v>32</v>
      </c>
      <c r="K21" s="10" t="s">
        <v>14</v>
      </c>
      <c r="L21" s="10"/>
    </row>
    <row r="22" s="1" customFormat="1">
      <c r="A22" s="10"/>
      <c r="B22" s="10"/>
      <c r="C22" s="10" t="s">
        <v>33</v>
      </c>
      <c r="D22" s="10" t="s">
        <v>34</v>
      </c>
      <c r="E22" s="10" t="s">
        <v>35</v>
      </c>
      <c r="F22" s="10"/>
      <c r="G22" s="10"/>
      <c r="H22" s="10"/>
      <c r="I22" s="10"/>
      <c r="J22" s="10"/>
      <c r="K22" s="10"/>
      <c r="L22" s="10"/>
    </row>
    <row r="23">
      <c r="A23" s="7" t="s">
        <v>36</v>
      </c>
      <c r="I23" s="5"/>
    </row>
    <row r="24" outlineLevel="1">
      <c r="A24" s="11" t="s">
        <v>37</v>
      </c>
      <c r="I24" s="5"/>
    </row>
    <row r="25" outlineLevel="2">
      <c r="A25" s="12" t="s">
        <v>38</v>
      </c>
      <c r="B25" s="0" t="s">
        <v>39</v>
      </c>
      <c r="C25" s="13">
        <v/>
      </c>
      <c r="D25" s="13"/>
      <c r="E25" s="13"/>
      <c r="F25" s="13"/>
      <c r="G25" s="13"/>
      <c r="I25" s="5"/>
    </row>
    <row r="26" outlineLevel="2">
      <c r="A26" s="12" t="s">
        <v>40</v>
      </c>
      <c r="B26" s="0" t="s">
        <v>41</v>
      </c>
      <c r="C26" s="13">
        <f>IFERROR(19.1695803637193*(1-w),"")</f>
        <v/>
      </c>
      <c r="D26" s="13">
        <v>19.1695803637193</v>
      </c>
      <c r="E26" s="13">
        <v/>
      </c>
      <c r="F26" s="13"/>
      <c r="G26" s="13"/>
      <c r="I26" s="5"/>
    </row>
    <row r="27" outlineLevel="1">
      <c r="A27" s="11" t="s">
        <v>42</v>
      </c>
      <c r="I27" s="5"/>
    </row>
    <row r="28" outlineLevel="2">
      <c r="A28" s="12" t="s">
        <v>43</v>
      </c>
      <c r="B28" s="0" t="s">
        <v>41</v>
      </c>
      <c r="C28" s="13">
        <f>IFERROR(37.4627501064283*(1-w),"")</f>
        <v/>
      </c>
      <c r="D28" s="13">
        <v>37.4627501064283</v>
      </c>
      <c r="E28" s="13">
        <v>46.347340858803562</v>
      </c>
      <c r="F28" s="13"/>
      <c r="G28" s="13"/>
      <c r="I28" s="5"/>
    </row>
    <row r="29" outlineLevel="2">
      <c r="A29" s="12" t="s">
        <v>44</v>
      </c>
      <c r="B29" s="0" t="s">
        <v>41</v>
      </c>
      <c r="C29" s="13">
        <f>IFERROR(5.95998297147722*(1-w),"")</f>
        <v/>
      </c>
      <c r="D29" s="13">
        <v>5.95998297147722</v>
      </c>
      <c r="E29" s="13">
        <v>7.3734405911732805</v>
      </c>
      <c r="F29" s="13"/>
      <c r="G29" s="13"/>
      <c r="I29" s="5"/>
    </row>
    <row r="30" outlineLevel="2">
      <c r="A30" s="12" t="s">
        <v>45</v>
      </c>
      <c r="B30" s="0" t="s">
        <v>41</v>
      </c>
      <c r="C30" s="13">
        <f>IFERROR(6.59855257556407*(1-w),"")</f>
        <v/>
      </c>
      <c r="D30" s="13">
        <v>6.59855257556407</v>
      </c>
      <c r="E30" s="13">
        <v>8.16345208308471</v>
      </c>
      <c r="F30" s="13"/>
      <c r="G30" s="13"/>
      <c r="I30" s="5"/>
    </row>
    <row r="31" outlineLevel="2">
      <c r="A31" s="12" t="s">
        <v>46</v>
      </c>
      <c r="B31" s="0" t="s">
        <v>41</v>
      </c>
      <c r="C31" s="13">
        <f>IFERROR(3.83141762452107*(1-w),"")</f>
        <v/>
      </c>
      <c r="D31" s="13">
        <v>3.83141762452107</v>
      </c>
      <c r="E31" s="13">
        <v>4.7400689514685377</v>
      </c>
      <c r="F31" s="13"/>
      <c r="G31" s="13"/>
      <c r="I31" s="5"/>
    </row>
    <row r="32" outlineLevel="2">
      <c r="A32" s="12" t="s">
        <v>47</v>
      </c>
      <c r="B32" s="0" t="s">
        <v>41</v>
      </c>
      <c r="C32" s="13">
        <f>IFERROR(73.02228364171*(1-w)+w*100,"")</f>
        <v/>
      </c>
      <c r="D32" s="13">
        <v>73.022283641709961</v>
      </c>
      <c r="E32" s="13">
        <v>66.624302484530077</v>
      </c>
      <c r="F32" s="13"/>
      <c r="G32" s="13"/>
      <c r="I32" s="5"/>
      <c r="J32" s="0" t="s">
        <v>48</v>
      </c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4">
        <v>4682.84376330353</v>
      </c>
      <c r="D34" s="14"/>
      <c r="E34" s="14"/>
      <c r="F34" s="14"/>
      <c r="G34" s="14"/>
      <c r="I34" s="5"/>
    </row>
    <row r="35" outlineLevel="2">
      <c r="A35" s="12" t="s">
        <v>52</v>
      </c>
      <c r="B35" s="0" t="s">
        <v>51</v>
      </c>
      <c r="C35" s="14">
        <v>21285.6534695615</v>
      </c>
      <c r="D35" s="14"/>
      <c r="E35" s="14"/>
      <c r="F35" s="14"/>
      <c r="G35" s="14"/>
      <c r="I35" s="5"/>
    </row>
    <row r="36" outlineLevel="2">
      <c r="A36" s="12" t="s">
        <v>53</v>
      </c>
      <c r="B36" s="0" t="s">
        <v>51</v>
      </c>
      <c r="C36" s="14">
        <v>30864.1975308642</v>
      </c>
      <c r="D36" s="14"/>
      <c r="E36" s="14"/>
      <c r="F36" s="14"/>
      <c r="G36" s="14"/>
      <c r="I36" s="5"/>
    </row>
    <row r="37" outlineLevel="1">
      <c r="A37" s="11" t="s">
        <v>54</v>
      </c>
      <c r="I37" s="5"/>
    </row>
    <row r="38" outlineLevel="2">
      <c r="A38" s="15" t="s">
        <v>55</v>
      </c>
      <c r="I38" s="5"/>
    </row>
    <row r="39" outlineLevel="3">
      <c r="A39" s="16" t="s">
        <v>56</v>
      </c>
      <c r="B39" s="0" t="s">
        <v>57</v>
      </c>
      <c r="C39" s="13">
        <v>0.564821685934493</v>
      </c>
      <c r="D39" s="13"/>
      <c r="E39" s="13"/>
      <c r="F39" s="13"/>
      <c r="G39" s="13"/>
      <c r="I39" s="5"/>
    </row>
    <row r="40" outlineLevel="3">
      <c r="A40" s="16" t="s">
        <v>58</v>
      </c>
      <c r="B40" s="0" t="s">
        <v>57</v>
      </c>
      <c r="C40" s="13">
        <v>0.91669824118347</v>
      </c>
      <c r="D40" s="13"/>
      <c r="E40" s="13"/>
      <c r="F40" s="13"/>
      <c r="G40" s="13"/>
      <c r="I40" s="5"/>
    </row>
    <row r="41" outlineLevel="3">
      <c r="A41" s="16" t="s">
        <v>59</v>
      </c>
      <c r="B41" s="0" t="s">
        <v>57</v>
      </c>
      <c r="C41" s="13">
        <v>6.77811555131987</v>
      </c>
      <c r="D41" s="13"/>
      <c r="E41" s="13"/>
      <c r="F41" s="13"/>
      <c r="G41" s="13"/>
      <c r="I41" s="5"/>
    </row>
    <row r="42" outlineLevel="3">
      <c r="A42" s="16" t="s">
        <v>60</v>
      </c>
      <c r="B42" s="0" t="s">
        <v>57</v>
      </c>
      <c r="C42" s="13">
        <v>1.98594695355159</v>
      </c>
      <c r="D42" s="13"/>
      <c r="E42" s="13"/>
      <c r="F42" s="13"/>
      <c r="G42" s="13"/>
      <c r="I42" s="5"/>
    </row>
    <row r="43" outlineLevel="3">
      <c r="A43" s="16" t="s">
        <v>61</v>
      </c>
      <c r="B43" s="0" t="s">
        <v>57</v>
      </c>
      <c r="C43" s="13">
        <v>7.12655232505542</v>
      </c>
      <c r="D43" s="13"/>
      <c r="E43" s="13"/>
      <c r="F43" s="13"/>
      <c r="G43" s="13"/>
      <c r="I43" s="5"/>
    </row>
    <row r="44" outlineLevel="2">
      <c r="A44" s="15" t="s">
        <v>62</v>
      </c>
      <c r="I44" s="5"/>
    </row>
    <row r="45" outlineLevel="3">
      <c r="A45" s="16" t="s">
        <v>63</v>
      </c>
      <c r="B45" s="0" t="s">
        <v>57</v>
      </c>
      <c r="C45" s="13">
        <v>3.10730760272392</v>
      </c>
      <c r="D45" s="13"/>
      <c r="E45" s="13"/>
      <c r="F45" s="13"/>
      <c r="G45" s="13"/>
      <c r="I45" s="5"/>
    </row>
    <row r="46" outlineLevel="2">
      <c r="A46" s="15" t="s">
        <v>64</v>
      </c>
      <c r="I46" s="5"/>
    </row>
    <row r="47" outlineLevel="3">
      <c r="A47" s="16" t="s">
        <v>65</v>
      </c>
      <c r="B47" s="0" t="s">
        <v>57</v>
      </c>
      <c r="C47" s="13">
        <v>32.9927628778204</v>
      </c>
      <c r="D47" s="13"/>
      <c r="E47" s="13"/>
      <c r="F47" s="13"/>
      <c r="G47" s="13"/>
      <c r="I47" s="5"/>
      <c r="J47" s="0" t="s">
        <v>66</v>
      </c>
    </row>
    <row r="48" outlineLevel="3">
      <c r="A48" s="16" t="s">
        <v>67</v>
      </c>
      <c r="B48" s="0" t="s">
        <v>41</v>
      </c>
      <c r="C48" s="13">
        <v>5</v>
      </c>
      <c r="D48" s="13"/>
      <c r="E48" s="13"/>
      <c r="F48" s="13"/>
      <c r="G48" s="13"/>
      <c r="I48" s="5"/>
    </row>
    <row r="49">
      <c r="I49" s="5"/>
    </row>
    <row r="50" s="1" customFormat="1"/>
  </sheetData>
  <mergeCells>
    <mergeCell ref="A8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4:E34"/>
    <mergeCell ref="C35:E35"/>
    <mergeCell ref="C36:E36"/>
    <mergeCell ref="C39:E39"/>
    <mergeCell ref="C40:E40"/>
    <mergeCell ref="C41:E41"/>
    <mergeCell ref="C42:E42"/>
    <mergeCell ref="C43:E43"/>
    <mergeCell ref="C45:E45"/>
    <mergeCell ref="C47:E47"/>
    <mergeCell ref="C48:E48"/>
  </mergeCells>
  <dataValidations count="1">
    <dataValidation type="decimal" sqref="C25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https://phyllis.nl/Biomass/View/3611</dc:description>
  <dcterms:created xsi:type="dcterms:W3CDTF">2026-03-17T05:58:45Z</dcterms:created>
  <dc:title>Phyllis2 #3611 Ulva lactuca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