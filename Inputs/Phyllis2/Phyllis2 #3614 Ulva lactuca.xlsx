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4 Ulva lactuca" sheetId="1" r:id="rId1"/>
  </sheets>
  <definedNames>
    <definedName name="w" localSheetId="0">IF(ISBLANK('Phyllis2 #3614 Ulva lactuca'!$C$25),#N/A,'Phyllis2 #3614 Ulva lactuca'!$C$25/100)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<sst xmlns="http://schemas.openxmlformats.org/spreadsheetml/2006/main" count="68" uniqueCount="68">
  <si>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</si>
  <si>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https://phyllis.nl/Biomass/View/3614</t>
  </si>
  <si>
    <t>Ulva lactuca (#3614)</t>
  </si>
  <si>
    <t>ID-number</t>
  </si>
  <si>
    <t>#3614</t>
  </si>
  <si>
    <t>Material</t>
  </si>
  <si>
    <t>Ulva lactuca</t>
  </si>
  <si>
    <t>Description</t>
  </si>
  <si>
    <t>Air dry - Harvested Apr 2017 - Netherlands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</si>
  <si>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</si>
  <si>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</si>
  <si>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</si>
  <si>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</si>
  <si>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</si>
  <si>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</si>
  <si>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</si>
  <si>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</si>
  <si>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</si>
  <si>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</si>
  <si>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Texel, Netherlands</t>
  </si>
  <si>
    <t>Harvesting date: 18</t>
  </si>
  <si>
    <t>Literature</t>
  </si>
  <si>
    <t>Author/institution: TNO</t>
  </si>
  <si>
    <t>Journal/project: Port4Innovation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</si>
  <si>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</si>
  <si>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</si>
  <si>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</si>
  <si>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</si>
  <si>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</si>
  <si>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</si>
  <si>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</si>
  <si>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</si>
  <si>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</si>
  <si>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</si>
  <si>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</si>
  <si>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</si>
  <si>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</si>
  <si>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</si>
  <si>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</si>
  <si>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</si>
  <si>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</si>
  <si>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</si>
  <si>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</si>
  <si>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</si>
  <si>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</si>
  <si>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</si>
  <si>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</si>
  <si>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</si>
  <si>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</si>
  <si>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</si>
  <si>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</si>
  <si>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</si>
  <si>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</si>
  <si>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</si>
  <si>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</si>
  <si>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</si>
  <si>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</si>
  <si>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</si>
  <si>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</si>
  <si>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</si>
  <si>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</si>
  <si>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Rhamnose</t>
  </si>
  <si>
    <t>Uronic acids</t>
  </si>
  <si>
    <t>Glucuronic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</si>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</sst>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IFERROR(28.5786346514517*(1-w),"")</f>
        <v/>
      </c>
      <c r="D26" s="13">
        <v>28.5786346514517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IFERROR(31.2132549438803*(1-w),"")</f>
        <v/>
      </c>
      <c r="D28" s="13">
        <v>31.2132549438803</v>
      </c>
      <c r="E28" s="13">
        <v>43.702965900405786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IFERROR(5.45163014430786*(1-w),"")</f>
        <v/>
      </c>
      <c r="D29" s="13">
        <v>5.45163014430786</v>
      </c>
      <c r="E29" s="13">
        <v>7.6330522634270368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IFERROR(2.88615713522181*(1-w),"")</f>
        <v/>
      </c>
      <c r="D30" s="13">
        <v>2.88615713522181</v>
      </c>
      <c r="E30" s="13">
        <v>4.04102766887314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IFERROR(6.62747194013896*(1-w),"")</f>
        <v/>
      </c>
      <c r="D31" s="13">
        <v>6.62747194013896</v>
      </c>
      <c r="E31" s="13">
        <v>9.2793968692642324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IFERROR(74.7571488150006*(1-w)+w*100,"")</f>
        <v/>
      </c>
      <c r="D32" s="13">
        <v>74.757148815000619</v>
      </c>
      <c r="E32" s="13">
        <v>64.656442701970178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5237.84072688402</v>
      </c>
      <c r="D34" s="14"/>
      <c r="E34" s="14"/>
      <c r="F34" s="14"/>
      <c r="G34" s="14"/>
      <c r="I34" s="5"/>
    </row>
    <row r="35" outlineLevel="2">
      <c r="A35" s="12" t="s">
        <v>52</v>
      </c>
      <c r="B35" s="0" t="s">
        <v>51</v>
      </c>
      <c r="C35" s="14">
        <v>30999.4655264564</v>
      </c>
      <c r="D35" s="14"/>
      <c r="E35" s="14"/>
      <c r="F35" s="14"/>
      <c r="G35" s="14"/>
      <c r="I35" s="5"/>
    </row>
    <row r="36" outlineLevel="2">
      <c r="A36" s="12" t="s">
        <v>53</v>
      </c>
      <c r="B36" s="0" t="s">
        <v>51</v>
      </c>
      <c r="C36" s="14">
        <v>21378.9417423838</v>
      </c>
      <c r="D36" s="14"/>
      <c r="E36" s="14"/>
      <c r="F36" s="14"/>
      <c r="G36" s="14"/>
      <c r="I36" s="5"/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0.357332193417202</v>
      </c>
      <c r="D39" s="13"/>
      <c r="E39" s="13"/>
      <c r="F39" s="13"/>
      <c r="G39" s="13"/>
      <c r="I39" s="5"/>
    </row>
    <row r="40" outlineLevel="3">
      <c r="A40" s="16" t="s">
        <v>58</v>
      </c>
      <c r="B40" s="0" t="s">
        <v>57</v>
      </c>
      <c r="C40" s="13">
        <v>0.708705751876639</v>
      </c>
      <c r="D40" s="13"/>
      <c r="E40" s="13"/>
      <c r="F40" s="13"/>
      <c r="G40" s="13"/>
      <c r="I40" s="5"/>
    </row>
    <row r="41" outlineLevel="3">
      <c r="A41" s="16" t="s">
        <v>59</v>
      </c>
      <c r="B41" s="0" t="s">
        <v>57</v>
      </c>
      <c r="C41" s="13">
        <v>10.5524213135617</v>
      </c>
      <c r="D41" s="13"/>
      <c r="E41" s="13"/>
      <c r="F41" s="13"/>
      <c r="G41" s="13"/>
      <c r="I41" s="5"/>
    </row>
    <row r="42" outlineLevel="3">
      <c r="A42" s="16" t="s">
        <v>60</v>
      </c>
      <c r="B42" s="0" t="s">
        <v>57</v>
      </c>
      <c r="C42" s="13">
        <v>2.00629222778864</v>
      </c>
      <c r="D42" s="13"/>
      <c r="E42" s="13"/>
      <c r="F42" s="13"/>
      <c r="G42" s="13"/>
      <c r="I42" s="5"/>
    </row>
    <row r="43" outlineLevel="3">
      <c r="A43" s="16" t="s">
        <v>61</v>
      </c>
      <c r="B43" s="0" t="s">
        <v>57</v>
      </c>
      <c r="C43" s="13">
        <v>7.98645293989827</v>
      </c>
      <c r="D43" s="13"/>
      <c r="E43" s="13"/>
      <c r="F43" s="13"/>
      <c r="G43" s="13"/>
      <c r="I43" s="5"/>
    </row>
    <row r="44" outlineLevel="2">
      <c r="A44" s="15" t="s">
        <v>62</v>
      </c>
      <c r="I44" s="5"/>
    </row>
    <row r="45" outlineLevel="3">
      <c r="A45" s="16" t="s">
        <v>63</v>
      </c>
      <c r="B45" s="0" t="s">
        <v>57</v>
      </c>
      <c r="C45" s="13">
        <v>3.00097544028769</v>
      </c>
      <c r="D45" s="13"/>
      <c r="E45" s="13"/>
      <c r="F45" s="13"/>
      <c r="G45" s="13"/>
      <c r="I45" s="5"/>
    </row>
    <row r="46" outlineLevel="2">
      <c r="A46" s="15" t="s">
        <v>64</v>
      </c>
      <c r="I46" s="5"/>
    </row>
    <row r="47" outlineLevel="3">
      <c r="A47" s="16" t="s">
        <v>65</v>
      </c>
      <c r="B47" s="0" t="s">
        <v>57</v>
      </c>
      <c r="C47" s="13">
        <v>14.430785676109</v>
      </c>
      <c r="D47" s="13"/>
      <c r="E47" s="13"/>
      <c r="F47" s="13"/>
      <c r="G47" s="13"/>
      <c r="I47" s="5"/>
      <c r="J47" s="0" t="s">
        <v>66</v>
      </c>
    </row>
    <row r="48" outlineLevel="3">
      <c r="A48" s="16" t="s">
        <v>67</v>
      </c>
      <c r="B48" s="0" t="s">
        <v>41</v>
      </c>
      <c r="C48" s="13">
        <v>5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4:E34"/>
    <mergeCell ref="C35:E35"/>
    <mergeCell ref="C36:E36"/>
    <mergeCell ref="C39:E39"/>
    <mergeCell ref="C40:E40"/>
    <mergeCell ref="C41:E41"/>
    <mergeCell ref="C42:E42"/>
    <mergeCell ref="C43:E43"/>
    <mergeCell ref="C45:E45"/>
    <mergeCell ref="C47:E47"/>
    <mergeCell ref="C48:E48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https://phyllis.nl/Biomass/View/3614</dc:description>
  <dcterms:created xsi:type="dcterms:W3CDTF">2026-03-17T05:58:51Z</dcterms:created>
  <dc:title>Phyllis2 #3614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