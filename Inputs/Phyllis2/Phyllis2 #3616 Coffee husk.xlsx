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6 Coffee husk" sheetId="1" r:id="rId1"/>
  </sheets>
  <definedNames>
    <definedName name="w" localSheetId="0">IF(ISBLANK('Phyllis2 #3616 Coffee husk'!$C$20),#N/A,'Phyllis2 #3616 Coffee husk'!$C$20/100)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<sst xmlns="http://schemas.openxmlformats.org/spreadsheetml/2006/main" count="56" uniqueCount="56">
  <si>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</si>
  <si>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https://phyllis.nl/Biomass/View/3616</t>
  </si>
  <si>
    <t>Coffee husk (#3616)</t>
  </si>
  <si>
    <t>ID-number</t>
  </si>
  <si>
    <t>#3616</t>
  </si>
  <si>
    <t>Material</t>
  </si>
  <si>
    <t>Coffee husk</t>
  </si>
  <si>
    <t>Classification</t>
  </si>
  <si>
    <t>ECN Phyllis classification &gt; husk/shell/pit &gt; others &gt; coffee husk</t>
  </si>
  <si>
    <t>Submitter organisation</t>
  </si>
  <si>
    <t>TNO (Netherlands)</t>
  </si>
  <si>
    <t>Submission date</t>
  </si>
  <si>
    <t>Literature</t>
  </si>
  <si>
    <t>Author/institution: M. Barbanera, I.F. Muguerza</t>
  </si>
  <si>
    <t>Year: 2020</t>
  </si>
  <si>
    <t>Journal/project: Fuel/ Project BRISK II</t>
  </si>
  <si>
    <t>DOI/link: https://doi.org/10.1016/j.fuel.2019.116493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</si>
  <si>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</si>
  <si>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</si>
  <si>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</si>
  <si>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</si>
  <si>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</si>
  <si>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</si>
  <si>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</si>
  <si>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</si>
  <si>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</si>
  <si>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</si>
  <si>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</si>
  <si>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</si>
  <si>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</si>
  <si>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</si>
  <si>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</si>
  <si>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</si>
  <si>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</si>
  <si>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CENER</t>
  </si>
  <si>
    <t>Measured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</si>
  <si>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</si>
  <si>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</si>
  <si>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</si>
  <si>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</si>
  <si>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</si>
  <si>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</si>
  <si>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</si>
  <si>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</si>
  <si>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</si>
  <si>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</si>
  <si>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</si>
  <si>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</si>
  <si>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</si>
  <si>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</si>
  <si>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</si>
  <si>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</si>
  <si>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Biochar and torrefied biomass</t>
  </si>
  <si>
    <t>Density</t>
  </si>
  <si>
    <t>Bulk density</t>
  </si>
  <si>
    <t>g/cm³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</si>
</sst>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44249.5563310185</v>
      </c>
    </row>
    <row r="10" outlineLevel="1">
      <c r="A10" s="7" t="s">
        <v>12</v>
      </c>
      <c r="B10" s="0" t="s">
        <v>13</v>
      </c>
    </row>
    <row r="11" outlineLevel="1">
      <c r="A11" s="7"/>
      <c r="B11" s="0" t="s">
        <v>14</v>
      </c>
    </row>
    <row r="12" outlineLevel="1">
      <c r="A12" s="7"/>
      <c r="B12" s="0" t="s">
        <v>15</v>
      </c>
    </row>
    <row r="13" outlineLevel="1">
      <c r="A13" s="7"/>
      <c r="B13" s="0" t="s">
        <v>16</v>
      </c>
    </row>
    <row r="14">
      <c r="A14" s="7"/>
    </row>
    <row r="15" s="1" customFormat="1">
      <c r="A15" s="9" t="s">
        <v>17</v>
      </c>
    </row>
    <row r="16" s="1" customFormat="1">
      <c r="A16" s="10" t="s">
        <v>18</v>
      </c>
      <c r="B16" s="10" t="s">
        <v>19</v>
      </c>
      <c r="C16" s="10" t="s">
        <v>20</v>
      </c>
      <c r="D16" s="10"/>
      <c r="E16" s="10"/>
      <c r="F16" s="10" t="s">
        <v>21</v>
      </c>
      <c r="G16" s="10" t="s">
        <v>22</v>
      </c>
      <c r="H16" s="10" t="s">
        <v>23</v>
      </c>
      <c r="I16" s="10" t="s">
        <v>24</v>
      </c>
      <c r="J16" s="10" t="s">
        <v>25</v>
      </c>
      <c r="K16" s="10" t="s">
        <v>26</v>
      </c>
      <c r="L16" s="10"/>
    </row>
    <row r="17" s="1" customFormat="1">
      <c r="A17" s="10"/>
      <c r="B17" s="10"/>
      <c r="C17" s="10" t="s">
        <v>27</v>
      </c>
      <c r="D17" s="10" t="s">
        <v>28</v>
      </c>
      <c r="E17" s="10" t="s">
        <v>29</v>
      </c>
      <c r="F17" s="10"/>
      <c r="G17" s="10"/>
      <c r="H17" s="10"/>
      <c r="I17" s="10"/>
      <c r="J17" s="10"/>
      <c r="K17" s="10"/>
      <c r="L17" s="10"/>
    </row>
    <row r="18">
      <c r="A18" s="7" t="s">
        <v>30</v>
      </c>
      <c r="I18" s="5"/>
    </row>
    <row r="19" outlineLevel="1">
      <c r="A19" s="11" t="s">
        <v>31</v>
      </c>
      <c r="I19" s="5"/>
    </row>
    <row r="20" outlineLevel="2">
      <c r="A20" s="12" t="s">
        <v>32</v>
      </c>
      <c r="B20" s="0" t="s">
        <v>33</v>
      </c>
      <c r="C20" s="13">
        <v>57.9</v>
      </c>
      <c r="D20" s="13"/>
      <c r="E20" s="13"/>
      <c r="F20" s="13"/>
      <c r="G20" s="13"/>
      <c r="H20" s="0" t="s">
        <v>34</v>
      </c>
      <c r="I20" s="5">
        <v>43298</v>
      </c>
      <c r="J20" s="0" t="s">
        <v>35</v>
      </c>
    </row>
    <row r="21" outlineLevel="2">
      <c r="A21" s="12" t="s">
        <v>36</v>
      </c>
      <c r="B21" s="0" t="s">
        <v>33</v>
      </c>
      <c r="C21" s="13">
        <f>IFERROR(0.41*(1-w),"")</f>
        <v>0.17261</v>
      </c>
      <c r="D21" s="13">
        <v>0.41</v>
      </c>
      <c r="E21" s="13">
        <v/>
      </c>
      <c r="F21" s="13"/>
      <c r="G21" s="13"/>
      <c r="H21" s="0" t="s">
        <v>34</v>
      </c>
      <c r="I21" s="5">
        <v>43304</v>
      </c>
      <c r="J21" s="0" t="s">
        <v>35</v>
      </c>
    </row>
    <row r="22" outlineLevel="2">
      <c r="A22" s="12" t="s">
        <v>37</v>
      </c>
      <c r="B22" s="0" t="s">
        <v>33</v>
      </c>
      <c r="C22" s="13">
        <f>IFERROR(82.5*(1-w),"")</f>
        <v>34.7325</v>
      </c>
      <c r="D22" s="13">
        <v>82.5</v>
      </c>
      <c r="E22" s="13">
        <v>82.839642534391</v>
      </c>
      <c r="F22" s="13"/>
      <c r="G22" s="13"/>
      <c r="I22" s="5"/>
      <c r="J22" s="0" t="s">
        <v>35</v>
      </c>
    </row>
    <row r="23" outlineLevel="2">
      <c r="A23" s="12" t="s">
        <v>38</v>
      </c>
      <c r="B23" s="0" t="s">
        <v>33</v>
      </c>
      <c r="C23" s="13">
        <f>IFERROR(17.09*(1-w),"")</f>
        <v>7.1948900000000018</v>
      </c>
      <c r="D23" s="13">
        <v>17.090000000000003</v>
      </c>
      <c r="E23" s="13">
        <v>17.160357465609</v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33</v>
      </c>
      <c r="C25" s="13">
        <f>IFERROR(59.7*(1-w),"")</f>
        <v>25.133700000000005</v>
      </c>
      <c r="D25" s="13">
        <v>59.7</v>
      </c>
      <c r="E25" s="13">
        <v>59.945777688522945</v>
      </c>
      <c r="F25" s="13"/>
      <c r="G25" s="13"/>
      <c r="H25" s="0" t="s">
        <v>34</v>
      </c>
      <c r="I25" s="5">
        <v>43305</v>
      </c>
      <c r="J25" s="0" t="s">
        <v>35</v>
      </c>
    </row>
    <row r="26" outlineLevel="2">
      <c r="A26" s="12" t="s">
        <v>42</v>
      </c>
      <c r="B26" s="0" t="s">
        <v>33</v>
      </c>
      <c r="C26" s="13">
        <f>IFERROR(7.8*(1-w),"")</f>
        <v>3.2838000000000003</v>
      </c>
      <c r="D26" s="13">
        <v>7.8</v>
      </c>
      <c r="E26" s="13">
        <v>7.8321116577969674</v>
      </c>
      <c r="F26" s="13"/>
      <c r="G26" s="13"/>
      <c r="H26" s="0" t="s">
        <v>34</v>
      </c>
      <c r="I26" s="5">
        <v>43305</v>
      </c>
      <c r="J26" s="0" t="s">
        <v>35</v>
      </c>
    </row>
    <row r="27" outlineLevel="2">
      <c r="A27" s="12" t="s">
        <v>43</v>
      </c>
      <c r="B27" s="0" t="s">
        <v>33</v>
      </c>
      <c r="C27" s="13">
        <f>IFERROR(30.2*(1-w),"")</f>
        <v>12.714200000000002</v>
      </c>
      <c r="D27" s="13">
        <v>30.2</v>
      </c>
      <c r="E27" s="13">
        <v>30.324329751983129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IFERROR(2.19*(1-w),"")</f>
        <v>0.92199000000000009</v>
      </c>
      <c r="D28" s="13">
        <v>2.19</v>
      </c>
      <c r="E28" s="13">
        <v>2.1990159654583792</v>
      </c>
      <c r="F28" s="13"/>
      <c r="G28" s="13"/>
      <c r="H28" s="0" t="s">
        <v>34</v>
      </c>
      <c r="I28" s="5">
        <v>43305</v>
      </c>
      <c r="J28" s="0" t="s">
        <v>35</v>
      </c>
    </row>
    <row r="29" outlineLevel="2">
      <c r="A29" s="12" t="s">
        <v>45</v>
      </c>
      <c r="B29" s="0" t="s">
        <v>33</v>
      </c>
      <c r="C29" s="13">
        <f>IFERROR(0.1*(1-w),"")</f>
        <v>0.042100000000000005</v>
      </c>
      <c r="D29" s="13">
        <v>0.1</v>
      </c>
      <c r="E29" s="13">
        <v>0.10041168792047395</v>
      </c>
      <c r="F29" s="13"/>
      <c r="G29" s="13"/>
      <c r="I29" s="5"/>
      <c r="J29" s="0" t="s">
        <v>35</v>
      </c>
    </row>
    <row r="30" outlineLevel="2">
      <c r="A30" s="12" t="s">
        <v>46</v>
      </c>
      <c r="B30" s="0" t="s">
        <v>33</v>
      </c>
      <c r="C30" s="13">
        <f>IFERROR(100.4*(1-w)+w*100,"")</f>
        <v>100.16839999999999</v>
      </c>
      <c r="D30" s="13">
        <v>100.39999999999999</v>
      </c>
      <c r="E30" s="13">
        <v>100.40164675168189</v>
      </c>
      <c r="F30" s="13"/>
      <c r="G30" s="13"/>
      <c r="I30" s="5"/>
      <c r="J30" s="0" t="s">
        <v>39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IFERROR(23.7*(1-w)-w*2.443,"")</f>
        <v>8.5632030000000015</v>
      </c>
      <c r="D32" s="13">
        <v>23.7</v>
      </c>
      <c r="E32" s="13">
        <v>23.797570037152322</v>
      </c>
      <c r="F32" s="13"/>
      <c r="G32" s="13"/>
      <c r="I32" s="5"/>
      <c r="J32" s="0" t="s">
        <v>39</v>
      </c>
    </row>
    <row r="33" outlineLevel="2">
      <c r="A33" s="12" t="s">
        <v>50</v>
      </c>
      <c r="B33" s="0" t="s">
        <v>49</v>
      </c>
      <c r="C33" s="13">
        <f>IFERROR(25.3*(1-w),"")</f>
        <v>10.6513</v>
      </c>
      <c r="D33" s="13">
        <v>25.3</v>
      </c>
      <c r="E33" s="13">
        <v>25.404157043879909</v>
      </c>
      <c r="F33" s="13"/>
      <c r="G33" s="13"/>
      <c r="I33" s="5"/>
      <c r="J33" s="0" t="s">
        <v>35</v>
      </c>
    </row>
    <row r="34" outlineLevel="2">
      <c r="A34" s="12" t="s">
        <v>51</v>
      </c>
      <c r="B34" s="0" t="s">
        <v>49</v>
      </c>
      <c r="C34" s="13">
        <f>IFERROR(26.7831127193*(1-w),"")</f>
        <v>11.275690454825302</v>
      </c>
      <c r="D34" s="13">
        <v>26.783112719300004</v>
      </c>
      <c r="E34" s="13">
        <v>26.893375559092281</v>
      </c>
      <c r="F34" s="13"/>
      <c r="G34" s="13"/>
      <c r="I34" s="5"/>
      <c r="J34" s="0" t="s">
        <v>39</v>
      </c>
    </row>
    <row r="35">
      <c r="A35" s="7" t="s">
        <v>52</v>
      </c>
      <c r="I35" s="5"/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4">
        <v>500</v>
      </c>
      <c r="D37" s="14"/>
      <c r="E37" s="14"/>
      <c r="F37" s="14"/>
      <c r="G37" s="14"/>
      <c r="H37" s="0" t="s">
        <v>34</v>
      </c>
      <c r="I37" s="5">
        <v>43298</v>
      </c>
      <c r="J37" s="0" t="s">
        <v>35</v>
      </c>
    </row>
    <row r="38">
      <c r="I38" s="5"/>
    </row>
    <row r="39" s="1" customFormat="1"/>
  </sheetData>
  <mergeCells>
    <mergeCell ref="A7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</mergeCells>
  <dataValidations count="1">
    <dataValidation type="decimal" sqref="C20" errorStyle="stop" promptTitle="Enter moisture content" errorTitle="Invalid moisture content" prompt="Value should be between 0 and 100.&#10;Original value: 57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https://phyllis.nl/Biomass/View/3616</dc:description>
  <dcterms:created xsi:type="dcterms:W3CDTF">2026-03-17T05:43:29Z</dcterms:created>
  <dc:title>Phyllis2 #3616 Coffee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