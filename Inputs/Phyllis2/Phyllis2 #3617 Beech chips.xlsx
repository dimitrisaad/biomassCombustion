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17 Beech chips" sheetId="1" r:id="rId1"/>
  </sheets>
  <definedNames>
    <definedName name="w" localSheetId="0">IF(ISBLANK('Phyllis2 #3617 Beech chips'!$C$19),#N/A,'Phyllis2 #3617 Beech chips'!$C$19/100)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<sst xmlns="http://schemas.openxmlformats.org/spreadsheetml/2006/main" count="52" uniqueCount="52">
  <si>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</si>
  <si>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https://phyllis.nl/Biomass/View/3617</t>
  </si>
  <si>
    <t>Beech chips (#3617)</t>
  </si>
  <si>
    <t>ID-number</t>
  </si>
  <si>
    <t>#3617</t>
  </si>
  <si>
    <t>Material</t>
  </si>
  <si>
    <t>Beech chips</t>
  </si>
  <si>
    <t>Classification</t>
  </si>
  <si>
    <t>ECN Phyllis classification &gt; untreated wood &gt; beech</t>
  </si>
  <si>
    <t>Submitter organisation</t>
  </si>
  <si>
    <t>TNO (Netherlands)</t>
  </si>
  <si>
    <t>Submission date</t>
  </si>
  <si>
    <t>Literature</t>
  </si>
  <si>
    <t>Author/institution: CENER</t>
  </si>
  <si>
    <t>Year: 2019</t>
  </si>
  <si>
    <t>Journal/project: Project BRISK II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</si>
  <si>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</si>
  <si>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</si>
  <si>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</si>
  <si>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</si>
  <si>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</si>
  <si>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</si>
  <si>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</si>
  <si>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</si>
  <si>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</si>
  <si>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</si>
  <si>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</si>
  <si>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</si>
  <si>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</si>
  <si>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</si>
  <si>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</si>
  <si>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</si>
  <si>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</si>
  <si>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CENER</t>
  </si>
  <si>
    <t>Measured</t>
  </si>
  <si>
    <t>Ash content at 550°C</t>
  </si>
  <si>
    <t>Ultimate analysis (macroelements)</t>
  </si>
  <si>
    <t>Carbon</t>
  </si>
  <si>
    <t>Hydrogen</t>
  </si>
  <si>
    <t>Nitrogen</t>
  </si>
  <si>
    <t>wt% (dry)</t>
  </si>
  <si>
    <t>&lt;0,22</t>
  </si>
  <si>
    <t>Total (with halides)</t>
  </si>
  <si>
    <t>Calculated</t>
  </si>
  <si>
    <t>Heating value</t>
  </si>
  <si>
    <t>Net calorific value (LHV)</t>
  </si>
  <si>
    <t>MJ/kg</t>
  </si>
  <si>
    <t>Gross calorific value (HHV)</t>
  </si>
  <si>
    <t>Biochar and torrefied biomass</t>
  </si>
  <si>
    <t>Density</t>
  </si>
  <si>
    <t>Bulk density</t>
  </si>
  <si>
    <t>g/cm³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</si>
</sst>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1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44327.4814814815</v>
      </c>
    </row>
    <row r="10" outlineLevel="1">
      <c r="A10" s="7" t="s">
        <v>12</v>
      </c>
      <c r="B10" s="0" t="s">
        <v>13</v>
      </c>
    </row>
    <row r="11" outlineLevel="1">
      <c r="A11" s="7"/>
      <c r="B11" s="0" t="s">
        <v>14</v>
      </c>
    </row>
    <row r="12" outlineLevel="1">
      <c r="A12" s="7"/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12.3</v>
      </c>
      <c r="D19" s="13"/>
      <c r="E19" s="13"/>
      <c r="F19" s="13"/>
      <c r="G19" s="13"/>
      <c r="H19" s="0" t="s">
        <v>33</v>
      </c>
      <c r="I19" s="5">
        <v>43522</v>
      </c>
      <c r="J19" s="0" t="s">
        <v>34</v>
      </c>
    </row>
    <row r="20" outlineLevel="2">
      <c r="A20" s="12" t="s">
        <v>35</v>
      </c>
      <c r="B20" s="0" t="s">
        <v>32</v>
      </c>
      <c r="C20" s="13">
        <f>IFERROR(1.1*(1-w),"")</f>
        <v>0.96470000000000011</v>
      </c>
      <c r="D20" s="13">
        <v>1.1</v>
      </c>
      <c r="E20" s="13">
        <v/>
      </c>
      <c r="F20" s="13"/>
      <c r="G20" s="13"/>
      <c r="H20" s="0" t="s">
        <v>33</v>
      </c>
      <c r="I20" s="5">
        <v>43524</v>
      </c>
      <c r="J20" s="0" t="s">
        <v>34</v>
      </c>
    </row>
    <row r="21" outlineLevel="1">
      <c r="A21" s="11" t="s">
        <v>36</v>
      </c>
      <c r="I21" s="5"/>
    </row>
    <row r="22" outlineLevel="2">
      <c r="A22" s="12" t="s">
        <v>37</v>
      </c>
      <c r="B22" s="0" t="s">
        <v>32</v>
      </c>
      <c r="C22" s="13">
        <f>IFERROR(49.2*(1-w),"")</f>
        <v>43.1484</v>
      </c>
      <c r="D22" s="13">
        <v>49.2</v>
      </c>
      <c r="E22" s="13">
        <v>49.74721941354904</v>
      </c>
      <c r="F22" s="13"/>
      <c r="G22" s="13"/>
      <c r="H22" s="0" t="s">
        <v>33</v>
      </c>
      <c r="I22" s="5">
        <v>43536</v>
      </c>
      <c r="J22" s="0" t="s">
        <v>34</v>
      </c>
    </row>
    <row r="23" outlineLevel="2">
      <c r="A23" s="12" t="s">
        <v>38</v>
      </c>
      <c r="B23" s="0" t="s">
        <v>32</v>
      </c>
      <c r="C23" s="13">
        <f>IFERROR(6.3*(1-w),"")</f>
        <v>5.5251</v>
      </c>
      <c r="D23" s="13">
        <v>6.3</v>
      </c>
      <c r="E23" s="13">
        <v>6.3700707785642061</v>
      </c>
      <c r="F23" s="13"/>
      <c r="G23" s="13"/>
      <c r="H23" s="0" t="s">
        <v>33</v>
      </c>
      <c r="I23" s="5">
        <v>43536</v>
      </c>
      <c r="J23" s="0" t="s">
        <v>34</v>
      </c>
    </row>
    <row r="24" outlineLevel="2">
      <c r="A24" s="12" t="s">
        <v>39</v>
      </c>
      <c r="B24" s="0" t="s">
        <v>40</v>
      </c>
      <c r="C24" s="13" t="s">
        <v>41</v>
      </c>
      <c r="D24" s="13"/>
      <c r="E24" s="13"/>
      <c r="F24" s="13"/>
      <c r="G24" s="13"/>
      <c r="H24" s="0" t="s">
        <v>33</v>
      </c>
      <c r="I24" s="5">
        <v>43536</v>
      </c>
      <c r="J24" s="0" t="s">
        <v>34</v>
      </c>
    </row>
    <row r="25" outlineLevel="2">
      <c r="A25" s="12" t="s">
        <v>42</v>
      </c>
      <c r="B25" s="0" t="s">
        <v>32</v>
      </c>
      <c r="C25" s="13">
        <f>IFERROR(56.6*(1-w)+w*100,"")</f>
        <v>61.938200000000009</v>
      </c>
      <c r="D25" s="13">
        <v>56.6</v>
      </c>
      <c r="E25" s="13">
        <v>56.117290192113245</v>
      </c>
      <c r="F25" s="13"/>
      <c r="G25" s="13"/>
      <c r="I25" s="5"/>
      <c r="J25" s="0" t="s">
        <v>43</v>
      </c>
    </row>
    <row r="26" outlineLevel="1">
      <c r="A26" s="11" t="s">
        <v>44</v>
      </c>
      <c r="I26" s="5"/>
    </row>
    <row r="27" outlineLevel="2">
      <c r="A27" s="12" t="s">
        <v>45</v>
      </c>
      <c r="B27" s="0" t="s">
        <v>46</v>
      </c>
      <c r="C27" s="13">
        <f>IFERROR(18.4*(1-w)-w*2.443,"")</f>
        <v>15.836310999999997</v>
      </c>
      <c r="D27" s="13">
        <v>18.4</v>
      </c>
      <c r="E27" s="13">
        <v>18.604651162790695</v>
      </c>
      <c r="F27" s="13"/>
      <c r="G27" s="13"/>
      <c r="H27" s="0" t="s">
        <v>33</v>
      </c>
      <c r="I27" s="5">
        <v>43530</v>
      </c>
      <c r="J27" s="0" t="s">
        <v>43</v>
      </c>
    </row>
    <row r="28" outlineLevel="2">
      <c r="A28" s="12" t="s">
        <v>47</v>
      </c>
      <c r="B28" s="0" t="s">
        <v>46</v>
      </c>
      <c r="C28" s="13">
        <f>IFERROR(19.6*(1-w),"")</f>
        <v>17.1892</v>
      </c>
      <c r="D28" s="13">
        <v>19.6</v>
      </c>
      <c r="E28" s="13">
        <v>19.817997977755311</v>
      </c>
      <c r="F28" s="13"/>
      <c r="G28" s="13"/>
      <c r="H28" s="0" t="s">
        <v>33</v>
      </c>
      <c r="I28" s="5">
        <v>43530</v>
      </c>
      <c r="J28" s="0" t="s">
        <v>34</v>
      </c>
    </row>
    <row r="29">
      <c r="A29" s="7" t="s">
        <v>48</v>
      </c>
      <c r="I29" s="5"/>
    </row>
    <row r="30" outlineLevel="1">
      <c r="A30" s="11" t="s">
        <v>49</v>
      </c>
      <c r="I30" s="5"/>
    </row>
    <row r="31" outlineLevel="2">
      <c r="A31" s="12" t="s">
        <v>50</v>
      </c>
      <c r="B31" s="0" t="s">
        <v>51</v>
      </c>
      <c r="C31" s="14">
        <v>310</v>
      </c>
      <c r="D31" s="14"/>
      <c r="E31" s="14"/>
      <c r="F31" s="14"/>
      <c r="G31" s="14"/>
      <c r="I31" s="5">
        <v>43523</v>
      </c>
      <c r="J31" s="0" t="s">
        <v>34</v>
      </c>
    </row>
    <row r="32">
      <c r="I32" s="5"/>
    </row>
    <row r="33" s="1" customFormat="1"/>
  </sheetData>
  <mergeCells>
    <mergeCell ref="A7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4:E24"/>
    <mergeCell ref="C31:E31"/>
  </mergeCells>
  <dataValidations count="1">
    <dataValidation type="decimal" sqref="C19" errorStyle="stop" promptTitle="Enter moisture content" errorTitle="Invalid moisture content" prompt="Value should be between 0 and 100.&#10;Original value: 12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https://phyllis.nl/Biomass/View/3617</dc:description>
  <dcterms:created xsi:type="dcterms:W3CDTF">2026-03-19T04:19:59Z</dcterms:created>
  <dc:title>Phyllis2 #3617 Beech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