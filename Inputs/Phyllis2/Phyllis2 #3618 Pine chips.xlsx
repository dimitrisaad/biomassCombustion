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8 Pine chips" sheetId="1" r:id="rId1"/>
  </sheets>
  <definedNames>
    <definedName name="w" localSheetId="0">IF(ISBLANK('Phyllis2 #3618 Pine chips'!$C$19),#N/A,'Phyllis2 #3618 Pine chips'!$C$19/100)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<sst xmlns="http://schemas.openxmlformats.org/spreadsheetml/2006/main" count="52" uniqueCount="52">
  <si>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</si>
  <si>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https://phyllis.nl/Biomass/View/3618</t>
  </si>
  <si>
    <t>Pine chips (#3618)</t>
  </si>
  <si>
    <t>ID-number</t>
  </si>
  <si>
    <t>#3618</t>
  </si>
  <si>
    <t>Material</t>
  </si>
  <si>
    <t>Pine chips</t>
  </si>
  <si>
    <t>Classification</t>
  </si>
  <si>
    <t>ECN Phyllis classification &gt; untreated wood &gt; fir/pine/spruce</t>
  </si>
  <si>
    <t>Submitter organisation</t>
  </si>
  <si>
    <t>TNO (Netherlands)</t>
  </si>
  <si>
    <t>Submission date</t>
  </si>
  <si>
    <t>Literature</t>
  </si>
  <si>
    <t>Author/institution: CENER</t>
  </si>
  <si>
    <t>Year: 2019</t>
  </si>
  <si>
    <t>Journal/project: Project BRISK II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</si>
  <si>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</si>
  <si>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</si>
  <si>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</si>
  <si>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</si>
  <si>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</si>
  <si>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</si>
  <si>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</si>
  <si>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</si>
  <si>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</si>
  <si>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</si>
  <si>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</si>
  <si>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</si>
  <si>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</si>
  <si>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</si>
  <si>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</si>
  <si>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</si>
  <si>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</si>
  <si>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CENER</t>
  </si>
  <si>
    <t>Measured</t>
  </si>
  <si>
    <t>Ash content at 550°C</t>
  </si>
  <si>
    <t>Ultimate analysis (macroelements)</t>
  </si>
  <si>
    <t>Carbon</t>
  </si>
  <si>
    <t>Hydrogen</t>
  </si>
  <si>
    <t>Nitrogen</t>
  </si>
  <si>
    <t>wt% (dry)</t>
  </si>
  <si>
    <t>&lt;0,23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</si>
  <si>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</si>
  <si>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</si>
  <si>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</si>
  <si>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</si>
  <si>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</si>
  <si>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</si>
  <si>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Biochar and torrefied biomass</t>
  </si>
  <si>
    <t>Density</t>
  </si>
  <si>
    <t>Bulk density</t>
  </si>
  <si>
    <t>g/cm³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</si>
</sst>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44327.4814814815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/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14.9</v>
      </c>
      <c r="D19" s="13"/>
      <c r="E19" s="13"/>
      <c r="F19" s="13"/>
      <c r="G19" s="13"/>
      <c r="H19" s="0" t="s">
        <v>33</v>
      </c>
      <c r="I19" s="5">
        <v>43508</v>
      </c>
      <c r="J19" s="0" t="s">
        <v>34</v>
      </c>
    </row>
    <row r="20" outlineLevel="2">
      <c r="A20" s="12" t="s">
        <v>35</v>
      </c>
      <c r="B20" s="0" t="s">
        <v>32</v>
      </c>
      <c r="C20" s="13">
        <f>IFERROR(0.5*(1-w),"")</f>
        <v>0.4255</v>
      </c>
      <c r="D20" s="13">
        <v>0.5</v>
      </c>
      <c r="E20" s="13">
        <v/>
      </c>
      <c r="F20" s="13"/>
      <c r="G20" s="13"/>
      <c r="H20" s="0" t="s">
        <v>33</v>
      </c>
      <c r="I20" s="5">
        <v>43508</v>
      </c>
      <c r="J20" s="0" t="s">
        <v>34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IFERROR(50.3*(1-w),"")</f>
        <v>42.805299999999995</v>
      </c>
      <c r="D22" s="13">
        <v>50.3</v>
      </c>
      <c r="E22" s="13">
        <v>50.552763819095475</v>
      </c>
      <c r="F22" s="13"/>
      <c r="G22" s="13"/>
      <c r="H22" s="0" t="s">
        <v>33</v>
      </c>
      <c r="I22" s="5">
        <v>43508</v>
      </c>
      <c r="J22" s="0" t="s">
        <v>34</v>
      </c>
    </row>
    <row r="23" outlineLevel="2">
      <c r="A23" s="12" t="s">
        <v>38</v>
      </c>
      <c r="B23" s="0" t="s">
        <v>32</v>
      </c>
      <c r="C23" s="13">
        <f>IFERROR(6.2*(1-w),"")</f>
        <v>5.2762</v>
      </c>
      <c r="D23" s="13">
        <v>6.2</v>
      </c>
      <c r="E23" s="13">
        <v>6.2311557788944727</v>
      </c>
      <c r="F23" s="13"/>
      <c r="G23" s="13"/>
      <c r="H23" s="0" t="s">
        <v>33</v>
      </c>
      <c r="I23" s="5">
        <v>43508</v>
      </c>
      <c r="J23" s="0" t="s">
        <v>34</v>
      </c>
    </row>
    <row r="24" outlineLevel="2">
      <c r="A24" s="12" t="s">
        <v>39</v>
      </c>
      <c r="B24" s="0" t="s">
        <v>40</v>
      </c>
      <c r="C24" s="13" t="s">
        <v>41</v>
      </c>
      <c r="D24" s="13"/>
      <c r="E24" s="13"/>
      <c r="F24" s="13"/>
      <c r="G24" s="13"/>
      <c r="H24" s="0" t="s">
        <v>33</v>
      </c>
      <c r="I24" s="5">
        <v>43508</v>
      </c>
      <c r="J24" s="0" t="s">
        <v>34</v>
      </c>
    </row>
    <row r="25" outlineLevel="2">
      <c r="A25" s="12" t="s">
        <v>42</v>
      </c>
      <c r="B25" s="0" t="s">
        <v>32</v>
      </c>
      <c r="C25" s="13">
        <f>IFERROR(57*(1-w)+w*100,"")</f>
        <v>63.407</v>
      </c>
      <c r="D25" s="13">
        <v>57</v>
      </c>
      <c r="E25" s="13">
        <v>56.78391959798995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f>IFERROR(19*(1-w)-w*2.443,"")</f>
        <v>15.804993</v>
      </c>
      <c r="D27" s="13">
        <v>19</v>
      </c>
      <c r="E27" s="13">
        <v>19.095477386934675</v>
      </c>
      <c r="F27" s="13"/>
      <c r="G27" s="13"/>
      <c r="H27" s="0" t="s">
        <v>33</v>
      </c>
      <c r="I27" s="5">
        <v>43509</v>
      </c>
      <c r="J27" s="0" t="s">
        <v>43</v>
      </c>
    </row>
    <row r="28" outlineLevel="2">
      <c r="A28" s="12" t="s">
        <v>47</v>
      </c>
      <c r="B28" s="0" t="s">
        <v>46</v>
      </c>
      <c r="C28" s="13">
        <f>IFERROR(20.3*(1-w),"")</f>
        <v>17.2753</v>
      </c>
      <c r="D28" s="13">
        <v>20.3</v>
      </c>
      <c r="E28" s="13">
        <v>20.402010050251256</v>
      </c>
      <c r="F28" s="13"/>
      <c r="G28" s="13"/>
      <c r="H28" s="0" t="s">
        <v>33</v>
      </c>
      <c r="I28" s="5">
        <v>43509</v>
      </c>
      <c r="J28" s="0" t="s">
        <v>34</v>
      </c>
    </row>
    <row r="29">
      <c r="A29" s="7" t="s">
        <v>48</v>
      </c>
      <c r="I29" s="5"/>
    </row>
    <row r="30" outlineLevel="1">
      <c r="A30" s="11" t="s">
        <v>49</v>
      </c>
      <c r="I30" s="5"/>
    </row>
    <row r="31" outlineLevel="2">
      <c r="A31" s="12" t="s">
        <v>50</v>
      </c>
      <c r="B31" s="0" t="s">
        <v>51</v>
      </c>
      <c r="C31" s="14">
        <v>210</v>
      </c>
      <c r="D31" s="14"/>
      <c r="E31" s="14"/>
      <c r="F31" s="14"/>
      <c r="G31" s="14"/>
      <c r="H31" s="0" t="s">
        <v>33</v>
      </c>
      <c r="I31" s="5">
        <v>43507</v>
      </c>
      <c r="J31" s="0" t="s">
        <v>34</v>
      </c>
    </row>
    <row r="32">
      <c r="I32" s="5"/>
    </row>
    <row r="33" s="1" customFormat="1"/>
  </sheetData>
  <mergeCells>
    <mergeCell ref="A7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4:E24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14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https://phyllis.nl/Biomass/View/3618</dc:description>
  <dcterms:created xsi:type="dcterms:W3CDTF">2026-03-19T07:05:19Z</dcterms:created>
  <dc:title>Phyllis2 #3618 Pine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