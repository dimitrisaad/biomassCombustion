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9 Wheat straw" sheetId="1" r:id="rId1"/>
  </sheets>
  <definedNames>
    <definedName name="w" localSheetId="0">IF(ISBLANK('Phyllis2 #3619 Wheat straw'!$C$19),#N/A,'Phyllis2 #3619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<sst xmlns="http://schemas.openxmlformats.org/spreadsheetml/2006/main" count="56" uniqueCount="56">
  <si>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</si>
  <si>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https://phyllis.nl/Biomass/View/3619</t>
  </si>
  <si>
    <t>Wheat straw (#3619)</t>
  </si>
  <si>
    <t>ID-number</t>
  </si>
  <si>
    <t>#3619</t>
  </si>
  <si>
    <t>Material</t>
  </si>
  <si>
    <t>Wheat straw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</si>
  <si>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</si>
  <si>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</si>
  <si>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</si>
  <si>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</si>
  <si>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</si>
  <si>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Literature</t>
  </si>
  <si>
    <t>Author/institution: CENER</t>
  </si>
  <si>
    <t>Year: 2019</t>
  </si>
  <si>
    <t>Journal/project: Project BRISK II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</si>
  <si>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</si>
  <si>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</si>
  <si>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</si>
  <si>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</si>
  <si>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</si>
  <si>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</si>
  <si>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</si>
  <si>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</si>
  <si>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</si>
  <si>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</si>
  <si>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</si>
  <si>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</si>
  <si>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</si>
  <si>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</si>
  <si>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</si>
  <si>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</si>
  <si>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</si>
  <si>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</si>
  <si>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</si>
  <si>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CENER</t>
  </si>
  <si>
    <t>Measured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</si>
  <si>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</si>
  <si>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</si>
  <si>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</si>
  <si>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</si>
  <si>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</si>
  <si>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</si>
  <si>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</si>
  <si>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wt% (dry)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</si>
  <si>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</si>
  <si>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</si>
  <si>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</si>
  <si>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</si>
  <si>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</si>
  <si>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</si>
  <si>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</si>
  <si>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Biochar and torrefied biomass</t>
  </si>
  <si>
    <t>Density</t>
  </si>
  <si>
    <t>Bulk density</t>
  </si>
  <si>
    <t>g/cm³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</si>
</sst>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44327.4814814815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/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IFERROR(4.7*(1-w),"")</f>
        <v/>
      </c>
      <c r="D20" s="13">
        <v>4.7</v>
      </c>
      <c r="E20" s="13">
        <v/>
      </c>
      <c r="F20" s="13"/>
      <c r="G20" s="13"/>
      <c r="H20" s="0" t="s">
        <v>35</v>
      </c>
      <c r="I20" s="5">
        <v>43750</v>
      </c>
      <c r="J20" s="0" t="s">
        <v>36</v>
      </c>
    </row>
    <row r="21" outlineLevel="2">
      <c r="A21" s="12" t="s">
        <v>37</v>
      </c>
      <c r="B21" s="0" t="s">
        <v>34</v>
      </c>
      <c r="C21" s="13">
        <f>IFERROR(77.8*(1-w),"")</f>
        <v/>
      </c>
      <c r="D21" s="13">
        <v>77.8</v>
      </c>
      <c r="E21" s="13">
        <v>81.636935991605455</v>
      </c>
      <c r="F21" s="13"/>
      <c r="G21" s="13"/>
      <c r="H21" s="0" t="s">
        <v>35</v>
      </c>
      <c r="I21" s="5">
        <v>43750</v>
      </c>
      <c r="J21" s="0" t="s">
        <v>36</v>
      </c>
    </row>
    <row r="22" outlineLevel="2">
      <c r="A22" s="12" t="s">
        <v>38</v>
      </c>
      <c r="B22" s="0" t="s">
        <v>34</v>
      </c>
      <c r="C22" s="13">
        <f>IFERROR(17.5*(1-w),"")</f>
        <v/>
      </c>
      <c r="D22" s="13">
        <v>17.5</v>
      </c>
      <c r="E22" s="13">
        <v>18.363064008394545</v>
      </c>
      <c r="F22" s="13"/>
      <c r="G22" s="13"/>
      <c r="I22" s="5"/>
      <c r="J22" s="0" t="s">
        <v>39</v>
      </c>
    </row>
    <row r="23" outlineLevel="1">
      <c r="A23" s="11" t="s">
        <v>40</v>
      </c>
      <c r="I23" s="5"/>
    </row>
    <row r="24" outlineLevel="2">
      <c r="A24" s="12" t="s">
        <v>41</v>
      </c>
      <c r="B24" s="0" t="s">
        <v>34</v>
      </c>
      <c r="C24" s="13">
        <f>IFERROR(46.5*(1-w),"")</f>
        <v/>
      </c>
      <c r="D24" s="13">
        <v>46.5</v>
      </c>
      <c r="E24" s="13">
        <v>48.793284365162648</v>
      </c>
      <c r="F24" s="13"/>
      <c r="G24" s="13"/>
      <c r="H24" s="0" t="s">
        <v>35</v>
      </c>
      <c r="I24" s="5">
        <v>43808</v>
      </c>
      <c r="J24" s="0" t="s">
        <v>36</v>
      </c>
    </row>
    <row r="25" outlineLevel="2">
      <c r="A25" s="12" t="s">
        <v>42</v>
      </c>
      <c r="B25" s="0" t="s">
        <v>34</v>
      </c>
      <c r="C25" s="13">
        <f>IFERROR(5.8*(1-w),"")</f>
        <v/>
      </c>
      <c r="D25" s="13">
        <v>5.8</v>
      </c>
      <c r="E25" s="13">
        <v>6.08604407135362</v>
      </c>
      <c r="F25" s="13"/>
      <c r="G25" s="13"/>
      <c r="H25" s="0" t="s">
        <v>35</v>
      </c>
      <c r="I25" s="5">
        <v>43808</v>
      </c>
      <c r="J25" s="0" t="s">
        <v>36</v>
      </c>
    </row>
    <row r="26" outlineLevel="2">
      <c r="A26" s="12" t="s">
        <v>43</v>
      </c>
      <c r="B26" s="0" t="s">
        <v>44</v>
      </c>
      <c r="C26" s="13"/>
      <c r="D26" s="13"/>
      <c r="E26" s="13"/>
      <c r="F26" s="13"/>
      <c r="G26" s="13"/>
      <c r="I26" s="5"/>
      <c r="J26" s="0" t="s">
        <v>39</v>
      </c>
    </row>
    <row r="27" outlineLevel="2">
      <c r="A27" s="12" t="s">
        <v>45</v>
      </c>
      <c r="B27" s="0" t="s">
        <v>34</v>
      </c>
      <c r="C27" s="13">
        <f>IFERROR(0.38*(1-w),"")</f>
        <v/>
      </c>
      <c r="D27" s="13">
        <v>0.38</v>
      </c>
      <c r="E27" s="13">
        <v>0.39874081846799581</v>
      </c>
      <c r="F27" s="13"/>
      <c r="G27" s="13"/>
      <c r="H27" s="0" t="s">
        <v>35</v>
      </c>
      <c r="I27" s="5">
        <v>43808</v>
      </c>
      <c r="J27" s="0" t="s">
        <v>36</v>
      </c>
    </row>
    <row r="28" outlineLevel="2">
      <c r="A28" s="12" t="s">
        <v>46</v>
      </c>
      <c r="B28" s="0" t="s">
        <v>34</v>
      </c>
      <c r="C28" s="13">
        <f>IFERROR(57.38*(1-w)+w*100,"")</f>
        <v/>
      </c>
      <c r="D28" s="13">
        <v>57.38</v>
      </c>
      <c r="E28" s="13">
        <v>55.27806925498426</v>
      </c>
      <c r="F28" s="13"/>
      <c r="G28" s="13"/>
      <c r="I28" s="5"/>
      <c r="J28" s="0" t="s">
        <v>39</v>
      </c>
    </row>
    <row r="29" outlineLevel="1">
      <c r="A29" s="11" t="s">
        <v>47</v>
      </c>
      <c r="I29" s="5"/>
    </row>
    <row r="30" outlineLevel="2">
      <c r="A30" s="12" t="s">
        <v>48</v>
      </c>
      <c r="B30" s="0" t="s">
        <v>49</v>
      </c>
      <c r="C30" s="13">
        <f>IFERROR(17.5*(1-w)-w*2.443,"")</f>
        <v/>
      </c>
      <c r="D30" s="13">
        <v>17.5</v>
      </c>
      <c r="E30" s="13">
        <v>18.363064008394545</v>
      </c>
      <c r="F30" s="13"/>
      <c r="G30" s="13"/>
      <c r="H30" s="0" t="s">
        <v>35</v>
      </c>
      <c r="I30" s="5">
        <v>43809.5415393518</v>
      </c>
      <c r="J30" s="0" t="s">
        <v>36</v>
      </c>
    </row>
    <row r="31" outlineLevel="2">
      <c r="A31" s="12" t="s">
        <v>50</v>
      </c>
      <c r="B31" s="0" t="s">
        <v>49</v>
      </c>
      <c r="C31" s="13">
        <f>IFERROR(18.7*(1-w),"")</f>
        <v/>
      </c>
      <c r="D31" s="13">
        <v>18.7</v>
      </c>
      <c r="E31" s="13">
        <v>19.62224554039874</v>
      </c>
      <c r="F31" s="13"/>
      <c r="G31" s="13"/>
      <c r="H31" s="0" t="s">
        <v>35</v>
      </c>
      <c r="I31" s="5">
        <v>43809.5415393518</v>
      </c>
      <c r="J31" s="0" t="s">
        <v>36</v>
      </c>
    </row>
    <row r="32" outlineLevel="2">
      <c r="A32" s="12" t="s">
        <v>51</v>
      </c>
      <c r="B32" s="0" t="s">
        <v>49</v>
      </c>
      <c r="C32" s="13">
        <f>IFERROR(23.40996977*(1-w),"")</f>
        <v/>
      </c>
      <c r="D32" s="13">
        <v>23.409969770000004</v>
      </c>
      <c r="E32" s="13">
        <v>24.564501332633792</v>
      </c>
      <c r="F32" s="13"/>
      <c r="G32" s="13"/>
      <c r="I32" s="5"/>
      <c r="J32" s="0" t="s">
        <v>39</v>
      </c>
    </row>
    <row r="33">
      <c r="A33" s="7" t="s">
        <v>52</v>
      </c>
      <c r="I33" s="5"/>
    </row>
    <row r="34" outlineLevel="1">
      <c r="A34" s="11" t="s">
        <v>53</v>
      </c>
      <c r="I34" s="5"/>
    </row>
    <row r="35" outlineLevel="2">
      <c r="A35" s="12" t="s">
        <v>54</v>
      </c>
      <c r="B35" s="0" t="s">
        <v>55</v>
      </c>
      <c r="C35" s="14">
        <v>110</v>
      </c>
      <c r="D35" s="14"/>
      <c r="E35" s="14"/>
      <c r="F35" s="14"/>
      <c r="G35" s="14"/>
      <c r="H35" s="0" t="s">
        <v>35</v>
      </c>
      <c r="I35" s="5">
        <v>43798</v>
      </c>
      <c r="J35" s="0" t="s">
        <v>36</v>
      </c>
    </row>
    <row r="36">
      <c r="I36" s="5"/>
    </row>
    <row r="37" s="1" customFormat="1"/>
  </sheetData>
  <mergeCells>
    <mergeCell ref="A7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6:E26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https://phyllis.nl/Biomass/View/3619</dc:description>
  <dcterms:created xsi:type="dcterms:W3CDTF">2026-03-17T06:16:51Z</dcterms:created>
  <dc:title>Phyllis2 #3619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