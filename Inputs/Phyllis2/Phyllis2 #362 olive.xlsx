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2 olive" sheetId="1" r:id="rId1"/>
  </sheets>
  <definedNames>
    <definedName name="w" localSheetId="0">IF(ISBLANK('Phyllis2 #362 olive'!$C$18),#N/A,'Phyllis2 #362 olive'!$C$18/100)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<sst xmlns="http://schemas.openxmlformats.org/spreadsheetml/2006/main" count="52" uniqueCount="52">
  <si>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</si>
  <si>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https://phyllis.nl/Biomass/View/362</t>
  </si>
  <si>
    <t>olive (#362)</t>
  </si>
  <si>
    <t>ID-number</t>
  </si>
  <si>
    <t>#362</t>
  </si>
  <si>
    <t>Material</t>
  </si>
  <si>
    <t>olive</t>
  </si>
  <si>
    <t>Classification</t>
  </si>
  <si>
    <t>ECN Phyllis classification &gt; husk/shell/pit &gt; olive &gt; olive</t>
  </si>
  <si>
    <t>NTA 8003 classification &gt; [500] biomassa uit de industrie &gt; [520] schillen/vliezen/pitten &gt; [524] olijven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</si>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</sst>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IFERROR(1.88*(1-w),"")</f>
        <v/>
      </c>
      <c r="D19" s="11">
        <v>1.88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IFERROR(52.08*(1-w),"")</f>
        <v/>
      </c>
      <c r="D21" s="11">
        <v>52.08</v>
      </c>
      <c r="E21" s="11">
        <v>53.077863840195683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IFERROR(6.29*(1-w),"")</f>
        <v/>
      </c>
      <c r="D22" s="11">
        <v>6.29</v>
      </c>
      <c r="E22" s="11">
        <v>6.4105177333876888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IFERROR(39.09*(1-w),"")</f>
        <v/>
      </c>
      <c r="D23" s="11">
        <v>39.09</v>
      </c>
      <c r="E23" s="11">
        <v>39.838972686506324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IFERROR(0.47*(1-w),"")</f>
        <v/>
      </c>
      <c r="D24" s="11">
        <v>0.47</v>
      </c>
      <c r="E24" s="11">
        <v>0.47900529963310229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IFERROR(0.14*(1-w),"")</f>
        <v/>
      </c>
      <c r="D25" s="11">
        <v>0.14</v>
      </c>
      <c r="E25" s="11">
        <v>0.14268242967794539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100.00000000000001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IFERROR(500*(1-w),"")</f>
        <v/>
      </c>
      <c r="D28" s="12">
        <v>500</v>
      </c>
      <c r="E28" s="12">
        <v>509.58010599266208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IFERROR(19.96241*(1-w)-w*2.443,"")</f>
        <v/>
      </c>
      <c r="D30" s="11">
        <v>19.96241</v>
      </c>
      <c r="E30" s="11">
        <v>20.344894007337953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IFERROR(21.335*(1-w),"")</f>
        <v/>
      </c>
      <c r="D31" s="11">
        <v>21.335</v>
      </c>
      <c r="E31" s="11">
        <v>21.743783122706891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IFERROR(21.3088407632*(1-w),"")</f>
        <v/>
      </c>
      <c r="D32" s="11">
        <v>21.308840763200003</v>
      </c>
      <c r="E32" s="11">
        <v>21.71712266938443</v>
      </c>
      <c r="F32" s="11"/>
      <c r="G32" s="11"/>
      <c r="I32" s="13"/>
      <c r="J32" s="0" t="s">
        <v>40</v>
      </c>
    </row>
    <row r="33">
      <c r="I33" s="13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https://phyllis.nl/Biomass/View/362</dc:description>
  <dcterms:created xsi:type="dcterms:W3CDTF">2026-03-17T05:41:31Z</dcterms:created>
  <dc:title>Phyllis2 #362 olive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