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24 Olive tree pruni" sheetId="1" r:id="rId1"/>
  </sheets>
  <definedNames>
    <definedName name="w" localSheetId="0">IF(ISBLANK('Phyllis2 #3624 Olive tree pruni'!$C$20),#N/A,'Phyllis2 #3624 Olive tree pruni'!$C$20/100)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<sst xmlns="http://schemas.openxmlformats.org/spreadsheetml/2006/main" count="58" uniqueCount="58">
  <si>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</si>
  <si>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https://phyllis.nl/Biomass/View/3624</t>
  </si>
  <si>
    <t xml:space="preserve">Olive tree prunings   (#3624)</t>
  </si>
  <si>
    <t>ID-number</t>
  </si>
  <si>
    <t>#3624</t>
  </si>
  <si>
    <t>Material</t>
  </si>
  <si>
    <t>Olive tree prunings</t>
  </si>
  <si>
    <t>Description</t>
  </si>
  <si>
    <t>Gasification test campaign using VTT's atmospheric pressure bubbling fluidised-bed (BFB) gasification test facility. Pellets from CERTH, Greece</t>
  </si>
  <si>
    <t>Classification</t>
  </si>
  <si>
    <t>ECN Phyllis classification &gt; untreated wood &gt; other hard wood</t>
  </si>
  <si>
    <t>Submitter organisation</t>
  </si>
  <si>
    <t>TNO (Netherlands)</t>
  </si>
  <si>
    <t>Submission date</t>
  </si>
  <si>
    <t>Literature</t>
  </si>
  <si>
    <t>Author/institution: VTT (Finland)</t>
  </si>
  <si>
    <t>Year: 2021</t>
  </si>
  <si>
    <t>Journal/project: BRISK II Biofuels Research Infrastructure for Sharing Knowledge 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</si>
  <si>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</si>
  <si>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</si>
  <si>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</si>
  <si>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</si>
  <si>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</si>
  <si>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</si>
  <si>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</si>
  <si>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</si>
  <si>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</si>
  <si>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</si>
  <si>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</si>
  <si>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</si>
  <si>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</si>
  <si>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</si>
  <si>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</si>
  <si>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</si>
  <si>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</si>
  <si>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 received (ar)</t>
  </si>
  <si>
    <t>Ash content at 550°C</t>
  </si>
  <si>
    <t>Measured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</si>
  <si>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</si>
  <si>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</si>
  <si>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</si>
  <si>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</si>
  <si>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</si>
  <si>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</si>
  <si>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</si>
  <si>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</si>
  <si>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</si>
  <si>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</si>
  <si>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</si>
  <si>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</si>
  <si>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</si>
  <si>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</si>
  <si>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</si>
  <si>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</si>
  <si>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HHVMilne</t>
  </si>
  <si>
    <t>Trace elements composition</t>
  </si>
  <si>
    <t>Magnesium (Mg)</t>
  </si>
  <si>
    <t>mg/kg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</si>
</sst>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4.851683616638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44488.4960300926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6.3</v>
      </c>
      <c r="D20" s="13"/>
      <c r="E20" s="13"/>
      <c r="F20" s="13"/>
      <c r="G20" s="13"/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IFERROR(5.8*(1-w),"")</f>
        <v>5.4346000000000005</v>
      </c>
      <c r="D21" s="13">
        <v>5.8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38</v>
      </c>
      <c r="B22" s="0" t="s">
        <v>34</v>
      </c>
      <c r="C22" s="13">
        <f>IFERROR(81.5*(1-w),"")</f>
        <v>76.365500000000011</v>
      </c>
      <c r="D22" s="13">
        <v>81.5</v>
      </c>
      <c r="E22" s="13">
        <v>86.518046709129521</v>
      </c>
      <c r="F22" s="13"/>
      <c r="G22" s="13"/>
      <c r="I22" s="5"/>
      <c r="J22" s="0" t="s">
        <v>37</v>
      </c>
    </row>
    <row r="23" outlineLevel="2">
      <c r="A23" s="12" t="s">
        <v>39</v>
      </c>
      <c r="B23" s="0" t="s">
        <v>34</v>
      </c>
      <c r="C23" s="13">
        <f>IFERROR(12.7*(1-w),"")</f>
        <v>11.899900000000004</v>
      </c>
      <c r="D23" s="13">
        <v>12.700000000000003</v>
      </c>
      <c r="E23" s="13">
        <v>13.481953290870493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34</v>
      </c>
      <c r="C25" s="13">
        <f>IFERROR(48.9*(1-w),"")</f>
        <v>45.8193</v>
      </c>
      <c r="D25" s="13">
        <v>48.9</v>
      </c>
      <c r="E25" s="13">
        <v>51.910828025477706</v>
      </c>
      <c r="F25" s="13"/>
      <c r="G25" s="13"/>
      <c r="I25" s="5"/>
      <c r="J25" s="0" t="s">
        <v>37</v>
      </c>
    </row>
    <row r="26" outlineLevel="2">
      <c r="A26" s="12" t="s">
        <v>43</v>
      </c>
      <c r="B26" s="0" t="s">
        <v>34</v>
      </c>
      <c r="C26" s="13">
        <f>IFERROR(5.9*(1-w),"")</f>
        <v>5.5283000000000007</v>
      </c>
      <c r="D26" s="13">
        <v>5.9</v>
      </c>
      <c r="E26" s="13">
        <v>6.2632696390658182</v>
      </c>
      <c r="F26" s="13"/>
      <c r="G26" s="13"/>
      <c r="I26" s="5"/>
      <c r="J26" s="0" t="s">
        <v>37</v>
      </c>
    </row>
    <row r="27" outlineLevel="2">
      <c r="A27" s="12" t="s">
        <v>44</v>
      </c>
      <c r="B27" s="0" t="s">
        <v>34</v>
      </c>
      <c r="C27" s="13">
        <f>IFERROR(44.1*(1-w),"")</f>
        <v>41.321700000000007</v>
      </c>
      <c r="D27" s="13">
        <v>44.1</v>
      </c>
      <c r="E27" s="13">
        <v>46.815286624203829</v>
      </c>
      <c r="F27" s="13"/>
      <c r="G27" s="13"/>
      <c r="I27" s="5"/>
      <c r="J27" s="0" t="s">
        <v>40</v>
      </c>
    </row>
    <row r="28" outlineLevel="2">
      <c r="A28" s="12" t="s">
        <v>45</v>
      </c>
      <c r="B28" s="0" t="s">
        <v>34</v>
      </c>
      <c r="C28" s="13">
        <f>IFERROR(1*(1-w),"")</f>
        <v>0.937</v>
      </c>
      <c r="D28" s="13">
        <v>1</v>
      </c>
      <c r="E28" s="13">
        <v>1.0615711252653928</v>
      </c>
      <c r="F28" s="13"/>
      <c r="G28" s="13"/>
      <c r="I28" s="5"/>
      <c r="J28" s="0" t="s">
        <v>37</v>
      </c>
    </row>
    <row r="29" outlineLevel="2">
      <c r="A29" s="12" t="s">
        <v>46</v>
      </c>
      <c r="B29" s="0" t="s">
        <v>34</v>
      </c>
      <c r="C29" s="13">
        <f>IFERROR(0.091*(1-w),"")</f>
        <v>0.085267000000000009</v>
      </c>
      <c r="D29" s="13">
        <v>0.091</v>
      </c>
      <c r="E29" s="13">
        <v>0.096602972399150749</v>
      </c>
      <c r="F29" s="13"/>
      <c r="G29" s="13"/>
      <c r="I29" s="5"/>
      <c r="J29" s="0" t="s">
        <v>37</v>
      </c>
    </row>
    <row r="30" outlineLevel="2">
      <c r="A30" s="12" t="s">
        <v>47</v>
      </c>
      <c r="B30" s="0" t="s">
        <v>34</v>
      </c>
      <c r="C30" s="13">
        <f>IFERROR(105.872*(1-w)+w*100,"")</f>
        <v>105.502064</v>
      </c>
      <c r="D30" s="13">
        <v>105.872</v>
      </c>
      <c r="E30" s="13">
        <v>106.2335456475584</v>
      </c>
      <c r="F30" s="13"/>
      <c r="G30" s="13"/>
      <c r="I30" s="5"/>
      <c r="J30" s="0" t="s">
        <v>40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IFERROR(810*(1-w),"")</f>
        <v>758.97</v>
      </c>
      <c r="D32" s="14">
        <v>810</v>
      </c>
      <c r="E32" s="14">
        <v>859.87261146496814</v>
      </c>
      <c r="F32" s="14"/>
      <c r="G32" s="14"/>
      <c r="I32" s="5"/>
      <c r="J32" s="0" t="s">
        <v>37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IFERROR(18.6*(1-w)-w*2.443,"")</f>
        <v>17.274291000000005</v>
      </c>
      <c r="D34" s="13">
        <v>18.6</v>
      </c>
      <c r="E34" s="13">
        <v>19.745222929936308</v>
      </c>
      <c r="F34" s="13"/>
      <c r="G34" s="13"/>
      <c r="I34" s="5"/>
      <c r="J34" s="0" t="s">
        <v>37</v>
      </c>
    </row>
    <row r="35" outlineLevel="2">
      <c r="A35" s="12" t="s">
        <v>54</v>
      </c>
      <c r="B35" s="0" t="s">
        <v>53</v>
      </c>
      <c r="C35" s="13">
        <f>IFERROR(18.98534952*(1-w),"")</f>
        <v>17.78927250024</v>
      </c>
      <c r="D35" s="13">
        <v>18.98534952</v>
      </c>
      <c r="E35" s="13">
        <v>20.154298853503185</v>
      </c>
      <c r="F35" s="13"/>
      <c r="G35" s="13"/>
      <c r="I35" s="5"/>
      <c r="J35" s="0" t="s">
        <v>40</v>
      </c>
    </row>
    <row r="36" outlineLevel="1">
      <c r="A36" s="11" t="s">
        <v>55</v>
      </c>
      <c r="I36" s="5"/>
    </row>
    <row r="37" outlineLevel="2">
      <c r="A37" s="12" t="s">
        <v>56</v>
      </c>
      <c r="B37" s="0" t="s">
        <v>57</v>
      </c>
      <c r="C37" s="14">
        <v>1173</v>
      </c>
      <c r="D37" s="14"/>
      <c r="E37" s="14"/>
      <c r="F37" s="14"/>
      <c r="G37" s="14"/>
      <c r="I37" s="5"/>
    </row>
    <row r="38">
      <c r="I38" s="5"/>
    </row>
    <row r="39" s="1" customFormat="1"/>
  </sheetData>
  <mergeCells>
    <mergeCell ref="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</mergeCells>
  <dataValidations count="1">
    <dataValidation type="decimal" sqref="C20" errorStyle="stop" promptTitle="Enter moisture content" errorTitle="Invalid moisture content" prompt="Value should be between 0 and 100.&#10;Original value: 6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https://phyllis.nl/Biomass/View/3624</dc:description>
  <dcterms:created xsi:type="dcterms:W3CDTF">2026-03-19T07:17:02Z</dcterms:created>
  <dc:title>Phyllis2 #3624 Olive tree prunings  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