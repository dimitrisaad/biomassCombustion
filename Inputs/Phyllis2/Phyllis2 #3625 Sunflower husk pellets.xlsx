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25 Sunflower husk p" sheetId="1" r:id="rId1"/>
  </sheets>
  <definedNames>
    <definedName name="w" localSheetId="0">IF(ISBLANK('Phyllis2 #3625 Sunflower husk p'!$C$20),#N/A,'Phyllis2 #3625 Sunflower husk p'!$C$20/100)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<sst xmlns="http://schemas.openxmlformats.org/spreadsheetml/2006/main" count="59" uniqueCount="59">
  <si>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</si>
  <si>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https://phyllis.nl/Biomass/View/3625</t>
  </si>
  <si>
    <t>Sunflower husk pellets (#3625)</t>
  </si>
  <si>
    <t>ID-number</t>
  </si>
  <si>
    <t>#3625</t>
  </si>
  <si>
    <t>Material</t>
  </si>
  <si>
    <t>Sunflower husk pellets</t>
  </si>
  <si>
    <t>Description</t>
  </si>
  <si>
    <t>Pellets sunflower husk pellets from Lithuania. Gasification test campaign using VTT's atmospheric pressure bubbling fluidised-bed (BFB) gasification test facility</t>
  </si>
  <si>
    <t>Classification</t>
  </si>
  <si>
    <t>ECN Phyllis classification &gt; husk/shell/pit &gt; sunflower &gt; sunflower husk</t>
  </si>
  <si>
    <t>Submitter organisation</t>
  </si>
  <si>
    <t>TNO (Netherlands)</t>
  </si>
  <si>
    <t>Submission date</t>
  </si>
  <si>
    <t>Literature</t>
  </si>
  <si>
    <t>Author/institution: VTT (Finland)</t>
  </si>
  <si>
    <t>Year: 2021</t>
  </si>
  <si>
    <t>Journal/project: BRISK II Biofuels Research Infrastructure for Sharing Knowledge 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</si>
  <si>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</si>
  <si>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</si>
  <si>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</si>
  <si>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</si>
  <si>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</si>
  <si>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</si>
  <si>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</si>
  <si>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</si>
  <si>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</si>
  <si>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</si>
  <si>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</si>
  <si>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</si>
  <si>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</si>
  <si>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</si>
  <si>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</si>
  <si>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</si>
  <si>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</si>
  <si>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 received (ar)</t>
  </si>
  <si>
    <t>Ash content at 550°C</t>
  </si>
  <si>
    <t>Measured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</si>
  <si>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</si>
  <si>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</si>
  <si>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</si>
  <si>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</si>
  <si>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</si>
  <si>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</si>
  <si>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</si>
  <si>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</si>
  <si>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</si>
  <si>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</si>
  <si>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</si>
  <si>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</si>
  <si>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</si>
  <si>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</si>
  <si>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</si>
  <si>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</si>
  <si>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</si>
  <si>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</si>
  <si>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</si>
  <si>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Magnesium (Mg)</t>
  </si>
  <si>
    <t>mg/kg (dry)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</si>
</sst>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2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4.851683616638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44488.4960300926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8.6</v>
      </c>
      <c r="D20" s="13"/>
      <c r="E20" s="13"/>
      <c r="F20" s="13"/>
      <c r="G20" s="13"/>
      <c r="I20" s="5"/>
      <c r="J20" s="0" t="s">
        <v>35</v>
      </c>
    </row>
    <row r="21" outlineLevel="2">
      <c r="A21" s="12" t="s">
        <v>36</v>
      </c>
      <c r="B21" s="0" t="s">
        <v>34</v>
      </c>
      <c r="C21" s="13">
        <f>IFERROR(2.8*(1-w),"")</f>
        <v>2.5592</v>
      </c>
      <c r="D21" s="13">
        <v>2.8</v>
      </c>
      <c r="E21" s="13">
        <v/>
      </c>
      <c r="F21" s="13"/>
      <c r="G21" s="13"/>
      <c r="I21" s="5"/>
      <c r="J21" s="0" t="s">
        <v>37</v>
      </c>
    </row>
    <row r="22" outlineLevel="2">
      <c r="A22" s="12" t="s">
        <v>38</v>
      </c>
      <c r="B22" s="0" t="s">
        <v>34</v>
      </c>
      <c r="C22" s="13">
        <f>IFERROR(80.3*(1-w),"")</f>
        <v>73.3942</v>
      </c>
      <c r="D22" s="13">
        <v>80.3</v>
      </c>
      <c r="E22" s="13">
        <v>82.613168724279831</v>
      </c>
      <c r="F22" s="13"/>
      <c r="G22" s="13"/>
      <c r="I22" s="5"/>
      <c r="J22" s="0" t="s">
        <v>37</v>
      </c>
    </row>
    <row r="23" outlineLevel="2">
      <c r="A23" s="12" t="s">
        <v>39</v>
      </c>
      <c r="B23" s="0" t="s">
        <v>34</v>
      </c>
      <c r="C23" s="13">
        <f>IFERROR(16.9*(1-w),"")</f>
        <v>15.446600000000005</v>
      </c>
      <c r="D23" s="13">
        <v>16.900000000000006</v>
      </c>
      <c r="E23" s="13">
        <v>17.386831275720169</v>
      </c>
      <c r="F23" s="13"/>
      <c r="G23" s="13"/>
      <c r="I23" s="5"/>
      <c r="J23" s="0" t="s">
        <v>40</v>
      </c>
    </row>
    <row r="24" outlineLevel="1">
      <c r="A24" s="11" t="s">
        <v>41</v>
      </c>
      <c r="I24" s="5"/>
    </row>
    <row r="25" outlineLevel="2">
      <c r="A25" s="12" t="s">
        <v>42</v>
      </c>
      <c r="B25" s="0" t="s">
        <v>34</v>
      </c>
      <c r="C25" s="13">
        <f>IFERROR(50.9*(1-w),"")</f>
        <v>46.5226</v>
      </c>
      <c r="D25" s="13">
        <v>50.9</v>
      </c>
      <c r="E25" s="13">
        <v>52.36625514403292</v>
      </c>
      <c r="F25" s="13"/>
      <c r="G25" s="13"/>
      <c r="I25" s="5"/>
      <c r="J25" s="0" t="s">
        <v>37</v>
      </c>
    </row>
    <row r="26" outlineLevel="2">
      <c r="A26" s="12" t="s">
        <v>43</v>
      </c>
      <c r="B26" s="0" t="s">
        <v>34</v>
      </c>
      <c r="C26" s="13">
        <f>IFERROR(5.6*(1-w),"")</f>
        <v>5.1184</v>
      </c>
      <c r="D26" s="13">
        <v>5.6</v>
      </c>
      <c r="E26" s="13">
        <v>5.7613168724279831</v>
      </c>
      <c r="F26" s="13"/>
      <c r="G26" s="13"/>
      <c r="I26" s="5"/>
      <c r="J26" s="0" t="s">
        <v>37</v>
      </c>
    </row>
    <row r="27" outlineLevel="2">
      <c r="A27" s="12" t="s">
        <v>44</v>
      </c>
      <c r="B27" s="0" t="s">
        <v>34</v>
      </c>
      <c r="C27" s="13">
        <f>IFERROR(40*(1-w),"")</f>
        <v>36.56</v>
      </c>
      <c r="D27" s="13">
        <v>40</v>
      </c>
      <c r="E27" s="13">
        <v>41.1522633744856</v>
      </c>
      <c r="F27" s="13"/>
      <c r="G27" s="13"/>
      <c r="I27" s="5"/>
      <c r="J27" s="0" t="s">
        <v>40</v>
      </c>
    </row>
    <row r="28" outlineLevel="2">
      <c r="A28" s="12" t="s">
        <v>45</v>
      </c>
      <c r="B28" s="0" t="s">
        <v>34</v>
      </c>
      <c r="C28" s="13">
        <f>IFERROR(0.63*(1-w),"")</f>
        <v>0.57582</v>
      </c>
      <c r="D28" s="13">
        <v>0.63</v>
      </c>
      <c r="E28" s="13">
        <v>0.64814814814814814</v>
      </c>
      <c r="F28" s="13"/>
      <c r="G28" s="13"/>
      <c r="I28" s="5"/>
      <c r="J28" s="0" t="s">
        <v>37</v>
      </c>
    </row>
    <row r="29" outlineLevel="2">
      <c r="A29" s="12" t="s">
        <v>46</v>
      </c>
      <c r="B29" s="0" t="s">
        <v>34</v>
      </c>
      <c r="C29" s="13">
        <f>IFERROR(0.09*(1-w),"")</f>
        <v>0.08226</v>
      </c>
      <c r="D29" s="13">
        <v>0.09</v>
      </c>
      <c r="E29" s="13">
        <v>0.092592592592592587</v>
      </c>
      <c r="F29" s="13"/>
      <c r="G29" s="13"/>
      <c r="I29" s="5"/>
      <c r="J29" s="0" t="s">
        <v>37</v>
      </c>
    </row>
    <row r="30" outlineLevel="2">
      <c r="A30" s="12" t="s">
        <v>47</v>
      </c>
      <c r="B30" s="0" t="s">
        <v>34</v>
      </c>
      <c r="C30" s="13">
        <f>IFERROR(100.047*(1-w)+w*100,"")</f>
        <v>100.042958</v>
      </c>
      <c r="D30" s="13">
        <v>100.047</v>
      </c>
      <c r="E30" s="13">
        <v>100.04835390946502</v>
      </c>
      <c r="F30" s="13"/>
      <c r="G30" s="13"/>
      <c r="I30" s="5"/>
      <c r="J30" s="0" t="s">
        <v>40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4">
        <f>IFERROR(270*(1-w),"")</f>
        <v>246.78</v>
      </c>
      <c r="D32" s="14">
        <v>270</v>
      </c>
      <c r="E32" s="14">
        <v>277.77777777777777</v>
      </c>
      <c r="F32" s="14"/>
      <c r="G32" s="14"/>
      <c r="I32" s="5"/>
      <c r="J32" s="0" t="s">
        <v>37</v>
      </c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3">
        <f>IFERROR(19.3*(1-w)-w*2.443,"")</f>
        <v>17.430102</v>
      </c>
      <c r="D34" s="13">
        <v>19.3</v>
      </c>
      <c r="E34" s="13">
        <v>19.855967078189302</v>
      </c>
      <c r="F34" s="13"/>
      <c r="G34" s="13"/>
      <c r="I34" s="5"/>
      <c r="J34" s="0" t="s">
        <v>37</v>
      </c>
    </row>
    <row r="35" outlineLevel="2">
      <c r="A35" s="12" t="s">
        <v>54</v>
      </c>
      <c r="B35" s="0" t="s">
        <v>53</v>
      </c>
      <c r="C35" s="13">
        <f>IFERROR(20*(1-w),"")</f>
        <v>18.28</v>
      </c>
      <c r="D35" s="13">
        <v>20</v>
      </c>
      <c r="E35" s="13">
        <v>20.5761316872428</v>
      </c>
      <c r="F35" s="13"/>
      <c r="G35" s="13"/>
      <c r="I35" s="5"/>
    </row>
    <row r="36" outlineLevel="2">
      <c r="A36" s="12" t="s">
        <v>55</v>
      </c>
      <c r="B36" s="0" t="s">
        <v>53</v>
      </c>
      <c r="C36" s="13">
        <f>IFERROR(19.84903352*(1-w),"")</f>
        <v>18.14201663728</v>
      </c>
      <c r="D36" s="13">
        <v>19.84903352</v>
      </c>
      <c r="E36" s="13">
        <v>20.420816378600822</v>
      </c>
      <c r="F36" s="13"/>
      <c r="G36" s="13"/>
      <c r="I36" s="5"/>
      <c r="J36" s="0" t="s">
        <v>40</v>
      </c>
    </row>
    <row r="37" outlineLevel="1">
      <c r="A37" s="11" t="s">
        <v>56</v>
      </c>
      <c r="I37" s="5"/>
    </row>
    <row r="38" outlineLevel="2">
      <c r="A38" s="12" t="s">
        <v>57</v>
      </c>
      <c r="B38" s="0" t="s">
        <v>58</v>
      </c>
      <c r="C38" s="14">
        <v>1173</v>
      </c>
      <c r="D38" s="14"/>
      <c r="E38" s="14"/>
      <c r="F38" s="14"/>
      <c r="G38" s="14"/>
      <c r="I38" s="5"/>
    </row>
    <row r="39">
      <c r="I39" s="5"/>
    </row>
    <row r="40" s="1" customFormat="1"/>
  </sheetData>
  <mergeCells>
    <mergeCell ref="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</mergeCells>
  <dataValidations count="1">
    <dataValidation type="decimal" sqref="C20" errorStyle="stop" promptTitle="Enter moisture content" errorTitle="Invalid moisture content" prompt="Value should be between 0 and 100.&#10;Original value: 8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https://phyllis.nl/Biomass/View/3625</dc:description>
  <dcterms:created xsi:type="dcterms:W3CDTF">2026-03-17T05:48:07Z</dcterms:created>
  <dc:title>Phyllis2 #3625 Sunflower husk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