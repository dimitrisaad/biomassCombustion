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626 Olive pits " sheetId="1" r:id="rId1"/>
  </sheets>
  <definedNames>
    <definedName name="w" localSheetId="0">IF(ISBLANK('Phyllis2 #3626 Olive pits '!$C$21),#N/A,'Phyllis2 #3626 Olive pits 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<sst xmlns="http://schemas.openxmlformats.org/spreadsheetml/2006/main" count="60" uniqueCount="60">
  <si>
    <t>Phyllis2</t>
  </si>
  <si>
    <t>https://phyllis.nl/Biomass/View/3626</t>
  </si>
  <si>
    <t xml:space="preserve">Olive pits  (#3626)</t>
  </si>
  <si>
    <t>ID-number</t>
  </si>
  <si>
    <t>#3626</t>
  </si>
  <si>
    <t>Material</t>
  </si>
  <si>
    <t>Olive pits</t>
  </si>
  <si>
    <t>Description</t>
  </si>
  <si>
    <t>From CERTH, Greece</t>
  </si>
  <si>
    <t>Gasification test campaign using VTT's atmospheric pressure bubbling fluidised-bed (BFB) gasification test facility</t>
  </si>
  <si>
    <t>Classification</t>
  </si>
  <si>
    <t>ECN Phyllis classification &gt; husk/shell/pit &gt; olive &gt; olive pits</t>
  </si>
  <si>
    <t>Submitter organisation</t>
  </si>
  <si>
    <t>TNO (Netherlands)</t>
  </si>
  <si>
    <t>Submission date</t>
  </si>
  <si>
    <t>Literature</t>
  </si>
  <si>
    <t>Author/institution: VTT (Finland)</t>
  </si>
  <si>
    <t>Year: 2021</t>
  </si>
  <si>
    <t>Journal/project: BRISK II Biofuels Research Infrastructure for Sharing Knowledge 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</si>
  <si>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</si>
  <si>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</si>
  <si>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</si>
  <si>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</si>
  <si>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</si>
  <si>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</si>
  <si>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</si>
  <si>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</si>
  <si>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</si>
  <si>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</si>
  <si>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</si>
  <si>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</si>
  <si>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</si>
  <si>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</si>
  <si>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</si>
  <si>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</si>
  <si>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</si>
  <si>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 received (ar)</t>
  </si>
  <si>
    <t>Ash content at 550°C</t>
  </si>
  <si>
    <t>Measured</t>
  </si>
  <si>
    <t>Volatile matter</t>
  </si>
  <si>
    <t>Fixed carbon</t>
  </si>
  <si>
    <t>Calculated</t>
  </si>
  <si>
    <t>Ultimate analysis (macroelements)</t>
  </si>
  <si>
    <t>Carbon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</si>
  <si>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</si>
  <si>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</si>
  <si>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</si>
  <si>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</si>
  <si>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</si>
  <si>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</si>
  <si>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</si>
  <si>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</si>
  <si>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</si>
  <si>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</si>
  <si>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 (dry)</t>
  </si>
  <si>
    <t>HHVMilne</t>
  </si>
  <si>
    <t>MJ/kg</t>
  </si>
  <si>
    <t>Trace elements composition</t>
  </si>
  <si>
    <t>Magnesium (Mg)</t>
  </si>
  <si>
    <t>mg/kg (dry)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</si>
</sst>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62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4.851683616638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/>
      <c r="B8" s="0" t="s">
        <v>9</v>
      </c>
    </row>
    <row r="9" outlineLevel="1">
      <c r="A9" s="8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44488.4960300926</v>
      </c>
    </row>
    <row r="12" outlineLevel="1">
      <c r="A12" s="7" t="s">
        <v>15</v>
      </c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28</v>
      </c>
      <c r="L17" s="10"/>
    </row>
    <row r="18" s="1" customFormat="1">
      <c r="A18" s="10"/>
      <c r="B18" s="10"/>
      <c r="C18" s="10" t="s">
        <v>29</v>
      </c>
      <c r="D18" s="10" t="s">
        <v>30</v>
      </c>
      <c r="E18" s="10" t="s">
        <v>31</v>
      </c>
      <c r="F18" s="10"/>
      <c r="G18" s="10"/>
      <c r="H18" s="10"/>
      <c r="I18" s="10"/>
      <c r="J18" s="10"/>
      <c r="K18" s="10"/>
      <c r="L18" s="10"/>
    </row>
    <row r="19">
      <c r="A19" s="7" t="s">
        <v>32</v>
      </c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35</v>
      </c>
      <c r="C21" s="13">
        <v>12.1</v>
      </c>
      <c r="D21" s="13"/>
      <c r="E21" s="13"/>
      <c r="F21" s="13"/>
      <c r="G21" s="13"/>
      <c r="I21" s="5"/>
      <c r="J21" s="0" t="s">
        <v>36</v>
      </c>
    </row>
    <row r="22" outlineLevel="2">
      <c r="A22" s="12" t="s">
        <v>37</v>
      </c>
      <c r="B22" s="0" t="s">
        <v>35</v>
      </c>
      <c r="C22" s="13">
        <f>IFERROR(1.1*(1-w),"")</f>
        <v>0.96690000000000009</v>
      </c>
      <c r="D22" s="13">
        <v>1.1</v>
      </c>
      <c r="E22" s="13">
        <v/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35</v>
      </c>
      <c r="C23" s="13">
        <f>IFERROR(82.3*(1-w),"")</f>
        <v>72.3417</v>
      </c>
      <c r="D23" s="13">
        <v>82.3</v>
      </c>
      <c r="E23" s="13">
        <v>83.215369059656211</v>
      </c>
      <c r="F23" s="13"/>
      <c r="G23" s="13"/>
      <c r="I23" s="5"/>
      <c r="J23" s="0" t="s">
        <v>38</v>
      </c>
    </row>
    <row r="24" outlineLevel="2">
      <c r="A24" s="12" t="s">
        <v>40</v>
      </c>
      <c r="B24" s="0" t="s">
        <v>35</v>
      </c>
      <c r="C24" s="13">
        <f>IFERROR(16.6*(1-w),"")</f>
        <v>14.591400000000007</v>
      </c>
      <c r="D24" s="13">
        <v>16.600000000000009</v>
      </c>
      <c r="E24" s="13">
        <v>16.784630940343792</v>
      </c>
      <c r="F24" s="13"/>
      <c r="G24" s="13"/>
      <c r="I24" s="5"/>
      <c r="J24" s="0" t="s">
        <v>41</v>
      </c>
    </row>
    <row r="25" outlineLevel="1">
      <c r="A25" s="11" t="s">
        <v>42</v>
      </c>
      <c r="I25" s="5"/>
    </row>
    <row r="26" outlineLevel="2">
      <c r="A26" s="12" t="s">
        <v>43</v>
      </c>
      <c r="B26" s="0" t="s">
        <v>35</v>
      </c>
      <c r="C26" s="13">
        <f>IFERROR(50.3*(1-w),"")</f>
        <v>44.213699999999996</v>
      </c>
      <c r="D26" s="13">
        <v>50.3</v>
      </c>
      <c r="E26" s="13">
        <v>50.859453993933265</v>
      </c>
      <c r="F26" s="13"/>
      <c r="G26" s="13"/>
      <c r="I26" s="5"/>
      <c r="J26" s="0" t="s">
        <v>38</v>
      </c>
    </row>
    <row r="27" outlineLevel="2">
      <c r="A27" s="12" t="s">
        <v>44</v>
      </c>
      <c r="B27" s="0" t="s">
        <v>35</v>
      </c>
      <c r="C27" s="13">
        <f>IFERROR(5.2*(1-w),"")</f>
        <v>4.5708</v>
      </c>
      <c r="D27" s="13">
        <v>5.2</v>
      </c>
      <c r="E27" s="13">
        <v>5.25783619817998</v>
      </c>
      <c r="F27" s="13"/>
      <c r="G27" s="13"/>
      <c r="I27" s="5"/>
      <c r="J27" s="0" t="s">
        <v>38</v>
      </c>
    </row>
    <row r="28" outlineLevel="2">
      <c r="A28" s="12" t="s">
        <v>45</v>
      </c>
      <c r="B28" s="0" t="s">
        <v>35</v>
      </c>
      <c r="C28" s="13">
        <f>IFERROR(42.9*(1-w),"")</f>
        <v>37.7091</v>
      </c>
      <c r="D28" s="13">
        <v>42.9</v>
      </c>
      <c r="E28" s="13">
        <v>43.377148634984835</v>
      </c>
      <c r="F28" s="13"/>
      <c r="G28" s="13"/>
      <c r="I28" s="5"/>
      <c r="J28" s="0" t="s">
        <v>41</v>
      </c>
    </row>
    <row r="29" outlineLevel="2">
      <c r="A29" s="12" t="s">
        <v>46</v>
      </c>
      <c r="B29" s="0" t="s">
        <v>35</v>
      </c>
      <c r="C29" s="13">
        <f>IFERROR(0.49*(1-w),"")</f>
        <v>0.43071</v>
      </c>
      <c r="D29" s="13">
        <v>0.49</v>
      </c>
      <c r="E29" s="13">
        <v>0.49544994944388271</v>
      </c>
      <c r="F29" s="13"/>
      <c r="G29" s="13"/>
      <c r="I29" s="5"/>
      <c r="J29" s="0" t="s">
        <v>38</v>
      </c>
    </row>
    <row r="30" outlineLevel="2">
      <c r="A30" s="12" t="s">
        <v>47</v>
      </c>
      <c r="B30" s="0" t="s">
        <v>35</v>
      </c>
      <c r="C30" s="13">
        <f>IFERROR(0.011*(1-w),"")</f>
        <v>0.0096689999999999988</v>
      </c>
      <c r="D30" s="13">
        <v>0.011</v>
      </c>
      <c r="E30" s="13">
        <v>0.011122345803842264</v>
      </c>
      <c r="F30" s="13"/>
      <c r="G30" s="13"/>
      <c r="I30" s="5"/>
      <c r="J30" s="0" t="s">
        <v>38</v>
      </c>
    </row>
    <row r="31" outlineLevel="2">
      <c r="A31" s="12" t="s">
        <v>48</v>
      </c>
      <c r="B31" s="0" t="s">
        <v>35</v>
      </c>
      <c r="C31" s="13">
        <f>IFERROR(100.017*(1-w)+w*100,"")</f>
        <v>100.01494299999999</v>
      </c>
      <c r="D31" s="13">
        <v>100.017</v>
      </c>
      <c r="E31" s="13">
        <v>100.01718907987866</v>
      </c>
      <c r="F31" s="13"/>
      <c r="G31" s="13"/>
      <c r="I31" s="5"/>
      <c r="J31" s="0" t="s">
        <v>41</v>
      </c>
    </row>
    <row r="32" outlineLevel="1">
      <c r="A32" s="11" t="s">
        <v>49</v>
      </c>
      <c r="I32" s="5"/>
    </row>
    <row r="33" outlineLevel="2">
      <c r="A33" s="12" t="s">
        <v>50</v>
      </c>
      <c r="B33" s="0" t="s">
        <v>51</v>
      </c>
      <c r="C33" s="14">
        <f>IFERROR(160*(1-w),"")</f>
        <v>140.64</v>
      </c>
      <c r="D33" s="14">
        <v>160</v>
      </c>
      <c r="E33" s="14">
        <v>161.77957532861475</v>
      </c>
      <c r="F33" s="14"/>
      <c r="G33" s="14"/>
      <c r="I33" s="5"/>
      <c r="J33" s="0" t="s">
        <v>38</v>
      </c>
    </row>
    <row r="34" outlineLevel="1">
      <c r="A34" s="11" t="s">
        <v>52</v>
      </c>
      <c r="I34" s="5"/>
    </row>
    <row r="35" outlineLevel="2">
      <c r="A35" s="12" t="s">
        <v>53</v>
      </c>
      <c r="B35" s="0" t="s">
        <v>54</v>
      </c>
      <c r="C35" s="13"/>
      <c r="D35" s="13"/>
      <c r="E35" s="13"/>
      <c r="F35" s="13"/>
      <c r="G35" s="13"/>
      <c r="I35" s="5"/>
      <c r="J35" s="0" t="s">
        <v>38</v>
      </c>
    </row>
    <row r="36" outlineLevel="2">
      <c r="A36" s="12" t="s">
        <v>55</v>
      </c>
      <c r="B36" s="0" t="s">
        <v>56</v>
      </c>
      <c r="C36" s="13">
        <f>IFERROR(18.80400973*(1-w),"")</f>
        <v>16.528724552670003</v>
      </c>
      <c r="D36" s="13">
        <v>18.804009730000004</v>
      </c>
      <c r="E36" s="13">
        <v>19.013154428715879</v>
      </c>
      <c r="F36" s="13"/>
      <c r="G36" s="13"/>
      <c r="I36" s="5"/>
      <c r="J36" s="0" t="s">
        <v>41</v>
      </c>
    </row>
    <row r="37" outlineLevel="1">
      <c r="A37" s="11" t="s">
        <v>57</v>
      </c>
      <c r="I37" s="5"/>
    </row>
    <row r="38" outlineLevel="2">
      <c r="A38" s="12" t="s">
        <v>58</v>
      </c>
      <c r="B38" s="0" t="s">
        <v>59</v>
      </c>
      <c r="C38" s="14">
        <v>1173</v>
      </c>
      <c r="D38" s="14"/>
      <c r="E38" s="14"/>
      <c r="F38" s="14"/>
      <c r="G38" s="14"/>
      <c r="I38" s="5"/>
    </row>
    <row r="39">
      <c r="I39" s="5"/>
    </row>
    <row r="40" s="1" customFormat="1"/>
  </sheetData>
  <mergeCells>
    <mergeCell ref="A9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5:E35"/>
    <mergeCell ref="C38:E38"/>
  </mergeCells>
  <dataValidations count="1">
    <dataValidation type="decimal" sqref="C21" errorStyle="stop" promptTitle="Enter moisture content" errorTitle="Invalid moisture content" prompt="Value should be between 0 and 100.&#10;Original value: 12.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https://phyllis.nl/Biomass/View/3626</dc:description>
  <dcterms:created xsi:type="dcterms:W3CDTF">2026-03-17T05:42:19Z</dcterms:created>
  <dc:title>Phyllis2 #3626 Olive pits 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