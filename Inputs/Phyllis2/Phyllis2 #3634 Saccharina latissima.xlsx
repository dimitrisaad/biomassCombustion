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4 Saccharina latis" sheetId="1" r:id="rId1"/>
  </sheets>
  <definedNames>
    <definedName name="w" localSheetId="0">IF(ISBLANK('Phyllis2 #3634 Saccharina latis'!$C$26),#N/A,'Phyllis2 #3634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<sst xmlns="http://schemas.openxmlformats.org/spreadsheetml/2006/main" count="120" uniqueCount="120">
  <si>
    <t>Phyllis2</t>
  </si>
  <si>
    <t>https://phyllis.nl/Biomass/View/3634</t>
  </si>
  <si>
    <t>Saccharina latissima (#3634)</t>
  </si>
  <si>
    <t>ID-number</t>
  </si>
  <si>
    <t>#3634</t>
  </si>
  <si>
    <t>Material</t>
  </si>
  <si>
    <t>Saccharina latissima</t>
  </si>
  <si>
    <t>Description</t>
  </si>
  <si>
    <t>Freeze dried - Cultivated Nov 2021 -May 2022 - The Netherland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</si>
  <si>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</si>
  <si>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</si>
  <si>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</si>
  <si>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</si>
  <si>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</si>
  <si>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</si>
  <si>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</si>
  <si>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</si>
  <si>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</si>
  <si>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</si>
  <si>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Oosterschelde (NL)</t>
  </si>
  <si>
    <t>Harvesting date: 12</t>
  </si>
  <si>
    <t>Literature</t>
  </si>
  <si>
    <t>Author/institution: TNO (Celignis)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</si>
  <si>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</si>
  <si>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</si>
  <si>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</si>
  <si>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</si>
  <si>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</si>
  <si>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</si>
  <si>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</si>
  <si>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</si>
  <si>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</si>
  <si>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</si>
  <si>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</si>
  <si>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</si>
  <si>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</si>
  <si>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</si>
  <si>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</si>
  <si>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</si>
  <si>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</si>
  <si>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</si>
  <si>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</si>
  <si>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</si>
  <si>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</si>
  <si>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</si>
  <si>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</si>
  <si>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</si>
  <si>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</si>
  <si>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</si>
  <si>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</si>
  <si>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</si>
  <si>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</si>
  <si>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</si>
  <si>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</si>
  <si>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</si>
  <si>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</si>
  <si>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</si>
  <si>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</si>
  <si>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</si>
  <si>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</si>
  <si>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Calcium (Ca)</t>
  </si>
  <si>
    <t>Cadmium (Cd)</t>
  </si>
  <si>
    <t>&lt;1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</si>
  <si>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</si>
  <si>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</si>
  <si>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</si>
  <si>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</si>
  <si>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</si>
  <si>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</si>
  <si>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</si>
  <si>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</si>
  <si>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</si>
  <si>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</si>
  <si>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</si>
  <si>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</si>
  <si>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</si>
  <si>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</si>
  <si>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Silicon (Si)</t>
  </si>
  <si>
    <t>Titanium (Ti)</t>
  </si>
  <si>
    <t>Vanadium (V)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</si>
  <si>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</si>
  <si>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</si>
  <si>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</si>
  <si>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</si>
  <si>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</si>
  <si>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</si>
  <si>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Mannitol</t>
  </si>
  <si>
    <t>Galactose</t>
  </si>
  <si>
    <t>Galactan (anhydrous)</t>
  </si>
  <si>
    <t>Glucose</t>
  </si>
  <si>
    <t>Glucan (anhydrous)</t>
  </si>
  <si>
    <t>Xylose</t>
  </si>
  <si>
    <t>Xylan (anhydrous)</t>
  </si>
  <si>
    <t>Fucose</t>
  </si>
  <si>
    <t>Mannose</t>
  </si>
  <si>
    <t>Mannan (anhydrous)</t>
  </si>
  <si>
    <t>Uronic acids</t>
  </si>
  <si>
    <t>Guluronic acid</t>
  </si>
  <si>
    <t>Glucuronic acid</t>
  </si>
  <si>
    <t>Mannuronic acid</t>
  </si>
  <si>
    <t>Protein characterisation</t>
  </si>
  <si>
    <t>Total amino acid (TAA) content</t>
  </si>
  <si>
    <t>Macroalgae and microalgae</t>
  </si>
  <si>
    <t>Amino acid composition</t>
  </si>
  <si>
    <t>Alanine</t>
  </si>
  <si>
    <t>Arginine</t>
  </si>
  <si>
    <t>Aspartic acid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</si>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</sst>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20.214593887329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IFERROR(26.23*(1-w),"")</f>
        <v/>
      </c>
      <c r="D27" s="13">
        <v>26.23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IFERROR(33.69*(1-w),"")</f>
        <v/>
      </c>
      <c r="D29" s="13">
        <v>33.69</v>
      </c>
      <c r="E29" s="13">
        <v>45.668971126474169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IFERROR(4.04*(1-w),"")</f>
        <v/>
      </c>
      <c r="D30" s="13">
        <v>4.04</v>
      </c>
      <c r="E30" s="13">
        <v>5.4764809543174735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IFERROR(31.18*(1-w),"")</f>
        <v/>
      </c>
      <c r="D31" s="13">
        <v>31.18</v>
      </c>
      <c r="E31" s="13">
        <v>42.266503998915546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IFERROR(3.77*(1-w),"")</f>
        <v/>
      </c>
      <c r="D32" s="13">
        <v>3.77</v>
      </c>
      <c r="E32" s="13">
        <v>5.1104785143012066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IFERROR(1.1*(1-w),"")</f>
        <v/>
      </c>
      <c r="D33" s="13">
        <v>1.1</v>
      </c>
      <c r="E33" s="13">
        <v>1.4911210519181239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IFERROR(100.01*(1-w)+w*100,"")</f>
        <v/>
      </c>
      <c r="D34" s="13">
        <v>100.00999999999999</v>
      </c>
      <c r="E34" s="13">
        <v>100.01355564592653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IFERROR(12.29*(1-w)-w*2.443,"")</f>
        <v/>
      </c>
      <c r="D36" s="13">
        <v>12.29</v>
      </c>
      <c r="E36" s="13">
        <v>16.6598888437034</v>
      </c>
      <c r="F36" s="13"/>
      <c r="G36" s="13"/>
      <c r="I36" s="5"/>
    </row>
    <row r="37" outlineLevel="2">
      <c r="A37" s="12" t="s">
        <v>54</v>
      </c>
      <c r="B37" s="0" t="s">
        <v>53</v>
      </c>
      <c r="C37" s="13">
        <f>IFERROR(13.18*(1-w),"")</f>
        <v/>
      </c>
      <c r="D37" s="13">
        <v>13.18</v>
      </c>
      <c r="E37" s="13">
        <v>17.866341331164428</v>
      </c>
      <c r="F37" s="13"/>
      <c r="G37" s="13"/>
      <c r="I37" s="5"/>
    </row>
    <row r="38" outlineLevel="2">
      <c r="A38" s="12" t="s">
        <v>55</v>
      </c>
      <c r="B38" s="0" t="s">
        <v>53</v>
      </c>
      <c r="C38" s="13">
        <f>IFERROR(12.4145769737*(1-w),"")</f>
        <v/>
      </c>
      <c r="D38" s="13">
        <v>12.414576973700001</v>
      </c>
      <c r="E38" s="13">
        <v>16.828760978310967</v>
      </c>
      <c r="F38" s="13"/>
      <c r="G38" s="13"/>
      <c r="I38" s="5"/>
      <c r="J38" s="0" t="s">
        <v>50</v>
      </c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112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37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9539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 t="s">
        <v>62</v>
      </c>
      <c r="D43" s="14"/>
      <c r="E43" s="14"/>
      <c r="F43" s="14"/>
      <c r="G43" s="14"/>
      <c r="I43" s="5"/>
    </row>
    <row r="44" outlineLevel="2">
      <c r="A44" s="12" t="s">
        <v>63</v>
      </c>
      <c r="B44" s="0" t="s">
        <v>58</v>
      </c>
      <c r="C44" s="14" t="s">
        <v>62</v>
      </c>
      <c r="D44" s="14"/>
      <c r="E44" s="14"/>
      <c r="F44" s="14"/>
      <c r="G44" s="14"/>
      <c r="I44" s="5"/>
    </row>
    <row r="45" outlineLevel="2">
      <c r="A45" s="12" t="s">
        <v>64</v>
      </c>
      <c r="B45" s="0" t="s">
        <v>58</v>
      </c>
      <c r="C45" s="14">
        <v>4</v>
      </c>
      <c r="D45" s="14"/>
      <c r="E45" s="14"/>
      <c r="F45" s="14"/>
      <c r="G45" s="14"/>
      <c r="I45" s="5"/>
    </row>
    <row r="46" outlineLevel="2">
      <c r="A46" s="12" t="s">
        <v>65</v>
      </c>
      <c r="B46" s="0" t="s">
        <v>58</v>
      </c>
      <c r="C46" s="14">
        <v>2</v>
      </c>
      <c r="D46" s="14"/>
      <c r="E46" s="14"/>
      <c r="F46" s="14"/>
      <c r="G46" s="14"/>
      <c r="I46" s="5"/>
    </row>
    <row r="47" outlineLevel="2">
      <c r="A47" s="12" t="s">
        <v>66</v>
      </c>
      <c r="B47" s="0" t="s">
        <v>58</v>
      </c>
      <c r="C47" s="14">
        <v>289</v>
      </c>
      <c r="D47" s="14"/>
      <c r="E47" s="14"/>
      <c r="F47" s="14"/>
      <c r="G47" s="14"/>
      <c r="I47" s="5"/>
    </row>
    <row r="48" outlineLevel="2">
      <c r="A48" s="12" t="s">
        <v>67</v>
      </c>
      <c r="B48" s="0" t="s">
        <v>58</v>
      </c>
      <c r="C48" s="14" t="s">
        <v>62</v>
      </c>
      <c r="D48" s="14"/>
      <c r="E48" s="14"/>
      <c r="F48" s="14"/>
      <c r="G48" s="14"/>
      <c r="I48" s="5"/>
    </row>
    <row r="49" outlineLevel="2">
      <c r="A49" s="12" t="s">
        <v>68</v>
      </c>
      <c r="B49" s="0" t="s">
        <v>58</v>
      </c>
      <c r="C49" s="14">
        <v>50633</v>
      </c>
      <c r="D49" s="14"/>
      <c r="E49" s="14"/>
      <c r="F49" s="14"/>
      <c r="G49" s="14"/>
      <c r="I49" s="5"/>
    </row>
    <row r="50" outlineLevel="2">
      <c r="A50" s="12" t="s">
        <v>69</v>
      </c>
      <c r="B50" s="0" t="s">
        <v>58</v>
      </c>
      <c r="C50" s="14">
        <v>5300</v>
      </c>
      <c r="D50" s="14"/>
      <c r="E50" s="14"/>
      <c r="F50" s="14"/>
      <c r="G50" s="14"/>
      <c r="I50" s="5"/>
    </row>
    <row r="51" outlineLevel="2">
      <c r="A51" s="12" t="s">
        <v>70</v>
      </c>
      <c r="B51" s="0" t="s">
        <v>58</v>
      </c>
      <c r="C51" s="14">
        <v>39</v>
      </c>
      <c r="D51" s="14"/>
      <c r="E51" s="14"/>
      <c r="F51" s="14"/>
      <c r="G51" s="14"/>
      <c r="I51" s="5"/>
    </row>
    <row r="52" outlineLevel="2">
      <c r="A52" s="12" t="s">
        <v>71</v>
      </c>
      <c r="B52" s="0" t="s">
        <v>58</v>
      </c>
      <c r="C52" s="14" t="s">
        <v>62</v>
      </c>
      <c r="D52" s="14"/>
      <c r="E52" s="14"/>
      <c r="F52" s="14"/>
      <c r="G52" s="14"/>
      <c r="I52" s="5"/>
    </row>
    <row r="53" outlineLevel="2">
      <c r="A53" s="12" t="s">
        <v>72</v>
      </c>
      <c r="B53" s="0" t="s">
        <v>58</v>
      </c>
      <c r="C53" s="14">
        <v>25998</v>
      </c>
      <c r="D53" s="14"/>
      <c r="E53" s="14"/>
      <c r="F53" s="14"/>
      <c r="G53" s="14"/>
      <c r="I53" s="5"/>
    </row>
    <row r="54" outlineLevel="2">
      <c r="A54" s="12" t="s">
        <v>73</v>
      </c>
      <c r="B54" s="0" t="s">
        <v>58</v>
      </c>
      <c r="C54" s="14">
        <v>3</v>
      </c>
      <c r="D54" s="14"/>
      <c r="E54" s="14"/>
      <c r="F54" s="14"/>
      <c r="G54" s="14"/>
      <c r="I54" s="5"/>
    </row>
    <row r="55" outlineLevel="2">
      <c r="A55" s="12" t="s">
        <v>74</v>
      </c>
      <c r="B55" s="0" t="s">
        <v>58</v>
      </c>
      <c r="C55" s="14">
        <v>1273</v>
      </c>
      <c r="D55" s="14"/>
      <c r="E55" s="14"/>
      <c r="F55" s="14"/>
      <c r="G55" s="14"/>
      <c r="I55" s="5"/>
    </row>
    <row r="56" outlineLevel="2">
      <c r="A56" s="12" t="s">
        <v>75</v>
      </c>
      <c r="B56" s="0" t="s">
        <v>58</v>
      </c>
      <c r="C56" s="14" t="s">
        <v>62</v>
      </c>
      <c r="D56" s="14"/>
      <c r="E56" s="14"/>
      <c r="F56" s="14"/>
      <c r="G56" s="14"/>
      <c r="I56" s="5"/>
    </row>
    <row r="57" outlineLevel="2">
      <c r="A57" s="12" t="s">
        <v>76</v>
      </c>
      <c r="B57" s="0" t="s">
        <v>58</v>
      </c>
      <c r="C57" s="14" t="s">
        <v>62</v>
      </c>
      <c r="D57" s="14"/>
      <c r="E57" s="14"/>
      <c r="F57" s="14"/>
      <c r="G57" s="14"/>
      <c r="I57" s="5"/>
    </row>
    <row r="58" outlineLevel="2">
      <c r="A58" s="12" t="s">
        <v>77</v>
      </c>
      <c r="B58" s="0" t="s">
        <v>58</v>
      </c>
      <c r="C58" s="14">
        <v>299</v>
      </c>
      <c r="D58" s="14"/>
      <c r="E58" s="14"/>
      <c r="F58" s="14"/>
      <c r="G58" s="14"/>
      <c r="I58" s="5"/>
    </row>
    <row r="59" outlineLevel="2">
      <c r="A59" s="12" t="s">
        <v>78</v>
      </c>
      <c r="B59" s="0" t="s">
        <v>58</v>
      </c>
      <c r="C59" s="14">
        <v>3</v>
      </c>
      <c r="D59" s="14"/>
      <c r="E59" s="14"/>
      <c r="F59" s="14"/>
      <c r="G59" s="14"/>
      <c r="I59" s="5"/>
    </row>
    <row r="60" outlineLevel="2">
      <c r="A60" s="12" t="s">
        <v>79</v>
      </c>
      <c r="B60" s="0" t="s">
        <v>58</v>
      </c>
      <c r="C60" s="14">
        <v>2</v>
      </c>
      <c r="D60" s="14"/>
      <c r="E60" s="14"/>
      <c r="F60" s="14"/>
      <c r="G60" s="14"/>
      <c r="I60" s="5"/>
    </row>
    <row r="61" outlineLevel="2">
      <c r="A61" s="12" t="s">
        <v>80</v>
      </c>
      <c r="B61" s="0" t="s">
        <v>58</v>
      </c>
      <c r="C61" s="14">
        <v>86</v>
      </c>
      <c r="D61" s="14"/>
      <c r="E61" s="14"/>
      <c r="F61" s="14"/>
      <c r="G61" s="14"/>
      <c r="I61" s="5"/>
    </row>
    <row r="62" outlineLevel="1">
      <c r="A62" s="11" t="s">
        <v>81</v>
      </c>
      <c r="I62" s="5"/>
    </row>
    <row r="63" outlineLevel="2">
      <c r="A63" s="15" t="s">
        <v>82</v>
      </c>
      <c r="I63" s="5"/>
    </row>
    <row r="64" outlineLevel="3">
      <c r="A64" s="16" t="s">
        <v>83</v>
      </c>
      <c r="B64" s="0" t="s">
        <v>84</v>
      </c>
      <c r="C64" s="13">
        <v>48.5</v>
      </c>
      <c r="D64" s="13"/>
      <c r="E64" s="13"/>
      <c r="F64" s="13"/>
      <c r="G64" s="13"/>
      <c r="I64" s="5"/>
    </row>
    <row r="65" outlineLevel="2">
      <c r="A65" s="15" t="s">
        <v>85</v>
      </c>
      <c r="I65" s="5"/>
    </row>
    <row r="66" outlineLevel="3">
      <c r="A66" s="16" t="s">
        <v>86</v>
      </c>
      <c r="B66" s="0" t="s">
        <v>84</v>
      </c>
      <c r="C66" s="13">
        <v>14.48</v>
      </c>
      <c r="D66" s="13"/>
      <c r="E66" s="13"/>
      <c r="F66" s="13"/>
      <c r="G66" s="13"/>
      <c r="I66" s="5"/>
    </row>
    <row r="67" outlineLevel="3">
      <c r="A67" s="16" t="s">
        <v>87</v>
      </c>
      <c r="B67" s="0" t="s">
        <v>84</v>
      </c>
      <c r="C67" s="13">
        <v>0.81</v>
      </c>
      <c r="D67" s="13"/>
      <c r="E67" s="13"/>
      <c r="F67" s="13"/>
      <c r="G67" s="13"/>
      <c r="I67" s="5"/>
      <c r="K67" s="0" t="s">
        <v>88</v>
      </c>
    </row>
    <row r="68" outlineLevel="3">
      <c r="A68" s="16" t="s">
        <v>89</v>
      </c>
      <c r="B68" s="0" t="s">
        <v>84</v>
      </c>
      <c r="C68" s="13">
        <v>10.8</v>
      </c>
      <c r="D68" s="13"/>
      <c r="E68" s="13"/>
      <c r="F68" s="13"/>
      <c r="G68" s="13"/>
      <c r="I68" s="5"/>
      <c r="K68" s="0" t="s">
        <v>90</v>
      </c>
    </row>
    <row r="69" outlineLevel="3">
      <c r="A69" s="16" t="s">
        <v>91</v>
      </c>
      <c r="B69" s="0" t="s">
        <v>84</v>
      </c>
      <c r="C69" s="13">
        <v>0.22</v>
      </c>
      <c r="D69" s="13"/>
      <c r="E69" s="13"/>
      <c r="F69" s="13"/>
      <c r="G69" s="13"/>
      <c r="I69" s="5"/>
      <c r="K69" s="0" t="s">
        <v>92</v>
      </c>
    </row>
    <row r="70" outlineLevel="3">
      <c r="A70" s="16" t="s">
        <v>93</v>
      </c>
      <c r="B70" s="0" t="s">
        <v>84</v>
      </c>
      <c r="C70" s="13">
        <v>1.09</v>
      </c>
      <c r="D70" s="13"/>
      <c r="E70" s="13"/>
      <c r="F70" s="13"/>
      <c r="G70" s="13"/>
      <c r="I70" s="5"/>
    </row>
    <row r="71" outlineLevel="3">
      <c r="A71" s="16" t="s">
        <v>94</v>
      </c>
      <c r="B71" s="0" t="s">
        <v>84</v>
      </c>
      <c r="C71" s="13">
        <v>0.32</v>
      </c>
      <c r="D71" s="13"/>
      <c r="E71" s="13"/>
      <c r="F71" s="13"/>
      <c r="G71" s="13"/>
      <c r="I71" s="5"/>
      <c r="K71" s="0" t="s">
        <v>95</v>
      </c>
    </row>
    <row r="72" outlineLevel="2">
      <c r="A72" s="15" t="s">
        <v>96</v>
      </c>
      <c r="I72" s="5"/>
    </row>
    <row r="73" outlineLevel="3">
      <c r="A73" s="16" t="s">
        <v>97</v>
      </c>
      <c r="B73" s="0" t="s">
        <v>84</v>
      </c>
      <c r="C73" s="13">
        <v>4.28</v>
      </c>
      <c r="D73" s="13"/>
      <c r="E73" s="13"/>
      <c r="F73" s="13"/>
      <c r="G73" s="13"/>
      <c r="I73" s="5"/>
    </row>
    <row r="74" outlineLevel="3">
      <c r="A74" s="16" t="s">
        <v>98</v>
      </c>
      <c r="B74" s="0" t="s">
        <v>84</v>
      </c>
      <c r="C74" s="13">
        <v>0.65</v>
      </c>
      <c r="D74" s="13"/>
      <c r="E74" s="13"/>
      <c r="F74" s="13"/>
      <c r="G74" s="13"/>
      <c r="I74" s="5"/>
    </row>
    <row r="75" outlineLevel="3">
      <c r="A75" s="16" t="s">
        <v>99</v>
      </c>
      <c r="B75" s="0" t="s">
        <v>84</v>
      </c>
      <c r="C75" s="13">
        <v>15.86</v>
      </c>
      <c r="D75" s="13"/>
      <c r="E75" s="13"/>
      <c r="F75" s="13"/>
      <c r="G75" s="13"/>
      <c r="I75" s="5"/>
    </row>
    <row r="76" outlineLevel="2">
      <c r="A76" s="15" t="s">
        <v>100</v>
      </c>
      <c r="I76" s="5"/>
    </row>
    <row r="77" outlineLevel="3">
      <c r="A77" s="16" t="s">
        <v>101</v>
      </c>
      <c r="B77" s="0" t="s">
        <v>84</v>
      </c>
      <c r="C77" s="13">
        <v>8.3033</v>
      </c>
      <c r="D77" s="13"/>
      <c r="E77" s="13"/>
      <c r="F77" s="13"/>
      <c r="G77" s="13"/>
      <c r="I77" s="5"/>
    </row>
    <row r="78">
      <c r="A78" s="7" t="s">
        <v>102</v>
      </c>
      <c r="I78" s="5"/>
    </row>
    <row r="79" outlineLevel="1">
      <c r="A79" s="11" t="s">
        <v>103</v>
      </c>
      <c r="I79" s="5"/>
    </row>
    <row r="80" outlineLevel="2">
      <c r="A80" s="12" t="s">
        <v>104</v>
      </c>
      <c r="B80" s="0" t="s">
        <v>84</v>
      </c>
      <c r="C80" s="13">
        <v>1.8264</v>
      </c>
      <c r="D80" s="13"/>
      <c r="E80" s="13"/>
      <c r="F80" s="13"/>
      <c r="G80" s="13"/>
      <c r="I80" s="5"/>
    </row>
    <row r="81" outlineLevel="2">
      <c r="A81" s="12" t="s">
        <v>105</v>
      </c>
      <c r="B81" s="0" t="s">
        <v>84</v>
      </c>
      <c r="C81" s="13">
        <v>0.1032</v>
      </c>
      <c r="D81" s="13"/>
      <c r="E81" s="13"/>
      <c r="F81" s="13"/>
      <c r="G81" s="13"/>
      <c r="I81" s="5"/>
    </row>
    <row r="82" outlineLevel="2">
      <c r="A82" s="12" t="s">
        <v>106</v>
      </c>
      <c r="B82" s="0" t="s">
        <v>84</v>
      </c>
      <c r="C82" s="13">
        <v>0.5861</v>
      </c>
      <c r="D82" s="13"/>
      <c r="E82" s="13"/>
      <c r="F82" s="13"/>
      <c r="G82" s="13"/>
      <c r="I82" s="5"/>
    </row>
    <row r="83" outlineLevel="2">
      <c r="A83" s="12" t="s">
        <v>107</v>
      </c>
      <c r="B83" s="0" t="s">
        <v>84</v>
      </c>
      <c r="C83" s="13">
        <v>0.749</v>
      </c>
      <c r="D83" s="13"/>
      <c r="E83" s="13"/>
      <c r="F83" s="13"/>
      <c r="G83" s="13"/>
      <c r="I83" s="5"/>
    </row>
    <row r="84" outlineLevel="2">
      <c r="A84" s="12" t="s">
        <v>108</v>
      </c>
      <c r="B84" s="0" t="s">
        <v>84</v>
      </c>
      <c r="C84" s="13">
        <v>0.4453</v>
      </c>
      <c r="D84" s="13"/>
      <c r="E84" s="13"/>
      <c r="F84" s="13"/>
      <c r="G84" s="13"/>
      <c r="I84" s="5"/>
    </row>
    <row r="85" outlineLevel="2">
      <c r="A85" s="12" t="s">
        <v>109</v>
      </c>
      <c r="B85" s="0" t="s">
        <v>84</v>
      </c>
      <c r="C85" s="13">
        <v>0.1489</v>
      </c>
      <c r="D85" s="13"/>
      <c r="E85" s="13"/>
      <c r="F85" s="13"/>
      <c r="G85" s="13"/>
      <c r="I85" s="5"/>
    </row>
    <row r="86" outlineLevel="2">
      <c r="A86" s="12" t="s">
        <v>110</v>
      </c>
      <c r="B86" s="0" t="s">
        <v>84</v>
      </c>
      <c r="C86" s="13">
        <v>0.3691</v>
      </c>
      <c r="D86" s="13"/>
      <c r="E86" s="13"/>
      <c r="F86" s="13"/>
      <c r="G86" s="13"/>
      <c r="I86" s="5"/>
    </row>
    <row r="87" outlineLevel="2">
      <c r="A87" s="12" t="s">
        <v>111</v>
      </c>
      <c r="B87" s="0" t="s">
        <v>84</v>
      </c>
      <c r="C87" s="13">
        <v>1.3571</v>
      </c>
      <c r="D87" s="13"/>
      <c r="E87" s="13"/>
      <c r="F87" s="13"/>
      <c r="G87" s="13"/>
      <c r="I87" s="5"/>
    </row>
    <row r="88" outlineLevel="2">
      <c r="A88" s="12" t="s">
        <v>112</v>
      </c>
      <c r="B88" s="0" t="s">
        <v>84</v>
      </c>
      <c r="C88" s="13">
        <v>8.7E-05</v>
      </c>
      <c r="D88" s="13"/>
      <c r="E88" s="13"/>
      <c r="F88" s="13"/>
      <c r="G88" s="13"/>
      <c r="I88" s="5"/>
    </row>
    <row r="89" outlineLevel="2">
      <c r="A89" s="12" t="s">
        <v>113</v>
      </c>
      <c r="B89" s="0" t="s">
        <v>84</v>
      </c>
      <c r="C89" s="13">
        <v>0.2922</v>
      </c>
      <c r="D89" s="13"/>
      <c r="E89" s="13"/>
      <c r="F89" s="13"/>
      <c r="G89" s="13"/>
      <c r="I89" s="5"/>
    </row>
    <row r="90" outlineLevel="2">
      <c r="A90" s="12" t="s">
        <v>114</v>
      </c>
      <c r="B90" s="0" t="s">
        <v>84</v>
      </c>
      <c r="C90" s="13">
        <v>0.4698</v>
      </c>
      <c r="D90" s="13"/>
      <c r="E90" s="13"/>
      <c r="F90" s="13"/>
      <c r="G90" s="13"/>
      <c r="I90" s="5"/>
    </row>
    <row r="91" outlineLevel="2">
      <c r="A91" s="12" t="s">
        <v>115</v>
      </c>
      <c r="B91" s="0" t="s">
        <v>84</v>
      </c>
      <c r="C91" s="13">
        <v>0.4943</v>
      </c>
      <c r="D91" s="13"/>
      <c r="E91" s="13"/>
      <c r="F91" s="13"/>
      <c r="G91" s="13"/>
      <c r="I91" s="5"/>
    </row>
    <row r="92" outlineLevel="2">
      <c r="A92" s="12" t="s">
        <v>116</v>
      </c>
      <c r="B92" s="0" t="s">
        <v>84</v>
      </c>
      <c r="C92" s="13">
        <v>0.4547</v>
      </c>
      <c r="D92" s="13"/>
      <c r="E92" s="13"/>
      <c r="F92" s="13"/>
      <c r="G92" s="13"/>
      <c r="I92" s="5"/>
    </row>
    <row r="93" outlineLevel="2">
      <c r="A93" s="12" t="s">
        <v>117</v>
      </c>
      <c r="B93" s="0" t="s">
        <v>84</v>
      </c>
      <c r="C93" s="13">
        <v>0.4915</v>
      </c>
      <c r="D93" s="13"/>
      <c r="E93" s="13"/>
      <c r="F93" s="13"/>
      <c r="G93" s="13"/>
      <c r="I93" s="5"/>
    </row>
    <row r="94" outlineLevel="2">
      <c r="A94" s="12" t="s">
        <v>118</v>
      </c>
      <c r="B94" s="0" t="s">
        <v>84</v>
      </c>
      <c r="C94" s="13">
        <v>1.45E-05</v>
      </c>
      <c r="D94" s="13"/>
      <c r="E94" s="13"/>
      <c r="F94" s="13"/>
      <c r="G94" s="13"/>
      <c r="I94" s="5"/>
    </row>
    <row r="95" outlineLevel="2">
      <c r="A95" s="12" t="s">
        <v>119</v>
      </c>
      <c r="B95" s="0" t="s">
        <v>84</v>
      </c>
      <c r="C95" s="13">
        <v>0.3993</v>
      </c>
      <c r="D95" s="13"/>
      <c r="E95" s="13"/>
      <c r="F95" s="13"/>
      <c r="G95" s="13"/>
      <c r="I95" s="5"/>
    </row>
    <row r="96">
      <c r="I96" s="5"/>
    </row>
    <row r="97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4:E64"/>
    <mergeCell ref="C66:E66"/>
    <mergeCell ref="C67:E67"/>
    <mergeCell ref="C68:E68"/>
    <mergeCell ref="C69:E69"/>
    <mergeCell ref="C70:E70"/>
    <mergeCell ref="C71:E71"/>
    <mergeCell ref="C73:E73"/>
    <mergeCell ref="C74:E74"/>
    <mergeCell ref="C75:E75"/>
    <mergeCell ref="C77:E77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https://phyllis.nl/Biomass/View/3634</dc:description>
  <dcterms:created xsi:type="dcterms:W3CDTF">2026-03-17T05:56:55Z</dcterms:created>
  <dc:title>Phyllis2 #3634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