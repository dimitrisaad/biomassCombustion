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6 Undaria pinnatif" sheetId="1" r:id="rId1"/>
  </sheets>
  <definedNames>
    <definedName name="w" localSheetId="0">IF(ISBLANK('Phyllis2 #3636 Undaria pinnatif'!$C$26),#N/A,'Phyllis2 #3636 Undaria pinnatif'!$C$26/100)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<sst xmlns="http://schemas.openxmlformats.org/spreadsheetml/2006/main" count="113" uniqueCount="113">
  <si>
    <t>Phyllis2</t>
  </si>
  <si>
    <t>https://phyllis.nl/Biomass/View/3636</t>
  </si>
  <si>
    <t>Undaria pinnatifida (Wakame) (#3636)</t>
  </si>
  <si>
    <t>ID-number</t>
  </si>
  <si>
    <t>#3636</t>
  </si>
  <si>
    <t>Material</t>
  </si>
  <si>
    <t>Undaria pinnatifida (Wakame)</t>
  </si>
  <si>
    <t>Description</t>
  </si>
  <si>
    <t>Freeze dried - Cultivated Nov 2021 -May 2022 - The Netherland</t>
  </si>
  <si>
    <t>Classification</t>
  </si>
  <si>
    <t>ECN Phyllis classification &gt; Marine biomass (algae) &gt; Macroalgae &gt; Undaria pinnatifida</t>
  </si>
  <si>
    <t>Submitter organisation</t>
  </si>
  <si>
    <t>TNO (Netherlands)</t>
  </si>
  <si>
    <t>Submission date</t>
  </si>
  <si>
    <t>Remarks</t>
  </si>
  <si>
    <t>Phylum: Ochrophyta</t>
  </si>
  <si>
    <t>Genus: Undaria</t>
  </si>
  <si>
    <t>Species: Undaria pinnatifida (Wakame)</t>
  </si>
  <si>
    <t>Generic algae family: Brown</t>
  </si>
  <si>
    <t>Cultivation region: Oosterschelde (NL)</t>
  </si>
  <si>
    <t>Harvesting date: 12</t>
  </si>
  <si>
    <t>Literature</t>
  </si>
  <si>
    <t>Author/institution: TNO</t>
  </si>
  <si>
    <t>Year: 2022</t>
  </si>
  <si>
    <t>Journal/project: AlgaeDemo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</si>
  <si>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</si>
  <si>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</si>
  <si>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</si>
  <si>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</si>
  <si>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</si>
  <si>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</si>
  <si>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</si>
  <si>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</si>
  <si>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</si>
  <si>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</si>
  <si>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</si>
  <si>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</si>
  <si>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</si>
  <si>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</si>
  <si>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</si>
  <si>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</si>
  <si>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</si>
  <si>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</si>
  <si>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</si>
  <si>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</si>
  <si>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</si>
  <si>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</si>
  <si>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</si>
  <si>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</si>
  <si>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</si>
  <si>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</si>
  <si>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</si>
  <si>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</si>
  <si>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</si>
  <si>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Bromine (Br)</t>
  </si>
  <si>
    <t>mg/kg</t>
  </si>
  <si>
    <t>Chlorine (Cl)</t>
  </si>
  <si>
    <t>Fluorine (F)</t>
  </si>
  <si>
    <t>mg/kg (dry)</t>
  </si>
  <si>
    <t>&lt;10</t>
  </si>
  <si>
    <t>Heating value</t>
  </si>
  <si>
    <t>Net calorific value (LHV)</t>
  </si>
  <si>
    <t>MJ/kg</t>
  </si>
  <si>
    <t>calculated</t>
  </si>
  <si>
    <t>Gross calorific value (HHV)</t>
  </si>
  <si>
    <t>HHVMilne</t>
  </si>
  <si>
    <t>Trace elements composition</t>
  </si>
  <si>
    <t>Aluminium (Al)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</si>
  <si>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</si>
  <si>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</si>
  <si>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</si>
  <si>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</si>
  <si>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</si>
  <si>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</si>
  <si>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</si>
  <si>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</si>
  <si>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</si>
  <si>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</si>
  <si>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</si>
  <si>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</si>
  <si>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</si>
  <si>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</si>
  <si>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</si>
  <si>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</si>
  <si>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</si>
  <si>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</si>
  <si>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</si>
  <si>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</si>
  <si>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&lt; 0,08</t>
  </si>
  <si>
    <t>Selenium (Se)</t>
  </si>
  <si>
    <t>&lt; 0,2</t>
  </si>
  <si>
    <t>Silicon (Si)</t>
  </si>
  <si>
    <t>Tin (Sn)</t>
  </si>
  <si>
    <t>Strontium (Sr)</t>
  </si>
  <si>
    <t>Titanium (Ti)</t>
  </si>
  <si>
    <t>Vanadium (V)</t>
  </si>
  <si>
    <t>Tungsten (W)</t>
  </si>
  <si>
    <t>&lt; 0,5</t>
  </si>
  <si>
    <t>Zinc (Zn)</t>
  </si>
  <si>
    <t>Biochemical analysis</t>
  </si>
  <si>
    <t>Sugar content</t>
  </si>
  <si>
    <t>Total sugar content</t>
  </si>
  <si>
    <t>wt% (dry)</t>
  </si>
  <si>
    <t>Carbohydrate analysis</t>
  </si>
  <si>
    <t>Glycerol</t>
  </si>
  <si>
    <t>Mannitol</t>
  </si>
  <si>
    <t>Galactose</t>
  </si>
  <si>
    <t>Glucose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</si>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</sst>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8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13.8705644607544" customWidth="1"/>
    <col min="4" max="4" width="13.8705644607544" customWidth="1"/>
    <col min="5" max="5" width="15.452223777771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10.3594045639038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44796.3416087963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>2.8</v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40</v>
      </c>
      <c r="C27" s="13">
        <f>IFERROR(46.8*(1-w),"")</f>
        <v>45.489599999999996</v>
      </c>
      <c r="D27" s="13">
        <v>46.8</v>
      </c>
      <c r="E27" s="13">
        <v/>
      </c>
      <c r="F27" s="13"/>
      <c r="G27" s="13"/>
      <c r="I27" s="5"/>
    </row>
    <row r="28" outlineLevel="2">
      <c r="A28" s="12" t="s">
        <v>42</v>
      </c>
      <c r="B28" s="0" t="s">
        <v>40</v>
      </c>
      <c r="C28" s="13">
        <f>IFERROR(38.6*(1-w),"")</f>
        <v>37.5192</v>
      </c>
      <c r="D28" s="13">
        <v>38.6</v>
      </c>
      <c r="E28" s="13">
        <v/>
      </c>
      <c r="F28" s="13"/>
      <c r="G28" s="13"/>
      <c r="I28" s="5"/>
    </row>
    <row r="29" outlineLevel="2">
      <c r="A29" s="12" t="s">
        <v>43</v>
      </c>
      <c r="B29" s="0" t="s">
        <v>40</v>
      </c>
      <c r="C29" s="13">
        <f>IFERROR(46*(1-w),"")</f>
        <v>44.711999999999996</v>
      </c>
      <c r="D29" s="13">
        <v>46</v>
      </c>
      <c r="E29" s="13">
        <v>86.46616541353383</v>
      </c>
      <c r="F29" s="13"/>
      <c r="G29" s="13"/>
      <c r="I29" s="5"/>
    </row>
    <row r="30" outlineLevel="2">
      <c r="A30" s="12" t="s">
        <v>44</v>
      </c>
      <c r="B30" s="0" t="s">
        <v>40</v>
      </c>
      <c r="C30" s="13">
        <f>IFERROR(7.2*(1-w),"")</f>
        <v>6.9984000000000028</v>
      </c>
      <c r="D30" s="13">
        <v>7.2000000000000028</v>
      </c>
      <c r="E30" s="13">
        <v>13.53383458646617</v>
      </c>
      <c r="F30" s="13"/>
      <c r="G30" s="13"/>
      <c r="I30" s="5"/>
      <c r="J30" s="0" t="s">
        <v>45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40</v>
      </c>
      <c r="C32" s="13">
        <f>IFERROR(24.8*(1-w),"")</f>
        <v>24.1056</v>
      </c>
      <c r="D32" s="13">
        <v>24.8</v>
      </c>
      <c r="E32" s="13">
        <v>46.616541353383461</v>
      </c>
      <c r="F32" s="13"/>
      <c r="G32" s="13"/>
      <c r="I32" s="5"/>
    </row>
    <row r="33" outlineLevel="2">
      <c r="A33" s="12" t="s">
        <v>48</v>
      </c>
      <c r="B33" s="0" t="s">
        <v>40</v>
      </c>
      <c r="C33" s="13">
        <f>IFERROR(3.6*(1-w),"")</f>
        <v>3.4992</v>
      </c>
      <c r="D33" s="13">
        <v>3.6</v>
      </c>
      <c r="E33" s="13">
        <v>6.7669172932330826</v>
      </c>
      <c r="F33" s="13"/>
      <c r="G33" s="13"/>
      <c r="I33" s="5"/>
    </row>
    <row r="34" outlineLevel="2">
      <c r="A34" s="12" t="s">
        <v>49</v>
      </c>
      <c r="B34" s="0" t="s">
        <v>40</v>
      </c>
      <c r="C34" s="13">
        <f>IFERROR(28.8*(1-w),"")</f>
        <v>27.9936</v>
      </c>
      <c r="D34" s="13">
        <v>28.8</v>
      </c>
      <c r="E34" s="13">
        <v>54.13533834586466</v>
      </c>
      <c r="F34" s="13"/>
      <c r="G34" s="13"/>
      <c r="I34" s="5"/>
    </row>
    <row r="35" outlineLevel="2">
      <c r="A35" s="12" t="s">
        <v>50</v>
      </c>
      <c r="B35" s="0" t="s">
        <v>40</v>
      </c>
      <c r="C35" s="13">
        <f>IFERROR(2.6*(1-w),"")</f>
        <v>2.5272</v>
      </c>
      <c r="D35" s="13">
        <v>2.6</v>
      </c>
      <c r="E35" s="13">
        <v>4.8872180451127818</v>
      </c>
      <c r="F35" s="13"/>
      <c r="G35" s="13"/>
      <c r="I35" s="5"/>
    </row>
    <row r="36" outlineLevel="2">
      <c r="A36" s="12" t="s">
        <v>51</v>
      </c>
      <c r="B36" s="0" t="s">
        <v>40</v>
      </c>
      <c r="C36" s="13">
        <f>IFERROR(1.15013237393034*(1-w),"")</f>
        <v>1.1179286674602904</v>
      </c>
      <c r="D36" s="13">
        <v>1.15013237393034</v>
      </c>
      <c r="E36" s="13">
        <v>2.1619029585156766</v>
      </c>
      <c r="F36" s="13"/>
      <c r="G36" s="13"/>
      <c r="I36" s="5"/>
    </row>
    <row r="37" outlineLevel="2">
      <c r="A37" s="12" t="s">
        <v>52</v>
      </c>
      <c r="B37" s="0" t="s">
        <v>40</v>
      </c>
      <c r="C37" s="13">
        <f>IFERROR(60577.7501323739*(1-w)+w*100,"")</f>
        <v>58884.373128667467</v>
      </c>
      <c r="D37" s="13">
        <v>60577.750132373934</v>
      </c>
      <c r="E37" s="13">
        <v>113779.9814518307</v>
      </c>
      <c r="F37" s="13"/>
      <c r="G37" s="13"/>
      <c r="I37" s="5"/>
      <c r="J37" s="0" t="s">
        <v>45</v>
      </c>
    </row>
    <row r="38" outlineLevel="1">
      <c r="A38" s="11" t="s">
        <v>53</v>
      </c>
      <c r="I38" s="5"/>
    </row>
    <row r="39" outlineLevel="2">
      <c r="A39" s="12" t="s">
        <v>54</v>
      </c>
      <c r="B39" s="0" t="s">
        <v>55</v>
      </c>
      <c r="C39" s="14">
        <f>IFERROR(1960000*(1-w),"")</f>
        <v>1905120</v>
      </c>
      <c r="D39" s="14">
        <v>1960000</v>
      </c>
      <c r="E39" s="14">
        <v>3684210.5263157892</v>
      </c>
      <c r="F39" s="14"/>
      <c r="G39" s="14"/>
      <c r="I39" s="5"/>
    </row>
    <row r="40" outlineLevel="2">
      <c r="A40" s="12" t="s">
        <v>56</v>
      </c>
      <c r="B40" s="0" t="s">
        <v>55</v>
      </c>
      <c r="C40" s="14">
        <f>IFERROR(602740000*(1-w),"")</f>
        <v>585863280</v>
      </c>
      <c r="D40" s="14">
        <v>602740000</v>
      </c>
      <c r="E40" s="14">
        <v>1132969924.81203</v>
      </c>
      <c r="F40" s="14"/>
      <c r="G40" s="14"/>
      <c r="I40" s="5"/>
    </row>
    <row r="41" outlineLevel="2">
      <c r="A41" s="12" t="s">
        <v>57</v>
      </c>
      <c r="B41" s="0" t="s">
        <v>58</v>
      </c>
      <c r="C41" s="14" t="s">
        <v>59</v>
      </c>
      <c r="D41" s="14"/>
      <c r="E41" s="14"/>
      <c r="F41" s="14"/>
      <c r="G41" s="14"/>
      <c r="I41" s="5"/>
    </row>
    <row r="42" outlineLevel="1">
      <c r="A42" s="11" t="s">
        <v>60</v>
      </c>
      <c r="I42" s="5"/>
    </row>
    <row r="43" outlineLevel="2">
      <c r="A43" s="12" t="s">
        <v>61</v>
      </c>
      <c r="B43" s="0" t="s">
        <v>62</v>
      </c>
      <c r="C43" s="13">
        <f>IFERROR(8.6*(1-w)-w*2.443,"")</f>
        <v>8.290796</v>
      </c>
      <c r="D43" s="13">
        <v>8.6</v>
      </c>
      <c r="E43" s="13">
        <v>16.165413533834585</v>
      </c>
      <c r="F43" s="13"/>
      <c r="G43" s="13"/>
      <c r="I43" s="5"/>
      <c r="K43" s="0" t="s">
        <v>63</v>
      </c>
    </row>
    <row r="44" outlineLevel="2">
      <c r="A44" s="12" t="s">
        <v>64</v>
      </c>
      <c r="B44" s="0" t="s">
        <v>62</v>
      </c>
      <c r="C44" s="13">
        <f>IFERROR(9.4*(1-w),"")</f>
        <v>9.1368000000000009</v>
      </c>
      <c r="D44" s="13">
        <v>9.4</v>
      </c>
      <c r="E44" s="13">
        <v>17.669172932330827</v>
      </c>
      <c r="F44" s="13"/>
      <c r="G44" s="13"/>
      <c r="I44" s="5"/>
    </row>
    <row r="45" outlineLevel="2">
      <c r="A45" s="12" t="s">
        <v>65</v>
      </c>
      <c r="B45" s="0" t="s">
        <v>62</v>
      </c>
      <c r="C45" s="13">
        <f>IFERROR(9.14596580085162*(1-w),"")</f>
        <v>8.8898787584277787</v>
      </c>
      <c r="D45" s="13">
        <v>9.1459658008516236</v>
      </c>
      <c r="E45" s="13">
        <v>17.191665039194781</v>
      </c>
      <c r="F45" s="13"/>
      <c r="G45" s="13"/>
      <c r="I45" s="5"/>
      <c r="J45" s="0" t="s">
        <v>45</v>
      </c>
    </row>
    <row r="46" outlineLevel="1">
      <c r="A46" s="11" t="s">
        <v>66</v>
      </c>
      <c r="I46" s="5"/>
    </row>
    <row r="47" outlineLevel="2">
      <c r="A47" s="12" t="s">
        <v>67</v>
      </c>
      <c r="B47" s="0" t="s">
        <v>58</v>
      </c>
      <c r="C47" s="14">
        <v>960.4609441247</v>
      </c>
      <c r="D47" s="14"/>
      <c r="E47" s="14"/>
      <c r="F47" s="14"/>
      <c r="G47" s="14"/>
      <c r="I47" s="5"/>
    </row>
    <row r="48" outlineLevel="2">
      <c r="A48" s="12" t="s">
        <v>68</v>
      </c>
      <c r="B48" s="0" t="s">
        <v>58</v>
      </c>
      <c r="C48" s="14">
        <v>33.6915297947601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58</v>
      </c>
      <c r="C49" s="14">
        <v>88.9359284945468</v>
      </c>
      <c r="D49" s="14"/>
      <c r="E49" s="14"/>
      <c r="F49" s="14"/>
      <c r="G49" s="14"/>
      <c r="I49" s="5"/>
    </row>
    <row r="50" outlineLevel="2">
      <c r="A50" s="12" t="s">
        <v>70</v>
      </c>
      <c r="B50" s="0" t="s">
        <v>58</v>
      </c>
      <c r="C50" s="14">
        <v>21.5950722188428</v>
      </c>
      <c r="D50" s="14"/>
      <c r="E50" s="14"/>
      <c r="F50" s="14"/>
      <c r="G50" s="14"/>
      <c r="I50" s="5"/>
    </row>
    <row r="51" outlineLevel="2">
      <c r="A51" s="12" t="s">
        <v>71</v>
      </c>
      <c r="B51" s="0" t="s">
        <v>58</v>
      </c>
      <c r="C51" s="14">
        <v>12414.042499566</v>
      </c>
      <c r="D51" s="14"/>
      <c r="E51" s="14"/>
      <c r="F51" s="14"/>
      <c r="G51" s="14"/>
      <c r="I51" s="5"/>
    </row>
    <row r="52" outlineLevel="2">
      <c r="A52" s="12" t="s">
        <v>72</v>
      </c>
      <c r="B52" s="0" t="s">
        <v>58</v>
      </c>
      <c r="C52" s="14">
        <v>0.124507962185672</v>
      </c>
      <c r="D52" s="14"/>
      <c r="E52" s="14"/>
      <c r="F52" s="14"/>
      <c r="G52" s="14"/>
      <c r="I52" s="5"/>
    </row>
    <row r="53" outlineLevel="2">
      <c r="A53" s="12" t="s">
        <v>73</v>
      </c>
      <c r="B53" s="0" t="s">
        <v>58</v>
      </c>
      <c r="C53" s="14">
        <v>0.305568732826532</v>
      </c>
      <c r="D53" s="14"/>
      <c r="E53" s="14"/>
      <c r="F53" s="14"/>
      <c r="G53" s="14"/>
      <c r="I53" s="5"/>
    </row>
    <row r="54" outlineLevel="2">
      <c r="A54" s="12" t="s">
        <v>74</v>
      </c>
      <c r="B54" s="0" t="s">
        <v>58</v>
      </c>
      <c r="C54" s="14">
        <v>2.06757148401031</v>
      </c>
      <c r="D54" s="14"/>
      <c r="E54" s="14"/>
      <c r="F54" s="14"/>
      <c r="G54" s="14"/>
      <c r="I54" s="5"/>
    </row>
    <row r="55" outlineLevel="2">
      <c r="A55" s="12" t="s">
        <v>75</v>
      </c>
      <c r="B55" s="0" t="s">
        <v>58</v>
      </c>
      <c r="C55" s="14">
        <v>2.66391262899211</v>
      </c>
      <c r="D55" s="14"/>
      <c r="E55" s="14"/>
      <c r="F55" s="14"/>
      <c r="G55" s="14"/>
      <c r="I55" s="5"/>
    </row>
    <row r="56" outlineLevel="2">
      <c r="A56" s="12" t="s">
        <v>76</v>
      </c>
      <c r="B56" s="0" t="s">
        <v>58</v>
      </c>
      <c r="C56" s="14">
        <v>807.900209963455</v>
      </c>
      <c r="D56" s="14"/>
      <c r="E56" s="14"/>
      <c r="F56" s="14"/>
      <c r="G56" s="14"/>
      <c r="I56" s="5"/>
    </row>
    <row r="57" outlineLevel="2">
      <c r="A57" s="12" t="s">
        <v>77</v>
      </c>
      <c r="B57" s="0" t="s">
        <v>58</v>
      </c>
      <c r="C57" s="14">
        <v>0.0197</v>
      </c>
      <c r="D57" s="14"/>
      <c r="E57" s="14"/>
      <c r="F57" s="14"/>
      <c r="G57" s="14"/>
      <c r="I57" s="5"/>
    </row>
    <row r="58" outlineLevel="2">
      <c r="A58" s="12" t="s">
        <v>78</v>
      </c>
      <c r="B58" s="0" t="s">
        <v>58</v>
      </c>
      <c r="C58" s="14">
        <v>92995.1074642701</v>
      </c>
      <c r="D58" s="14"/>
      <c r="E58" s="14"/>
      <c r="F58" s="14"/>
      <c r="G58" s="14"/>
      <c r="I58" s="5"/>
    </row>
    <row r="59" outlineLevel="2">
      <c r="A59" s="12" t="s">
        <v>79</v>
      </c>
      <c r="B59" s="0" t="s">
        <v>58</v>
      </c>
      <c r="C59" s="14">
        <v>2.05875657783741</v>
      </c>
      <c r="D59" s="14"/>
      <c r="E59" s="14"/>
      <c r="F59" s="14"/>
      <c r="G59" s="14"/>
      <c r="I59" s="5"/>
    </row>
    <row r="60" outlineLevel="2">
      <c r="A60" s="12" t="s">
        <v>80</v>
      </c>
      <c r="B60" s="0" t="s">
        <v>58</v>
      </c>
      <c r="C60" s="14">
        <v>10531.234648562</v>
      </c>
      <c r="D60" s="14"/>
      <c r="E60" s="14"/>
      <c r="F60" s="14"/>
      <c r="G60" s="14"/>
      <c r="I60" s="5"/>
    </row>
    <row r="61" outlineLevel="2">
      <c r="A61" s="12" t="s">
        <v>81</v>
      </c>
      <c r="B61" s="0" t="s">
        <v>58</v>
      </c>
      <c r="C61" s="14">
        <v>25.8974920605036</v>
      </c>
      <c r="D61" s="14"/>
      <c r="E61" s="14"/>
      <c r="F61" s="14"/>
      <c r="G61" s="14"/>
      <c r="I61" s="5"/>
    </row>
    <row r="62" outlineLevel="2">
      <c r="A62" s="12" t="s">
        <v>82</v>
      </c>
      <c r="B62" s="0" t="s">
        <v>58</v>
      </c>
      <c r="C62" s="14">
        <v>0.290681637181827</v>
      </c>
      <c r="D62" s="14"/>
      <c r="E62" s="14"/>
      <c r="F62" s="14"/>
      <c r="G62" s="14"/>
      <c r="I62" s="5"/>
    </row>
    <row r="63" outlineLevel="2">
      <c r="A63" s="12" t="s">
        <v>83</v>
      </c>
      <c r="B63" s="0" t="s">
        <v>58</v>
      </c>
      <c r="C63" s="14">
        <v>71401.4668235579</v>
      </c>
      <c r="D63" s="14"/>
      <c r="E63" s="14"/>
      <c r="F63" s="14"/>
      <c r="G63" s="14"/>
      <c r="I63" s="5"/>
    </row>
    <row r="64" outlineLevel="2">
      <c r="A64" s="12" t="s">
        <v>84</v>
      </c>
      <c r="B64" s="0" t="s">
        <v>58</v>
      </c>
      <c r="C64" s="14">
        <v>1.42381050151253</v>
      </c>
      <c r="D64" s="14"/>
      <c r="E64" s="14"/>
      <c r="F64" s="14"/>
      <c r="G64" s="14"/>
      <c r="I64" s="5"/>
    </row>
    <row r="65" outlineLevel="2">
      <c r="A65" s="12" t="s">
        <v>85</v>
      </c>
      <c r="B65" s="0" t="s">
        <v>58</v>
      </c>
      <c r="C65" s="14">
        <v>10062.2304671688</v>
      </c>
      <c r="D65" s="14"/>
      <c r="E65" s="14"/>
      <c r="F65" s="14"/>
      <c r="G65" s="14"/>
      <c r="I65" s="5"/>
    </row>
    <row r="66" outlineLevel="2">
      <c r="A66" s="12" t="s">
        <v>86</v>
      </c>
      <c r="B66" s="0" t="s">
        <v>58</v>
      </c>
      <c r="C66" s="14">
        <v>1.15719936145543</v>
      </c>
      <c r="D66" s="14"/>
      <c r="E66" s="14"/>
      <c r="F66" s="14"/>
      <c r="G66" s="14"/>
      <c r="I66" s="5"/>
    </row>
    <row r="67" outlineLevel="2">
      <c r="A67" s="12" t="s">
        <v>87</v>
      </c>
      <c r="B67" s="0" t="s">
        <v>58</v>
      </c>
      <c r="C67" s="14" t="s">
        <v>88</v>
      </c>
      <c r="D67" s="14"/>
      <c r="E67" s="14"/>
      <c r="F67" s="14"/>
      <c r="G67" s="14"/>
      <c r="I67" s="5"/>
    </row>
    <row r="68" outlineLevel="2">
      <c r="A68" s="12" t="s">
        <v>89</v>
      </c>
      <c r="B68" s="0" t="s">
        <v>58</v>
      </c>
      <c r="C68" s="14" t="s">
        <v>90</v>
      </c>
      <c r="D68" s="14"/>
      <c r="E68" s="14"/>
      <c r="F68" s="14"/>
      <c r="G68" s="14"/>
      <c r="I68" s="5"/>
    </row>
    <row r="69" outlineLevel="2">
      <c r="A69" s="12" t="s">
        <v>91</v>
      </c>
      <c r="B69" s="0" t="s">
        <v>58</v>
      </c>
      <c r="C69" s="14">
        <v>3258.82430990887</v>
      </c>
      <c r="D69" s="14"/>
      <c r="E69" s="14"/>
      <c r="F69" s="14"/>
      <c r="G69" s="14"/>
      <c r="I69" s="5"/>
    </row>
    <row r="70" outlineLevel="2">
      <c r="A70" s="12" t="s">
        <v>92</v>
      </c>
      <c r="B70" s="0" t="s">
        <v>58</v>
      </c>
      <c r="C70" s="14">
        <v>0.155502572562485</v>
      </c>
      <c r="D70" s="14"/>
      <c r="E70" s="14"/>
      <c r="F70" s="14"/>
      <c r="G70" s="14"/>
      <c r="I70" s="5"/>
    </row>
    <row r="71" outlineLevel="2">
      <c r="A71" s="12" t="s">
        <v>93</v>
      </c>
      <c r="B71" s="0" t="s">
        <v>58</v>
      </c>
      <c r="C71" s="14">
        <v>888.572669306558</v>
      </c>
      <c r="D71" s="14"/>
      <c r="E71" s="14"/>
      <c r="F71" s="14"/>
      <c r="G71" s="14"/>
      <c r="I71" s="5"/>
    </row>
    <row r="72" outlineLevel="2">
      <c r="A72" s="12" t="s">
        <v>94</v>
      </c>
      <c r="B72" s="0" t="s">
        <v>58</v>
      </c>
      <c r="C72" s="14">
        <v>58.945137481771</v>
      </c>
      <c r="D72" s="14"/>
      <c r="E72" s="14"/>
      <c r="F72" s="14"/>
      <c r="G72" s="14"/>
      <c r="I72" s="5"/>
    </row>
    <row r="73" outlineLevel="2">
      <c r="A73" s="12" t="s">
        <v>95</v>
      </c>
      <c r="B73" s="0" t="s">
        <v>58</v>
      </c>
      <c r="C73" s="14">
        <v>2.41136656676464</v>
      </c>
      <c r="D73" s="14"/>
      <c r="E73" s="14"/>
      <c r="F73" s="14"/>
      <c r="G73" s="14"/>
      <c r="I73" s="5"/>
    </row>
    <row r="74" outlineLevel="2">
      <c r="A74" s="12" t="s">
        <v>96</v>
      </c>
      <c r="B74" s="0" t="s">
        <v>58</v>
      </c>
      <c r="C74" s="14" t="s">
        <v>97</v>
      </c>
      <c r="D74" s="14"/>
      <c r="E74" s="14"/>
      <c r="F74" s="14"/>
      <c r="G74" s="14"/>
      <c r="I74" s="5"/>
    </row>
    <row r="75" outlineLevel="2">
      <c r="A75" s="12" t="s">
        <v>98</v>
      </c>
      <c r="B75" s="0" t="s">
        <v>58</v>
      </c>
      <c r="C75" s="14">
        <v>29.0465744036655</v>
      </c>
      <c r="D75" s="14"/>
      <c r="E75" s="14"/>
      <c r="F75" s="14"/>
      <c r="G75" s="14"/>
      <c r="I75" s="5"/>
    </row>
    <row r="76" outlineLevel="1">
      <c r="A76" s="11" t="s">
        <v>99</v>
      </c>
      <c r="I76" s="5"/>
    </row>
    <row r="77" outlineLevel="2">
      <c r="A77" s="15" t="s">
        <v>100</v>
      </c>
      <c r="I77" s="5"/>
    </row>
    <row r="78" outlineLevel="3">
      <c r="A78" s="16" t="s">
        <v>101</v>
      </c>
      <c r="B78" s="0" t="s">
        <v>102</v>
      </c>
      <c r="C78" s="13">
        <v>26.86</v>
      </c>
      <c r="D78" s="13"/>
      <c r="E78" s="13"/>
      <c r="F78" s="13"/>
      <c r="G78" s="13"/>
      <c r="I78" s="5"/>
    </row>
    <row r="79" outlineLevel="2">
      <c r="A79" s="15" t="s">
        <v>103</v>
      </c>
      <c r="I79" s="5"/>
    </row>
    <row r="80" outlineLevel="3">
      <c r="A80" s="16" t="s">
        <v>104</v>
      </c>
      <c r="B80" s="0" t="s">
        <v>102</v>
      </c>
      <c r="C80" s="13">
        <v>0.52</v>
      </c>
      <c r="D80" s="13"/>
      <c r="E80" s="13"/>
      <c r="F80" s="13"/>
      <c r="G80" s="13"/>
      <c r="I80" s="5"/>
    </row>
    <row r="81" outlineLevel="3">
      <c r="A81" s="16" t="s">
        <v>105</v>
      </c>
      <c r="B81" s="0" t="s">
        <v>102</v>
      </c>
      <c r="C81" s="13">
        <v>1.21</v>
      </c>
      <c r="D81" s="13"/>
      <c r="E81" s="13"/>
      <c r="F81" s="13"/>
      <c r="G81" s="13"/>
      <c r="I81" s="5"/>
    </row>
    <row r="82" outlineLevel="3">
      <c r="A82" s="16" t="s">
        <v>106</v>
      </c>
      <c r="B82" s="0" t="s">
        <v>102</v>
      </c>
      <c r="C82" s="13">
        <v>1.04</v>
      </c>
      <c r="D82" s="13"/>
      <c r="E82" s="13"/>
      <c r="F82" s="13"/>
      <c r="G82" s="13"/>
      <c r="I82" s="5"/>
    </row>
    <row r="83" outlineLevel="3">
      <c r="A83" s="16" t="s">
        <v>107</v>
      </c>
      <c r="B83" s="0" t="s">
        <v>102</v>
      </c>
      <c r="C83" s="13">
        <v>4.62</v>
      </c>
      <c r="D83" s="13"/>
      <c r="E83" s="13"/>
      <c r="F83" s="13"/>
      <c r="G83" s="13"/>
      <c r="I83" s="5"/>
    </row>
    <row r="84" outlineLevel="3">
      <c r="A84" s="16" t="s">
        <v>108</v>
      </c>
      <c r="B84" s="0" t="s">
        <v>102</v>
      </c>
      <c r="C84" s="13">
        <v>0.77</v>
      </c>
      <c r="D84" s="13"/>
      <c r="E84" s="13"/>
      <c r="F84" s="13"/>
      <c r="G84" s="13"/>
      <c r="I84" s="5"/>
    </row>
    <row r="85" outlineLevel="2">
      <c r="A85" s="15" t="s">
        <v>109</v>
      </c>
      <c r="I85" s="5"/>
    </row>
    <row r="86" outlineLevel="3">
      <c r="A86" s="16" t="s">
        <v>110</v>
      </c>
      <c r="B86" s="0" t="s">
        <v>102</v>
      </c>
      <c r="C86" s="13">
        <v>3.81</v>
      </c>
      <c r="D86" s="13"/>
      <c r="E86" s="13"/>
      <c r="F86" s="13"/>
      <c r="G86" s="13"/>
      <c r="I86" s="5"/>
    </row>
    <row r="87" outlineLevel="3">
      <c r="A87" s="16" t="s">
        <v>111</v>
      </c>
      <c r="B87" s="0" t="s">
        <v>102</v>
      </c>
      <c r="C87" s="13">
        <v>0.82</v>
      </c>
      <c r="D87" s="13"/>
      <c r="E87" s="13"/>
      <c r="F87" s="13"/>
      <c r="G87" s="13"/>
      <c r="I87" s="5"/>
    </row>
    <row r="88" outlineLevel="3">
      <c r="A88" s="16" t="s">
        <v>112</v>
      </c>
      <c r="B88" s="0" t="s">
        <v>102</v>
      </c>
      <c r="C88" s="13">
        <v>14.07</v>
      </c>
      <c r="D88" s="13"/>
      <c r="E88" s="13"/>
      <c r="F88" s="13"/>
      <c r="G88" s="13"/>
      <c r="I88" s="5"/>
    </row>
    <row r="89">
      <c r="I89" s="5"/>
    </row>
    <row r="90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1:E41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8:E78"/>
    <mergeCell ref="C80:E80"/>
    <mergeCell ref="C81:E81"/>
    <mergeCell ref="C82:E82"/>
    <mergeCell ref="C83:E83"/>
    <mergeCell ref="C84:E84"/>
    <mergeCell ref="C86:E86"/>
    <mergeCell ref="C87:E87"/>
    <mergeCell ref="C88:E88"/>
  </mergeCells>
  <dataValidations count="1">
    <dataValidation type="decimal" sqref="C26" errorStyle="stop" promptTitle="Enter moisture content" errorTitle="Invalid moisture content" prompt="Value should be between 0 and 100.&#10;Original value: 2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https://phyllis.nl/Biomass/View/3636</dc:description>
  <dcterms:created xsi:type="dcterms:W3CDTF">2026-03-17T05:59:11Z</dcterms:created>
  <dc:title>Phyllis2 #3636 Undaria pinnatifida (Wakame)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