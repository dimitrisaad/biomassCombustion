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4 olive pits" sheetId="1" r:id="rId1"/>
  </sheets>
  <definedNames>
    <definedName name="w" localSheetId="0">IF(ISBLANK('Phyllis2 #364 olive pits'!$C$18),#N/A,'Phyllis2 #364 olive pits'!$C$18/100)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<sst xmlns="http://schemas.openxmlformats.org/spreadsheetml/2006/main" count="66" uniqueCount="66">
  <si>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</si>
  <si>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https://phyllis.nl/Biomass/View/364</t>
  </si>
  <si>
    <t>olive pits (#364)</t>
  </si>
  <si>
    <t>ID-number</t>
  </si>
  <si>
    <t>#364</t>
  </si>
  <si>
    <t>Material</t>
  </si>
  <si>
    <t>olive pits</t>
  </si>
  <si>
    <t>Classification</t>
  </si>
  <si>
    <t>ECN Phyllis classification &gt; husk/shell/pit &gt; olive &gt; olive pits</t>
  </si>
  <si>
    <t>NTA 8003 classification &gt; [500] biomassa uit de industrie &gt; [520] schillen/vliezen/pitten &gt; [524] olijven</t>
  </si>
  <si>
    <t>Ash type</t>
  </si>
  <si>
    <t>ASTM D1102; 600C ASTM D 1102, 600 Degree Celcius</t>
  </si>
  <si>
    <t>Submitter organisation</t>
  </si>
  <si>
    <t>ECN (Netherlands)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</si>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</sst>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6.08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IFERROR(1.72*(1-w),"")</f>
        <v>1.615424</v>
      </c>
      <c r="D19" s="11">
        <v>1.72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IFERROR(82*(1-w),"")</f>
        <v>77.014400000000009</v>
      </c>
      <c r="D20" s="11">
        <v>82</v>
      </c>
      <c r="E20" s="11">
        <v>83.435083435083428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IFERROR(16.28*(1-w),"")</f>
        <v>15.290176000000002</v>
      </c>
      <c r="D21" s="11">
        <v>16.28</v>
      </c>
      <c r="E21" s="11">
        <v>16.564916564916565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IFERROR(52.8*(1-w),"")</f>
        <v>49.58976</v>
      </c>
      <c r="D23" s="11">
        <v>52.8</v>
      </c>
      <c r="E23" s="11">
        <v>53.724053724053718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IFERROR(6.69*(1-w),"")</f>
        <v>6.283248</v>
      </c>
      <c r="D24" s="11">
        <v>6.69</v>
      </c>
      <c r="E24" s="11">
        <v>6.8070818070818078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IFERROR(38.25*(1-w),"")</f>
        <v>35.9244</v>
      </c>
      <c r="D25" s="11">
        <v>38.25</v>
      </c>
      <c r="E25" s="11">
        <v>38.91941391941392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IFERROR(0.45*(1-w),"")</f>
        <v>0.42264</v>
      </c>
      <c r="D26" s="11">
        <v>0.45</v>
      </c>
      <c r="E26" s="11">
        <v>0.45787545787545786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IFERROR(0.05*(1-w),"")</f>
        <v>0.04696</v>
      </c>
      <c r="D27" s="11">
        <v>0.05</v>
      </c>
      <c r="E27" s="11">
        <v>0.050875050875050877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IFERROR(400*(1-w),"")</f>
        <v>375.68</v>
      </c>
      <c r="D30" s="12">
        <v>400</v>
      </c>
      <c r="E30" s="12">
        <v>407.000407000407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IFERROR(20.15213*(1-w)-w*2.443,"")</f>
        <v>18.778346096</v>
      </c>
      <c r="D32" s="11">
        <v>20.15213</v>
      </c>
      <c r="E32" s="11">
        <v>20.504812779812781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IFERROR(21.612*(1-w),"")</f>
        <v>20.2979904</v>
      </c>
      <c r="D33" s="11">
        <v>21.612</v>
      </c>
      <c r="E33" s="11">
        <v>21.990231990231987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IFERROR(22.1825466352*(1-w),"")</f>
        <v>20.833847799779839</v>
      </c>
      <c r="D34" s="11">
        <v>22.182546635199998</v>
      </c>
      <c r="E34" s="11">
        <v>22.570763772079768</v>
      </c>
      <c r="F34" s="11"/>
      <c r="G34" s="11"/>
      <c r="I34" s="13"/>
      <c r="J34" s="0" t="s">
        <v>36</v>
      </c>
    </row>
    <row r="35">
      <c r="A35" s="5" t="s">
        <v>53</v>
      </c>
      <c r="I35" s="13"/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1">
        <v>0.56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56</v>
      </c>
      <c r="C38" s="11">
        <v>2.46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56</v>
      </c>
      <c r="C39" s="11">
        <v>30.82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56</v>
      </c>
      <c r="C40" s="11">
        <v>6.58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56</v>
      </c>
      <c r="C41" s="11">
        <v>8.84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56</v>
      </c>
      <c r="C42" s="11">
        <v>14.56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56</v>
      </c>
      <c r="C43" s="11">
        <v>4.24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56</v>
      </c>
      <c r="C44" s="11">
        <v>27.8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56</v>
      </c>
      <c r="C45" s="11">
        <v>4.4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56</v>
      </c>
      <c r="C46" s="11">
        <v>0.34</v>
      </c>
      <c r="D46" s="11"/>
      <c r="E46" s="11"/>
      <c r="F46" s="11"/>
      <c r="G46" s="11"/>
      <c r="I46" s="13"/>
    </row>
    <row r="47">
      <c r="I47" s="13"/>
    </row>
    <row r="4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8" errorStyle="stop" promptTitle="Enter moisture content" errorTitle="Invalid moisture content" prompt="Value should be between 0 and 100.&#10;Original value: 6.0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https://phyllis.nl/Biomass/View/364</dc:description>
  <dcterms:created xsi:type="dcterms:W3CDTF">2026-03-17T05:42:01Z</dcterms:created>
  <dc:title>Phyllis2 #364 olive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