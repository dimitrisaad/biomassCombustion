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40 Pistachios clipp" sheetId="1" r:id="rId1"/>
  </sheets>
  <definedNames>
    <definedName name="w" localSheetId="0">IF(ISBLANK('Phyllis2 #3640 Pistachios clipp'!$C$16),#N/A,'Phyllis2 #3640 Pistachios clipp'!$C$16/100)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<sst xmlns="http://schemas.openxmlformats.org/spreadsheetml/2006/main" count="97" uniqueCount="97">
  <si>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</si>
  <si>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https://phyllis.nl/Biomass/View/3640</t>
  </si>
  <si>
    <t>Pistachios clippings 650°C (#3640)</t>
  </si>
  <si>
    <t>ID-number</t>
  </si>
  <si>
    <t>#3640</t>
  </si>
  <si>
    <t>Material</t>
  </si>
  <si>
    <t>Pistachios clippings 650°C</t>
  </si>
  <si>
    <t>Classification</t>
  </si>
  <si>
    <t>ECN Phyllis classification &gt; husk/shell/pit</t>
  </si>
  <si>
    <t>Submitter organisation</t>
  </si>
  <si>
    <t>TNO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</si>
  <si>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</si>
  <si>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</si>
  <si>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</si>
  <si>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</si>
  <si>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</si>
  <si>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</si>
  <si>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</si>
  <si>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</si>
  <si>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</si>
  <si>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</si>
  <si>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</si>
  <si>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</si>
  <si>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</si>
  <si>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</si>
  <si>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</si>
  <si>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</si>
  <si>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</si>
  <si>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</si>
  <si>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NEN-EN-ISO 18134-3</t>
  </si>
  <si>
    <t>Ash content at 550°C</t>
  </si>
  <si>
    <t>wt%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</si>
  <si>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</si>
  <si>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</si>
  <si>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</si>
  <si>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</si>
  <si>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</si>
  <si>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</si>
  <si>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</si>
  <si>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</si>
  <si>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</si>
  <si>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</si>
  <si>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</si>
  <si>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</si>
  <si>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</si>
  <si>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</si>
  <si>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</si>
  <si>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</si>
  <si>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</si>
  <si>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</si>
  <si>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</si>
  <si>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</si>
  <si>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</si>
  <si>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</si>
  <si>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</si>
  <si>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</si>
  <si>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</si>
  <si>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</si>
  <si>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</si>
  <si>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</si>
  <si>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</si>
  <si>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mg/kg (dry)</t>
  </si>
  <si>
    <t>Arsenic (As)</t>
  </si>
  <si>
    <t>&lt; 7</t>
  </si>
  <si>
    <t>Boron (B)</t>
  </si>
  <si>
    <t>Barium (Ba)</t>
  </si>
  <si>
    <t>Calcium (Ca)</t>
  </si>
  <si>
    <t>Cadmium (Cd)</t>
  </si>
  <si>
    <t>&lt; 0.5</t>
  </si>
  <si>
    <t>Cobalt (Co)</t>
  </si>
  <si>
    <t>Chromium (Cr)</t>
  </si>
  <si>
    <t>&lt; 4.4</t>
  </si>
  <si>
    <t>Copper (Cu)</t>
  </si>
  <si>
    <t>Iron (Fe)</t>
  </si>
  <si>
    <t>Potassium (K)</t>
  </si>
  <si>
    <t>Lithium (Li)</t>
  </si>
  <si>
    <t>&lt; 1.5</t>
  </si>
  <si>
    <t>Magnesium (Mg)</t>
  </si>
  <si>
    <t>Manganese (Mn)</t>
  </si>
  <si>
    <t>Molybdenium (Mo)</t>
  </si>
  <si>
    <t>&lt; 4</t>
  </si>
  <si>
    <t>Sodium (Na)</t>
  </si>
  <si>
    <t>Nickel (Ni)</t>
  </si>
  <si>
    <t>Phosphorus (P)</t>
  </si>
  <si>
    <t>Lead (Pb)</t>
  </si>
  <si>
    <t>&lt; 3</t>
  </si>
  <si>
    <t>Antimony (Sb)</t>
  </si>
  <si>
    <t>&lt; 17</t>
  </si>
  <si>
    <t>Selenium (Se)</t>
  </si>
  <si>
    <t>Silicon (Si)</t>
  </si>
  <si>
    <t>Tin (Sn)</t>
  </si>
  <si>
    <t>Strontium (Sr)</t>
  </si>
  <si>
    <t>Titanium (Ti)</t>
  </si>
  <si>
    <t>Vanadium (V)</t>
  </si>
  <si>
    <t>&lt; 1.2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</si>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</sst>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44802.2820949074</v>
      </c>
    </row>
    <row r="10">
      <c r="A10" s="7"/>
    </row>
    <row r="11" s="1" customFormat="1">
      <c r="A11" s="9" t="s">
        <v>12</v>
      </c>
    </row>
    <row r="12" s="1" customFormat="1">
      <c r="A12" s="10" t="s">
        <v>13</v>
      </c>
      <c r="B12" s="10" t="s">
        <v>14</v>
      </c>
      <c r="C12" s="10" t="s">
        <v>15</v>
      </c>
      <c r="D12" s="10"/>
      <c r="E12" s="10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/>
    </row>
    <row r="13" s="1" customFormat="1">
      <c r="A13" s="10"/>
      <c r="B13" s="10"/>
      <c r="C13" s="10" t="s">
        <v>22</v>
      </c>
      <c r="D13" s="10" t="s">
        <v>23</v>
      </c>
      <c r="E13" s="10" t="s">
        <v>24</v>
      </c>
      <c r="F13" s="10"/>
      <c r="G13" s="10"/>
      <c r="H13" s="10"/>
      <c r="I13" s="10"/>
      <c r="J13" s="10"/>
      <c r="K13" s="10"/>
      <c r="L13" s="10"/>
    </row>
    <row r="14">
      <c r="A14" s="7" t="s">
        <v>25</v>
      </c>
      <c r="I14" s="5"/>
    </row>
    <row r="15" outlineLevel="1">
      <c r="A15" s="11" t="s">
        <v>26</v>
      </c>
      <c r="I15" s="5"/>
    </row>
    <row r="16" outlineLevel="2">
      <c r="A16" s="12" t="s">
        <v>27</v>
      </c>
      <c r="B16" s="0" t="s">
        <v>28</v>
      </c>
      <c r="C16" s="13">
        <v/>
      </c>
      <c r="D16" s="13"/>
      <c r="E16" s="13"/>
      <c r="F16" s="13"/>
      <c r="G16" s="13"/>
      <c r="I16" s="5"/>
      <c r="J16" s="0" t="s">
        <v>29</v>
      </c>
    </row>
    <row r="17" outlineLevel="2">
      <c r="A17" s="12" t="s">
        <v>30</v>
      </c>
      <c r="B17" s="0" t="s">
        <v>31</v>
      </c>
      <c r="C17" s="13">
        <f>IFERROR(13.1397078120898*(1-w),"")</f>
        <v/>
      </c>
      <c r="D17" s="13">
        <v>13.1397078120898</v>
      </c>
      <c r="E17" s="13">
        <v/>
      </c>
      <c r="F17" s="13"/>
      <c r="G17" s="13"/>
      <c r="I17" s="5"/>
      <c r="J17" s="0" t="s">
        <v>32</v>
      </c>
    </row>
    <row r="18" outlineLevel="2">
      <c r="A18" s="12" t="s">
        <v>33</v>
      </c>
      <c r="B18" s="0" t="s">
        <v>31</v>
      </c>
      <c r="C18" s="13">
        <f>IFERROR(9.54422185285612*(1-w),"")</f>
        <v/>
      </c>
      <c r="D18" s="13">
        <v>9.54422185285612</v>
      </c>
      <c r="E18" s="13">
        <v/>
      </c>
      <c r="F18" s="13"/>
      <c r="G18" s="13"/>
      <c r="I18" s="5"/>
      <c r="J18" s="0" t="s">
        <v>32</v>
      </c>
    </row>
    <row r="19" outlineLevel="2">
      <c r="A19" s="12" t="s">
        <v>34</v>
      </c>
      <c r="B19" s="0" t="s">
        <v>31</v>
      </c>
      <c r="C19" s="13">
        <f>IFERROR(9.97372865453174*(1-w),"")</f>
        <v/>
      </c>
      <c r="D19" s="13">
        <v>9.97372865453174</v>
      </c>
      <c r="E19" s="13">
        <v>11.482494939062558</v>
      </c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31</v>
      </c>
      <c r="C20" s="13">
        <f>IFERROR(76.8865635333785*(1-w),"")</f>
        <v/>
      </c>
      <c r="D20" s="13">
        <v>76.886563533378464</v>
      </c>
      <c r="E20" s="13">
        <v>88.517505060937438</v>
      </c>
      <c r="F20" s="13"/>
      <c r="G20" s="13"/>
      <c r="I20" s="5"/>
      <c r="J20" s="0" t="s">
        <v>37</v>
      </c>
    </row>
    <row r="21" outlineLevel="1">
      <c r="A21" s="11" t="s">
        <v>38</v>
      </c>
      <c r="I21" s="5"/>
    </row>
    <row r="22" outlineLevel="2">
      <c r="A22" s="12" t="s">
        <v>39</v>
      </c>
      <c r="B22" s="0" t="s">
        <v>31</v>
      </c>
      <c r="C22" s="13">
        <f>IFERROR(79.344190569889*(1-w),"")</f>
        <v/>
      </c>
      <c r="D22" s="13">
        <v>79.344190569889</v>
      </c>
      <c r="E22" s="13">
        <v>91.346907282143178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31</v>
      </c>
      <c r="C23" s="13">
        <f>IFERROR(1.74318984250249*(1-w),"")</f>
        <v/>
      </c>
      <c r="D23" s="13">
        <v>1.74318984250249</v>
      </c>
      <c r="E23" s="13">
        <v>2.0068892224439452</v>
      </c>
      <c r="F23" s="13"/>
      <c r="G23" s="13"/>
      <c r="I23" s="5"/>
      <c r="J23" s="0" t="s">
        <v>40</v>
      </c>
    </row>
    <row r="24" outlineLevel="2">
      <c r="A24" s="12" t="s">
        <v>42</v>
      </c>
      <c r="B24" s="0" t="s">
        <v>31</v>
      </c>
      <c r="C24" s="13">
        <f>IFERROR(7.32218806155655*(1-w),"")</f>
        <v/>
      </c>
      <c r="D24" s="13">
        <v>7.32218806155655</v>
      </c>
      <c r="E24" s="13">
        <v>8.4298450731848913</v>
      </c>
      <c r="F24" s="13"/>
      <c r="G24" s="13"/>
      <c r="I24" s="5"/>
      <c r="J24" s="0" t="s">
        <v>43</v>
      </c>
    </row>
    <row r="25" outlineLevel="2">
      <c r="A25" s="12" t="s">
        <v>44</v>
      </c>
      <c r="B25" s="0" t="s">
        <v>31</v>
      </c>
      <c r="C25" s="13">
        <f>IFERROR(1.44648171563033*(1-w),"")</f>
        <v/>
      </c>
      <c r="D25" s="13">
        <v>1.44648171563033</v>
      </c>
      <c r="E25" s="13">
        <v>1.6652968568204529</v>
      </c>
      <c r="F25" s="13"/>
      <c r="G25" s="13"/>
      <c r="I25" s="5"/>
      <c r="J25" s="0" t="s">
        <v>40</v>
      </c>
    </row>
    <row r="26" outlineLevel="2">
      <c r="A26" s="12" t="s">
        <v>45</v>
      </c>
      <c r="B26" s="0" t="s">
        <v>31</v>
      </c>
      <c r="C26" s="13">
        <f>IFERROR(0.087575734988723*(1-w),"")</f>
        <v/>
      </c>
      <c r="D26" s="13">
        <v>0.087575734988723</v>
      </c>
      <c r="E26" s="13">
        <v>0.10082367072777632</v>
      </c>
      <c r="F26" s="13"/>
      <c r="G26" s="13"/>
      <c r="I26" s="5"/>
      <c r="J26" s="0" t="s">
        <v>46</v>
      </c>
    </row>
    <row r="27" outlineLevel="2">
      <c r="A27" s="12" t="s">
        <v>47</v>
      </c>
      <c r="B27" s="0" t="s">
        <v>31</v>
      </c>
      <c r="C27" s="13">
        <f>IFERROR(103.100226233977*(1-w)+w*100,"")</f>
        <v/>
      </c>
      <c r="D27" s="13">
        <v>103.10022623397734</v>
      </c>
      <c r="E27" s="13">
        <v>103.56920999905276</v>
      </c>
      <c r="F27" s="13"/>
      <c r="G27" s="13"/>
      <c r="I27" s="5"/>
      <c r="J27" s="0" t="s">
        <v>37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50</v>
      </c>
      <c r="C29" s="14">
        <f>IFERROR(2.48419078242229*(1-w),"")</f>
        <v/>
      </c>
      <c r="D29" s="14">
        <v>2.48419078242229</v>
      </c>
      <c r="E29" s="14">
        <v>2.8599843724311764</v>
      </c>
      <c r="F29" s="14"/>
      <c r="G29" s="14"/>
      <c r="I29" s="5"/>
      <c r="J29" s="0" t="s">
        <v>51</v>
      </c>
    </row>
    <row r="30" outlineLevel="2">
      <c r="A30" s="12" t="s">
        <v>52</v>
      </c>
      <c r="B30" s="0" t="s">
        <v>50</v>
      </c>
      <c r="C30" s="14">
        <f>IFERROR(166.440782422294*(1-w),"")</f>
        <v/>
      </c>
      <c r="D30" s="14">
        <v>166.440782422294</v>
      </c>
      <c r="E30" s="14">
        <v>191.61895295288949</v>
      </c>
      <c r="F30" s="14"/>
      <c r="G30" s="14"/>
      <c r="I30" s="5"/>
      <c r="J30" s="0" t="s">
        <v>51</v>
      </c>
    </row>
    <row r="31" outlineLevel="2">
      <c r="A31" s="12" t="s">
        <v>53</v>
      </c>
      <c r="B31" s="0" t="s">
        <v>50</v>
      </c>
      <c r="C31" s="14">
        <f>IFERROR(0*(1-w),"")</f>
        <v/>
      </c>
      <c r="D31" s="14">
        <v>0</v>
      </c>
      <c r="E31" s="14">
        <v>0</v>
      </c>
      <c r="F31" s="14"/>
      <c r="G31" s="14"/>
      <c r="I31" s="5"/>
      <c r="J31" s="0" t="s">
        <v>51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56</v>
      </c>
      <c r="C33" s="13">
        <f>IFERROR(29.8865824585549*(1-w),"")</f>
        <v/>
      </c>
      <c r="D33" s="13">
        <v>29.8865824585549</v>
      </c>
      <c r="E33" s="13">
        <v>34.407646699943655</v>
      </c>
      <c r="F33" s="13"/>
      <c r="G33" s="13"/>
      <c r="I33" s="5"/>
      <c r="J33" s="0" t="s">
        <v>57</v>
      </c>
    </row>
    <row r="34" outlineLevel="2">
      <c r="A34" s="12" t="s">
        <v>58</v>
      </c>
      <c r="B34" s="0" t="s">
        <v>56</v>
      </c>
      <c r="C34" s="13">
        <f>IFERROR(28.1400114927255*(1-w),"")</f>
        <v/>
      </c>
      <c r="D34" s="13">
        <v>28.140011492725488</v>
      </c>
      <c r="E34" s="13">
        <v>32.396864877968028</v>
      </c>
      <c r="F34" s="13"/>
      <c r="G34" s="13"/>
      <c r="I34" s="5"/>
      <c r="J34" s="0" t="s">
        <v>37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321.939083423415</v>
      </c>
      <c r="D36" s="14"/>
      <c r="E36" s="14"/>
      <c r="F36" s="14"/>
      <c r="G36" s="14"/>
      <c r="I36" s="5"/>
      <c r="J36" s="0" t="s">
        <v>46</v>
      </c>
    </row>
    <row r="37" outlineLevel="2">
      <c r="A37" s="12" t="s">
        <v>62</v>
      </c>
      <c r="B37" s="0" t="s">
        <v>61</v>
      </c>
      <c r="C37" s="14" t="s">
        <v>63</v>
      </c>
      <c r="D37" s="14"/>
      <c r="E37" s="14"/>
      <c r="F37" s="14"/>
      <c r="G37" s="14"/>
      <c r="I37" s="5"/>
      <c r="J37" s="0" t="s">
        <v>46</v>
      </c>
    </row>
    <row r="38" outlineLevel="2">
      <c r="A38" s="12" t="s">
        <v>64</v>
      </c>
      <c r="B38" s="0" t="s">
        <v>61</v>
      </c>
      <c r="C38" s="14">
        <v>39.8725874549999</v>
      </c>
      <c r="D38" s="14"/>
      <c r="E38" s="14"/>
      <c r="F38" s="14"/>
      <c r="G38" s="14"/>
      <c r="I38" s="5"/>
      <c r="J38" s="0" t="s">
        <v>46</v>
      </c>
    </row>
    <row r="39" outlineLevel="2">
      <c r="A39" s="12" t="s">
        <v>65</v>
      </c>
      <c r="B39" s="0" t="s">
        <v>61</v>
      </c>
      <c r="C39" s="14">
        <v>14.2941752494818</v>
      </c>
      <c r="D39" s="14"/>
      <c r="E39" s="14"/>
      <c r="F39" s="14"/>
      <c r="G39" s="14"/>
      <c r="I39" s="5"/>
      <c r="J39" s="0" t="s">
        <v>46</v>
      </c>
    </row>
    <row r="40" outlineLevel="2">
      <c r="A40" s="12" t="s">
        <v>66</v>
      </c>
      <c r="B40" s="0" t="s">
        <v>61</v>
      </c>
      <c r="C40" s="14">
        <v>37283.4937016343</v>
      </c>
      <c r="D40" s="14"/>
      <c r="E40" s="14"/>
      <c r="F40" s="14"/>
      <c r="G40" s="14"/>
      <c r="I40" s="5"/>
      <c r="J40" s="0" t="s">
        <v>46</v>
      </c>
    </row>
    <row r="41" outlineLevel="2">
      <c r="A41" s="12" t="s">
        <v>67</v>
      </c>
      <c r="B41" s="0" t="s">
        <v>61</v>
      </c>
      <c r="C41" s="14" t="s">
        <v>68</v>
      </c>
      <c r="D41" s="14"/>
      <c r="E41" s="14"/>
      <c r="F41" s="14"/>
      <c r="G41" s="14"/>
      <c r="I41" s="5"/>
      <c r="J41" s="0" t="s">
        <v>46</v>
      </c>
    </row>
    <row r="42" outlineLevel="2">
      <c r="A42" s="12" t="s">
        <v>69</v>
      </c>
      <c r="B42" s="0" t="s">
        <v>61</v>
      </c>
      <c r="C42" s="14">
        <v>9.4490400233304</v>
      </c>
      <c r="D42" s="14"/>
      <c r="E42" s="14"/>
      <c r="F42" s="14"/>
      <c r="G42" s="14"/>
      <c r="I42" s="5"/>
      <c r="J42" s="0" t="s">
        <v>46</v>
      </c>
    </row>
    <row r="43" outlineLevel="2">
      <c r="A43" s="12" t="s">
        <v>70</v>
      </c>
      <c r="B43" s="0" t="s">
        <v>61</v>
      </c>
      <c r="C43" s="14" t="s">
        <v>71</v>
      </c>
      <c r="D43" s="14"/>
      <c r="E43" s="14"/>
      <c r="F43" s="14"/>
      <c r="G43" s="14"/>
      <c r="I43" s="5"/>
      <c r="J43" s="0" t="s">
        <v>46</v>
      </c>
    </row>
    <row r="44" outlineLevel="2">
      <c r="A44" s="12" t="s">
        <v>72</v>
      </c>
      <c r="B44" s="0" t="s">
        <v>61</v>
      </c>
      <c r="C44" s="14">
        <v>43.9383767040257</v>
      </c>
      <c r="D44" s="14"/>
      <c r="E44" s="14"/>
      <c r="F44" s="14"/>
      <c r="G44" s="14"/>
      <c r="I44" s="5"/>
      <c r="J44" s="0" t="s">
        <v>46</v>
      </c>
    </row>
    <row r="45" outlineLevel="2">
      <c r="A45" s="12" t="s">
        <v>73</v>
      </c>
      <c r="B45" s="0" t="s">
        <v>61</v>
      </c>
      <c r="C45" s="14">
        <v>231.248326618317</v>
      </c>
      <c r="D45" s="14"/>
      <c r="E45" s="14"/>
      <c r="F45" s="14"/>
      <c r="G45" s="14"/>
      <c r="I45" s="5"/>
      <c r="J45" s="0" t="s">
        <v>46</v>
      </c>
    </row>
    <row r="46" outlineLevel="2">
      <c r="A46" s="12" t="s">
        <v>74</v>
      </c>
      <c r="B46" s="0" t="s">
        <v>61</v>
      </c>
      <c r="C46" s="14">
        <v>13780.1872619783</v>
      </c>
      <c r="D46" s="14"/>
      <c r="E46" s="14"/>
      <c r="F46" s="14"/>
      <c r="G46" s="14"/>
      <c r="I46" s="5"/>
      <c r="J46" s="0" t="s">
        <v>46</v>
      </c>
    </row>
    <row r="47" outlineLevel="2">
      <c r="A47" s="12" t="s">
        <v>75</v>
      </c>
      <c r="B47" s="0" t="s">
        <v>61</v>
      </c>
      <c r="C47" s="14" t="s">
        <v>76</v>
      </c>
      <c r="D47" s="14"/>
      <c r="E47" s="14"/>
      <c r="F47" s="14"/>
      <c r="G47" s="14"/>
      <c r="I47" s="5"/>
      <c r="J47" s="0" t="s">
        <v>46</v>
      </c>
    </row>
    <row r="48" outlineLevel="2">
      <c r="A48" s="12" t="s">
        <v>77</v>
      </c>
      <c r="B48" s="0" t="s">
        <v>61</v>
      </c>
      <c r="C48" s="14">
        <v>3728.51678918995</v>
      </c>
      <c r="D48" s="14"/>
      <c r="E48" s="14"/>
      <c r="F48" s="14"/>
      <c r="G48" s="14"/>
      <c r="I48" s="5"/>
      <c r="J48" s="0" t="s">
        <v>46</v>
      </c>
    </row>
    <row r="49" outlineLevel="2">
      <c r="A49" s="12" t="s">
        <v>78</v>
      </c>
      <c r="B49" s="0" t="s">
        <v>61</v>
      </c>
      <c r="C49" s="14">
        <v>92.3063125696957</v>
      </c>
      <c r="D49" s="14"/>
      <c r="E49" s="14"/>
      <c r="F49" s="14"/>
      <c r="G49" s="14"/>
      <c r="I49" s="5"/>
      <c r="J49" s="0" t="s">
        <v>46</v>
      </c>
    </row>
    <row r="50" outlineLevel="2">
      <c r="A50" s="12" t="s">
        <v>79</v>
      </c>
      <c r="B50" s="0" t="s">
        <v>61</v>
      </c>
      <c r="C50" s="14" t="s">
        <v>80</v>
      </c>
      <c r="D50" s="14"/>
      <c r="E50" s="14"/>
      <c r="F50" s="14"/>
      <c r="G50" s="14"/>
      <c r="I50" s="5"/>
      <c r="J50" s="0" t="s">
        <v>46</v>
      </c>
    </row>
    <row r="51" outlineLevel="2">
      <c r="A51" s="12" t="s">
        <v>81</v>
      </c>
      <c r="B51" s="0" t="s">
        <v>61</v>
      </c>
      <c r="C51" s="14">
        <v>143.9678356738</v>
      </c>
      <c r="D51" s="14"/>
      <c r="E51" s="14"/>
      <c r="F51" s="14"/>
      <c r="G51" s="14"/>
      <c r="I51" s="5"/>
      <c r="J51" s="0" t="s">
        <v>46</v>
      </c>
    </row>
    <row r="52" outlineLevel="2">
      <c r="A52" s="12" t="s">
        <v>82</v>
      </c>
      <c r="B52" s="0" t="s">
        <v>61</v>
      </c>
      <c r="C52" s="14">
        <v>3.85312827358071</v>
      </c>
      <c r="D52" s="14"/>
      <c r="E52" s="14"/>
      <c r="F52" s="14"/>
      <c r="G52" s="14"/>
      <c r="I52" s="5"/>
      <c r="J52" s="0" t="s">
        <v>46</v>
      </c>
    </row>
    <row r="53" outlineLevel="2">
      <c r="A53" s="12" t="s">
        <v>83</v>
      </c>
      <c r="B53" s="0" t="s">
        <v>61</v>
      </c>
      <c r="C53" s="14">
        <v>4689.68726172844</v>
      </c>
      <c r="D53" s="14"/>
      <c r="E53" s="14"/>
      <c r="F53" s="14"/>
      <c r="G53" s="14"/>
      <c r="I53" s="5"/>
      <c r="J53" s="0" t="s">
        <v>46</v>
      </c>
    </row>
    <row r="54" outlineLevel="2">
      <c r="A54" s="12" t="s">
        <v>84</v>
      </c>
      <c r="B54" s="0" t="s">
        <v>61</v>
      </c>
      <c r="C54" s="14" t="s">
        <v>85</v>
      </c>
      <c r="D54" s="14"/>
      <c r="E54" s="14"/>
      <c r="F54" s="14"/>
      <c r="G54" s="14"/>
      <c r="I54" s="5"/>
      <c r="J54" s="0" t="s">
        <v>46</v>
      </c>
    </row>
    <row r="55" outlineLevel="2">
      <c r="A55" s="12" t="s">
        <v>86</v>
      </c>
      <c r="B55" s="0" t="s">
        <v>61</v>
      </c>
      <c r="C55" s="14" t="s">
        <v>87</v>
      </c>
      <c r="D55" s="14"/>
      <c r="E55" s="14"/>
      <c r="F55" s="14"/>
      <c r="G55" s="14"/>
      <c r="I55" s="5"/>
      <c r="J55" s="0" t="s">
        <v>46</v>
      </c>
    </row>
    <row r="56" outlineLevel="2">
      <c r="A56" s="12" t="s">
        <v>88</v>
      </c>
      <c r="B56" s="0" t="s">
        <v>61</v>
      </c>
      <c r="C56" s="14" t="s">
        <v>63</v>
      </c>
      <c r="D56" s="14"/>
      <c r="E56" s="14"/>
      <c r="F56" s="14"/>
      <c r="G56" s="14"/>
      <c r="I56" s="5"/>
      <c r="J56" s="0" t="s">
        <v>46</v>
      </c>
    </row>
    <row r="57" outlineLevel="2">
      <c r="A57" s="12" t="s">
        <v>89</v>
      </c>
      <c r="B57" s="0" t="s">
        <v>61</v>
      </c>
      <c r="C57" s="14">
        <v>839.472039642222</v>
      </c>
      <c r="D57" s="14"/>
      <c r="E57" s="14"/>
      <c r="F57" s="14"/>
      <c r="G57" s="14"/>
      <c r="I57" s="5"/>
      <c r="J57" s="0" t="s">
        <v>46</v>
      </c>
    </row>
    <row r="58" outlineLevel="2">
      <c r="A58" s="12" t="s">
        <v>90</v>
      </c>
      <c r="B58" s="0" t="s">
        <v>61</v>
      </c>
      <c r="C58" s="14" t="s">
        <v>71</v>
      </c>
      <c r="D58" s="14"/>
      <c r="E58" s="14"/>
      <c r="F58" s="14"/>
      <c r="G58" s="14"/>
      <c r="I58" s="5"/>
      <c r="J58" s="0" t="s">
        <v>46</v>
      </c>
    </row>
    <row r="59" outlineLevel="2">
      <c r="A59" s="12" t="s">
        <v>91</v>
      </c>
      <c r="B59" s="0" t="s">
        <v>61</v>
      </c>
      <c r="C59" s="14">
        <v>297.127034475907</v>
      </c>
      <c r="D59" s="14"/>
      <c r="E59" s="14"/>
      <c r="F59" s="14"/>
      <c r="G59" s="14"/>
      <c r="I59" s="5"/>
      <c r="J59" s="0" t="s">
        <v>46</v>
      </c>
    </row>
    <row r="60" outlineLevel="2">
      <c r="A60" s="12" t="s">
        <v>92</v>
      </c>
      <c r="B60" s="0" t="s">
        <v>61</v>
      </c>
      <c r="C60" s="14">
        <v>8.66644657115825</v>
      </c>
      <c r="D60" s="14"/>
      <c r="E60" s="14"/>
      <c r="F60" s="14"/>
      <c r="G60" s="14"/>
      <c r="I60" s="5"/>
      <c r="J60" s="0" t="s">
        <v>46</v>
      </c>
    </row>
    <row r="61" outlineLevel="2">
      <c r="A61" s="12" t="s">
        <v>93</v>
      </c>
      <c r="B61" s="0" t="s">
        <v>61</v>
      </c>
      <c r="C61" s="14" t="s">
        <v>94</v>
      </c>
      <c r="D61" s="14"/>
      <c r="E61" s="14"/>
      <c r="F61" s="14"/>
      <c r="G61" s="14"/>
      <c r="I61" s="5"/>
      <c r="J61" s="0" t="s">
        <v>46</v>
      </c>
    </row>
    <row r="62" outlineLevel="2">
      <c r="A62" s="12" t="s">
        <v>95</v>
      </c>
      <c r="B62" s="0" t="s">
        <v>61</v>
      </c>
      <c r="C62" s="14">
        <v>63.5459697710084</v>
      </c>
      <c r="D62" s="14"/>
      <c r="E62" s="14"/>
      <c r="F62" s="14"/>
      <c r="G62" s="14"/>
      <c r="I62" s="5"/>
      <c r="J62" s="0" t="s">
        <v>46</v>
      </c>
    </row>
    <row r="63" outlineLevel="2">
      <c r="A63" s="12" t="s">
        <v>96</v>
      </c>
      <c r="B63" s="0" t="s">
        <v>61</v>
      </c>
      <c r="C63" s="14">
        <v>39.2568393365585</v>
      </c>
      <c r="D63" s="14"/>
      <c r="E63" s="14"/>
      <c r="F63" s="14"/>
      <c r="G63" s="14"/>
      <c r="I63" s="5"/>
      <c r="J63" s="0" t="s">
        <v>46</v>
      </c>
    </row>
    <row r="64">
      <c r="I64" s="5"/>
    </row>
    <row r="65" s="1" customFormat="1"/>
  </sheetData>
  <mergeCells>
    <mergeCell ref="A7"/>
    <mergeCell ref="C12:E12"/>
    <mergeCell ref="A12:A13"/>
    <mergeCell ref="B12:B13"/>
    <mergeCell ref="F12:F13"/>
    <mergeCell ref="G12:G13"/>
    <mergeCell ref="H12:H13"/>
    <mergeCell ref="I12:I13"/>
    <mergeCell ref="J12:J13"/>
    <mergeCell ref="K12:K13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https://phyllis.nl/Biomass/View/3640</dc:description>
  <dcterms:created xsi:type="dcterms:W3CDTF">2026-03-17T05:48:58Z</dcterms:created>
  <dc:title>Phyllis2 #3640 Pistachios clippings 650°C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