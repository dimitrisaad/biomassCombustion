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52 Miscanthus pelle" sheetId="1" r:id="rId1"/>
  </sheets>
  <definedNames>
    <definedName name="w" localSheetId="0">IF(ISBLANK('Phyllis2 #3652 Miscanthus pelle'!$C$16),#N/A,'Phyllis2 #3652 Miscanthus pelle'!$C$16/100)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<sst xmlns="http://schemas.openxmlformats.org/spreadsheetml/2006/main" count="98" uniqueCount="98">
  <si>
    <t>Phyllis2</t>
  </si>
  <si>
    <t>https://phyllis.nl/Biomass/View/3652</t>
  </si>
  <si>
    <t>Miscanthus pellets (#3652)</t>
  </si>
  <si>
    <t>ID-number</t>
  </si>
  <si>
    <t>#3652</t>
  </si>
  <si>
    <t>Material</t>
  </si>
  <si>
    <t>Miscanthus pellets</t>
  </si>
  <si>
    <t>Classification</t>
  </si>
  <si>
    <t>ECN Phyllis classification &gt; grass/plant &gt; miscanthus</t>
  </si>
  <si>
    <t>Submitter organisation</t>
  </si>
  <si>
    <t>TNO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</si>
  <si>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</si>
  <si>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</si>
  <si>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</si>
  <si>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</si>
  <si>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</si>
  <si>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</si>
  <si>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</si>
  <si>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</si>
  <si>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</si>
  <si>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</si>
  <si>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</si>
  <si>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</si>
  <si>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</si>
  <si>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</si>
  <si>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</si>
  <si>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</si>
  <si>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</si>
  <si>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</si>
  <si>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NEN-EN-ISO 18134-3</t>
  </si>
  <si>
    <t>Ash content at 550°C</t>
  </si>
  <si>
    <t>NEN-EN-ISO 18122</t>
  </si>
  <si>
    <t>Ash content at 815°C</t>
  </si>
  <si>
    <t>Volatile matter</t>
  </si>
  <si>
    <t>NEN-EN-ISO 18123</t>
  </si>
  <si>
    <t>Fixed carbon</t>
  </si>
  <si>
    <t>Calculated</t>
  </si>
  <si>
    <t>Ultimate analysis (macroelements)</t>
  </si>
  <si>
    <t>Carbon</t>
  </si>
  <si>
    <t>NEN-EN-ISO 16948</t>
  </si>
  <si>
    <t>Hydrogen</t>
  </si>
  <si>
    <t>Oxygen</t>
  </si>
  <si>
    <t>NEN-EN 17351</t>
  </si>
  <si>
    <t>Nitrogen</t>
  </si>
  <si>
    <t>Sulphur</t>
  </si>
  <si>
    <t>NEN 6966</t>
  </si>
  <si>
    <t>Total (with halides)</t>
  </si>
  <si>
    <t>Halides</t>
  </si>
  <si>
    <t>Bromine (Br)</t>
  </si>
  <si>
    <t>mg/kg</t>
  </si>
  <si>
    <t>NEN-EN-ISO 10304-1</t>
  </si>
  <si>
    <t>Chlorine (Cl)</t>
  </si>
  <si>
    <t>Fluorine (F)</t>
  </si>
  <si>
    <t>mg/kg (dry)</t>
  </si>
  <si>
    <t>&lt; 0.001</t>
  </si>
  <si>
    <t>Heating value</t>
  </si>
  <si>
    <t>Gross calorific value (HHV)</t>
  </si>
  <si>
    <t>MJ/kg</t>
  </si>
  <si>
    <t>NEN-EN-ISO 18125</t>
  </si>
  <si>
    <t>HHVMilne</t>
  </si>
  <si>
    <t>Trace elements composition</t>
  </si>
  <si>
    <t>Aluminium (Al)</t>
  </si>
  <si>
    <t>Arsenic (As)</t>
  </si>
  <si>
    <t>&lt; 2</t>
  </si>
  <si>
    <t>Boron (B)</t>
  </si>
  <si>
    <t>Barium (Ba)</t>
  </si>
  <si>
    <t>Calcium (Ca)</t>
  </si>
  <si>
    <t>Cadmium (Cd)</t>
  </si>
  <si>
    <t>&lt; 0,12</t>
  </si>
  <si>
    <t>Cobalt (Co)</t>
  </si>
  <si>
    <t>Chromium (Cr)</t>
  </si>
  <si>
    <t>Copper (Cu)</t>
  </si>
  <si>
    <t>Iron (Fe)</t>
  </si>
  <si>
    <t>Mercury (Hg)</t>
  </si>
  <si>
    <t>Potassium (K)</t>
  </si>
  <si>
    <t>Lithium (Li)</t>
  </si>
  <si>
    <t>&lt; 0,4</t>
  </si>
  <si>
    <t>Magnesium (Mg)</t>
  </si>
  <si>
    <t>Manganese (Mn)</t>
  </si>
  <si>
    <t>Molybdenium (Mo)</t>
  </si>
  <si>
    <t>&lt; 1</t>
  </si>
  <si>
    <t>Sodium (Na)</t>
  </si>
  <si>
    <t>Nickel (Ni)</t>
  </si>
  <si>
    <t>Phosphorus (P)</t>
  </si>
  <si>
    <t>Lead (Pb)</t>
  </si>
  <si>
    <t>&lt; 0,7</t>
  </si>
  <si>
    <t>Antimony (Sb)</t>
  </si>
  <si>
    <t>&lt; 4</t>
  </si>
  <si>
    <t>Selenium (Se)</t>
  </si>
  <si>
    <t>Silicon (Si)</t>
  </si>
  <si>
    <t>Tin (Sn)</t>
  </si>
  <si>
    <t>&lt; 1,04</t>
  </si>
  <si>
    <t>Strontium (Sr)</t>
  </si>
  <si>
    <t>Titanium (Ti)</t>
  </si>
  <si>
    <t>Vanadium (V)</t>
  </si>
  <si>
    <t>&lt; 0,3</t>
  </si>
  <si>
    <t>Tungsten (W)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</si>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</sst>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5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9.696920394897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6">
        <v>44824.3172569444</v>
      </c>
    </row>
    <row r="10">
      <c r="A10" s="7"/>
    </row>
    <row r="11" s="1" customFormat="1">
      <c r="A11" s="9" t="s">
        <v>12</v>
      </c>
    </row>
    <row r="12" s="1" customFormat="1">
      <c r="A12" s="10" t="s">
        <v>13</v>
      </c>
      <c r="B12" s="10" t="s">
        <v>14</v>
      </c>
      <c r="C12" s="10" t="s">
        <v>15</v>
      </c>
      <c r="D12" s="10"/>
      <c r="E12" s="10"/>
      <c r="F12" s="10" t="s">
        <v>16</v>
      </c>
      <c r="G12" s="10" t="s">
        <v>17</v>
      </c>
      <c r="H12" s="10" t="s">
        <v>18</v>
      </c>
      <c r="I12" s="10" t="s">
        <v>19</v>
      </c>
      <c r="J12" s="10" t="s">
        <v>20</v>
      </c>
      <c r="K12" s="10" t="s">
        <v>21</v>
      </c>
      <c r="L12" s="10"/>
    </row>
    <row r="13" s="1" customFormat="1">
      <c r="A13" s="10"/>
      <c r="B13" s="10"/>
      <c r="C13" s="10" t="s">
        <v>22</v>
      </c>
      <c r="D13" s="10" t="s">
        <v>23</v>
      </c>
      <c r="E13" s="10" t="s">
        <v>24</v>
      </c>
      <c r="F13" s="10"/>
      <c r="G13" s="10"/>
      <c r="H13" s="10"/>
      <c r="I13" s="10"/>
      <c r="J13" s="10"/>
      <c r="K13" s="10"/>
      <c r="L13" s="10"/>
    </row>
    <row r="14">
      <c r="A14" s="7" t="s">
        <v>25</v>
      </c>
      <c r="I14" s="5"/>
    </row>
    <row r="15" outlineLevel="1">
      <c r="A15" s="11" t="s">
        <v>26</v>
      </c>
      <c r="I15" s="5"/>
    </row>
    <row r="16" outlineLevel="2">
      <c r="A16" s="12" t="s">
        <v>27</v>
      </c>
      <c r="B16" s="0" t="s">
        <v>28</v>
      </c>
      <c r="C16" s="13">
        <v>9.5207066319143</v>
      </c>
      <c r="D16" s="13"/>
      <c r="E16" s="13"/>
      <c r="F16" s="13"/>
      <c r="G16" s="13"/>
      <c r="I16" s="5"/>
      <c r="J16" s="0" t="s">
        <v>29</v>
      </c>
    </row>
    <row r="17" outlineLevel="2">
      <c r="A17" s="12" t="s">
        <v>30</v>
      </c>
      <c r="B17" s="0" t="s">
        <v>28</v>
      </c>
      <c r="C17" s="13">
        <f>IFERROR(2.40912933220627*(1-w),"")</f>
        <v>2.1797631961035151</v>
      </c>
      <c r="D17" s="13">
        <v>2.40912933220627</v>
      </c>
      <c r="E17" s="13">
        <v/>
      </c>
      <c r="F17" s="13"/>
      <c r="G17" s="13"/>
      <c r="I17" s="5"/>
      <c r="J17" s="0" t="s">
        <v>31</v>
      </c>
    </row>
    <row r="18" outlineLevel="2">
      <c r="A18" s="12" t="s">
        <v>32</v>
      </c>
      <c r="B18" s="0" t="s">
        <v>28</v>
      </c>
      <c r="C18" s="13">
        <f>IFERROR(2.31403212172448*(1-w),"")</f>
        <v>2.09371991204683</v>
      </c>
      <c r="D18" s="13">
        <v>2.31403212172448</v>
      </c>
      <c r="E18" s="13">
        <v/>
      </c>
      <c r="F18" s="13"/>
      <c r="G18" s="13"/>
      <c r="I18" s="5"/>
      <c r="J18" s="0" t="s">
        <v>31</v>
      </c>
    </row>
    <row r="19" outlineLevel="2">
      <c r="A19" s="12" t="s">
        <v>33</v>
      </c>
      <c r="B19" s="0" t="s">
        <v>28</v>
      </c>
      <c r="C19" s="13">
        <f>IFERROR(80.2052109753286*(1-w),"")</f>
        <v>72.569108134859633</v>
      </c>
      <c r="D19" s="13">
        <v>80.2052109753286</v>
      </c>
      <c r="E19" s="13">
        <v>82.185157716599178</v>
      </c>
      <c r="F19" s="13"/>
      <c r="G19" s="13"/>
      <c r="I19" s="5"/>
      <c r="J19" s="0" t="s">
        <v>34</v>
      </c>
    </row>
    <row r="20" outlineLevel="2">
      <c r="A20" s="12" t="s">
        <v>35</v>
      </c>
      <c r="B20" s="0" t="s">
        <v>28</v>
      </c>
      <c r="C20" s="13">
        <f>IFERROR(17.3856596924651*(1-w),"")</f>
        <v>15.730422037122548</v>
      </c>
      <c r="D20" s="13">
        <v>17.385659692465126</v>
      </c>
      <c r="E20" s="13">
        <v>17.814842283400822</v>
      </c>
      <c r="F20" s="13"/>
      <c r="G20" s="13"/>
      <c r="I20" s="5"/>
      <c r="J20" s="0" t="s">
        <v>36</v>
      </c>
    </row>
    <row r="21" outlineLevel="1">
      <c r="A21" s="11" t="s">
        <v>37</v>
      </c>
      <c r="I21" s="5"/>
    </row>
    <row r="22" outlineLevel="2">
      <c r="A22" s="12" t="s">
        <v>38</v>
      </c>
      <c r="B22" s="0" t="s">
        <v>28</v>
      </c>
      <c r="C22" s="13">
        <f>IFERROR(47.1710041467058*(1-w),"")</f>
        <v>42.679991226569811</v>
      </c>
      <c r="D22" s="13">
        <v>47.1710041467058</v>
      </c>
      <c r="E22" s="13">
        <v>48.335468086230378</v>
      </c>
      <c r="F22" s="13"/>
      <c r="G22" s="13"/>
      <c r="I22" s="5"/>
      <c r="J22" s="0" t="s">
        <v>39</v>
      </c>
    </row>
    <row r="23" outlineLevel="2">
      <c r="A23" s="12" t="s">
        <v>40</v>
      </c>
      <c r="B23" s="0" t="s">
        <v>28</v>
      </c>
      <c r="C23" s="13">
        <f>IFERROR(6.00066046813811*(1-w),"")</f>
        <v>5.429355188989426</v>
      </c>
      <c r="D23" s="13">
        <v>6.00066046813811</v>
      </c>
      <c r="E23" s="13">
        <v>6.1487928400237211</v>
      </c>
      <c r="F23" s="13"/>
      <c r="G23" s="13"/>
      <c r="I23" s="5"/>
      <c r="J23" s="0" t="s">
        <v>39</v>
      </c>
    </row>
    <row r="24" outlineLevel="2">
      <c r="A24" s="12" t="s">
        <v>41</v>
      </c>
      <c r="B24" s="0" t="s">
        <v>28</v>
      </c>
      <c r="C24" s="13">
        <f>IFERROR(43.165108883882*(1-w),"")</f>
        <v>39.05548549970122</v>
      </c>
      <c r="D24" s="13">
        <v>43.165108883882</v>
      </c>
      <c r="E24" s="13">
        <v>44.230683247840979</v>
      </c>
      <c r="F24" s="13"/>
      <c r="G24" s="13"/>
      <c r="I24" s="5"/>
      <c r="J24" s="0" t="s">
        <v>42</v>
      </c>
    </row>
    <row r="25" outlineLevel="2">
      <c r="A25" s="12" t="s">
        <v>43</v>
      </c>
      <c r="B25" s="0" t="s">
        <v>28</v>
      </c>
      <c r="C25" s="13">
        <f>IFERROR(0.357838483340497*(1-w),"")</f>
        <v>0.32376973112555674</v>
      </c>
      <c r="D25" s="13">
        <v>0.357838483340497</v>
      </c>
      <c r="E25" s="13">
        <v>0.36667208816960417</v>
      </c>
      <c r="F25" s="13"/>
      <c r="G25" s="13"/>
      <c r="I25" s="5"/>
      <c r="J25" s="0" t="s">
        <v>39</v>
      </c>
    </row>
    <row r="26" outlineLevel="2">
      <c r="A26" s="12" t="s">
        <v>44</v>
      </c>
      <c r="B26" s="0" t="s">
        <v>28</v>
      </c>
      <c r="C26" s="13">
        <f>IFERROR(0.0533158802575189*(1-w),"")</f>
        <v>0.04823983170997781</v>
      </c>
      <c r="D26" s="13">
        <v>0.0533158802575189</v>
      </c>
      <c r="E26" s="13">
        <v>0.054632036677908072</v>
      </c>
      <c r="F26" s="13"/>
      <c r="G26" s="13"/>
      <c r="I26" s="5"/>
      <c r="J26" s="0" t="s">
        <v>45</v>
      </c>
    </row>
    <row r="27" outlineLevel="2">
      <c r="A27" s="12" t="s">
        <v>46</v>
      </c>
      <c r="B27" s="0" t="s">
        <v>28</v>
      </c>
      <c r="C27" s="13">
        <f>IFERROR(99.2319680196066*(1-w)+w*100,"")</f>
        <v>99.305090091299135</v>
      </c>
      <c r="D27" s="13">
        <v>99.2319680196066</v>
      </c>
      <c r="E27" s="13">
        <v>99.213008373490339</v>
      </c>
      <c r="F27" s="13"/>
      <c r="G27" s="13"/>
      <c r="I27" s="5"/>
      <c r="J27" s="0" t="s">
        <v>36</v>
      </c>
    </row>
    <row r="28" outlineLevel="1">
      <c r="A28" s="11" t="s">
        <v>47</v>
      </c>
      <c r="I28" s="5"/>
    </row>
    <row r="29" outlineLevel="2">
      <c r="A29" s="12" t="s">
        <v>48</v>
      </c>
      <c r="B29" s="0" t="s">
        <v>49</v>
      </c>
      <c r="C29" s="14">
        <f>IFERROR(10.5394017964626*(1-w),"")</f>
        <v>9.53597627066269</v>
      </c>
      <c r="D29" s="14">
        <v>10.5394017964626</v>
      </c>
      <c r="E29" s="14">
        <v>10.799577587886755</v>
      </c>
      <c r="F29" s="14"/>
      <c r="G29" s="14"/>
      <c r="I29" s="5"/>
      <c r="J29" s="0" t="s">
        <v>50</v>
      </c>
    </row>
    <row r="30" outlineLevel="2">
      <c r="A30" s="12" t="s">
        <v>51</v>
      </c>
      <c r="B30" s="0" t="s">
        <v>49</v>
      </c>
      <c r="C30" s="14">
        <f>IFERROR(738.568848967497*(1-w),"")</f>
        <v>668.2518755825954</v>
      </c>
      <c r="D30" s="14">
        <v>738.568848967497</v>
      </c>
      <c r="E30" s="14">
        <v>756.80116788960515</v>
      </c>
      <c r="F30" s="14"/>
      <c r="G30" s="14"/>
      <c r="I30" s="5"/>
      <c r="J30" s="0" t="s">
        <v>50</v>
      </c>
    </row>
    <row r="31" outlineLevel="2">
      <c r="A31" s="12" t="s">
        <v>52</v>
      </c>
      <c r="B31" s="0" t="s">
        <v>53</v>
      </c>
      <c r="C31" s="14" t="s">
        <v>54</v>
      </c>
      <c r="D31" s="14"/>
      <c r="E31" s="14"/>
      <c r="F31" s="14"/>
      <c r="G31" s="14"/>
      <c r="I31" s="5"/>
      <c r="J31" s="0" t="s">
        <v>50</v>
      </c>
    </row>
    <row r="32" outlineLevel="1">
      <c r="A32" s="11" t="s">
        <v>55</v>
      </c>
      <c r="I32" s="5"/>
    </row>
    <row r="33" outlineLevel="2">
      <c r="A33" s="12" t="s">
        <v>56</v>
      </c>
      <c r="B33" s="0" t="s">
        <v>57</v>
      </c>
      <c r="C33" s="13">
        <f>IFERROR(18.9995707611509*(1-w),"")</f>
        <v>17.190677367658754</v>
      </c>
      <c r="D33" s="13">
        <v>18.9995707611509</v>
      </c>
      <c r="E33" s="13">
        <v>19.468594378901273</v>
      </c>
      <c r="F33" s="13"/>
      <c r="G33" s="13"/>
      <c r="I33" s="5"/>
      <c r="J33" s="0" t="s">
        <v>58</v>
      </c>
    </row>
    <row r="34" outlineLevel="2">
      <c r="A34" s="12" t="s">
        <v>59</v>
      </c>
      <c r="B34" s="0" t="s">
        <v>57</v>
      </c>
      <c r="C34" s="13">
        <f>IFERROR(18.7631176567748*(1-w),"")</f>
        <v>16.976736269672347</v>
      </c>
      <c r="D34" s="13">
        <v>18.763117656774789</v>
      </c>
      <c r="E34" s="13">
        <v>19.226304190528</v>
      </c>
      <c r="F34" s="13"/>
      <c r="G34" s="13"/>
      <c r="I34" s="5"/>
      <c r="J34" s="0" t="s">
        <v>36</v>
      </c>
    </row>
    <row r="35" outlineLevel="1">
      <c r="A35" s="11" t="s">
        <v>60</v>
      </c>
      <c r="I35" s="5"/>
    </row>
    <row r="36" outlineLevel="2">
      <c r="A36" s="12" t="s">
        <v>61</v>
      </c>
      <c r="B36" s="0" t="s">
        <v>53</v>
      </c>
      <c r="C36" s="14">
        <v>86.5690316453414</v>
      </c>
      <c r="D36" s="14"/>
      <c r="E36" s="14"/>
      <c r="F36" s="14"/>
      <c r="G36" s="14"/>
      <c r="I36" s="5"/>
      <c r="J36" s="0" t="s">
        <v>45</v>
      </c>
    </row>
    <row r="37" outlineLevel="2">
      <c r="A37" s="12" t="s">
        <v>62</v>
      </c>
      <c r="B37" s="0" t="s">
        <v>53</v>
      </c>
      <c r="C37" s="14" t="s">
        <v>63</v>
      </c>
      <c r="D37" s="14"/>
      <c r="E37" s="14"/>
      <c r="F37" s="14"/>
      <c r="G37" s="14"/>
      <c r="I37" s="5"/>
      <c r="J37" s="0" t="s">
        <v>45</v>
      </c>
    </row>
    <row r="38" outlineLevel="2">
      <c r="A38" s="12" t="s">
        <v>64</v>
      </c>
      <c r="B38" s="0" t="s">
        <v>53</v>
      </c>
      <c r="C38" s="14">
        <v>1.1168827842726</v>
      </c>
      <c r="D38" s="14"/>
      <c r="E38" s="14"/>
      <c r="F38" s="14"/>
      <c r="G38" s="14"/>
      <c r="I38" s="5"/>
      <c r="J38" s="0" t="s">
        <v>45</v>
      </c>
    </row>
    <row r="39" outlineLevel="2">
      <c r="A39" s="12" t="s">
        <v>65</v>
      </c>
      <c r="B39" s="0" t="s">
        <v>53</v>
      </c>
      <c r="C39" s="14">
        <v>5.78598769703919</v>
      </c>
      <c r="D39" s="14"/>
      <c r="E39" s="14"/>
      <c r="F39" s="14"/>
      <c r="G39" s="14"/>
      <c r="I39" s="5"/>
      <c r="J39" s="0" t="s">
        <v>45</v>
      </c>
    </row>
    <row r="40" outlineLevel="2">
      <c r="A40" s="12" t="s">
        <v>66</v>
      </c>
      <c r="B40" s="0" t="s">
        <v>53</v>
      </c>
      <c r="C40" s="14">
        <v>1358.04049734934</v>
      </c>
      <c r="D40" s="14"/>
      <c r="E40" s="14"/>
      <c r="F40" s="14"/>
      <c r="G40" s="14"/>
      <c r="I40" s="5"/>
      <c r="J40" s="0" t="s">
        <v>45</v>
      </c>
    </row>
    <row r="41" outlineLevel="2">
      <c r="A41" s="12" t="s">
        <v>67</v>
      </c>
      <c r="B41" s="0" t="s">
        <v>53</v>
      </c>
      <c r="C41" s="14" t="s">
        <v>68</v>
      </c>
      <c r="D41" s="14"/>
      <c r="E41" s="14"/>
      <c r="F41" s="14"/>
      <c r="G41" s="14"/>
      <c r="I41" s="5"/>
      <c r="J41" s="0" t="s">
        <v>45</v>
      </c>
    </row>
    <row r="42" outlineLevel="2">
      <c r="A42" s="12" t="s">
        <v>69</v>
      </c>
      <c r="B42" s="0" t="s">
        <v>53</v>
      </c>
      <c r="C42" s="14">
        <v>1.14186343860589</v>
      </c>
      <c r="D42" s="14"/>
      <c r="E42" s="14"/>
      <c r="F42" s="14"/>
      <c r="G42" s="14"/>
      <c r="I42" s="5"/>
      <c r="J42" s="0" t="s">
        <v>45</v>
      </c>
    </row>
    <row r="43" outlineLevel="2">
      <c r="A43" s="12" t="s">
        <v>70</v>
      </c>
      <c r="B43" s="0" t="s">
        <v>53</v>
      </c>
      <c r="C43" s="14">
        <v>1.93989526649703</v>
      </c>
      <c r="D43" s="14"/>
      <c r="E43" s="14"/>
      <c r="F43" s="14"/>
      <c r="G43" s="14"/>
      <c r="I43" s="5"/>
      <c r="J43" s="0" t="s">
        <v>45</v>
      </c>
    </row>
    <row r="44" outlineLevel="2">
      <c r="A44" s="12" t="s">
        <v>71</v>
      </c>
      <c r="B44" s="0" t="s">
        <v>53</v>
      </c>
      <c r="C44" s="14" t="s">
        <v>63</v>
      </c>
      <c r="D44" s="14"/>
      <c r="E44" s="14"/>
      <c r="F44" s="14"/>
      <c r="G44" s="14"/>
      <c r="I44" s="5"/>
      <c r="J44" s="0" t="s">
        <v>45</v>
      </c>
    </row>
    <row r="45" outlineLevel="2">
      <c r="A45" s="12" t="s">
        <v>72</v>
      </c>
      <c r="B45" s="0" t="s">
        <v>53</v>
      </c>
      <c r="C45" s="14">
        <v>108.642146167646</v>
      </c>
      <c r="D45" s="14"/>
      <c r="E45" s="14"/>
      <c r="F45" s="14"/>
      <c r="G45" s="14"/>
      <c r="I45" s="5"/>
      <c r="J45" s="0" t="s">
        <v>45</v>
      </c>
    </row>
    <row r="46" outlineLevel="2">
      <c r="A46" s="12" t="s">
        <v>73</v>
      </c>
      <c r="B46" s="0" t="s">
        <v>53</v>
      </c>
      <c r="C46" s="14">
        <v>0.00290914211858361</v>
      </c>
      <c r="D46" s="14"/>
      <c r="E46" s="14"/>
      <c r="F46" s="14"/>
      <c r="G46" s="14"/>
      <c r="I46" s="5"/>
      <c r="J46" s="0" t="s">
        <v>45</v>
      </c>
    </row>
    <row r="47" outlineLevel="2">
      <c r="A47" s="12" t="s">
        <v>74</v>
      </c>
      <c r="B47" s="0" t="s">
        <v>53</v>
      </c>
      <c r="C47" s="14">
        <v>4564.20232470745</v>
      </c>
      <c r="D47" s="14"/>
      <c r="E47" s="14"/>
      <c r="F47" s="14"/>
      <c r="G47" s="14"/>
      <c r="I47" s="5"/>
      <c r="J47" s="0" t="s">
        <v>45</v>
      </c>
    </row>
    <row r="48" outlineLevel="2">
      <c r="A48" s="12" t="s">
        <v>75</v>
      </c>
      <c r="B48" s="0" t="s">
        <v>53</v>
      </c>
      <c r="C48" s="14" t="s">
        <v>76</v>
      </c>
      <c r="D48" s="14"/>
      <c r="E48" s="14"/>
      <c r="F48" s="14"/>
      <c r="G48" s="14"/>
      <c r="I48" s="5"/>
      <c r="J48" s="0" t="s">
        <v>45</v>
      </c>
    </row>
    <row r="49" outlineLevel="2">
      <c r="A49" s="12" t="s">
        <v>77</v>
      </c>
      <c r="B49" s="0" t="s">
        <v>53</v>
      </c>
      <c r="C49" s="14">
        <v>510.57105483851</v>
      </c>
      <c r="D49" s="14"/>
      <c r="E49" s="14"/>
      <c r="F49" s="14"/>
      <c r="G49" s="14"/>
      <c r="I49" s="5"/>
      <c r="J49" s="0" t="s">
        <v>45</v>
      </c>
    </row>
    <row r="50" outlineLevel="2">
      <c r="A50" s="12" t="s">
        <v>78</v>
      </c>
      <c r="B50" s="0" t="s">
        <v>53</v>
      </c>
      <c r="C50" s="14">
        <v>48.532834452485</v>
      </c>
      <c r="D50" s="14"/>
      <c r="E50" s="14"/>
      <c r="F50" s="14"/>
      <c r="G50" s="14"/>
      <c r="I50" s="5"/>
      <c r="J50" s="0" t="s">
        <v>45</v>
      </c>
    </row>
    <row r="51" outlineLevel="2">
      <c r="A51" s="12" t="s">
        <v>79</v>
      </c>
      <c r="B51" s="0" t="s">
        <v>53</v>
      </c>
      <c r="C51" s="14" t="s">
        <v>80</v>
      </c>
      <c r="D51" s="14"/>
      <c r="E51" s="14"/>
      <c r="F51" s="14"/>
      <c r="G51" s="14"/>
      <c r="I51" s="5"/>
      <c r="J51" s="0" t="s">
        <v>45</v>
      </c>
    </row>
    <row r="52" outlineLevel="2">
      <c r="A52" s="12" t="s">
        <v>81</v>
      </c>
      <c r="B52" s="0" t="s">
        <v>53</v>
      </c>
      <c r="C52" s="14">
        <v>76.0030427016949</v>
      </c>
      <c r="D52" s="14"/>
      <c r="E52" s="14"/>
      <c r="F52" s="14"/>
      <c r="G52" s="14"/>
      <c r="I52" s="5"/>
      <c r="J52" s="0" t="s">
        <v>45</v>
      </c>
    </row>
    <row r="53" outlineLevel="2">
      <c r="A53" s="12" t="s">
        <v>82</v>
      </c>
      <c r="B53" s="0" t="s">
        <v>53</v>
      </c>
      <c r="C53" s="14">
        <v>1.30792158547658</v>
      </c>
      <c r="D53" s="14"/>
      <c r="E53" s="14"/>
      <c r="F53" s="14"/>
      <c r="G53" s="14"/>
      <c r="I53" s="5"/>
      <c r="J53" s="0" t="s">
        <v>45</v>
      </c>
    </row>
    <row r="54" outlineLevel="2">
      <c r="A54" s="12" t="s">
        <v>83</v>
      </c>
      <c r="B54" s="0" t="s">
        <v>53</v>
      </c>
      <c r="C54" s="14">
        <v>460.978140612449</v>
      </c>
      <c r="D54" s="14"/>
      <c r="E54" s="14"/>
      <c r="F54" s="14"/>
      <c r="G54" s="14"/>
      <c r="I54" s="5"/>
      <c r="J54" s="0" t="s">
        <v>45</v>
      </c>
    </row>
    <row r="55" outlineLevel="2">
      <c r="A55" s="12" t="s">
        <v>84</v>
      </c>
      <c r="B55" s="0" t="s">
        <v>53</v>
      </c>
      <c r="C55" s="14" t="s">
        <v>85</v>
      </c>
      <c r="D55" s="14"/>
      <c r="E55" s="14"/>
      <c r="F55" s="14"/>
      <c r="G55" s="14"/>
      <c r="I55" s="5"/>
      <c r="J55" s="0" t="s">
        <v>45</v>
      </c>
    </row>
    <row r="56" outlineLevel="2">
      <c r="A56" s="12" t="s">
        <v>86</v>
      </c>
      <c r="B56" s="0" t="s">
        <v>53</v>
      </c>
      <c r="C56" s="14" t="s">
        <v>87</v>
      </c>
      <c r="D56" s="14"/>
      <c r="E56" s="14"/>
      <c r="F56" s="14"/>
      <c r="G56" s="14"/>
      <c r="I56" s="5"/>
      <c r="J56" s="0" t="s">
        <v>45</v>
      </c>
    </row>
    <row r="57" outlineLevel="2">
      <c r="A57" s="12" t="s">
        <v>88</v>
      </c>
      <c r="B57" s="0" t="s">
        <v>53</v>
      </c>
      <c r="C57" s="14" t="s">
        <v>63</v>
      </c>
      <c r="D57" s="14"/>
      <c r="E57" s="14"/>
      <c r="F57" s="14"/>
      <c r="G57" s="14"/>
      <c r="I57" s="5"/>
      <c r="J57" s="0" t="s">
        <v>45</v>
      </c>
    </row>
    <row r="58" outlineLevel="2">
      <c r="A58" s="12" t="s">
        <v>89</v>
      </c>
      <c r="B58" s="0" t="s">
        <v>53</v>
      </c>
      <c r="C58" s="14">
        <v>4791.32110075686</v>
      </c>
      <c r="D58" s="14"/>
      <c r="E58" s="14"/>
      <c r="F58" s="14"/>
      <c r="G58" s="14"/>
      <c r="I58" s="5"/>
      <c r="J58" s="0" t="s">
        <v>45</v>
      </c>
    </row>
    <row r="59" outlineLevel="2">
      <c r="A59" s="12" t="s">
        <v>90</v>
      </c>
      <c r="B59" s="0" t="s">
        <v>53</v>
      </c>
      <c r="C59" s="14" t="s">
        <v>91</v>
      </c>
      <c r="D59" s="14"/>
      <c r="E59" s="14"/>
      <c r="F59" s="14"/>
      <c r="G59" s="14"/>
      <c r="I59" s="5"/>
      <c r="J59" s="0" t="s">
        <v>45</v>
      </c>
    </row>
    <row r="60" outlineLevel="2">
      <c r="A60" s="12" t="s">
        <v>92</v>
      </c>
      <c r="B60" s="0" t="s">
        <v>53</v>
      </c>
      <c r="C60" s="14">
        <v>4.0639164303398</v>
      </c>
      <c r="D60" s="14"/>
      <c r="E60" s="14"/>
      <c r="F60" s="14"/>
      <c r="G60" s="14"/>
      <c r="I60" s="5"/>
      <c r="J60" s="0" t="s">
        <v>45</v>
      </c>
    </row>
    <row r="61" outlineLevel="2">
      <c r="A61" s="12" t="s">
        <v>93</v>
      </c>
      <c r="B61" s="0" t="s">
        <v>53</v>
      </c>
      <c r="C61" s="14">
        <v>3.16324062906142</v>
      </c>
      <c r="D61" s="14"/>
      <c r="E61" s="14"/>
      <c r="F61" s="14"/>
      <c r="G61" s="14"/>
      <c r="I61" s="5"/>
      <c r="J61" s="0" t="s">
        <v>45</v>
      </c>
    </row>
    <row r="62" outlineLevel="2">
      <c r="A62" s="12" t="s">
        <v>94</v>
      </c>
      <c r="B62" s="0" t="s">
        <v>53</v>
      </c>
      <c r="C62" s="14" t="s">
        <v>95</v>
      </c>
      <c r="D62" s="14"/>
      <c r="E62" s="14"/>
      <c r="F62" s="14"/>
      <c r="G62" s="14"/>
      <c r="I62" s="5"/>
      <c r="J62" s="0" t="s">
        <v>45</v>
      </c>
    </row>
    <row r="63" outlineLevel="2">
      <c r="A63" s="12" t="s">
        <v>96</v>
      </c>
      <c r="B63" s="0" t="s">
        <v>53</v>
      </c>
      <c r="C63" s="14">
        <v>22.9457347273222</v>
      </c>
      <c r="D63" s="14"/>
      <c r="E63" s="14"/>
      <c r="F63" s="14"/>
      <c r="G63" s="14"/>
      <c r="I63" s="5"/>
      <c r="J63" s="0" t="s">
        <v>45</v>
      </c>
    </row>
    <row r="64" outlineLevel="2">
      <c r="A64" s="12" t="s">
        <v>97</v>
      </c>
      <c r="B64" s="0" t="s">
        <v>53</v>
      </c>
      <c r="C64" s="14">
        <v>20.1143569182836</v>
      </c>
      <c r="D64" s="14"/>
      <c r="E64" s="14"/>
      <c r="F64" s="14"/>
      <c r="G64" s="14"/>
      <c r="I64" s="5"/>
      <c r="J64" s="0" t="s">
        <v>45</v>
      </c>
    </row>
    <row r="65">
      <c r="I65" s="5"/>
    </row>
    <row r="66" s="1" customFormat="1"/>
  </sheetData>
  <mergeCells>
    <mergeCell ref="A7"/>
    <mergeCell ref="C12:E12"/>
    <mergeCell ref="A12:A13"/>
    <mergeCell ref="B12:B13"/>
    <mergeCell ref="F12:F13"/>
    <mergeCell ref="G12:G13"/>
    <mergeCell ref="H12:H13"/>
    <mergeCell ref="I12:I13"/>
    <mergeCell ref="J12:J13"/>
    <mergeCell ref="K12:K13"/>
    <mergeCell ref="C31:E31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</mergeCells>
  <dataValidations count="1">
    <dataValidation type="decimal" sqref="C16" errorStyle="stop" promptTitle="Enter moisture content" errorTitle="Invalid moisture content" prompt="Value should be between 0 and 100.&#10;Original value: 9.520706631914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https://phyllis.nl/Biomass/View/3652</dc:description>
  <dcterms:created xsi:type="dcterms:W3CDTF">2026-03-04T04:15:50Z</dcterms:created>
  <dc:title>Phyllis2 #3652 Miscanthus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