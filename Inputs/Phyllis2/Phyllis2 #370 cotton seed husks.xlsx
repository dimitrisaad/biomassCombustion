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0 cotton seed husks" sheetId="1" r:id="rId1"/>
  </sheets>
  <definedNames>
    <definedName name="w" localSheetId="0">IF(ISBLANK('Phyllis2 #370 cotton seed husks'!$C$19),#N/A,'Phyllis2 #370 cotton seed husks'!$C$19/100)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<sst xmlns="http://schemas.openxmlformats.org/spreadsheetml/2006/main" count="67" uniqueCount="67">
  <si>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</si>
  <si>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https://phyllis.nl/Biomass/View/370</t>
  </si>
  <si>
    <t>cotton seed husks (#370)</t>
  </si>
  <si>
    <t>ID-number</t>
  </si>
  <si>
    <t>#370</t>
  </si>
  <si>
    <t>Material</t>
  </si>
  <si>
    <t>cotton seed husks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</si>
  <si>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</si>
  <si>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</si>
  <si>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</si>
  <si>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Ash type</t>
  </si>
  <si>
    <t>ashed at 815 degC</t>
  </si>
  <si>
    <t>Submitter organisation</t>
  </si>
  <si>
    <t>ECN (Netherlands)</t>
  </si>
  <si>
    <t>Remarks</t>
  </si>
  <si>
    <t>Israel</t>
  </si>
  <si>
    <t>Literature</t>
  </si>
  <si>
    <t>N. Magasiner and J. W. de Kock: Design criteria for fibrous fuel fired boilers. Energy World (8-9) pp. 4-12 (1987).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</si>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</sst>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5"/>
    </row>
    <row r="18" outlineLevel="1">
      <c r="A18" s="9" t="s">
        <v>31</v>
      </c>
      <c r="I18" s="15"/>
    </row>
    <row r="19" outlineLevel="2">
      <c r="A19" s="10" t="s">
        <v>32</v>
      </c>
      <c r="B19" s="0" t="s">
        <v>33</v>
      </c>
      <c r="C19" s="11">
        <v>9.7</v>
      </c>
      <c r="D19" s="11"/>
      <c r="E19" s="11"/>
      <c r="F19" s="11"/>
      <c r="G19" s="11"/>
      <c r="I19" s="15"/>
    </row>
    <row r="20" outlineLevel="2">
      <c r="A20" s="10" t="s">
        <v>34</v>
      </c>
      <c r="B20" s="0" t="s">
        <v>33</v>
      </c>
      <c r="C20" s="11">
        <f>IFERROR(2.85*(1-w),"")</f>
        <v>2.57355</v>
      </c>
      <c r="D20" s="11">
        <v>2.85</v>
      </c>
      <c r="E20" s="11">
        <v/>
      </c>
      <c r="F20" s="11"/>
      <c r="G20" s="11"/>
      <c r="I20" s="15"/>
    </row>
    <row r="21" outlineLevel="2">
      <c r="A21" s="10" t="s">
        <v>35</v>
      </c>
      <c r="B21" s="0" t="s">
        <v>33</v>
      </c>
      <c r="C21" s="11">
        <f>IFERROR(76.08*(1-w),"")</f>
        <v>68.70024</v>
      </c>
      <c r="D21" s="11">
        <v>76.08</v>
      </c>
      <c r="E21" s="11">
        <v>78.311888831703541</v>
      </c>
      <c r="F21" s="11"/>
      <c r="G21" s="11"/>
      <c r="I21" s="15"/>
    </row>
    <row r="22" outlineLevel="2">
      <c r="A22" s="10" t="s">
        <v>36</v>
      </c>
      <c r="B22" s="0" t="s">
        <v>33</v>
      </c>
      <c r="C22" s="11">
        <f>IFERROR(21.07*(1-w),"")</f>
        <v>19.026210000000006</v>
      </c>
      <c r="D22" s="11">
        <v>21.070000000000007</v>
      </c>
      <c r="E22" s="11">
        <v>21.688111168296455</v>
      </c>
      <c r="F22" s="11"/>
      <c r="G22" s="11"/>
      <c r="I22" s="15"/>
      <c r="J22" s="0" t="s">
        <v>37</v>
      </c>
    </row>
    <row r="23" outlineLevel="1">
      <c r="A23" s="9" t="s">
        <v>38</v>
      </c>
      <c r="I23" s="15"/>
    </row>
    <row r="24" outlineLevel="2">
      <c r="A24" s="10" t="s">
        <v>39</v>
      </c>
      <c r="B24" s="0" t="s">
        <v>33</v>
      </c>
      <c r="C24" s="11">
        <f>IFERROR(48.47785*(1-w),"")</f>
        <v>43.775498549999995</v>
      </c>
      <c r="D24" s="11">
        <v>48.47785</v>
      </c>
      <c r="E24" s="11">
        <v>49.899999999999991</v>
      </c>
      <c r="F24" s="11"/>
      <c r="G24" s="11"/>
      <c r="I24" s="15"/>
      <c r="J24" s="0" t="s">
        <v>40</v>
      </c>
    </row>
    <row r="25" outlineLevel="2">
      <c r="A25" s="10" t="s">
        <v>41</v>
      </c>
      <c r="B25" s="0" t="s">
        <v>33</v>
      </c>
      <c r="C25" s="11">
        <f>IFERROR(6.12045*(1-w),"")</f>
        <v>5.52676635</v>
      </c>
      <c r="D25" s="11">
        <v>6.12045</v>
      </c>
      <c r="E25" s="11">
        <v>6.3</v>
      </c>
      <c r="F25" s="11"/>
      <c r="G25" s="11"/>
      <c r="I25" s="15"/>
      <c r="J25" s="0" t="s">
        <v>40</v>
      </c>
    </row>
    <row r="26" outlineLevel="2">
      <c r="A26" s="10" t="s">
        <v>42</v>
      </c>
      <c r="B26" s="0" t="s">
        <v>33</v>
      </c>
      <c r="C26" s="11">
        <f>IFERROR(41.48305*(1-w),"")</f>
        <v>37.45919415</v>
      </c>
      <c r="D26" s="11">
        <v>41.48305</v>
      </c>
      <c r="E26" s="11">
        <v>42.699999999999996</v>
      </c>
      <c r="F26" s="11"/>
      <c r="G26" s="11"/>
      <c r="I26" s="15"/>
      <c r="J26" s="0" t="s">
        <v>37</v>
      </c>
    </row>
    <row r="27" outlineLevel="2">
      <c r="A27" s="10" t="s">
        <v>43</v>
      </c>
      <c r="B27" s="0" t="s">
        <v>33</v>
      </c>
      <c r="C27" s="11">
        <f>IFERROR(0.9715*(1-w),"")</f>
        <v>0.8772645</v>
      </c>
      <c r="D27" s="11">
        <v>0.9715</v>
      </c>
      <c r="E27" s="11">
        <v>1</v>
      </c>
      <c r="F27" s="11"/>
      <c r="G27" s="11"/>
      <c r="I27" s="15"/>
      <c r="J27" s="0" t="s">
        <v>40</v>
      </c>
    </row>
    <row r="28" outlineLevel="2">
      <c r="A28" s="10" t="s">
        <v>44</v>
      </c>
      <c r="B28" s="0" t="s">
        <v>33</v>
      </c>
      <c r="C28" s="11">
        <f>IFERROR(0.09715*(1-w),"")</f>
        <v>0.08772645</v>
      </c>
      <c r="D28" s="11">
        <v>0.09715</v>
      </c>
      <c r="E28" s="11">
        <v>0.099999999999999992</v>
      </c>
      <c r="F28" s="11"/>
      <c r="G28" s="11"/>
      <c r="I28" s="15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99.999999999999986</v>
      </c>
      <c r="D29" s="11">
        <v>99.999999999999986</v>
      </c>
      <c r="E29" s="11">
        <v>99.999999999999986</v>
      </c>
      <c r="F29" s="11"/>
      <c r="G29" s="11"/>
      <c r="I29" s="15"/>
      <c r="J29" s="0" t="s">
        <v>37</v>
      </c>
    </row>
    <row r="30" outlineLevel="1">
      <c r="A30" s="9" t="s">
        <v>46</v>
      </c>
      <c r="I30" s="15"/>
    </row>
    <row r="31" outlineLevel="2">
      <c r="A31" s="10" t="s">
        <v>47</v>
      </c>
      <c r="B31" s="0" t="s">
        <v>48</v>
      </c>
      <c r="C31" s="11">
        <f>IFERROR(17.49208*(1-w)-w*2.443,"")</f>
        <v>15.55837724</v>
      </c>
      <c r="D31" s="11">
        <v>17.49208</v>
      </c>
      <c r="E31" s="11">
        <v>18.005229027277409</v>
      </c>
      <c r="F31" s="11"/>
      <c r="G31" s="11"/>
      <c r="I31" s="15"/>
    </row>
    <row r="32" outlineLevel="2">
      <c r="A32" s="10" t="s">
        <v>49</v>
      </c>
      <c r="B32" s="0" t="s">
        <v>48</v>
      </c>
      <c r="C32" s="11">
        <f>IFERROR(18.82767*(1-w),"")</f>
        <v>17.00138601</v>
      </c>
      <c r="D32" s="11">
        <v>18.82767</v>
      </c>
      <c r="E32" s="11">
        <v>19.38</v>
      </c>
      <c r="F32" s="11"/>
      <c r="G32" s="11"/>
      <c r="I32" s="15"/>
    </row>
    <row r="33" outlineLevel="2">
      <c r="A33" s="10" t="s">
        <v>50</v>
      </c>
      <c r="B33" s="0" t="s">
        <v>48</v>
      </c>
      <c r="C33" s="11">
        <f>IFERROR(19.4919379825*(1-w),"")</f>
        <v>17.6012199981975</v>
      </c>
      <c r="D33" s="11">
        <v>19.491937982499998</v>
      </c>
      <c r="E33" s="11">
        <v>20.063754999999997</v>
      </c>
      <c r="F33" s="11"/>
      <c r="G33" s="11"/>
      <c r="I33" s="15"/>
      <c r="J33" s="0" t="s">
        <v>37</v>
      </c>
    </row>
    <row r="34" outlineLevel="1">
      <c r="A34" s="9" t="s">
        <v>51</v>
      </c>
      <c r="I34" s="15"/>
    </row>
    <row r="35" outlineLevel="2">
      <c r="A35" s="12" t="s">
        <v>52</v>
      </c>
      <c r="I35" s="15"/>
    </row>
    <row r="36" outlineLevel="3">
      <c r="A36" s="13" t="s">
        <v>53</v>
      </c>
      <c r="B36" s="0" t="s">
        <v>54</v>
      </c>
      <c r="C36" s="14">
        <v>1390</v>
      </c>
      <c r="D36" s="14"/>
      <c r="E36" s="14"/>
      <c r="F36" s="14"/>
      <c r="G36" s="14"/>
      <c r="I36" s="15"/>
    </row>
    <row r="37" outlineLevel="3">
      <c r="A37" s="13" t="s">
        <v>55</v>
      </c>
      <c r="B37" s="0" t="s">
        <v>54</v>
      </c>
      <c r="C37" s="14">
        <v>1400</v>
      </c>
      <c r="D37" s="14"/>
      <c r="E37" s="14"/>
      <c r="F37" s="14"/>
      <c r="G37" s="14"/>
      <c r="I37" s="15"/>
    </row>
    <row r="38" outlineLevel="3">
      <c r="A38" s="13" t="s">
        <v>56</v>
      </c>
      <c r="B38" s="0" t="s">
        <v>54</v>
      </c>
      <c r="C38" s="14">
        <v>1400</v>
      </c>
      <c r="D38" s="14"/>
      <c r="E38" s="14"/>
      <c r="F38" s="14"/>
      <c r="G38" s="14"/>
      <c r="I38" s="15"/>
    </row>
    <row r="39">
      <c r="A39" s="5" t="s">
        <v>57</v>
      </c>
      <c r="I39" s="15"/>
    </row>
    <row r="40" outlineLevel="1">
      <c r="A40" s="9" t="s">
        <v>58</v>
      </c>
      <c r="I40" s="15"/>
    </row>
    <row r="41" outlineLevel="2">
      <c r="A41" s="10" t="s">
        <v>59</v>
      </c>
      <c r="B41" s="0" t="s">
        <v>60</v>
      </c>
      <c r="C41" s="11">
        <v>0.4</v>
      </c>
      <c r="D41" s="11"/>
      <c r="E41" s="11"/>
      <c r="F41" s="11"/>
      <c r="G41" s="11"/>
      <c r="I41" s="15"/>
    </row>
    <row r="42" outlineLevel="2">
      <c r="A42" s="10" t="s">
        <v>61</v>
      </c>
      <c r="B42" s="0" t="s">
        <v>60</v>
      </c>
      <c r="C42" s="11">
        <v>0.9</v>
      </c>
      <c r="D42" s="11"/>
      <c r="E42" s="11"/>
      <c r="F42" s="11"/>
      <c r="G42" s="11"/>
      <c r="I42" s="15"/>
    </row>
    <row r="43" outlineLevel="2">
      <c r="A43" s="10" t="s">
        <v>62</v>
      </c>
      <c r="B43" s="0" t="s">
        <v>60</v>
      </c>
      <c r="C43" s="11">
        <v>0.6</v>
      </c>
      <c r="D43" s="11"/>
      <c r="E43" s="11"/>
      <c r="F43" s="11"/>
      <c r="G43" s="11"/>
      <c r="I43" s="15"/>
    </row>
    <row r="44" outlineLevel="2">
      <c r="A44" s="10" t="s">
        <v>63</v>
      </c>
      <c r="B44" s="0" t="s">
        <v>60</v>
      </c>
      <c r="C44" s="11">
        <v>7.8</v>
      </c>
      <c r="D44" s="11"/>
      <c r="E44" s="11"/>
      <c r="F44" s="11"/>
      <c r="G44" s="11"/>
      <c r="I44" s="15"/>
    </row>
    <row r="45" outlineLevel="2">
      <c r="A45" s="10" t="s">
        <v>64</v>
      </c>
      <c r="B45" s="0" t="s">
        <v>60</v>
      </c>
      <c r="C45" s="11">
        <v>12.1</v>
      </c>
      <c r="D45" s="11"/>
      <c r="E45" s="11"/>
      <c r="F45" s="11"/>
      <c r="G45" s="11"/>
      <c r="I45" s="15"/>
    </row>
    <row r="46" outlineLevel="2">
      <c r="A46" s="10" t="s">
        <v>65</v>
      </c>
      <c r="B46" s="0" t="s">
        <v>60</v>
      </c>
      <c r="C46" s="11">
        <v>1.4</v>
      </c>
      <c r="D46" s="11"/>
      <c r="E46" s="11"/>
      <c r="F46" s="11"/>
      <c r="G46" s="11"/>
      <c r="I46" s="15"/>
    </row>
    <row r="47" outlineLevel="2">
      <c r="A47" s="10" t="s">
        <v>66</v>
      </c>
      <c r="B47" s="0" t="s">
        <v>60</v>
      </c>
      <c r="C47" s="11">
        <v>42</v>
      </c>
      <c r="D47" s="11"/>
      <c r="E47" s="11"/>
      <c r="F47" s="11"/>
      <c r="G47" s="11"/>
      <c r="I47" s="15"/>
    </row>
    <row r="48">
      <c r="I48" s="1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9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https://phyllis.nl/Biomass/View/370</dc:description>
  <dcterms:created xsi:type="dcterms:W3CDTF">2026-03-17T05:44:16Z</dcterms:created>
  <dc:title>Phyllis2 #370 cotton seed husks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