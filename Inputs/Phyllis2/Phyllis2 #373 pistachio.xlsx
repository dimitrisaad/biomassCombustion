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73 pistachio" sheetId="1" r:id="rId1"/>
  </sheets>
  <definedNames>
    <definedName name="w" localSheetId="0">IF(ISBLANK('Phyllis2 #373 pistachio'!$C$18),#N/A,'Phyllis2 #373 pistachio'!$C$18/100)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<sst xmlns="http://schemas.openxmlformats.org/spreadsheetml/2006/main" count="52" uniqueCount="52">
  <si>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</si>
  <si>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https://phyllis.nl/Biomass/View/373</t>
  </si>
  <si>
    <t>pistachio (#373)</t>
  </si>
  <si>
    <t>ID-number</t>
  </si>
  <si>
    <t>#373</t>
  </si>
  <si>
    <t>Material</t>
  </si>
  <si>
    <t>pistachio</t>
  </si>
  <si>
    <t>Classification</t>
  </si>
  <si>
    <t>ECN Phyllis classification &gt; husk/shell/pit &gt; others</t>
  </si>
  <si>
    <t>NTA 8003 classification &gt; [200] biomassa uit land- en tuinbouw &gt; [230] restproducten (doppen) &gt; [239] overige doppen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</si>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</sst>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7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IFERROR(1.18*(1-w),"")</f>
        <v/>
      </c>
      <c r="D19" s="11">
        <v>1.18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IFERROR(48.9*(1-w),"")</f>
        <v/>
      </c>
      <c r="D21" s="11">
        <v>48.9</v>
      </c>
      <c r="E21" s="11">
        <v>49.483910139647847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IFERROR(6.27*(1-w),"")</f>
        <v/>
      </c>
      <c r="D22" s="11">
        <v>6.27</v>
      </c>
      <c r="E22" s="11">
        <v>6.344869459623558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IFERROR(42.98*(1-w),"")</f>
        <v/>
      </c>
      <c r="D23" s="11">
        <v>42.98</v>
      </c>
      <c r="E23" s="11">
        <v>43.493219995952238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IFERROR(0.51*(1-w),"")</f>
        <v/>
      </c>
      <c r="D24" s="11">
        <v>0.51</v>
      </c>
      <c r="E24" s="11">
        <v>0.51608986035215543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IFERROR(0.15*(1-w),"")</f>
        <v/>
      </c>
      <c r="D25" s="11">
        <v>0.15</v>
      </c>
      <c r="E25" s="11">
        <v>0.15179113539769276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100.00000000000003</v>
      </c>
      <c r="E26" s="11">
        <v>100.00000000000003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IFERROR(100*(1-w),"")</f>
        <v/>
      </c>
      <c r="D28" s="12">
        <v>100</v>
      </c>
      <c r="E28" s="12">
        <v>101.19409026512852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IFERROR(18.23878*(1-w)-w*2.443,"")</f>
        <v/>
      </c>
      <c r="D30" s="11">
        <v>18.23878</v>
      </c>
      <c r="E30" s="11">
        <v>18.456567496458206</v>
      </c>
      <c r="F30" s="11"/>
      <c r="G30" s="11"/>
      <c r="I30" s="13"/>
    </row>
    <row r="31" outlineLevel="2">
      <c r="A31" s="10" t="s">
        <v>50</v>
      </c>
      <c r="B31" s="0" t="s">
        <v>49</v>
      </c>
      <c r="C31" s="11">
        <f>IFERROR(19.607*(1-w),"")</f>
        <v/>
      </c>
      <c r="D31" s="11">
        <v>19.607</v>
      </c>
      <c r="E31" s="11">
        <v>19.841125278283748</v>
      </c>
      <c r="F31" s="11"/>
      <c r="G31" s="11"/>
      <c r="I31" s="13"/>
    </row>
    <row r="32" outlineLevel="2">
      <c r="A32" s="10" t="s">
        <v>51</v>
      </c>
      <c r="B32" s="0" t="s">
        <v>49</v>
      </c>
      <c r="C32" s="11">
        <f>IFERROR(19.7374890372*(1-w),"")</f>
        <v/>
      </c>
      <c r="D32" s="11">
        <v>19.737489037200003</v>
      </c>
      <c r="E32" s="11">
        <v>19.973172472374017</v>
      </c>
      <c r="F32" s="11"/>
      <c r="G32" s="11"/>
      <c r="I32" s="13"/>
      <c r="J32" s="0" t="s">
        <v>40</v>
      </c>
    </row>
    <row r="33">
      <c r="I33" s="13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https://phyllis.nl/Biomass/View/373</dc:description>
  <dcterms:created xsi:type="dcterms:W3CDTF">2026-03-17T05:45:41Z</dcterms:created>
  <dc:title>Phyllis2 #373 pistachio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