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37 Fucus vesiculosu" sheetId="1" r:id="rId1"/>
  </sheets>
  <definedNames>
    <definedName name="w" localSheetId="0">IF(ISBLANK('Phyllis2 #3737 Fucus vesiculosu'!$C$27),#N/A,'Phyllis2 #3737 Fucus vesiculosu'!$C$27/100)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<sst xmlns="http://schemas.openxmlformats.org/spreadsheetml/2006/main" count="76" uniqueCount="76">
  <si>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</si>
  <si>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https://phyllis.nl/Biomass/View/3737</t>
  </si>
  <si>
    <t>Fucus vesiculosus (#3737)</t>
  </si>
  <si>
    <t>ID-number</t>
  </si>
  <si>
    <t>#3737</t>
  </si>
  <si>
    <t>Material</t>
  </si>
  <si>
    <t>Fucus vesiculosus</t>
  </si>
  <si>
    <t>Description</t>
  </si>
  <si>
    <t>Air dried</t>
  </si>
  <si>
    <t>Classification</t>
  </si>
  <si>
    <t>ECN Phyllis classification &gt; Marine biomass (algae) &gt; Macroalgae &gt; Fucus vesiculosus</t>
  </si>
  <si>
    <t>Submitter organisation</t>
  </si>
  <si>
    <t>TNO (Netherlands)</t>
  </si>
  <si>
    <t>Submission date</t>
  </si>
  <si>
    <t>Remarks</t>
  </si>
  <si>
    <t>Phylum: Ochrophyta</t>
  </si>
  <si>
    <t>Genus: Fucus</t>
  </si>
  <si>
    <t>Species: Fucus vesiculosus</t>
  </si>
  <si>
    <t>Generic algae family: Brown</t>
  </si>
  <si>
    <t>Cultivation region: Cornish coast, England</t>
  </si>
  <si>
    <t>Wild/culture: Wild</t>
  </si>
  <si>
    <t>Harvesting date: Feb-05</t>
  </si>
  <si>
    <t>Literature</t>
  </si>
  <si>
    <t>Year: 2008</t>
  </si>
  <si>
    <t>Journal/project: Bioresource Technology</t>
  </si>
  <si>
    <t>DOI/link: https://doi.org/10.1016/j.biortech.2007.11.036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</si>
  <si>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</si>
  <si>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</si>
  <si>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</si>
  <si>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</si>
  <si>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</si>
  <si>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</si>
  <si>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</si>
  <si>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</si>
  <si>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</si>
  <si>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</si>
  <si>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</si>
  <si>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</si>
  <si>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</si>
  <si>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</si>
  <si>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</si>
  <si>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</si>
  <si>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</si>
  <si>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</si>
  <si>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</si>
  <si>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</si>
  <si>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</si>
  <si>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</si>
  <si>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</si>
  <si>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</si>
  <si>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</si>
  <si>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</si>
  <si>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</si>
  <si>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</si>
  <si>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</si>
  <si>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</si>
  <si>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</si>
  <si>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</si>
  <si>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</si>
  <si>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</si>
  <si>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</si>
  <si>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</si>
  <si>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</si>
  <si>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</si>
  <si>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</si>
  <si>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</si>
  <si>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</si>
  <si>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</si>
  <si>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</si>
  <si>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</si>
  <si>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</si>
  <si>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</si>
  <si>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Selenium (Se)</t>
  </si>
  <si>
    <t>Silicon (Si)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</si>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</sst>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44971.5389583333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IFERROR(11.8*(1-w),"")</f>
        <v/>
      </c>
      <c r="D28" s="13">
        <v>11.8</v>
      </c>
      <c r="E28" s="13">
        <v/>
      </c>
      <c r="F28" s="13"/>
      <c r="G28" s="13"/>
      <c r="I28" s="5"/>
    </row>
    <row r="29" outlineLevel="2">
      <c r="A29" s="12" t="s">
        <v>44</v>
      </c>
      <c r="B29" s="0" t="s">
        <v>43</v>
      </c>
      <c r="C29" s="13">
        <f>IFERROR(51.4*(1-w),"")</f>
        <v/>
      </c>
      <c r="D29" s="13">
        <v>51.4</v>
      </c>
      <c r="E29" s="13">
        <v>58.276643990929706</v>
      </c>
      <c r="F29" s="13"/>
      <c r="G29" s="13"/>
      <c r="I29" s="5"/>
    </row>
    <row r="30" outlineLevel="2">
      <c r="A30" s="12" t="s">
        <v>45</v>
      </c>
      <c r="B30" s="0" t="s">
        <v>43</v>
      </c>
      <c r="C30" s="13">
        <f>IFERROR(36.8*(1-w),"")</f>
        <v/>
      </c>
      <c r="D30" s="13">
        <v>36.800000000000004</v>
      </c>
      <c r="E30" s="13">
        <v>41.7233560090703</v>
      </c>
      <c r="F30" s="13"/>
      <c r="G30" s="13"/>
      <c r="I30" s="5"/>
      <c r="J30" s="0" t="s">
        <v>46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43</v>
      </c>
      <c r="C32" s="13">
        <f>IFERROR(32.88*(1-w),"")</f>
        <v/>
      </c>
      <c r="D32" s="13">
        <v>32.88</v>
      </c>
      <c r="E32" s="13">
        <v>37.278911564625851</v>
      </c>
      <c r="F32" s="13"/>
      <c r="G32" s="13"/>
      <c r="I32" s="5"/>
    </row>
    <row r="33" outlineLevel="2">
      <c r="A33" s="12" t="s">
        <v>49</v>
      </c>
      <c r="B33" s="0" t="s">
        <v>43</v>
      </c>
      <c r="C33" s="13">
        <f>IFERROR(4.77*(1-w),"")</f>
        <v/>
      </c>
      <c r="D33" s="13">
        <v>4.77</v>
      </c>
      <c r="E33" s="13">
        <v>5.408163265306122</v>
      </c>
      <c r="F33" s="13"/>
      <c r="G33" s="13"/>
      <c r="I33" s="5"/>
    </row>
    <row r="34" outlineLevel="2">
      <c r="A34" s="12" t="s">
        <v>50</v>
      </c>
      <c r="B34" s="0" t="s">
        <v>43</v>
      </c>
      <c r="C34" s="13">
        <f>IFERROR(35.63*(1-w),"")</f>
        <v/>
      </c>
      <c r="D34" s="13">
        <v>35.63</v>
      </c>
      <c r="E34" s="13">
        <v>40.3968253968254</v>
      </c>
      <c r="F34" s="13"/>
      <c r="G34" s="13"/>
      <c r="I34" s="5"/>
    </row>
    <row r="35" outlineLevel="2">
      <c r="A35" s="12" t="s">
        <v>51</v>
      </c>
      <c r="B35" s="0" t="s">
        <v>43</v>
      </c>
      <c r="C35" s="13">
        <f>IFERROR(2.53*(1-w),"")</f>
        <v/>
      </c>
      <c r="D35" s="13">
        <v>2.53</v>
      </c>
      <c r="E35" s="13">
        <v>2.8684807256235825</v>
      </c>
      <c r="F35" s="13"/>
      <c r="G35" s="13"/>
      <c r="I35" s="5"/>
    </row>
    <row r="36" outlineLevel="2">
      <c r="A36" s="12" t="s">
        <v>52</v>
      </c>
      <c r="B36" s="0" t="s">
        <v>43</v>
      </c>
      <c r="C36" s="13">
        <f>IFERROR(2.44*(1-w),"")</f>
        <v/>
      </c>
      <c r="D36" s="13">
        <v>2.44</v>
      </c>
      <c r="E36" s="13">
        <v>2.766439909297052</v>
      </c>
      <c r="F36" s="13"/>
      <c r="G36" s="13"/>
      <c r="I36" s="5"/>
    </row>
    <row r="37" outlineLevel="2">
      <c r="A37" s="12" t="s">
        <v>53</v>
      </c>
      <c r="B37" s="0" t="s">
        <v>43</v>
      </c>
      <c r="C37" s="13">
        <f>IFERROR(90.05*(1-w)+w*100,"")</f>
        <v/>
      </c>
      <c r="D37" s="13">
        <v>90.05</v>
      </c>
      <c r="E37" s="13">
        <v>88.718820861678</v>
      </c>
      <c r="F37" s="13"/>
      <c r="G37" s="13"/>
      <c r="I37" s="5"/>
      <c r="J37" s="0" t="s">
        <v>46</v>
      </c>
    </row>
    <row r="38" outlineLevel="1">
      <c r="A38" s="11" t="s">
        <v>54</v>
      </c>
      <c r="I38" s="5"/>
    </row>
    <row r="39" outlineLevel="2">
      <c r="A39" s="12" t="s">
        <v>55</v>
      </c>
      <c r="B39" s="0" t="s">
        <v>56</v>
      </c>
      <c r="C39" s="13">
        <f>IFERROR(12.94696772*(1-w),"")</f>
        <v/>
      </c>
      <c r="D39" s="13">
        <v>12.946967720000002</v>
      </c>
      <c r="E39" s="13">
        <v>14.679101723356011</v>
      </c>
      <c r="F39" s="13"/>
      <c r="G39" s="13"/>
      <c r="I39" s="5"/>
      <c r="J39" s="0" t="s">
        <v>46</v>
      </c>
    </row>
    <row r="40" outlineLevel="1">
      <c r="A40" s="11" t="s">
        <v>57</v>
      </c>
      <c r="I40" s="5"/>
    </row>
    <row r="41" outlineLevel="2">
      <c r="A41" s="12" t="s">
        <v>58</v>
      </c>
      <c r="B41" s="0" t="s">
        <v>59</v>
      </c>
      <c r="C41" s="14">
        <v>1275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59</v>
      </c>
      <c r="C42" s="14">
        <v>69.9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59</v>
      </c>
      <c r="C43" s="14">
        <v>10.65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59</v>
      </c>
      <c r="C44" s="14">
        <v>2.4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59</v>
      </c>
      <c r="C45" s="14">
        <v>7.2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59</v>
      </c>
      <c r="C46" s="14">
        <v>13.7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59</v>
      </c>
      <c r="C47" s="14">
        <v>2420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59</v>
      </c>
      <c r="C48" s="14">
        <v>37.45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59</v>
      </c>
      <c r="C49" s="14">
        <v>7710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59</v>
      </c>
      <c r="C50" s="14">
        <v>66.2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59</v>
      </c>
      <c r="C51" s="14">
        <v>29.35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59</v>
      </c>
      <c r="C52" s="14">
        <v>24.97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59</v>
      </c>
      <c r="C53" s="14">
        <v>6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59</v>
      </c>
      <c r="C54" s="14">
        <v>69.8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59</v>
      </c>
      <c r="C55" s="14">
        <v>3060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59</v>
      </c>
      <c r="C56" s="14">
        <v>480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59</v>
      </c>
      <c r="C57" s="14">
        <v>282</v>
      </c>
      <c r="D57" s="14"/>
      <c r="E57" s="14"/>
      <c r="F57" s="14"/>
      <c r="G57" s="14"/>
      <c r="I57" s="5"/>
    </row>
    <row r="58">
      <c r="I58" s="5"/>
    </row>
    <row r="59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https://phyllis.nl/Biomass/View/3737</dc:description>
  <dcterms:created xsi:type="dcterms:W3CDTF">2026-03-17T05:54:27Z</dcterms:created>
  <dc:title>Phyllis2 #3737 Fucus vesiculosus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