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53 Saccharina latis" sheetId="1" r:id="rId1"/>
  </sheets>
  <definedNames>
    <definedName name="w" localSheetId="0">IF(ISBLANK('Phyllis2 #3753 Saccharina latis'!$C$27),#N/A,'Phyllis2 #3753 Saccharina latis'!$C$27/100)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<sst xmlns="http://schemas.openxmlformats.org/spreadsheetml/2006/main" count="100" uniqueCount="100">
  <si>
    <t>Phyllis2</t>
  </si>
  <si>
    <t>https://phyllis.nl/Biomass/View/3753</t>
  </si>
  <si>
    <t>Saccharina latissima (#3753)</t>
  </si>
  <si>
    <t>ID-number</t>
  </si>
  <si>
    <t>#3753</t>
  </si>
  <si>
    <t>Material</t>
  </si>
  <si>
    <t>Saccharina latissima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</si>
  <si>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</si>
  <si>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</si>
  <si>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</si>
  <si>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</si>
  <si>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</si>
  <si>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</si>
  <si>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</si>
  <si>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</si>
  <si>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</si>
  <si>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</si>
  <si>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Norway</t>
  </si>
  <si>
    <t>Cultivation coordinates: 3°42′15′′N, 8°52′40′′E</t>
  </si>
  <si>
    <t>Wild/culture: Wild</t>
  </si>
  <si>
    <t>Harvesting date: Jul-14</t>
  </si>
  <si>
    <t>Literature</t>
  </si>
  <si>
    <t>Year: 2018</t>
  </si>
  <si>
    <t>Journal/project: Algal Research</t>
  </si>
  <si>
    <t>DOI/link: https://doi.org/10.1016/j.algal.2018.03.012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</si>
  <si>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</si>
  <si>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</si>
  <si>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</si>
  <si>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</si>
  <si>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</si>
  <si>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</si>
  <si>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</si>
  <si>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</si>
  <si>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</si>
  <si>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</si>
  <si>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</si>
  <si>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</si>
  <si>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</si>
  <si>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</si>
  <si>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</si>
  <si>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</si>
  <si>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Ultimate analysis (macroelements)</t>
  </si>
  <si>
    <t>Carbon</t>
  </si>
  <si>
    <t>wt%</t>
  </si>
  <si>
    <t>Nitrogen</t>
  </si>
  <si>
    <t>Sulphur</t>
  </si>
  <si>
    <t>Total (with halides)</t>
  </si>
  <si>
    <t>Calculated</t>
  </si>
  <si>
    <t>Halides</t>
  </si>
  <si>
    <t>Bromine (Br)</t>
  </si>
  <si>
    <t>mg/kg</t>
  </si>
  <si>
    <t>Chlorine (Cl)</t>
  </si>
  <si>
    <t>Iodine (I)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</si>
  <si>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</si>
  <si>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</si>
  <si>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</si>
  <si>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</si>
  <si>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</si>
  <si>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</si>
  <si>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</si>
  <si>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</si>
  <si>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</si>
  <si>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</si>
  <si>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</si>
  <si>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</si>
  <si>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</si>
  <si>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</si>
  <si>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</si>
  <si>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</si>
  <si>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</si>
  <si>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</si>
  <si>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</si>
  <si>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</si>
  <si>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Selenium (Se)</t>
  </si>
  <si>
    <t>Silicon (Si)</t>
  </si>
  <si>
    <t>Strontium (Sr)</t>
  </si>
  <si>
    <t>Thallium (Tl)</t>
  </si>
  <si>
    <t>Vanadium (V)</t>
  </si>
  <si>
    <t>Zinc (Zn)</t>
  </si>
  <si>
    <t>Macroalgae and microalgae</t>
  </si>
  <si>
    <t>Amino acid composition</t>
  </si>
  <si>
    <t>Alanine</t>
  </si>
  <si>
    <t>wt% (dry)</t>
  </si>
  <si>
    <t>Arginine</t>
  </si>
  <si>
    <t>Aspartic acid</t>
  </si>
  <si>
    <t>Cysteine</t>
  </si>
  <si>
    <t>Glutamic acid/Glutamine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</si>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</sst>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8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44971.5546412037</v>
      </c>
    </row>
    <row r="10" outlineLevel="1">
      <c r="A10" s="7" t="s">
        <v>12</v>
      </c>
      <c r="B10" s="0" t="s">
        <v>13</v>
      </c>
    </row>
    <row r="11" outlineLevel="1">
      <c r="A11" s="7"/>
      <c r="B11" s="0" t="s">
        <v>14</v>
      </c>
    </row>
    <row r="12" outlineLevel="1">
      <c r="A12" s="7"/>
      <c r="B12" s="0" t="s">
        <v>15</v>
      </c>
    </row>
    <row r="13" outlineLevel="1">
      <c r="A13" s="7"/>
      <c r="B13" s="0" t="s">
        <v>16</v>
      </c>
    </row>
    <row r="14" outlineLevel="1">
      <c r="A14" s="7"/>
      <c r="B14" s="0" t="s">
        <v>17</v>
      </c>
    </row>
    <row r="15" outlineLevel="1">
      <c r="A15" s="7"/>
      <c r="B15" s="0" t="s">
        <v>18</v>
      </c>
    </row>
    <row r="16" outlineLevel="1">
      <c r="A16" s="7"/>
      <c r="B16" s="0" t="s">
        <v>19</v>
      </c>
    </row>
    <row r="17" outlineLevel="1">
      <c r="A17" s="7"/>
      <c r="B17" s="0" t="s">
        <v>20</v>
      </c>
    </row>
    <row r="18" outlineLevel="1">
      <c r="A18" s="7" t="s">
        <v>21</v>
      </c>
      <c r="B18" s="0" t="s">
        <v>22</v>
      </c>
    </row>
    <row r="19" outlineLevel="1">
      <c r="A19" s="7"/>
      <c r="B19" s="0" t="s">
        <v>23</v>
      </c>
    </row>
    <row r="20" outlineLevel="1">
      <c r="A20" s="7"/>
      <c r="B20" s="0" t="s">
        <v>24</v>
      </c>
    </row>
    <row r="21">
      <c r="A21" s="7"/>
    </row>
    <row r="22" s="1" customFormat="1">
      <c r="A22" s="9" t="s">
        <v>25</v>
      </c>
    </row>
    <row r="23" s="1" customFormat="1">
      <c r="A23" s="10" t="s">
        <v>26</v>
      </c>
      <c r="B23" s="10" t="s">
        <v>27</v>
      </c>
      <c r="C23" s="10" t="s">
        <v>28</v>
      </c>
      <c r="D23" s="10"/>
      <c r="E23" s="10"/>
      <c r="F23" s="10" t="s">
        <v>29</v>
      </c>
      <c r="G23" s="10" t="s">
        <v>30</v>
      </c>
      <c r="H23" s="10" t="s">
        <v>31</v>
      </c>
      <c r="I23" s="10" t="s">
        <v>32</v>
      </c>
      <c r="J23" s="10" t="s">
        <v>33</v>
      </c>
      <c r="K23" s="10" t="s">
        <v>12</v>
      </c>
      <c r="L23" s="10"/>
    </row>
    <row r="24" s="1" customFormat="1">
      <c r="A24" s="10"/>
      <c r="B24" s="10"/>
      <c r="C24" s="10" t="s">
        <v>34</v>
      </c>
      <c r="D24" s="10" t="s">
        <v>35</v>
      </c>
      <c r="E24" s="10" t="s">
        <v>36</v>
      </c>
      <c r="F24" s="10"/>
      <c r="G24" s="10"/>
      <c r="H24" s="10"/>
      <c r="I24" s="10"/>
      <c r="J24" s="10"/>
      <c r="K24" s="10"/>
      <c r="L24" s="10"/>
    </row>
    <row r="25">
      <c r="A25" s="7" t="s">
        <v>37</v>
      </c>
      <c r="I25" s="5"/>
    </row>
    <row r="26" outlineLevel="1">
      <c r="A26" s="11" t="s">
        <v>38</v>
      </c>
      <c r="I26" s="5"/>
    </row>
    <row r="27" outlineLevel="2">
      <c r="A27" s="12" t="s">
        <v>39</v>
      </c>
      <c r="B27" s="0" t="s">
        <v>40</v>
      </c>
      <c r="C27" s="13">
        <v/>
      </c>
      <c r="D27" s="13"/>
      <c r="E27" s="13"/>
      <c r="F27" s="13"/>
      <c r="G27" s="13"/>
      <c r="I27" s="5"/>
    </row>
    <row r="28" outlineLevel="1">
      <c r="A28" s="11" t="s">
        <v>41</v>
      </c>
      <c r="I28" s="5"/>
    </row>
    <row r="29" outlineLevel="2">
      <c r="A29" s="12" t="s">
        <v>42</v>
      </c>
      <c r="B29" s="0" t="s">
        <v>43</v>
      </c>
      <c r="C29" s="13">
        <f>IFERROR(33.8*(1-w),"")</f>
        <v/>
      </c>
      <c r="D29" s="13">
        <v>33.8</v>
      </c>
      <c r="E29" s="13">
        <v/>
      </c>
      <c r="F29" s="13"/>
      <c r="G29" s="13"/>
      <c r="I29" s="5"/>
    </row>
    <row r="30" outlineLevel="2">
      <c r="A30" s="12" t="s">
        <v>44</v>
      </c>
      <c r="B30" s="0" t="s">
        <v>43</v>
      </c>
      <c r="C30" s="13">
        <f>IFERROR(1.5*(1-w),"")</f>
        <v/>
      </c>
      <c r="D30" s="13">
        <v>1.5</v>
      </c>
      <c r="E30" s="13">
        <v/>
      </c>
      <c r="F30" s="13"/>
      <c r="G30" s="13"/>
      <c r="I30" s="5"/>
    </row>
    <row r="31" outlineLevel="2">
      <c r="A31" s="12" t="s">
        <v>45</v>
      </c>
      <c r="B31" s="0" t="s">
        <v>43</v>
      </c>
      <c r="C31" s="13">
        <f>IFERROR(0.97*(1-w),"")</f>
        <v/>
      </c>
      <c r="D31" s="13">
        <v>0.97</v>
      </c>
      <c r="E31" s="13">
        <v/>
      </c>
      <c r="F31" s="13"/>
      <c r="G31" s="13"/>
      <c r="I31" s="5"/>
    </row>
    <row r="32" outlineLevel="2">
      <c r="A32" s="12" t="s">
        <v>46</v>
      </c>
      <c r="B32" s="0" t="s">
        <v>43</v>
      </c>
      <c r="C32" s="13">
        <f>IFERROR(43.46*(1-w)+w*100,"")</f>
        <v/>
      </c>
      <c r="D32" s="13">
        <v>43.459999999999994</v>
      </c>
      <c r="E32" s="13">
        <v/>
      </c>
      <c r="F32" s="13"/>
      <c r="G32" s="13"/>
      <c r="I32" s="5"/>
      <c r="J32" s="0" t="s">
        <v>47</v>
      </c>
    </row>
    <row r="33" outlineLevel="1">
      <c r="A33" s="11" t="s">
        <v>48</v>
      </c>
      <c r="I33" s="5"/>
    </row>
    <row r="34" outlineLevel="2">
      <c r="A34" s="12" t="s">
        <v>49</v>
      </c>
      <c r="B34" s="0" t="s">
        <v>50</v>
      </c>
      <c r="C34" s="14">
        <f>IFERROR(600*(1-w),"")</f>
        <v/>
      </c>
      <c r="D34" s="14">
        <v>600</v>
      </c>
      <c r="E34" s="14">
        <v/>
      </c>
      <c r="F34" s="14"/>
      <c r="G34" s="14"/>
      <c r="I34" s="5"/>
    </row>
    <row r="35" outlineLevel="2">
      <c r="A35" s="12" t="s">
        <v>51</v>
      </c>
      <c r="B35" s="0" t="s">
        <v>50</v>
      </c>
      <c r="C35" s="14">
        <f>IFERROR(67700*(1-w),"")</f>
        <v/>
      </c>
      <c r="D35" s="14">
        <v>67700</v>
      </c>
      <c r="E35" s="14">
        <v/>
      </c>
      <c r="F35" s="14"/>
      <c r="G35" s="14"/>
      <c r="I35" s="5"/>
    </row>
    <row r="36" outlineLevel="2">
      <c r="A36" s="12" t="s">
        <v>52</v>
      </c>
      <c r="B36" s="0" t="s">
        <v>50</v>
      </c>
      <c r="C36" s="14">
        <f>IFERROR(3600*(1-w),"")</f>
        <v/>
      </c>
      <c r="D36" s="14">
        <v>3600</v>
      </c>
      <c r="E36" s="14">
        <v/>
      </c>
      <c r="F36" s="14"/>
      <c r="G36" s="14"/>
      <c r="I36" s="5"/>
    </row>
    <row r="37" outlineLevel="1">
      <c r="A37" s="11" t="s">
        <v>53</v>
      </c>
      <c r="I37" s="5"/>
    </row>
    <row r="38" outlineLevel="2">
      <c r="A38" s="12" t="s">
        <v>54</v>
      </c>
      <c r="B38" s="0" t="s">
        <v>55</v>
      </c>
      <c r="C38" s="14">
        <v>58.8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55</v>
      </c>
      <c r="C39" s="14">
        <v>122.2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55</v>
      </c>
      <c r="C40" s="14">
        <v>10.4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55</v>
      </c>
      <c r="C41" s="14">
        <v>17800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55</v>
      </c>
      <c r="C42" s="14">
        <v>1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55</v>
      </c>
      <c r="C43" s="14">
        <v>0.2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55</v>
      </c>
      <c r="C44" s="14">
        <v>1.1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55</v>
      </c>
      <c r="C45" s="14">
        <v>4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55</v>
      </c>
      <c r="C46" s="14">
        <v>111.1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55</v>
      </c>
      <c r="C47" s="14">
        <v>0.1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55</v>
      </c>
      <c r="C48" s="14">
        <v>58900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55</v>
      </c>
      <c r="C49" s="14">
        <v>6000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55</v>
      </c>
      <c r="C50" s="14">
        <v>4.2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55</v>
      </c>
      <c r="C51" s="14">
        <v>0.3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55</v>
      </c>
      <c r="C52" s="14">
        <v>33300</v>
      </c>
      <c r="D52" s="14"/>
      <c r="E52" s="14"/>
      <c r="F52" s="14"/>
      <c r="G52" s="14"/>
      <c r="I52" s="5"/>
    </row>
    <row r="53" outlineLevel="2">
      <c r="A53" s="12" t="s">
        <v>70</v>
      </c>
      <c r="B53" s="0" t="s">
        <v>55</v>
      </c>
      <c r="C53" s="14">
        <v>1.4</v>
      </c>
      <c r="D53" s="14"/>
      <c r="E53" s="14"/>
      <c r="F53" s="14"/>
      <c r="G53" s="14"/>
      <c r="I53" s="5"/>
    </row>
    <row r="54" outlineLevel="2">
      <c r="A54" s="12" t="s">
        <v>71</v>
      </c>
      <c r="B54" s="0" t="s">
        <v>55</v>
      </c>
      <c r="C54" s="14">
        <v>1900</v>
      </c>
      <c r="D54" s="14"/>
      <c r="E54" s="14"/>
      <c r="F54" s="14"/>
      <c r="G54" s="14"/>
      <c r="I54" s="5"/>
    </row>
    <row r="55" outlineLevel="2">
      <c r="A55" s="12" t="s">
        <v>72</v>
      </c>
      <c r="B55" s="0" t="s">
        <v>55</v>
      </c>
      <c r="C55" s="14">
        <v>1.2</v>
      </c>
      <c r="D55" s="14"/>
      <c r="E55" s="14"/>
      <c r="F55" s="14"/>
      <c r="G55" s="14"/>
      <c r="I55" s="5"/>
    </row>
    <row r="56" outlineLevel="2">
      <c r="A56" s="12" t="s">
        <v>73</v>
      </c>
      <c r="B56" s="0" t="s">
        <v>55</v>
      </c>
      <c r="C56" s="14">
        <v>0.1</v>
      </c>
      <c r="D56" s="14"/>
      <c r="E56" s="14"/>
      <c r="F56" s="14"/>
      <c r="G56" s="14"/>
      <c r="I56" s="5"/>
    </row>
    <row r="57" outlineLevel="2">
      <c r="A57" s="12" t="s">
        <v>74</v>
      </c>
      <c r="B57" s="0" t="s">
        <v>55</v>
      </c>
      <c r="C57" s="14">
        <v>366.6</v>
      </c>
      <c r="D57" s="14"/>
      <c r="E57" s="14"/>
      <c r="F57" s="14"/>
      <c r="G57" s="14"/>
      <c r="I57" s="5"/>
    </row>
    <row r="58" outlineLevel="2">
      <c r="A58" s="12" t="s">
        <v>75</v>
      </c>
      <c r="B58" s="0" t="s">
        <v>55</v>
      </c>
      <c r="C58" s="14">
        <v>688.9</v>
      </c>
      <c r="D58" s="14"/>
      <c r="E58" s="14"/>
      <c r="F58" s="14"/>
      <c r="G58" s="14"/>
      <c r="I58" s="5"/>
    </row>
    <row r="59" outlineLevel="2">
      <c r="A59" s="12" t="s">
        <v>76</v>
      </c>
      <c r="B59" s="0" t="s">
        <v>55</v>
      </c>
      <c r="C59" s="14">
        <v>0.1</v>
      </c>
      <c r="D59" s="14"/>
      <c r="E59" s="14"/>
      <c r="F59" s="14"/>
      <c r="G59" s="14"/>
      <c r="I59" s="5"/>
    </row>
    <row r="60" outlineLevel="2">
      <c r="A60" s="12" t="s">
        <v>77</v>
      </c>
      <c r="B60" s="0" t="s">
        <v>55</v>
      </c>
      <c r="C60" s="14">
        <v>2.4</v>
      </c>
      <c r="D60" s="14"/>
      <c r="E60" s="14"/>
      <c r="F60" s="14"/>
      <c r="G60" s="14"/>
      <c r="I60" s="5"/>
    </row>
    <row r="61" outlineLevel="2">
      <c r="A61" s="12" t="s">
        <v>78</v>
      </c>
      <c r="B61" s="0" t="s">
        <v>55</v>
      </c>
      <c r="C61" s="14">
        <v>33.7</v>
      </c>
      <c r="D61" s="14"/>
      <c r="E61" s="14"/>
      <c r="F61" s="14"/>
      <c r="G61" s="14"/>
      <c r="I61" s="5"/>
    </row>
    <row r="62">
      <c r="A62" s="7" t="s">
        <v>79</v>
      </c>
      <c r="I62" s="5"/>
    </row>
    <row r="63" outlineLevel="1">
      <c r="A63" s="11" t="s">
        <v>80</v>
      </c>
      <c r="I63" s="5"/>
    </row>
    <row r="64" outlineLevel="2">
      <c r="A64" s="12" t="s">
        <v>81</v>
      </c>
      <c r="B64" s="0" t="s">
        <v>82</v>
      </c>
      <c r="C64" s="13">
        <v>0.76</v>
      </c>
      <c r="D64" s="13"/>
      <c r="E64" s="13"/>
      <c r="F64" s="13"/>
      <c r="G64" s="13"/>
      <c r="I64" s="5"/>
    </row>
    <row r="65" outlineLevel="2">
      <c r="A65" s="12" t="s">
        <v>83</v>
      </c>
      <c r="B65" s="0" t="s">
        <v>82</v>
      </c>
      <c r="C65" s="13">
        <v>0.41</v>
      </c>
      <c r="D65" s="13"/>
      <c r="E65" s="13"/>
      <c r="F65" s="13"/>
      <c r="G65" s="13"/>
      <c r="I65" s="5"/>
    </row>
    <row r="66" outlineLevel="2">
      <c r="A66" s="12" t="s">
        <v>84</v>
      </c>
      <c r="B66" s="0" t="s">
        <v>82</v>
      </c>
      <c r="C66" s="13">
        <v>0.98</v>
      </c>
      <c r="D66" s="13"/>
      <c r="E66" s="13"/>
      <c r="F66" s="13"/>
      <c r="G66" s="13"/>
      <c r="I66" s="5"/>
    </row>
    <row r="67" outlineLevel="2">
      <c r="A67" s="12" t="s">
        <v>85</v>
      </c>
      <c r="B67" s="0" t="s">
        <v>82</v>
      </c>
      <c r="C67" s="13">
        <v>0.22</v>
      </c>
      <c r="D67" s="13"/>
      <c r="E67" s="13"/>
      <c r="F67" s="13"/>
      <c r="G67" s="13"/>
      <c r="I67" s="5"/>
    </row>
    <row r="68" outlineLevel="2">
      <c r="A68" s="12" t="s">
        <v>86</v>
      </c>
      <c r="B68" s="0" t="s">
        <v>82</v>
      </c>
      <c r="C68" s="13">
        <v>1.56</v>
      </c>
      <c r="D68" s="13"/>
      <c r="E68" s="13"/>
      <c r="F68" s="13"/>
      <c r="G68" s="13"/>
      <c r="I68" s="5"/>
    </row>
    <row r="69" outlineLevel="2">
      <c r="A69" s="12" t="s">
        <v>87</v>
      </c>
      <c r="B69" s="0" t="s">
        <v>82</v>
      </c>
      <c r="C69" s="13">
        <v>0.35</v>
      </c>
      <c r="D69" s="13"/>
      <c r="E69" s="13"/>
      <c r="F69" s="13"/>
      <c r="G69" s="13"/>
      <c r="I69" s="5"/>
    </row>
    <row r="70" outlineLevel="2">
      <c r="A70" s="12" t="s">
        <v>88</v>
      </c>
      <c r="B70" s="0" t="s">
        <v>82</v>
      </c>
      <c r="C70" s="13">
        <v>0.11</v>
      </c>
      <c r="D70" s="13"/>
      <c r="E70" s="13"/>
      <c r="F70" s="13"/>
      <c r="G70" s="13"/>
      <c r="I70" s="5"/>
    </row>
    <row r="71" outlineLevel="2">
      <c r="A71" s="12" t="s">
        <v>89</v>
      </c>
      <c r="B71" s="0" t="s">
        <v>82</v>
      </c>
      <c r="C71" s="13">
        <v>0.28</v>
      </c>
      <c r="D71" s="13"/>
      <c r="E71" s="13"/>
      <c r="F71" s="13"/>
      <c r="G71" s="13"/>
      <c r="I71" s="5"/>
    </row>
    <row r="72" outlineLevel="2">
      <c r="A72" s="12" t="s">
        <v>90</v>
      </c>
      <c r="B72" s="0" t="s">
        <v>82</v>
      </c>
      <c r="C72" s="13">
        <v>0.47</v>
      </c>
      <c r="D72" s="13"/>
      <c r="E72" s="13"/>
      <c r="F72" s="13"/>
      <c r="G72" s="13"/>
      <c r="I72" s="5"/>
    </row>
    <row r="73" outlineLevel="2">
      <c r="A73" s="12" t="s">
        <v>91</v>
      </c>
      <c r="B73" s="0" t="s">
        <v>82</v>
      </c>
      <c r="C73" s="13">
        <v>0.43</v>
      </c>
      <c r="D73" s="13"/>
      <c r="E73" s="13"/>
      <c r="F73" s="13"/>
      <c r="G73" s="13"/>
      <c r="I73" s="5"/>
    </row>
    <row r="74" outlineLevel="2">
      <c r="A74" s="12" t="s">
        <v>92</v>
      </c>
      <c r="B74" s="0" t="s">
        <v>82</v>
      </c>
      <c r="C74" s="13">
        <v>0.16</v>
      </c>
      <c r="D74" s="13"/>
      <c r="E74" s="13"/>
      <c r="F74" s="13"/>
      <c r="G74" s="13"/>
      <c r="I74" s="5"/>
    </row>
    <row r="75" outlineLevel="2">
      <c r="A75" s="12" t="s">
        <v>93</v>
      </c>
      <c r="B75" s="0" t="s">
        <v>82</v>
      </c>
      <c r="C75" s="13">
        <v>0.4</v>
      </c>
      <c r="D75" s="13"/>
      <c r="E75" s="13"/>
      <c r="F75" s="13"/>
      <c r="G75" s="13"/>
      <c r="I75" s="5"/>
    </row>
    <row r="76" outlineLevel="2">
      <c r="A76" s="12" t="s">
        <v>94</v>
      </c>
      <c r="B76" s="0" t="s">
        <v>82</v>
      </c>
      <c r="C76" s="13">
        <v>0.41</v>
      </c>
      <c r="D76" s="13"/>
      <c r="E76" s="13"/>
      <c r="F76" s="13"/>
      <c r="G76" s="13"/>
      <c r="I76" s="5"/>
    </row>
    <row r="77" outlineLevel="2">
      <c r="A77" s="12" t="s">
        <v>95</v>
      </c>
      <c r="B77" s="0" t="s">
        <v>82</v>
      </c>
      <c r="C77" s="13">
        <v>0.36</v>
      </c>
      <c r="D77" s="13"/>
      <c r="E77" s="13"/>
      <c r="F77" s="13"/>
      <c r="G77" s="13"/>
      <c r="I77" s="5"/>
    </row>
    <row r="78" outlineLevel="2">
      <c r="A78" s="12" t="s">
        <v>96</v>
      </c>
      <c r="B78" s="0" t="s">
        <v>82</v>
      </c>
      <c r="C78" s="13">
        <v>0.38</v>
      </c>
      <c r="D78" s="13"/>
      <c r="E78" s="13"/>
      <c r="F78" s="13"/>
      <c r="G78" s="13"/>
      <c r="I78" s="5"/>
    </row>
    <row r="79" outlineLevel="2">
      <c r="A79" s="12" t="s">
        <v>97</v>
      </c>
      <c r="B79" s="0" t="s">
        <v>82</v>
      </c>
      <c r="C79" s="13">
        <v>0.11</v>
      </c>
      <c r="D79" s="13"/>
      <c r="E79" s="13"/>
      <c r="F79" s="13"/>
      <c r="G79" s="13"/>
      <c r="I79" s="5"/>
    </row>
    <row r="80" outlineLevel="2">
      <c r="A80" s="12" t="s">
        <v>98</v>
      </c>
      <c r="B80" s="0" t="s">
        <v>82</v>
      </c>
      <c r="C80" s="13">
        <v>0.07</v>
      </c>
      <c r="D80" s="13"/>
      <c r="E80" s="13"/>
      <c r="F80" s="13"/>
      <c r="G80" s="13"/>
      <c r="I80" s="5"/>
    </row>
    <row r="81" outlineLevel="2">
      <c r="A81" s="12" t="s">
        <v>99</v>
      </c>
      <c r="B81" s="0" t="s">
        <v>82</v>
      </c>
      <c r="C81" s="13">
        <v>0.4</v>
      </c>
      <c r="D81" s="13"/>
      <c r="E81" s="13"/>
      <c r="F81" s="13"/>
      <c r="G81" s="13"/>
      <c r="I81" s="5"/>
    </row>
    <row r="82">
      <c r="I82" s="5"/>
    </row>
    <row r="83" s="1" customFormat="1"/>
  </sheetData>
  <mergeCells>
    <mergeCell ref="A7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https://phyllis.nl/Biomass/View/3753</dc:description>
  <dcterms:created xsi:type="dcterms:W3CDTF">2026-03-17T05:57:18Z</dcterms:created>
  <dc:title>Phyllis2 #3753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