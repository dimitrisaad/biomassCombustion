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77 Fucus serratus" sheetId="1" r:id="rId1"/>
  </sheets>
  <definedNames>
    <definedName name="w" localSheetId="0">IF(ISBLANK('Phyllis2 #3777 Fucus serratus'!$C$27),#N/A,'Phyllis2 #3777 Fucus serratus'!$C$27/100)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<sst xmlns="http://schemas.openxmlformats.org/spreadsheetml/2006/main" count="76" uniqueCount="76">
  <si>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</si>
  <si>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https://phyllis.nl/Biomass/View/3777</t>
  </si>
  <si>
    <t>Fucus serratus (#3777)</t>
  </si>
  <si>
    <t>ID-number</t>
  </si>
  <si>
    <t>#3777</t>
  </si>
  <si>
    <t>Material</t>
  </si>
  <si>
    <t>Fucus serratus</t>
  </si>
  <si>
    <t>Description</t>
  </si>
  <si>
    <t>Air dried</t>
  </si>
  <si>
    <t>Classification</t>
  </si>
  <si>
    <t>ECN Phyllis classification &gt; Marine biomass (algae) &gt; Macroalgae &gt; Fucus serratus</t>
  </si>
  <si>
    <t>Submitter organisation</t>
  </si>
  <si>
    <t>TNO (Netherlands)</t>
  </si>
  <si>
    <t>Submission date</t>
  </si>
  <si>
    <t>Remarks</t>
  </si>
  <si>
    <t>Phylum: Ochrophyta</t>
  </si>
  <si>
    <t>Genus: Fucus</t>
  </si>
  <si>
    <t>Species: Fucus serratus</t>
  </si>
  <si>
    <t>Generic algae family: Brown</t>
  </si>
  <si>
    <t>Cultivation region: Cornish coast, England</t>
  </si>
  <si>
    <t>Wild/culture: Wild</t>
  </si>
  <si>
    <t>Harvesting date: Feb-05</t>
  </si>
  <si>
    <t>Literature</t>
  </si>
  <si>
    <t>Year: 2008</t>
  </si>
  <si>
    <t>Journal/project: Bioresource Technology</t>
  </si>
  <si>
    <t>DOI/link: https://doi.org/10.1016/j.biortech.2007.11.036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</si>
  <si>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</si>
  <si>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</si>
  <si>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</si>
  <si>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</si>
  <si>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</si>
  <si>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</si>
  <si>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</si>
  <si>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</si>
  <si>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</si>
  <si>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</si>
  <si>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</si>
  <si>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</si>
  <si>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</si>
  <si>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</si>
  <si>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</si>
  <si>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</si>
  <si>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</si>
  <si>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</si>
  <si>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</si>
  <si>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</si>
  <si>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</si>
  <si>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</si>
  <si>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</si>
  <si>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</si>
  <si>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</si>
  <si>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</si>
  <si>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</si>
  <si>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</si>
  <si>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</si>
  <si>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</si>
  <si>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</si>
  <si>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</si>
  <si>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Aluminium (Al)</t>
  </si>
  <si>
    <t>mg/kg (dry)</t>
  </si>
  <si>
    <t>Arsenic (As)</t>
  </si>
  <si>
    <t>Calcium (Ca)</t>
  </si>
  <si>
    <t>Cadmium (Cd)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</si>
  <si>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</si>
  <si>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</si>
  <si>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</si>
  <si>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</si>
  <si>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</si>
  <si>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</si>
  <si>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</si>
  <si>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Phosphorus (P)</t>
  </si>
  <si>
    <t>Lead (Pb)</t>
  </si>
  <si>
    <t>Selenium (Se)</t>
  </si>
  <si>
    <t>Silicon (Si)</t>
  </si>
  <si>
    <t>Strontium (Sr)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</si>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</sst>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44971.5653935185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 outlineLevel="1">
      <c r="A20" s="7"/>
      <c r="B20" s="0" t="s">
        <v>25</v>
      </c>
    </row>
    <row r="21">
      <c r="A21" s="7"/>
    </row>
    <row r="22" s="1" customFormat="1">
      <c r="A22" s="9" t="s">
        <v>26</v>
      </c>
    </row>
    <row r="23" s="1" customFormat="1">
      <c r="A23" s="10" t="s">
        <v>27</v>
      </c>
      <c r="B23" s="10" t="s">
        <v>28</v>
      </c>
      <c r="C23" s="10" t="s">
        <v>29</v>
      </c>
      <c r="D23" s="10"/>
      <c r="E23" s="10"/>
      <c r="F23" s="10" t="s">
        <v>30</v>
      </c>
      <c r="G23" s="10" t="s">
        <v>31</v>
      </c>
      <c r="H23" s="10" t="s">
        <v>32</v>
      </c>
      <c r="I23" s="10" t="s">
        <v>33</v>
      </c>
      <c r="J23" s="10" t="s">
        <v>34</v>
      </c>
      <c r="K23" s="10" t="s">
        <v>14</v>
      </c>
      <c r="L23" s="10"/>
    </row>
    <row r="24" s="1" customFormat="1">
      <c r="A24" s="10"/>
      <c r="B24" s="10"/>
      <c r="C24" s="10" t="s">
        <v>35</v>
      </c>
      <c r="D24" s="10" t="s">
        <v>36</v>
      </c>
      <c r="E24" s="10" t="s">
        <v>37</v>
      </c>
      <c r="F24" s="10"/>
      <c r="G24" s="10"/>
      <c r="H24" s="10"/>
      <c r="I24" s="10"/>
      <c r="J24" s="10"/>
      <c r="K24" s="10"/>
      <c r="L24" s="10"/>
    </row>
    <row r="25">
      <c r="A25" s="7" t="s">
        <v>38</v>
      </c>
      <c r="I25" s="5"/>
    </row>
    <row r="26" outlineLevel="1">
      <c r="A26" s="11" t="s">
        <v>39</v>
      </c>
      <c r="I26" s="5"/>
    </row>
    <row r="27" outlineLevel="2">
      <c r="A27" s="12" t="s">
        <v>40</v>
      </c>
      <c r="B27" s="0" t="s">
        <v>41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42</v>
      </c>
      <c r="B28" s="0" t="s">
        <v>43</v>
      </c>
      <c r="C28" s="13">
        <f>IFERROR(18.6*(1-w),"")</f>
        <v/>
      </c>
      <c r="D28" s="13">
        <v>18.6</v>
      </c>
      <c r="E28" s="13">
        <v/>
      </c>
      <c r="F28" s="13"/>
      <c r="G28" s="13"/>
      <c r="I28" s="5"/>
    </row>
    <row r="29" outlineLevel="2">
      <c r="A29" s="12" t="s">
        <v>44</v>
      </c>
      <c r="B29" s="0" t="s">
        <v>43</v>
      </c>
      <c r="C29" s="13">
        <f>IFERROR(45.5*(1-w),"")</f>
        <v/>
      </c>
      <c r="D29" s="13">
        <v>45.5</v>
      </c>
      <c r="E29" s="13">
        <v>55.8968058968059</v>
      </c>
      <c r="F29" s="13"/>
      <c r="G29" s="13"/>
      <c r="I29" s="5"/>
    </row>
    <row r="30" outlineLevel="2">
      <c r="A30" s="12" t="s">
        <v>45</v>
      </c>
      <c r="B30" s="0" t="s">
        <v>43</v>
      </c>
      <c r="C30" s="13">
        <f>IFERROR(35.9*(1-w),"")</f>
        <v/>
      </c>
      <c r="D30" s="13">
        <v>35.900000000000006</v>
      </c>
      <c r="E30" s="13">
        <v>44.103194103194113</v>
      </c>
      <c r="F30" s="13"/>
      <c r="G30" s="13"/>
      <c r="I30" s="5"/>
      <c r="J30" s="0" t="s">
        <v>46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43</v>
      </c>
      <c r="C32" s="13">
        <f>IFERROR(33.5*(1-w),"")</f>
        <v/>
      </c>
      <c r="D32" s="13">
        <v>33.5</v>
      </c>
      <c r="E32" s="13">
        <v>41.154791154791155</v>
      </c>
      <c r="F32" s="13"/>
      <c r="G32" s="13"/>
      <c r="I32" s="5"/>
    </row>
    <row r="33" outlineLevel="2">
      <c r="A33" s="12" t="s">
        <v>49</v>
      </c>
      <c r="B33" s="0" t="s">
        <v>43</v>
      </c>
      <c r="C33" s="13">
        <f>IFERROR(4.78*(1-w),"")</f>
        <v/>
      </c>
      <c r="D33" s="13">
        <v>4.78</v>
      </c>
      <c r="E33" s="13">
        <v>5.8722358722358727</v>
      </c>
      <c r="F33" s="13"/>
      <c r="G33" s="13"/>
      <c r="I33" s="5"/>
    </row>
    <row r="34" outlineLevel="2">
      <c r="A34" s="12" t="s">
        <v>50</v>
      </c>
      <c r="B34" s="0" t="s">
        <v>43</v>
      </c>
      <c r="C34" s="13">
        <f>IFERROR(34.44*(1-w),"")</f>
        <v/>
      </c>
      <c r="D34" s="13">
        <v>34.44</v>
      </c>
      <c r="E34" s="13">
        <v>42.309582309582311</v>
      </c>
      <c r="F34" s="13"/>
      <c r="G34" s="13"/>
      <c r="I34" s="5"/>
    </row>
    <row r="35" outlineLevel="2">
      <c r="A35" s="12" t="s">
        <v>51</v>
      </c>
      <c r="B35" s="0" t="s">
        <v>43</v>
      </c>
      <c r="C35" s="13">
        <f>IFERROR(2.39*(1-w),"")</f>
        <v/>
      </c>
      <c r="D35" s="13">
        <v>2.39</v>
      </c>
      <c r="E35" s="13">
        <v>2.9361179361179364</v>
      </c>
      <c r="F35" s="13"/>
      <c r="G35" s="13"/>
      <c r="I35" s="5"/>
    </row>
    <row r="36" outlineLevel="2">
      <c r="A36" s="12" t="s">
        <v>52</v>
      </c>
      <c r="B36" s="0" t="s">
        <v>43</v>
      </c>
      <c r="C36" s="13">
        <f>IFERROR(1.31*(1-w),"")</f>
        <v/>
      </c>
      <c r="D36" s="13">
        <v>1.31</v>
      </c>
      <c r="E36" s="13">
        <v>1.6093366093366095</v>
      </c>
      <c r="F36" s="13"/>
      <c r="G36" s="13"/>
      <c r="I36" s="5"/>
    </row>
    <row r="37" outlineLevel="2">
      <c r="A37" s="12" t="s">
        <v>53</v>
      </c>
      <c r="B37" s="0" t="s">
        <v>43</v>
      </c>
      <c r="C37" s="13">
        <f>IFERROR(95.02*(1-w)+w*100,"")</f>
        <v/>
      </c>
      <c r="D37" s="13">
        <v>95.02000000000001</v>
      </c>
      <c r="E37" s="13">
        <v>93.8820638820639</v>
      </c>
      <c r="F37" s="13"/>
      <c r="G37" s="13"/>
      <c r="I37" s="5"/>
      <c r="J37" s="0" t="s">
        <v>46</v>
      </c>
    </row>
    <row r="38" outlineLevel="1">
      <c r="A38" s="11" t="s">
        <v>54</v>
      </c>
      <c r="I38" s="5"/>
    </row>
    <row r="39" outlineLevel="2">
      <c r="A39" s="12" t="s">
        <v>55</v>
      </c>
      <c r="B39" s="0" t="s">
        <v>56</v>
      </c>
      <c r="C39" s="13">
        <f>IFERROR(13.18127788*(1-w),"")</f>
        <v/>
      </c>
      <c r="D39" s="13">
        <v>13.18127788</v>
      </c>
      <c r="E39" s="13">
        <v>16.193216068796069</v>
      </c>
      <c r="F39" s="13"/>
      <c r="G39" s="13"/>
      <c r="I39" s="5"/>
      <c r="J39" s="0" t="s">
        <v>46</v>
      </c>
    </row>
    <row r="40" outlineLevel="1">
      <c r="A40" s="11" t="s">
        <v>57</v>
      </c>
      <c r="I40" s="5"/>
    </row>
    <row r="41" outlineLevel="2">
      <c r="A41" s="12" t="s">
        <v>58</v>
      </c>
      <c r="B41" s="0" t="s">
        <v>59</v>
      </c>
      <c r="C41" s="14">
        <v>1520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59</v>
      </c>
      <c r="C42" s="14">
        <v>81.9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59</v>
      </c>
      <c r="C43" s="14">
        <v>21.75</v>
      </c>
      <c r="D43" s="14"/>
      <c r="E43" s="14"/>
      <c r="F43" s="14"/>
      <c r="G43" s="14"/>
      <c r="I43" s="5"/>
    </row>
    <row r="44" outlineLevel="2">
      <c r="A44" s="12" t="s">
        <v>62</v>
      </c>
      <c r="B44" s="0" t="s">
        <v>59</v>
      </c>
      <c r="C44" s="14">
        <v>2</v>
      </c>
      <c r="D44" s="14"/>
      <c r="E44" s="14"/>
      <c r="F44" s="14"/>
      <c r="G44" s="14"/>
      <c r="I44" s="5"/>
    </row>
    <row r="45" outlineLevel="2">
      <c r="A45" s="12" t="s">
        <v>63</v>
      </c>
      <c r="B45" s="0" t="s">
        <v>59</v>
      </c>
      <c r="C45" s="14">
        <v>9</v>
      </c>
      <c r="D45" s="14"/>
      <c r="E45" s="14"/>
      <c r="F45" s="14"/>
      <c r="G45" s="14"/>
      <c r="I45" s="5"/>
    </row>
    <row r="46" outlineLevel="2">
      <c r="A46" s="12" t="s">
        <v>64</v>
      </c>
      <c r="B46" s="0" t="s">
        <v>59</v>
      </c>
      <c r="C46" s="14">
        <v>14.4</v>
      </c>
      <c r="D46" s="14"/>
      <c r="E46" s="14"/>
      <c r="F46" s="14"/>
      <c r="G46" s="14"/>
      <c r="I46" s="5"/>
    </row>
    <row r="47" outlineLevel="2">
      <c r="A47" s="12" t="s">
        <v>65</v>
      </c>
      <c r="B47" s="0" t="s">
        <v>59</v>
      </c>
      <c r="C47" s="14">
        <v>2860</v>
      </c>
      <c r="D47" s="14"/>
      <c r="E47" s="14"/>
      <c r="F47" s="14"/>
      <c r="G47" s="14"/>
      <c r="I47" s="5"/>
    </row>
    <row r="48" outlineLevel="2">
      <c r="A48" s="12" t="s">
        <v>66</v>
      </c>
      <c r="B48" s="0" t="s">
        <v>59</v>
      </c>
      <c r="C48" s="14">
        <v>24.9</v>
      </c>
      <c r="D48" s="14"/>
      <c r="E48" s="14"/>
      <c r="F48" s="14"/>
      <c r="G48" s="14"/>
      <c r="I48" s="5"/>
    </row>
    <row r="49" outlineLevel="2">
      <c r="A49" s="12" t="s">
        <v>67</v>
      </c>
      <c r="B49" s="0" t="s">
        <v>59</v>
      </c>
      <c r="C49" s="14">
        <v>8435</v>
      </c>
      <c r="D49" s="14"/>
      <c r="E49" s="14"/>
      <c r="F49" s="14"/>
      <c r="G49" s="14"/>
      <c r="I49" s="5"/>
    </row>
    <row r="50" outlineLevel="2">
      <c r="A50" s="12" t="s">
        <v>68</v>
      </c>
      <c r="B50" s="0" t="s">
        <v>59</v>
      </c>
      <c r="C50" s="14">
        <v>291</v>
      </c>
      <c r="D50" s="14"/>
      <c r="E50" s="14"/>
      <c r="F50" s="14"/>
      <c r="G50" s="14"/>
      <c r="I50" s="5"/>
    </row>
    <row r="51" outlineLevel="2">
      <c r="A51" s="12" t="s">
        <v>69</v>
      </c>
      <c r="B51" s="0" t="s">
        <v>59</v>
      </c>
      <c r="C51" s="14">
        <v>23.05</v>
      </c>
      <c r="D51" s="14"/>
      <c r="E51" s="14"/>
      <c r="F51" s="14"/>
      <c r="G51" s="14"/>
      <c r="I51" s="5"/>
    </row>
    <row r="52" outlineLevel="2">
      <c r="A52" s="12" t="s">
        <v>70</v>
      </c>
      <c r="B52" s="0" t="s">
        <v>59</v>
      </c>
      <c r="C52" s="14">
        <v>14.41</v>
      </c>
      <c r="D52" s="14"/>
      <c r="E52" s="14"/>
      <c r="F52" s="14"/>
      <c r="G52" s="14"/>
      <c r="I52" s="5"/>
    </row>
    <row r="53" outlineLevel="2">
      <c r="A53" s="12" t="s">
        <v>71</v>
      </c>
      <c r="B53" s="0" t="s">
        <v>59</v>
      </c>
      <c r="C53" s="14">
        <v>13.4</v>
      </c>
      <c r="D53" s="14"/>
      <c r="E53" s="14"/>
      <c r="F53" s="14"/>
      <c r="G53" s="14"/>
      <c r="I53" s="5"/>
    </row>
    <row r="54" outlineLevel="2">
      <c r="A54" s="12" t="s">
        <v>72</v>
      </c>
      <c r="B54" s="0" t="s">
        <v>59</v>
      </c>
      <c r="C54" s="14">
        <v>30.3</v>
      </c>
      <c r="D54" s="14"/>
      <c r="E54" s="14"/>
      <c r="F54" s="14"/>
      <c r="G54" s="14"/>
      <c r="I54" s="5"/>
    </row>
    <row r="55" outlineLevel="2">
      <c r="A55" s="12" t="s">
        <v>73</v>
      </c>
      <c r="B55" s="0" t="s">
        <v>59</v>
      </c>
      <c r="C55" s="14">
        <v>3705</v>
      </c>
      <c r="D55" s="14"/>
      <c r="E55" s="14"/>
      <c r="F55" s="14"/>
      <c r="G55" s="14"/>
      <c r="I55" s="5"/>
    </row>
    <row r="56" outlineLevel="2">
      <c r="A56" s="12" t="s">
        <v>74</v>
      </c>
      <c r="B56" s="0" t="s">
        <v>59</v>
      </c>
      <c r="C56" s="14">
        <v>1155</v>
      </c>
      <c r="D56" s="14"/>
      <c r="E56" s="14"/>
      <c r="F56" s="14"/>
      <c r="G56" s="14"/>
      <c r="I56" s="5"/>
    </row>
    <row r="57" outlineLevel="2">
      <c r="A57" s="12" t="s">
        <v>75</v>
      </c>
      <c r="B57" s="0" t="s">
        <v>59</v>
      </c>
      <c r="C57" s="14">
        <v>288</v>
      </c>
      <c r="D57" s="14"/>
      <c r="E57" s="14"/>
      <c r="F57" s="14"/>
      <c r="G57" s="14"/>
      <c r="I57" s="5"/>
    </row>
    <row r="58">
      <c r="I58" s="5"/>
    </row>
    <row r="59" s="1" customFormat="1"/>
  </sheetData>
  <mergeCells>
    <mergeCell ref="A8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https://phyllis.nl/Biomass/View/3777</dc:description>
  <dcterms:created xsi:type="dcterms:W3CDTF">2026-03-17T05:53:55Z</dcterms:created>
  <dc:title>Phyllis2 #3777 Fucus serratus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