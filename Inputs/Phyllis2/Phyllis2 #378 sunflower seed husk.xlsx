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8 sunflower seed hu" sheetId="1" r:id="rId1"/>
  </sheets>
  <definedNames>
    <definedName name="w" localSheetId="0">IF(ISBLANK('Phyllis2 #378 sunflower seed hu'!$C$19),#N/A,'Phyllis2 #378 sunflower seed hu'!$C$19/100)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<sst xmlns="http://schemas.openxmlformats.org/spreadsheetml/2006/main" count="67" uniqueCount="67">
  <si>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</si>
  <si>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https://phyllis.nl/Biomass/View/378</t>
  </si>
  <si>
    <t>sunflower seed husk (#378)</t>
  </si>
  <si>
    <t>ID-number</t>
  </si>
  <si>
    <t>#378</t>
  </si>
  <si>
    <t>Material</t>
  </si>
  <si>
    <t>sunflower seed husk</t>
  </si>
  <si>
    <t>Classification</t>
  </si>
  <si>
    <t>ECN Phyllis classification &gt; husk/shell/pit &gt; sunflower &gt; sunflower seed husk</t>
  </si>
  <si>
    <t>NTA 8003 classification &gt; [200] biomassa uit land- en tuinbouw &gt; [230] restproducten (doppen) &gt; [239] overige doppen</t>
  </si>
  <si>
    <t>Ash type</t>
  </si>
  <si>
    <t>ashed at 815 degC</t>
  </si>
  <si>
    <t>Submitter organisation</t>
  </si>
  <si>
    <t>ECN (Netherlands)</t>
  </si>
  <si>
    <t>Remarks</t>
  </si>
  <si>
    <t>USA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</si>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</sst>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0" t="s">
        <v>32</v>
      </c>
      <c r="B19" s="0" t="s">
        <v>33</v>
      </c>
      <c r="C19" s="11">
        <v>10.5</v>
      </c>
      <c r="D19" s="11"/>
      <c r="E19" s="11"/>
      <c r="F19" s="11"/>
      <c r="G19" s="11"/>
      <c r="I19" s="15"/>
    </row>
    <row r="20" outlineLevel="2">
      <c r="A20" s="10" t="s">
        <v>34</v>
      </c>
      <c r="B20" s="0" t="s">
        <v>33</v>
      </c>
      <c r="C20" s="11">
        <f>IFERROR(4.24581*(1-w),"")</f>
        <v>3.7999999499999997</v>
      </c>
      <c r="D20" s="11">
        <v>4.24581</v>
      </c>
      <c r="E20" s="11">
        <v/>
      </c>
      <c r="F20" s="11"/>
      <c r="G20" s="11"/>
      <c r="I20" s="15"/>
    </row>
    <row r="21" outlineLevel="2">
      <c r="A21" s="10" t="s">
        <v>35</v>
      </c>
      <c r="B21" s="0" t="s">
        <v>33</v>
      </c>
      <c r="C21" s="11">
        <f>IFERROR(73.85*(1-w),"")</f>
        <v>66.09575</v>
      </c>
      <c r="D21" s="11">
        <v>73.85</v>
      </c>
      <c r="E21" s="11">
        <v>77.124562382074345</v>
      </c>
      <c r="F21" s="11"/>
      <c r="G21" s="11"/>
      <c r="I21" s="15"/>
    </row>
    <row r="22" outlineLevel="2">
      <c r="A22" s="10" t="s">
        <v>36</v>
      </c>
      <c r="B22" s="0" t="s">
        <v>33</v>
      </c>
      <c r="C22" s="11">
        <f>IFERROR(21.90419*(1-w),"")</f>
        <v>19.60425005</v>
      </c>
      <c r="D22" s="11">
        <v>21.90419</v>
      </c>
      <c r="E22" s="11">
        <v>22.875437617925648</v>
      </c>
      <c r="F22" s="11"/>
      <c r="G22" s="11"/>
      <c r="I22" s="15"/>
      <c r="J22" s="0" t="s">
        <v>37</v>
      </c>
    </row>
    <row r="23" outlineLevel="1">
      <c r="A23" s="9" t="s">
        <v>38</v>
      </c>
      <c r="I23" s="15"/>
    </row>
    <row r="24" outlineLevel="2">
      <c r="A24" s="10" t="s">
        <v>39</v>
      </c>
      <c r="B24" s="0" t="s">
        <v>33</v>
      </c>
      <c r="C24" s="11">
        <f>IFERROR(48.93039*(1-w),"")</f>
        <v>43.79269905</v>
      </c>
      <c r="D24" s="11">
        <v>48.93039</v>
      </c>
      <c r="E24" s="11">
        <v>51.09999886166861</v>
      </c>
      <c r="F24" s="11"/>
      <c r="G24" s="11"/>
      <c r="I24" s="15"/>
      <c r="J24" s="0" t="s">
        <v>40</v>
      </c>
    </row>
    <row r="25" outlineLevel="2">
      <c r="A25" s="10" t="s">
        <v>41</v>
      </c>
      <c r="B25" s="0" t="s">
        <v>33</v>
      </c>
      <c r="C25" s="11">
        <f>IFERROR(6.032514*(1-w),"")</f>
        <v>5.39910003</v>
      </c>
      <c r="D25" s="11">
        <v>6.032514</v>
      </c>
      <c r="E25" s="11">
        <v>6.3000000313302209</v>
      </c>
      <c r="F25" s="11"/>
      <c r="G25" s="11"/>
      <c r="I25" s="15"/>
      <c r="J25" s="0" t="s">
        <v>40</v>
      </c>
    </row>
    <row r="26" outlineLevel="2">
      <c r="A26" s="10" t="s">
        <v>42</v>
      </c>
      <c r="B26" s="0" t="s">
        <v>33</v>
      </c>
      <c r="C26" s="11">
        <f>IFERROR(39.73799*(1-w),"")</f>
        <v>35.56550105</v>
      </c>
      <c r="D26" s="11">
        <v>39.73799</v>
      </c>
      <c r="E26" s="11">
        <v>41.500001200991832</v>
      </c>
      <c r="F26" s="11"/>
      <c r="G26" s="11"/>
      <c r="I26" s="15"/>
      <c r="J26" s="0" t="s">
        <v>37</v>
      </c>
    </row>
    <row r="27" outlineLevel="2">
      <c r="A27" s="10" t="s">
        <v>43</v>
      </c>
      <c r="B27" s="0" t="s">
        <v>33</v>
      </c>
      <c r="C27" s="11">
        <f>IFERROR(0.8617877*(1-w),"")</f>
        <v>0.77129999150000006</v>
      </c>
      <c r="D27" s="11">
        <v>0.8617877</v>
      </c>
      <c r="E27" s="11">
        <v>0.89999998955659277</v>
      </c>
      <c r="F27" s="11"/>
      <c r="G27" s="11"/>
      <c r="I27" s="15"/>
      <c r="J27" s="0" t="s">
        <v>40</v>
      </c>
    </row>
    <row r="28" outlineLevel="2">
      <c r="A28" s="10" t="s">
        <v>44</v>
      </c>
      <c r="B28" s="0" t="s">
        <v>33</v>
      </c>
      <c r="C28" s="11">
        <f>IFERROR(0.1915084*(1-w),"")</f>
        <v>0.171400018</v>
      </c>
      <c r="D28" s="11">
        <v>0.1915084</v>
      </c>
      <c r="E28" s="11">
        <v>0.20000002088681443</v>
      </c>
      <c r="F28" s="11"/>
      <c r="G28" s="11"/>
      <c r="I28" s="15"/>
      <c r="J28" s="0" t="s">
        <v>40</v>
      </c>
    </row>
    <row r="29" outlineLevel="2">
      <c r="A29" s="10" t="s">
        <v>45</v>
      </c>
      <c r="B29" s="0" t="s">
        <v>33</v>
      </c>
      <c r="C29" s="11">
        <f>IFERROR(100.0000001*(1-w)+w*100,"")</f>
        <v>100.0000000895</v>
      </c>
      <c r="D29" s="11">
        <v>100.00000010000001</v>
      </c>
      <c r="E29" s="11">
        <v>100.00000010443406</v>
      </c>
      <c r="F29" s="11"/>
      <c r="G29" s="11"/>
      <c r="I29" s="15"/>
      <c r="J29" s="0" t="s">
        <v>37</v>
      </c>
    </row>
    <row r="30" outlineLevel="1">
      <c r="A30" s="9" t="s">
        <v>46</v>
      </c>
      <c r="I30" s="15"/>
    </row>
    <row r="31" outlineLevel="2">
      <c r="A31" s="10" t="s">
        <v>47</v>
      </c>
      <c r="B31" s="0" t="s">
        <v>48</v>
      </c>
      <c r="C31" s="11">
        <f>IFERROR(18.6675*(1-w)-w*2.443,"")</f>
        <v>16.4508975</v>
      </c>
      <c r="D31" s="11">
        <v>18.6675</v>
      </c>
      <c r="E31" s="11">
        <v>19.495230443701733</v>
      </c>
      <c r="F31" s="11"/>
      <c r="G31" s="11"/>
      <c r="I31" s="15"/>
    </row>
    <row r="32" outlineLevel="2">
      <c r="A32" s="10" t="s">
        <v>49</v>
      </c>
      <c r="B32" s="0" t="s">
        <v>48</v>
      </c>
      <c r="C32" s="11">
        <f>IFERROR(19.9839*(1-w),"")</f>
        <v>17.8855905</v>
      </c>
      <c r="D32" s="11">
        <v>19.9839</v>
      </c>
      <c r="E32" s="11">
        <v>20.870000571254373</v>
      </c>
      <c r="F32" s="11"/>
      <c r="G32" s="11"/>
      <c r="I32" s="15"/>
    </row>
    <row r="33" outlineLevel="2">
      <c r="A33" s="10" t="s">
        <v>50</v>
      </c>
      <c r="B33" s="0" t="s">
        <v>48</v>
      </c>
      <c r="C33" s="11">
        <f>IFERROR(19.7392078733311*(1-w),"")</f>
        <v>17.666591046631325</v>
      </c>
      <c r="D33" s="11">
        <v>19.73920787333109</v>
      </c>
      <c r="E33" s="11">
        <v>20.614458618814581</v>
      </c>
      <c r="F33" s="11"/>
      <c r="G33" s="11"/>
      <c r="I33" s="15"/>
      <c r="J33" s="0" t="s">
        <v>37</v>
      </c>
    </row>
    <row r="34" outlineLevel="1">
      <c r="A34" s="9" t="s">
        <v>51</v>
      </c>
      <c r="I34" s="15"/>
    </row>
    <row r="35" outlineLevel="2">
      <c r="A35" s="12" t="s">
        <v>52</v>
      </c>
      <c r="I35" s="15"/>
    </row>
    <row r="36" outlineLevel="3">
      <c r="A36" s="13" t="s">
        <v>53</v>
      </c>
      <c r="B36" s="0" t="s">
        <v>54</v>
      </c>
      <c r="C36" s="14">
        <v>940</v>
      </c>
      <c r="D36" s="14"/>
      <c r="E36" s="14"/>
      <c r="F36" s="14"/>
      <c r="G36" s="14"/>
      <c r="I36" s="15"/>
    </row>
    <row r="37" outlineLevel="3">
      <c r="A37" s="13" t="s">
        <v>55</v>
      </c>
      <c r="B37" s="0" t="s">
        <v>54</v>
      </c>
      <c r="C37" s="14">
        <v>980</v>
      </c>
      <c r="D37" s="14"/>
      <c r="E37" s="14"/>
      <c r="F37" s="14"/>
      <c r="G37" s="14"/>
      <c r="I37" s="15"/>
    </row>
    <row r="38" outlineLevel="3">
      <c r="A38" s="13" t="s">
        <v>56</v>
      </c>
      <c r="B38" s="0" t="s">
        <v>54</v>
      </c>
      <c r="C38" s="14">
        <v>1020</v>
      </c>
      <c r="D38" s="14"/>
      <c r="E38" s="14"/>
      <c r="F38" s="14"/>
      <c r="G38" s="14"/>
      <c r="I38" s="15"/>
    </row>
    <row r="39">
      <c r="A39" s="5" t="s">
        <v>57</v>
      </c>
      <c r="I39" s="15"/>
    </row>
    <row r="40" outlineLevel="1">
      <c r="A40" s="9" t="s">
        <v>58</v>
      </c>
      <c r="I40" s="15"/>
    </row>
    <row r="41" outlineLevel="2">
      <c r="A41" s="10" t="s">
        <v>59</v>
      </c>
      <c r="B41" s="0" t="s">
        <v>60</v>
      </c>
      <c r="C41" s="11">
        <v>1.7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60</v>
      </c>
      <c r="C42" s="11">
        <v>0.6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60</v>
      </c>
      <c r="C43" s="11">
        <v>0.1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60</v>
      </c>
      <c r="C44" s="11">
        <v>9.2</v>
      </c>
      <c r="D44" s="11"/>
      <c r="E44" s="11"/>
      <c r="F44" s="11"/>
      <c r="G44" s="11"/>
      <c r="I44" s="15"/>
    </row>
    <row r="45" outlineLevel="2">
      <c r="A45" s="10" t="s">
        <v>64</v>
      </c>
      <c r="B45" s="0" t="s">
        <v>60</v>
      </c>
      <c r="C45" s="11">
        <v>7.2</v>
      </c>
      <c r="D45" s="11"/>
      <c r="E45" s="11"/>
      <c r="F45" s="11"/>
      <c r="G45" s="11"/>
      <c r="I45" s="15"/>
    </row>
    <row r="46" outlineLevel="2">
      <c r="A46" s="10" t="s">
        <v>65</v>
      </c>
      <c r="B46" s="0" t="s">
        <v>60</v>
      </c>
      <c r="C46" s="11">
        <v>0.4</v>
      </c>
      <c r="D46" s="11"/>
      <c r="E46" s="11"/>
      <c r="F46" s="11"/>
      <c r="G46" s="11"/>
      <c r="I46" s="15"/>
    </row>
    <row r="47" outlineLevel="2">
      <c r="A47" s="10" t="s">
        <v>66</v>
      </c>
      <c r="B47" s="0" t="s">
        <v>60</v>
      </c>
      <c r="C47" s="11">
        <v>39.3</v>
      </c>
      <c r="D47" s="11"/>
      <c r="E47" s="11"/>
      <c r="F47" s="11"/>
      <c r="G47" s="11"/>
      <c r="I47" s="15"/>
    </row>
    <row r="48">
      <c r="I48" s="1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https://phyllis.nl/Biomass/View/378</dc:description>
  <dcterms:created xsi:type="dcterms:W3CDTF">2026-03-17T05:48:10Z</dcterms:created>
  <dc:title>Phyllis2 #378 sunflower seed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