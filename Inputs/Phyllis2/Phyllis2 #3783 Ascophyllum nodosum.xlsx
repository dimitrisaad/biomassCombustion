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783 Ascophyllum nodo" sheetId="1" r:id="rId1"/>
  </sheets>
  <definedNames>
    <definedName name="w" localSheetId="0">IF(ISBLANK('Phyllis2 #3783 Ascophyllum nodo'!$C$28),#N/A,'Phyllis2 #3783 Ascophyllum nodo'!$C$28/100)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<sst xmlns="http://schemas.openxmlformats.org/spreadsheetml/2006/main" count="74" uniqueCount="74">
  <si>
    <t>Phyllis2</t>
  </si>
  <si>
    <t>https://phyllis.nl/Biomass/View/3783</t>
  </si>
  <si>
    <t>Ascophyllum nodosum (#3783)</t>
  </si>
  <si>
    <t>ID-number</t>
  </si>
  <si>
    <t>#3783</t>
  </si>
  <si>
    <t>Material</t>
  </si>
  <si>
    <t>Ascophyllum nodosum</t>
  </si>
  <si>
    <t>Description</t>
  </si>
  <si>
    <t>Freeze dried</t>
  </si>
  <si>
    <t>Classification</t>
  </si>
  <si>
    <t>ECN Phyllis classification &gt; Marine biomass (algae) &gt; Macroalgae &gt; Ascophyllum nodosum</t>
  </si>
  <si>
    <t>Submitter organisation</t>
  </si>
  <si>
    <t>TNO (Netherlands)</t>
  </si>
  <si>
    <t>Submission date</t>
  </si>
  <si>
    <t>Remarks</t>
  </si>
  <si>
    <t>Phylum: Ochrophyta</t>
  </si>
  <si>
    <t>Genus: Ascophyllum</t>
  </si>
  <si>
    <t>Species: Ascophyllum nodosum</t>
  </si>
  <si>
    <t>Generic algae family: Brown</t>
  </si>
  <si>
    <t>Cultivation region: Tjärnö Marine Laboratory, Kosterhavet National Park, Sweden</t>
  </si>
  <si>
    <t>Cultivation coordinates: N58° 52.55′, E11° 08.77</t>
  </si>
  <si>
    <t>Wild/culture: Wild</t>
  </si>
  <si>
    <t>Harvesting date: 18-08-2014</t>
  </si>
  <si>
    <t>Literature</t>
  </si>
  <si>
    <t>Year: 2020</t>
  </si>
  <si>
    <t>Journal/project: Journal of Applied Phycology</t>
  </si>
  <si>
    <t>DOI/link: https://doi.org/10.1007/s10811-020-02145-w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</si>
  <si>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</si>
  <si>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</si>
  <si>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</si>
  <si>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</si>
  <si>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</si>
  <si>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</si>
  <si>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</si>
  <si>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</si>
  <si>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</si>
  <si>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</si>
  <si>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</si>
  <si>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</si>
  <si>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</si>
  <si>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</si>
  <si>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</si>
  <si>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</si>
  <si>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 at 550°C</t>
  </si>
  <si>
    <t>wt%</t>
  </si>
  <si>
    <t>Ultimate analysis (macroelements)</t>
  </si>
  <si>
    <t>Carbon</t>
  </si>
  <si>
    <t>Hydrogen</t>
  </si>
  <si>
    <t>Nitrogen</t>
  </si>
  <si>
    <t>Sulphur</t>
  </si>
  <si>
    <t>Total (with halides)</t>
  </si>
  <si>
    <t>Calculated</t>
  </si>
  <si>
    <t>Trace elements composition</t>
  </si>
  <si>
    <t>Aluminium (Al)</t>
  </si>
  <si>
    <t>mg/kg (dry)</t>
  </si>
  <si>
    <t>Arsenic (As)</t>
  </si>
  <si>
    <t>Calcium (Ca)</t>
  </si>
  <si>
    <t>Cadmium (Cd)</t>
  </si>
  <si>
    <t>Cobalt (Co)</t>
  </si>
  <si>
    <t>Chromium (Cr)</t>
  </si>
  <si>
    <t>Copper (Cu)</t>
  </si>
  <si>
    <t>Iron (Fe)</t>
  </si>
  <si>
    <t>Potassium (K)</t>
  </si>
  <si>
    <t>Magnesium (Mg)</t>
  </si>
  <si>
    <t>Manganese (Mn)</t>
  </si>
  <si>
    <t>Sodium (Na)</t>
  </si>
  <si>
    <t>Nickel (Ni)</t>
  </si>
  <si>
    <t>Phosphorus (P)</t>
  </si>
  <si>
    <t>Lead (Pb)</t>
  </si>
  <si>
    <t>Zinc (Zn)</t>
  </si>
  <si>
    <t>Biochemical analysis</t>
  </si>
  <si>
    <t>Carbohydrate analysis</t>
  </si>
  <si>
    <t>Mannitol</t>
  </si>
  <si>
    <t>wt% (dry)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</si>
</sst>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78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7" t="s">
        <v>13</v>
      </c>
      <c r="B10" s="6">
        <v>44971.5671412037</v>
      </c>
    </row>
    <row r="11" outlineLevel="1">
      <c r="A11" s="7" t="s">
        <v>14</v>
      </c>
      <c r="B11" s="0" t="s">
        <v>15</v>
      </c>
    </row>
    <row r="12" outlineLevel="1">
      <c r="A12" s="7"/>
      <c r="B12" s="0" t="s">
        <v>16</v>
      </c>
    </row>
    <row r="13" outlineLevel="1">
      <c r="A13" s="7"/>
      <c r="B13" s="0" t="s">
        <v>17</v>
      </c>
    </row>
    <row r="14" outlineLevel="1">
      <c r="A14" s="7"/>
      <c r="B14" s="0" t="s">
        <v>18</v>
      </c>
    </row>
    <row r="15" outlineLevel="1">
      <c r="A15" s="7"/>
      <c r="B15" s="0" t="s">
        <v>19</v>
      </c>
    </row>
    <row r="16" outlineLevel="1">
      <c r="A16" s="7"/>
      <c r="B16" s="0" t="s">
        <v>20</v>
      </c>
    </row>
    <row r="17" outlineLevel="1">
      <c r="A17" s="7"/>
      <c r="B17" s="0" t="s">
        <v>21</v>
      </c>
    </row>
    <row r="18" outlineLevel="1">
      <c r="A18" s="7"/>
      <c r="B18" s="0" t="s">
        <v>22</v>
      </c>
    </row>
    <row r="19" outlineLevel="1">
      <c r="A19" s="7" t="s">
        <v>23</v>
      </c>
      <c r="B19" s="0" t="s">
        <v>24</v>
      </c>
    </row>
    <row r="20" outlineLevel="1">
      <c r="A20" s="7"/>
      <c r="B20" s="0" t="s">
        <v>25</v>
      </c>
    </row>
    <row r="21" outlineLevel="1">
      <c r="A21" s="7"/>
      <c r="B21" s="0" t="s">
        <v>26</v>
      </c>
    </row>
    <row r="22">
      <c r="A22" s="7"/>
    </row>
    <row r="23" s="1" customFormat="1">
      <c r="A23" s="9" t="s">
        <v>27</v>
      </c>
    </row>
    <row r="24" s="1" customFormat="1">
      <c r="A24" s="10" t="s">
        <v>28</v>
      </c>
      <c r="B24" s="10" t="s">
        <v>29</v>
      </c>
      <c r="C24" s="10" t="s">
        <v>30</v>
      </c>
      <c r="D24" s="10"/>
      <c r="E24" s="10"/>
      <c r="F24" s="10" t="s">
        <v>31</v>
      </c>
      <c r="G24" s="10" t="s">
        <v>32</v>
      </c>
      <c r="H24" s="10" t="s">
        <v>33</v>
      </c>
      <c r="I24" s="10" t="s">
        <v>34</v>
      </c>
      <c r="J24" s="10" t="s">
        <v>35</v>
      </c>
      <c r="K24" s="10" t="s">
        <v>14</v>
      </c>
      <c r="L24" s="10"/>
    </row>
    <row r="25" s="1" customFormat="1">
      <c r="A25" s="10"/>
      <c r="B25" s="10"/>
      <c r="C25" s="10" t="s">
        <v>36</v>
      </c>
      <c r="D25" s="10" t="s">
        <v>37</v>
      </c>
      <c r="E25" s="10" t="s">
        <v>38</v>
      </c>
      <c r="F25" s="10"/>
      <c r="G25" s="10"/>
      <c r="H25" s="10"/>
      <c r="I25" s="10"/>
      <c r="J25" s="10"/>
      <c r="K25" s="10"/>
      <c r="L25" s="10"/>
    </row>
    <row r="26">
      <c r="A26" s="7" t="s">
        <v>39</v>
      </c>
      <c r="I26" s="5"/>
    </row>
    <row r="27" outlineLevel="1">
      <c r="A27" s="11" t="s">
        <v>40</v>
      </c>
      <c r="I27" s="5"/>
    </row>
    <row r="28" outlineLevel="2">
      <c r="A28" s="12" t="s">
        <v>41</v>
      </c>
      <c r="B28" s="0" t="s">
        <v>42</v>
      </c>
      <c r="C28" s="13">
        <v/>
      </c>
      <c r="D28" s="13"/>
      <c r="E28" s="13"/>
      <c r="F28" s="13"/>
      <c r="G28" s="13"/>
      <c r="I28" s="5"/>
    </row>
    <row r="29" outlineLevel="2">
      <c r="A29" s="12" t="s">
        <v>43</v>
      </c>
      <c r="B29" s="0" t="s">
        <v>44</v>
      </c>
      <c r="C29" s="13">
        <f>IFERROR(20.2*(1-w),"")</f>
        <v/>
      </c>
      <c r="D29" s="13">
        <v>20.2</v>
      </c>
      <c r="E29" s="13">
        <v/>
      </c>
      <c r="F29" s="13"/>
      <c r="G29" s="13"/>
      <c r="I29" s="5"/>
    </row>
    <row r="30" outlineLevel="1">
      <c r="A30" s="11" t="s">
        <v>45</v>
      </c>
      <c r="I30" s="5"/>
    </row>
    <row r="31" outlineLevel="2">
      <c r="A31" s="12" t="s">
        <v>46</v>
      </c>
      <c r="B31" s="0" t="s">
        <v>44</v>
      </c>
      <c r="C31" s="13">
        <f>IFERROR(40*(1-w),"")</f>
        <v/>
      </c>
      <c r="D31" s="13">
        <v>40</v>
      </c>
      <c r="E31" s="13">
        <v>50.125313283208015</v>
      </c>
      <c r="F31" s="13"/>
      <c r="G31" s="13"/>
      <c r="I31" s="5"/>
    </row>
    <row r="32" outlineLevel="2">
      <c r="A32" s="12" t="s">
        <v>47</v>
      </c>
      <c r="B32" s="0" t="s">
        <v>44</v>
      </c>
      <c r="C32" s="13">
        <f>IFERROR(5*(1-w),"")</f>
        <v/>
      </c>
      <c r="D32" s="13">
        <v>5</v>
      </c>
      <c r="E32" s="13">
        <v>6.2656641604010019</v>
      </c>
      <c r="F32" s="13"/>
      <c r="G32" s="13"/>
      <c r="I32" s="5"/>
    </row>
    <row r="33" outlineLevel="2">
      <c r="A33" s="12" t="s">
        <v>48</v>
      </c>
      <c r="B33" s="0" t="s">
        <v>44</v>
      </c>
      <c r="C33" s="13">
        <f>IFERROR(1.2*(1-w),"")</f>
        <v/>
      </c>
      <c r="D33" s="13">
        <v>1.2</v>
      </c>
      <c r="E33" s="13">
        <v>1.5037593984962405</v>
      </c>
      <c r="F33" s="13"/>
      <c r="G33" s="13"/>
      <c r="I33" s="5"/>
    </row>
    <row r="34" outlineLevel="2">
      <c r="A34" s="12" t="s">
        <v>49</v>
      </c>
      <c r="B34" s="0" t="s">
        <v>44</v>
      </c>
      <c r="C34" s="13">
        <f>IFERROR(2.6*(1-w),"")</f>
        <v/>
      </c>
      <c r="D34" s="13">
        <v>2.6</v>
      </c>
      <c r="E34" s="13">
        <v>3.2581453634085213</v>
      </c>
      <c r="F34" s="13"/>
      <c r="G34" s="13"/>
      <c r="I34" s="5"/>
    </row>
    <row r="35" outlineLevel="2">
      <c r="A35" s="12" t="s">
        <v>50</v>
      </c>
      <c r="B35" s="0" t="s">
        <v>44</v>
      </c>
      <c r="C35" s="13">
        <f>IFERROR(69*(1-w)+w*100,"")</f>
        <v/>
      </c>
      <c r="D35" s="13">
        <v>69</v>
      </c>
      <c r="E35" s="13">
        <v>61.152882205513777</v>
      </c>
      <c r="F35" s="13"/>
      <c r="G35" s="13"/>
      <c r="I35" s="5"/>
      <c r="J35" s="0" t="s">
        <v>51</v>
      </c>
    </row>
    <row r="36" outlineLevel="1">
      <c r="A36" s="11" t="s">
        <v>52</v>
      </c>
      <c r="I36" s="5"/>
    </row>
    <row r="37" outlineLevel="2">
      <c r="A37" s="12" t="s">
        <v>53</v>
      </c>
      <c r="B37" s="0" t="s">
        <v>54</v>
      </c>
      <c r="C37" s="14">
        <v>21</v>
      </c>
      <c r="D37" s="14"/>
      <c r="E37" s="14"/>
      <c r="F37" s="14"/>
      <c r="G37" s="14"/>
      <c r="I37" s="5"/>
    </row>
    <row r="38" outlineLevel="2">
      <c r="A38" s="12" t="s">
        <v>55</v>
      </c>
      <c r="B38" s="0" t="s">
        <v>54</v>
      </c>
      <c r="C38" s="14">
        <v>21.5</v>
      </c>
      <c r="D38" s="14"/>
      <c r="E38" s="14"/>
      <c r="F38" s="14"/>
      <c r="G38" s="14"/>
      <c r="I38" s="5"/>
    </row>
    <row r="39" outlineLevel="2">
      <c r="A39" s="12" t="s">
        <v>56</v>
      </c>
      <c r="B39" s="0" t="s">
        <v>54</v>
      </c>
      <c r="C39" s="14">
        <v>12400</v>
      </c>
      <c r="D39" s="14"/>
      <c r="E39" s="14"/>
      <c r="F39" s="14"/>
      <c r="G39" s="14"/>
      <c r="I39" s="5"/>
    </row>
    <row r="40" outlineLevel="2">
      <c r="A40" s="12" t="s">
        <v>57</v>
      </c>
      <c r="B40" s="0" t="s">
        <v>54</v>
      </c>
      <c r="C40" s="14">
        <v>0.32</v>
      </c>
      <c r="D40" s="14"/>
      <c r="E40" s="14"/>
      <c r="F40" s="14"/>
      <c r="G40" s="14"/>
      <c r="I40" s="5"/>
    </row>
    <row r="41" outlineLevel="2">
      <c r="A41" s="12" t="s">
        <v>58</v>
      </c>
      <c r="B41" s="0" t="s">
        <v>54</v>
      </c>
      <c r="C41" s="14">
        <v>0.56</v>
      </c>
      <c r="D41" s="14"/>
      <c r="E41" s="14"/>
      <c r="F41" s="14"/>
      <c r="G41" s="14"/>
      <c r="I41" s="5"/>
    </row>
    <row r="42" outlineLevel="2">
      <c r="A42" s="12" t="s">
        <v>59</v>
      </c>
      <c r="B42" s="0" t="s">
        <v>54</v>
      </c>
      <c r="C42" s="14">
        <v>0.3</v>
      </c>
      <c r="D42" s="14"/>
      <c r="E42" s="14"/>
      <c r="F42" s="14"/>
      <c r="G42" s="14"/>
      <c r="I42" s="5"/>
    </row>
    <row r="43" outlineLevel="2">
      <c r="A43" s="12" t="s">
        <v>60</v>
      </c>
      <c r="B43" s="0" t="s">
        <v>54</v>
      </c>
      <c r="C43" s="14">
        <v>1.5</v>
      </c>
      <c r="D43" s="14"/>
      <c r="E43" s="14"/>
      <c r="F43" s="14"/>
      <c r="G43" s="14"/>
      <c r="I43" s="5"/>
    </row>
    <row r="44" outlineLevel="2">
      <c r="A44" s="12" t="s">
        <v>61</v>
      </c>
      <c r="B44" s="0" t="s">
        <v>54</v>
      </c>
      <c r="C44" s="14">
        <v>26</v>
      </c>
      <c r="D44" s="14"/>
      <c r="E44" s="14"/>
      <c r="F44" s="14"/>
      <c r="G44" s="14"/>
      <c r="I44" s="5"/>
    </row>
    <row r="45" outlineLevel="2">
      <c r="A45" s="12" t="s">
        <v>62</v>
      </c>
      <c r="B45" s="0" t="s">
        <v>54</v>
      </c>
      <c r="C45" s="14">
        <v>26000</v>
      </c>
      <c r="D45" s="14"/>
      <c r="E45" s="14"/>
      <c r="F45" s="14"/>
      <c r="G45" s="14"/>
      <c r="I45" s="5"/>
    </row>
    <row r="46" outlineLevel="2">
      <c r="A46" s="12" t="s">
        <v>63</v>
      </c>
      <c r="B46" s="0" t="s">
        <v>54</v>
      </c>
      <c r="C46" s="14">
        <v>8700</v>
      </c>
      <c r="D46" s="14"/>
      <c r="E46" s="14"/>
      <c r="F46" s="14"/>
      <c r="G46" s="14"/>
      <c r="I46" s="5"/>
    </row>
    <row r="47" outlineLevel="2">
      <c r="A47" s="12" t="s">
        <v>64</v>
      </c>
      <c r="B47" s="0" t="s">
        <v>54</v>
      </c>
      <c r="C47" s="14">
        <v>22</v>
      </c>
      <c r="D47" s="14"/>
      <c r="E47" s="14"/>
      <c r="F47" s="14"/>
      <c r="G47" s="14"/>
      <c r="I47" s="5"/>
    </row>
    <row r="48" outlineLevel="2">
      <c r="A48" s="12" t="s">
        <v>65</v>
      </c>
      <c r="B48" s="0" t="s">
        <v>54</v>
      </c>
      <c r="C48" s="14">
        <v>39000</v>
      </c>
      <c r="D48" s="14"/>
      <c r="E48" s="14"/>
      <c r="F48" s="14"/>
      <c r="G48" s="14"/>
      <c r="I48" s="5"/>
    </row>
    <row r="49" outlineLevel="2">
      <c r="A49" s="12" t="s">
        <v>66</v>
      </c>
      <c r="B49" s="0" t="s">
        <v>54</v>
      </c>
      <c r="C49" s="14">
        <v>1.6</v>
      </c>
      <c r="D49" s="14"/>
      <c r="E49" s="14"/>
      <c r="F49" s="14"/>
      <c r="G49" s="14"/>
      <c r="I49" s="5"/>
    </row>
    <row r="50" outlineLevel="2">
      <c r="A50" s="12" t="s">
        <v>67</v>
      </c>
      <c r="B50" s="0" t="s">
        <v>54</v>
      </c>
      <c r="C50" s="14">
        <v>670</v>
      </c>
      <c r="D50" s="14"/>
      <c r="E50" s="14"/>
      <c r="F50" s="14"/>
      <c r="G50" s="14"/>
      <c r="I50" s="5"/>
    </row>
    <row r="51" outlineLevel="2">
      <c r="A51" s="12" t="s">
        <v>68</v>
      </c>
      <c r="B51" s="0" t="s">
        <v>54</v>
      </c>
      <c r="C51" s="14">
        <v>0.05</v>
      </c>
      <c r="D51" s="14"/>
      <c r="E51" s="14"/>
      <c r="F51" s="14"/>
      <c r="G51" s="14"/>
      <c r="I51" s="5"/>
    </row>
    <row r="52" outlineLevel="2">
      <c r="A52" s="12" t="s">
        <v>69</v>
      </c>
      <c r="B52" s="0" t="s">
        <v>54</v>
      </c>
      <c r="C52" s="14">
        <v>46</v>
      </c>
      <c r="D52" s="14"/>
      <c r="E52" s="14"/>
      <c r="F52" s="14"/>
      <c r="G52" s="14"/>
      <c r="I52" s="5"/>
    </row>
    <row r="53" outlineLevel="1">
      <c r="A53" s="11" t="s">
        <v>70</v>
      </c>
      <c r="I53" s="5"/>
    </row>
    <row r="54" outlineLevel="2">
      <c r="A54" s="15" t="s">
        <v>71</v>
      </c>
      <c r="I54" s="5"/>
    </row>
    <row r="55" outlineLevel="3">
      <c r="A55" s="16" t="s">
        <v>72</v>
      </c>
      <c r="B55" s="0" t="s">
        <v>73</v>
      </c>
      <c r="C55" s="13">
        <v>8.8</v>
      </c>
      <c r="D55" s="13"/>
      <c r="E55" s="13"/>
      <c r="F55" s="13"/>
      <c r="G55" s="13"/>
      <c r="I55" s="5"/>
    </row>
    <row r="56">
      <c r="I56" s="5"/>
    </row>
    <row r="57" s="1" customFormat="1"/>
  </sheetData>
  <mergeCells>
    <mergeCell ref="A8"/>
    <mergeCell ref="C24:E24"/>
    <mergeCell ref="A24:A25"/>
    <mergeCell ref="B24:B25"/>
    <mergeCell ref="F24:F25"/>
    <mergeCell ref="G24:G25"/>
    <mergeCell ref="H24:H25"/>
    <mergeCell ref="I24:I25"/>
    <mergeCell ref="J24:J25"/>
    <mergeCell ref="K24:K25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5:E55"/>
  </mergeCells>
  <dataValidations count="1">
    <dataValidation type="decimal" sqref="C2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https://phyllis.nl/Biomass/View/3783</dc:description>
  <dcterms:created xsi:type="dcterms:W3CDTF">2026-03-17T05:52:20Z</dcterms:created>
  <dc:title>Phyllis2 #3783 Ascophyllum nodosum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