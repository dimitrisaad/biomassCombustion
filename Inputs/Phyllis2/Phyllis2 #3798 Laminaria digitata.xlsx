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98 Laminaria digita" sheetId="1" r:id="rId1"/>
  </sheets>
  <definedNames>
    <definedName name="w" localSheetId="0">IF(ISBLANK('Phyllis2 #3798 Laminaria digita'!$C$28),#N/A,'Phyllis2 #3798 Laminaria digita'!$C$28/100)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<sst xmlns="http://schemas.openxmlformats.org/spreadsheetml/2006/main" count="74" uniqueCount="74">
  <si>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</si>
  <si>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https://phyllis.nl/Biomass/View/3798</t>
  </si>
  <si>
    <t>Laminaria digitata (#3798)</t>
  </si>
  <si>
    <t>ID-number</t>
  </si>
  <si>
    <t>#3798</t>
  </si>
  <si>
    <t>Material</t>
  </si>
  <si>
    <t>Laminaria digitata</t>
  </si>
  <si>
    <t>Description</t>
  </si>
  <si>
    <t>Freeze dried</t>
  </si>
  <si>
    <t>Classification</t>
  </si>
  <si>
    <t>ECN Phyllis classification &gt; Marine biomass (algae) &gt; Macroalgae &gt; Laminaria digitata</t>
  </si>
  <si>
    <t>Submitter organisation</t>
  </si>
  <si>
    <t>TNO (Netherlands)</t>
  </si>
  <si>
    <t>Submission date</t>
  </si>
  <si>
    <t>Remarks</t>
  </si>
  <si>
    <t>Phylum: Ochrophyta</t>
  </si>
  <si>
    <t>Genus: Laminaria</t>
  </si>
  <si>
    <t>Species: Laminaria digitata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</si>
  <si>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</si>
  <si>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</si>
  <si>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</si>
  <si>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</si>
  <si>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19-08-2014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</si>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</sst>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44971.5783796296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IFERROR(16.8*(1-w),"")</f>
        <v/>
      </c>
      <c r="D29" s="13">
        <v>16.8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IFERROR(39*(1-w),"")</f>
        <v/>
      </c>
      <c r="D31" s="13">
        <v>39</v>
      </c>
      <c r="E31" s="13">
        <v>46.875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IFERROR(5.2*(1-w),"")</f>
        <v/>
      </c>
      <c r="D32" s="13">
        <v>5.2</v>
      </c>
      <c r="E32" s="13">
        <v>6.2500000000000009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IFERROR(1.3*(1-w),"")</f>
        <v/>
      </c>
      <c r="D33" s="13">
        <v>1.3</v>
      </c>
      <c r="E33" s="13">
        <v>1.5625000000000002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IFERROR(1.1*(1-w),"")</f>
        <v/>
      </c>
      <c r="D34" s="13">
        <v>1.1</v>
      </c>
      <c r="E34" s="13">
        <v>1.3221153846153848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IFERROR(63.4*(1-w)+w*100,"")</f>
        <v/>
      </c>
      <c r="D35" s="13">
        <v>63.400000000000006</v>
      </c>
      <c r="E35" s="13">
        <v>56.009615384615394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4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58.9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12400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0.25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0.08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0.5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2.4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24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29000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6500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3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28000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0.5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1790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0.8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20</v>
      </c>
      <c r="D52" s="14"/>
      <c r="E52" s="14"/>
      <c r="F52" s="14"/>
      <c r="G52" s="14"/>
      <c r="I52" s="5"/>
    </row>
    <row r="53" outlineLevel="1">
      <c r="A53" s="11" t="s">
        <v>70</v>
      </c>
      <c r="I53" s="5"/>
    </row>
    <row r="54" outlineLevel="2">
      <c r="A54" s="15" t="s">
        <v>71</v>
      </c>
      <c r="I54" s="5"/>
    </row>
    <row r="55" outlineLevel="3">
      <c r="A55" s="16" t="s">
        <v>72</v>
      </c>
      <c r="B55" s="0" t="s">
        <v>73</v>
      </c>
      <c r="C55" s="13">
        <v>12.7</v>
      </c>
      <c r="D55" s="13"/>
      <c r="E55" s="13"/>
      <c r="F55" s="13"/>
      <c r="G55" s="13"/>
      <c r="I55" s="5"/>
    </row>
    <row r="56">
      <c r="I56" s="5"/>
    </row>
    <row r="57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5:E55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https://phyllis.nl/Biomass/View/3798</dc:description>
  <dcterms:created xsi:type="dcterms:W3CDTF">2026-03-17T05:55:33Z</dcterms:created>
  <dc:title>Phyllis2 #3798 Laminaria digitata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