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81 cotton stalks" sheetId="1" r:id="rId1"/>
  </sheets>
  <definedNames>
    <definedName name="w" localSheetId="0">IF(ISBLANK('Phyllis2 #381 cotton stalks'!$C$19),#N/A,'Phyllis2 #381 cotton stalks'!$C$19/100)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<sst xmlns="http://schemas.openxmlformats.org/spreadsheetml/2006/main" count="65" uniqueCount="65">
  <si>
    <t>Phyllis2</t>
  </si>
  <si>
    <t>https://phyllis.nl/Biomass/View/381</t>
  </si>
  <si>
    <t>cotton stalks (#381)</t>
  </si>
  <si>
    <t>ID-number</t>
  </si>
  <si>
    <t>#381</t>
  </si>
  <si>
    <t>Material</t>
  </si>
  <si>
    <t>cotton stalks</t>
  </si>
  <si>
    <t>Classification</t>
  </si>
  <si>
    <t>ECN Phyllis classification &gt; grass/plant &gt; cotton &gt; cotton stalks</t>
  </si>
  <si>
    <t>NTA 8003 classification &gt; [200] biomassa uit land- en tuinbouw &gt; [220] stro &gt; [229] overig stro</t>
  </si>
  <si>
    <t>Ash type</t>
  </si>
  <si>
    <t>ashed at 815 degC</t>
  </si>
  <si>
    <t>Submitter organisation</t>
  </si>
  <si>
    <t>ECN (Netherlands)</t>
  </si>
  <si>
    <t>Remarks</t>
  </si>
  <si>
    <t>Israel</t>
  </si>
  <si>
    <t>Literature</t>
  </si>
  <si>
    <t>N. Magasiner and J. W. de Kock: Design criteria for fibrous fuel fired boilers. Energy World (8-9) pp. 4-12 (1987).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</si>
  <si>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</si>
  <si>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</si>
  <si>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</si>
  <si>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</si>
  <si>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</si>
  <si>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</si>
  <si>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</si>
  <si>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</si>
  <si>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</si>
  <si>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</si>
  <si>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</si>
  <si>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</si>
  <si>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</si>
  <si>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</si>
  <si>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</si>
  <si>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</si>
  <si>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</si>
  <si>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</si>
  <si>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</si>
  <si>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</si>
  <si>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</si>
  <si>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</si>
  <si>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</si>
  <si>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</si>
  <si>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</si>
  <si>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</si>
  <si>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</si>
  <si>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</si>
  <si>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</si>
  <si>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</si>
  <si>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</si>
  <si>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</si>
  <si>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</si>
  <si>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</si>
  <si>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</si>
  <si>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FT (fluid temperature)</t>
  </si>
  <si>
    <t>°C</t>
  </si>
  <si>
    <t>Ash Properties</t>
  </si>
  <si>
    <t>Ash composition</t>
  </si>
  <si>
    <t>SiO2</t>
  </si>
  <si>
    <t>wt% (ash)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</si>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</sst>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8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5"/>
    </row>
    <row r="18" outlineLevel="1">
      <c r="A18" s="9" t="s">
        <v>31</v>
      </c>
      <c r="I18" s="15"/>
    </row>
    <row r="19" outlineLevel="2">
      <c r="A19" s="10" t="s">
        <v>32</v>
      </c>
      <c r="B19" s="0" t="s">
        <v>33</v>
      </c>
      <c r="C19" s="11">
        <v>16.8</v>
      </c>
      <c r="D19" s="11"/>
      <c r="E19" s="11"/>
      <c r="F19" s="11"/>
      <c r="G19" s="11"/>
      <c r="I19" s="15"/>
    </row>
    <row r="20" outlineLevel="2">
      <c r="A20" s="10" t="s">
        <v>34</v>
      </c>
      <c r="B20" s="0" t="s">
        <v>33</v>
      </c>
      <c r="C20" s="11">
        <f>IFERROR(4.57*(1-w),"")</f>
        <v>3.80224</v>
      </c>
      <c r="D20" s="11">
        <v>4.57</v>
      </c>
      <c r="E20" s="11">
        <v/>
      </c>
      <c r="F20" s="11"/>
      <c r="G20" s="11"/>
      <c r="I20" s="15"/>
    </row>
    <row r="21" outlineLevel="2">
      <c r="A21" s="10" t="s">
        <v>35</v>
      </c>
      <c r="B21" s="0" t="s">
        <v>33</v>
      </c>
      <c r="C21" s="11">
        <f>IFERROR(68.87*(1-w),"")</f>
        <v>57.29984</v>
      </c>
      <c r="D21" s="11">
        <v>68.87</v>
      </c>
      <c r="E21" s="11">
        <v>72.168081316147962</v>
      </c>
      <c r="F21" s="11"/>
      <c r="G21" s="11"/>
      <c r="I21" s="15"/>
    </row>
    <row r="22" outlineLevel="2">
      <c r="A22" s="10" t="s">
        <v>36</v>
      </c>
      <c r="B22" s="0" t="s">
        <v>33</v>
      </c>
      <c r="C22" s="11">
        <f>IFERROR(26.56*(1-w),"")</f>
        <v>22.097920000000002</v>
      </c>
      <c r="D22" s="11">
        <v>26.560000000000002</v>
      </c>
      <c r="E22" s="11">
        <v>27.831918683852038</v>
      </c>
      <c r="F22" s="11"/>
      <c r="G22" s="11"/>
      <c r="I22" s="15"/>
      <c r="J22" s="0" t="s">
        <v>37</v>
      </c>
    </row>
    <row r="23" outlineLevel="1">
      <c r="A23" s="9" t="s">
        <v>38</v>
      </c>
      <c r="I23" s="15"/>
    </row>
    <row r="24" outlineLevel="2">
      <c r="A24" s="10" t="s">
        <v>39</v>
      </c>
      <c r="B24" s="0" t="s">
        <v>33</v>
      </c>
      <c r="C24" s="11">
        <f>IFERROR(51.15048*(1-w),"")</f>
        <v>42.55719936</v>
      </c>
      <c r="D24" s="11">
        <v>51.15048</v>
      </c>
      <c r="E24" s="11">
        <v>53.6</v>
      </c>
      <c r="F24" s="11"/>
      <c r="G24" s="11"/>
      <c r="I24" s="15"/>
      <c r="J24" s="0" t="s">
        <v>40</v>
      </c>
    </row>
    <row r="25" outlineLevel="2">
      <c r="A25" s="10" t="s">
        <v>41</v>
      </c>
      <c r="B25" s="0" t="s">
        <v>33</v>
      </c>
      <c r="C25" s="11">
        <f>IFERROR(4.96236*(1-w),"")</f>
        <v>4.12868352</v>
      </c>
      <c r="D25" s="11">
        <v>4.96236</v>
      </c>
      <c r="E25" s="11">
        <v>5.2</v>
      </c>
      <c r="F25" s="11"/>
      <c r="G25" s="11"/>
      <c r="I25" s="15"/>
      <c r="J25" s="0" t="s">
        <v>40</v>
      </c>
    </row>
    <row r="26" outlineLevel="2">
      <c r="A26" s="10" t="s">
        <v>42</v>
      </c>
      <c r="B26" s="0" t="s">
        <v>33</v>
      </c>
      <c r="C26" s="11">
        <f>IFERROR(37.12227*(1-w),"")</f>
        <v>30.88572864</v>
      </c>
      <c r="D26" s="11">
        <v>37.12227</v>
      </c>
      <c r="E26" s="11">
        <v>38.9</v>
      </c>
      <c r="F26" s="11"/>
      <c r="G26" s="11"/>
      <c r="I26" s="15"/>
      <c r="J26" s="0" t="s">
        <v>37</v>
      </c>
    </row>
    <row r="27" outlineLevel="2">
      <c r="A27" s="10" t="s">
        <v>43</v>
      </c>
      <c r="B27" s="0" t="s">
        <v>33</v>
      </c>
      <c r="C27" s="11">
        <f>IFERROR(1.24059*(1-w),"")</f>
        <v>1.03217088</v>
      </c>
      <c r="D27" s="11">
        <v>1.24059</v>
      </c>
      <c r="E27" s="11">
        <v>1.3</v>
      </c>
      <c r="F27" s="11"/>
      <c r="G27" s="11"/>
      <c r="I27" s="15"/>
      <c r="J27" s="0" t="s">
        <v>40</v>
      </c>
    </row>
    <row r="28" outlineLevel="2">
      <c r="A28" s="10" t="s">
        <v>44</v>
      </c>
      <c r="B28" s="0" t="s">
        <v>33</v>
      </c>
      <c r="C28" s="11">
        <f>IFERROR(0.9543*(1-w),"")</f>
        <v>0.7939776</v>
      </c>
      <c r="D28" s="11">
        <v>0.9543</v>
      </c>
      <c r="E28" s="11">
        <v>1</v>
      </c>
      <c r="F28" s="11"/>
      <c r="G28" s="11"/>
      <c r="I28" s="15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</v>
      </c>
      <c r="E29" s="11">
        <v>100</v>
      </c>
      <c r="F29" s="11"/>
      <c r="G29" s="11"/>
      <c r="I29" s="15"/>
      <c r="J29" s="0" t="s">
        <v>37</v>
      </c>
    </row>
    <row r="30" outlineLevel="1">
      <c r="A30" s="9" t="s">
        <v>46</v>
      </c>
      <c r="I30" s="15"/>
    </row>
    <row r="31" outlineLevel="2">
      <c r="A31" s="10" t="s">
        <v>47</v>
      </c>
      <c r="B31" s="0" t="s">
        <v>48</v>
      </c>
      <c r="C31" s="11">
        <f>IFERROR(16.1995*(1-w)-w*2.443,"")</f>
        <v>13.067559999999999</v>
      </c>
      <c r="D31" s="11">
        <v>16.1995</v>
      </c>
      <c r="E31" s="11">
        <v>16.97526983128995</v>
      </c>
      <c r="F31" s="11"/>
      <c r="G31" s="11"/>
      <c r="I31" s="15"/>
    </row>
    <row r="32" outlineLevel="2">
      <c r="A32" s="10" t="s">
        <v>49</v>
      </c>
      <c r="B32" s="0" t="s">
        <v>48</v>
      </c>
      <c r="C32" s="11">
        <f>IFERROR(17.28237*(1-w),"")</f>
        <v>14.37893184</v>
      </c>
      <c r="D32" s="11">
        <v>17.28237</v>
      </c>
      <c r="E32" s="11">
        <v>18.109996856334487</v>
      </c>
      <c r="F32" s="11"/>
      <c r="G32" s="11"/>
      <c r="I32" s="15"/>
    </row>
    <row r="33" outlineLevel="2">
      <c r="A33" s="10" t="s">
        <v>50</v>
      </c>
      <c r="B33" s="0" t="s">
        <v>48</v>
      </c>
      <c r="C33" s="11">
        <f>IFERROR(19.3977497697*(1-w),"")</f>
        <v>16.138927808390406</v>
      </c>
      <c r="D33" s="11">
        <v>19.397749769700006</v>
      </c>
      <c r="E33" s="11">
        <v>20.326679000000006</v>
      </c>
      <c r="F33" s="11"/>
      <c r="G33" s="11"/>
      <c r="I33" s="15"/>
      <c r="J33" s="0" t="s">
        <v>37</v>
      </c>
    </row>
    <row r="34" outlineLevel="1">
      <c r="A34" s="9" t="s">
        <v>51</v>
      </c>
      <c r="I34" s="15"/>
    </row>
    <row r="35" outlineLevel="2">
      <c r="A35" s="12" t="s">
        <v>52</v>
      </c>
      <c r="I35" s="15"/>
    </row>
    <row r="36" outlineLevel="3">
      <c r="A36" s="13" t="s">
        <v>53</v>
      </c>
      <c r="B36" s="0" t="s">
        <v>54</v>
      </c>
      <c r="C36" s="14">
        <v>1200</v>
      </c>
      <c r="D36" s="14"/>
      <c r="E36" s="14"/>
      <c r="F36" s="14"/>
      <c r="G36" s="14"/>
      <c r="I36" s="15"/>
    </row>
    <row r="37">
      <c r="A37" s="5" t="s">
        <v>55</v>
      </c>
      <c r="I37" s="15"/>
    </row>
    <row r="38" outlineLevel="1">
      <c r="A38" s="9" t="s">
        <v>56</v>
      </c>
      <c r="I38" s="15"/>
    </row>
    <row r="39" outlineLevel="2">
      <c r="A39" s="10" t="s">
        <v>57</v>
      </c>
      <c r="B39" s="0" t="s">
        <v>58</v>
      </c>
      <c r="C39" s="11">
        <v>8.4</v>
      </c>
      <c r="D39" s="11"/>
      <c r="E39" s="11"/>
      <c r="F39" s="11"/>
      <c r="G39" s="11"/>
      <c r="I39" s="15"/>
    </row>
    <row r="40" outlineLevel="2">
      <c r="A40" s="10" t="s">
        <v>59</v>
      </c>
      <c r="B40" s="0" t="s">
        <v>58</v>
      </c>
      <c r="C40" s="11">
        <v>0.5</v>
      </c>
      <c r="D40" s="11"/>
      <c r="E40" s="11"/>
      <c r="F40" s="11"/>
      <c r="G40" s="11"/>
      <c r="I40" s="15"/>
    </row>
    <row r="41" outlineLevel="2">
      <c r="A41" s="10" t="s">
        <v>60</v>
      </c>
      <c r="B41" s="0" t="s">
        <v>58</v>
      </c>
      <c r="C41" s="11">
        <v>0.8</v>
      </c>
      <c r="D41" s="11"/>
      <c r="E41" s="11"/>
      <c r="F41" s="11"/>
      <c r="G41" s="11"/>
      <c r="I41" s="15"/>
    </row>
    <row r="42" outlineLevel="2">
      <c r="A42" s="10" t="s">
        <v>61</v>
      </c>
      <c r="B42" s="0" t="s">
        <v>58</v>
      </c>
      <c r="C42" s="11">
        <v>16.4</v>
      </c>
      <c r="D42" s="11"/>
      <c r="E42" s="11"/>
      <c r="F42" s="11"/>
      <c r="G42" s="11"/>
      <c r="I42" s="15"/>
    </row>
    <row r="43" outlineLevel="2">
      <c r="A43" s="10" t="s">
        <v>62</v>
      </c>
      <c r="B43" s="0" t="s">
        <v>58</v>
      </c>
      <c r="C43" s="11">
        <v>5.2</v>
      </c>
      <c r="D43" s="11"/>
      <c r="E43" s="11"/>
      <c r="F43" s="11"/>
      <c r="G43" s="11"/>
      <c r="I43" s="15"/>
    </row>
    <row r="44" outlineLevel="2">
      <c r="A44" s="10" t="s">
        <v>63</v>
      </c>
      <c r="B44" s="0" t="s">
        <v>58</v>
      </c>
      <c r="C44" s="11">
        <v>2</v>
      </c>
      <c r="D44" s="11"/>
      <c r="E44" s="11"/>
      <c r="F44" s="11"/>
      <c r="G44" s="11"/>
      <c r="I44" s="15"/>
    </row>
    <row r="45" outlineLevel="2">
      <c r="A45" s="10" t="s">
        <v>64</v>
      </c>
      <c r="B45" s="0" t="s">
        <v>58</v>
      </c>
      <c r="C45" s="11">
        <v>30</v>
      </c>
      <c r="D45" s="11"/>
      <c r="E45" s="11"/>
      <c r="F45" s="11"/>
      <c r="G45" s="11"/>
      <c r="I45" s="15"/>
    </row>
    <row r="46">
      <c r="I46" s="15"/>
    </row>
    <row r="4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19" errorStyle="stop" promptTitle="Enter moisture content" errorTitle="Invalid moisture content" prompt="Value should be between 0 and 100.&#10;Original value: 16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https://phyllis.nl/Biomass/View/381</dc:description>
  <dcterms:created xsi:type="dcterms:W3CDTF">2026-03-04T04:01:07Z</dcterms:created>
  <dc:title>Phyllis2 #381 cotton stalks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