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84 animate wood" sheetId="1" r:id="rId1"/>
  </sheets>
  <definedNames>
    <definedName name="w" localSheetId="0">IF(ISBLANK('Phyllis2 #384 animate wood'!$C$18),#N/A,'Phyllis2 #384 animate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<sst xmlns="http://schemas.openxmlformats.org/spreadsheetml/2006/main" count="77" uniqueCount="77">
  <si>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</si>
  <si>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https://phyllis.nl/Biomass/View/384</t>
  </si>
  <si>
    <t>animate wood (#384)</t>
  </si>
  <si>
    <t>ID-number</t>
  </si>
  <si>
    <t>#384</t>
  </si>
  <si>
    <t>Material</t>
  </si>
  <si>
    <t>animate wood</t>
  </si>
  <si>
    <t>Classification</t>
  </si>
  <si>
    <t>ECN Phyllis classification &gt; untreated wood &gt; others</t>
  </si>
  <si>
    <t>NTA 8003 classification &gt; [100] hout &gt; [110] vers hout &gt; [119] overig vers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</si>
  <si>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</si>
  <si>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</si>
  <si>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</si>
  <si>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</si>
  <si>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</si>
  <si>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</si>
  <si>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</si>
  <si>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</si>
  <si>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</si>
  <si>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</si>
  <si>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</si>
  <si>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</si>
  <si>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</si>
  <si>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</si>
  <si>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</si>
  <si>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</si>
  <si>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</si>
  <si>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</si>
  <si>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</si>
  <si>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</si>
  <si>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</si>
  <si>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</si>
  <si>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</si>
  <si>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</si>
  <si>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</si>
  <si>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</si>
  <si>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</si>
  <si>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</si>
  <si>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</si>
  <si>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</si>
  <si>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</si>
  <si>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</si>
  <si>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</si>
  <si>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</si>
  <si>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</si>
  <si>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</si>
  <si>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</si>
  <si>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</si>
  <si>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</si>
  <si>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</si>
  <si>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</si>
  <si>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</si>
  <si>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</si>
  <si>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</si>
  <si>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</si>
  <si>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Barium (Ba)</t>
  </si>
  <si>
    <t>Cadmium (Cd)</t>
  </si>
  <si>
    <t>Chromium (Cr)</t>
  </si>
  <si>
    <t>Copper (Cu)</t>
  </si>
  <si>
    <t>Lead (Pb)</t>
  </si>
  <si>
    <t>Titanium (Ti)</t>
  </si>
  <si>
    <t>Zinc (Zn)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</si>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</sst>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IFERROR(1.51*(1-w),"")</f>
        <v/>
      </c>
      <c r="D19" s="11">
        <v>1.51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IFERROR(49.71*(1-w),"")</f>
        <v/>
      </c>
      <c r="D21" s="11">
        <v>49.71</v>
      </c>
      <c r="E21" s="11">
        <v>50.472129150167532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IFERROR(6.08*(1-w),"")</f>
        <v/>
      </c>
      <c r="D22" s="11">
        <v>6.08</v>
      </c>
      <c r="E22" s="11">
        <v>6.1732155548786682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IFERROR(39.04*(1-w),"")</f>
        <v/>
      </c>
      <c r="D23" s="11">
        <v>39.04</v>
      </c>
      <c r="E23" s="11">
        <v>39.638541983957758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IFERROR(3.36*(1-w),"")</f>
        <v/>
      </c>
      <c r="D24" s="11">
        <v>3.36</v>
      </c>
      <c r="E24" s="11">
        <v>3.4115138592750531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IFERROR(0.05*(1-w),"")</f>
        <v/>
      </c>
      <c r="D25" s="11">
        <v>0.05</v>
      </c>
      <c r="E25" s="11">
        <v>0.05076657528683115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IFERROR(2500*(1-w),"")</f>
        <v/>
      </c>
      <c r="D28" s="12">
        <v>2500</v>
      </c>
      <c r="E28" s="12">
        <v>2538.3287643415574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IFERROR(18.19424*(1-w)-w*2.443,"")</f>
        <v/>
      </c>
      <c r="D30" s="11">
        <v>18.19424</v>
      </c>
      <c r="E30" s="11">
        <v>18.473185094933495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IFERROR(19.521*(1-w),"")</f>
        <v/>
      </c>
      <c r="D31" s="11">
        <v>19.521</v>
      </c>
      <c r="E31" s="11">
        <v>19.82028632348462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IFERROR(19.8815458553*(1-w),"")</f>
        <v/>
      </c>
      <c r="D32" s="11">
        <v>19.881545855300008</v>
      </c>
      <c r="E32" s="11">
        <v>20.186359889633472</v>
      </c>
      <c r="F32" s="11"/>
      <c r="G32" s="11"/>
      <c r="I32" s="13"/>
      <c r="J32" s="0" t="s">
        <v>40</v>
      </c>
    </row>
    <row r="33" outlineLevel="1">
      <c r="A33" s="9" t="s">
        <v>52</v>
      </c>
      <c r="I33" s="13"/>
    </row>
    <row r="34" outlineLevel="2">
      <c r="A34" s="10" t="s">
        <v>53</v>
      </c>
      <c r="B34" s="0" t="s">
        <v>54</v>
      </c>
      <c r="C34" s="12">
        <v>3.3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54</v>
      </c>
      <c r="C35" s="12">
        <v>7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54</v>
      </c>
      <c r="C36" s="12">
        <v>0.8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54</v>
      </c>
      <c r="C37" s="12">
        <v>21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54</v>
      </c>
      <c r="C38" s="12">
        <v>3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54</v>
      </c>
      <c r="C39" s="12">
        <v>85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54</v>
      </c>
      <c r="C40" s="12">
        <v>2.8</v>
      </c>
      <c r="D40" s="12"/>
      <c r="E40" s="12"/>
      <c r="F40" s="12"/>
      <c r="G40" s="12"/>
      <c r="I40" s="13"/>
      <c r="J40" s="0" t="s">
        <v>37</v>
      </c>
    </row>
    <row r="41" outlineLevel="2">
      <c r="A41" s="10" t="s">
        <v>61</v>
      </c>
      <c r="B41" s="0" t="s">
        <v>54</v>
      </c>
      <c r="C41" s="12">
        <v>16</v>
      </c>
      <c r="D41" s="12"/>
      <c r="E41" s="12"/>
      <c r="F41" s="12"/>
      <c r="G41" s="12"/>
      <c r="I41" s="13"/>
      <c r="J41" s="0" t="s">
        <v>37</v>
      </c>
    </row>
    <row r="42">
      <c r="A42" s="5" t="s">
        <v>62</v>
      </c>
      <c r="I42" s="13"/>
    </row>
    <row r="43" outlineLevel="1">
      <c r="A43" s="9" t="s">
        <v>63</v>
      </c>
      <c r="I43" s="13"/>
    </row>
    <row r="44" outlineLevel="2">
      <c r="A44" s="10" t="s">
        <v>64</v>
      </c>
      <c r="B44" s="0" t="s">
        <v>65</v>
      </c>
      <c r="C44" s="11">
        <v>3.28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65</v>
      </c>
      <c r="C45" s="11">
        <v>1.89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65</v>
      </c>
      <c r="C46" s="11">
        <v>18.45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65</v>
      </c>
      <c r="C47" s="11">
        <v>2.46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65</v>
      </c>
      <c r="C48" s="11">
        <v>9.49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65</v>
      </c>
      <c r="C49" s="11">
        <v>26.57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65</v>
      </c>
      <c r="C50" s="11">
        <v>3.68</v>
      </c>
      <c r="D50" s="11"/>
      <c r="E50" s="11"/>
      <c r="F50" s="11"/>
      <c r="G50" s="11"/>
      <c r="I50" s="13"/>
    </row>
    <row r="51" outlineLevel="2">
      <c r="A51" s="10" t="s">
        <v>72</v>
      </c>
      <c r="B51" s="0" t="s">
        <v>65</v>
      </c>
      <c r="C51" s="11">
        <v>1.57</v>
      </c>
      <c r="D51" s="11"/>
      <c r="E51" s="11"/>
      <c r="F51" s="11"/>
      <c r="G51" s="11"/>
      <c r="I51" s="13"/>
    </row>
    <row r="52" outlineLevel="2">
      <c r="A52" s="10" t="s">
        <v>73</v>
      </c>
      <c r="B52" s="0" t="s">
        <v>65</v>
      </c>
      <c r="C52" s="11">
        <v>2.87</v>
      </c>
      <c r="D52" s="11"/>
      <c r="E52" s="11"/>
      <c r="F52" s="11"/>
      <c r="G52" s="11"/>
      <c r="I52" s="13"/>
    </row>
    <row r="53" outlineLevel="2">
      <c r="A53" s="10" t="s">
        <v>74</v>
      </c>
      <c r="B53" s="0" t="s">
        <v>65</v>
      </c>
      <c r="C53" s="11">
        <v>25.65</v>
      </c>
      <c r="D53" s="11"/>
      <c r="E53" s="11"/>
      <c r="F53" s="11"/>
      <c r="G53" s="11"/>
      <c r="I53" s="13"/>
    </row>
    <row r="54" outlineLevel="2">
      <c r="A54" s="10" t="s">
        <v>75</v>
      </c>
      <c r="B54" s="0" t="s">
        <v>76</v>
      </c>
      <c r="C54" s="12">
        <v>0.83</v>
      </c>
      <c r="D54" s="12"/>
      <c r="E54" s="12"/>
      <c r="F54" s="12"/>
      <c r="G54" s="12"/>
      <c r="I54" s="13"/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https://phyllis.nl/Biomass/View/384</dc:description>
  <dcterms:created xsi:type="dcterms:W3CDTF">2026-03-19T07:22:03Z</dcterms:created>
  <dc:title>Phyllis2 #384 animate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