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86 wood, birch furni" sheetId="1" r:id="rId1"/>
  </sheets>
  <definedNames>
    <definedName name="w" localSheetId="0">IF(ISBLANK('Phyllis2 #386 wood, birch furni'!$C$18),#N/A,'Phyllis2 #386 wood, birch furni'!$C$18/100)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<sst xmlns="http://schemas.openxmlformats.org/spreadsheetml/2006/main" count="76" uniqueCount="76">
  <si>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</si>
  <si>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https://phyllis.nl/Biomass/View/386</t>
  </si>
  <si>
    <t>wood, birch furniture plywood (#386)</t>
  </si>
  <si>
    <t>ID-number</t>
  </si>
  <si>
    <t>#386</t>
  </si>
  <si>
    <t>Material</t>
  </si>
  <si>
    <t>wood, birch furniture plywood</t>
  </si>
  <si>
    <t>Classification</t>
  </si>
  <si>
    <t>ECN Phyllis classification &gt; treated wood &gt; others</t>
  </si>
  <si>
    <t>NTA 8003 classification &gt; [100] hout &gt; [150] verwerkt hout &gt; [170] geverfd/verlijmd hout (B-hout) &gt; [172] plaatmateriaal/verlijmd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</si>
  <si>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</si>
  <si>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</si>
  <si>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</si>
  <si>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</si>
  <si>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</si>
  <si>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</si>
  <si>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</si>
  <si>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</si>
  <si>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</si>
  <si>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</si>
  <si>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</si>
  <si>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</si>
  <si>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</si>
  <si>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</si>
  <si>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</si>
  <si>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</si>
  <si>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</si>
  <si>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</si>
  <si>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</si>
  <si>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</si>
  <si>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</si>
  <si>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</si>
  <si>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</si>
  <si>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</si>
  <si>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</si>
  <si>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</si>
  <si>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</si>
  <si>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</si>
  <si>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</si>
  <si>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</si>
  <si>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</si>
  <si>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</si>
  <si>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</si>
  <si>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</si>
  <si>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</si>
  <si>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</si>
  <si>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</si>
  <si>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</si>
  <si>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</si>
  <si>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</si>
  <si>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</si>
  <si>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</si>
  <si>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</si>
  <si>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Barium (Ba)</t>
  </si>
  <si>
    <t>mg/kg (dry)</t>
  </si>
  <si>
    <t>Cadmium (Cd)</t>
  </si>
  <si>
    <t>Chromium (Cr)</t>
  </si>
  <si>
    <t>Copper (Cu)</t>
  </si>
  <si>
    <t>Mercury (Hg)</t>
  </si>
  <si>
    <t>Nickel (Ni)</t>
  </si>
  <si>
    <t>Lead (Pb)</t>
  </si>
  <si>
    <t>Titanium (Ti)</t>
  </si>
  <si>
    <t>Zinc (Zn)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</si>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</sst>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IFERROR(0.38*(1-w),"")</f>
        <v/>
      </c>
      <c r="D19" s="11">
        <v>0.38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IFERROR(51.25*(1-w),"")</f>
        <v/>
      </c>
      <c r="D21" s="11">
        <v>51.25</v>
      </c>
      <c r="E21" s="11">
        <v>51.445492872917086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IFERROR(5.94*(1-w),"")</f>
        <v/>
      </c>
      <c r="D22" s="11">
        <v>5.94</v>
      </c>
      <c r="E22" s="11">
        <v>5.962658100782976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IFERROR(38.78*(1-w),"")</f>
        <v/>
      </c>
      <c r="D23" s="11">
        <v>38.78</v>
      </c>
      <c r="E23" s="11">
        <v>38.927926119253165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IFERROR(3.48*(1-w),"")</f>
        <v/>
      </c>
      <c r="D24" s="11">
        <v>3.48</v>
      </c>
      <c r="E24" s="11">
        <v>3.4932744428829552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IFERROR(0.01*(1-w),"")</f>
        <v/>
      </c>
      <c r="D25" s="11">
        <v>0.01</v>
      </c>
      <c r="E25" s="11">
        <v>0.01003814495081309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IFERROR(1600*(1-w),"")</f>
        <v/>
      </c>
      <c r="D28" s="12">
        <v>1600</v>
      </c>
      <c r="E28" s="12">
        <v>1606.1031921300944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IFERROR(18.05079*(1-w)-w*2.443,"")</f>
        <v/>
      </c>
      <c r="D30" s="11">
        <v>18.05079</v>
      </c>
      <c r="E30" s="11">
        <v>18.119644649668739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IFERROR(19.347*(1-w),"")</f>
        <v/>
      </c>
      <c r="D31" s="11">
        <v>19.347</v>
      </c>
      <c r="E31" s="11">
        <v>19.420799036338085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IFERROR(20.2526240932*(1-w),"")</f>
        <v/>
      </c>
      <c r="D32" s="11">
        <v>20.2526240932</v>
      </c>
      <c r="E32" s="11">
        <v>20.329877628187113</v>
      </c>
      <c r="F32" s="11"/>
      <c r="G32" s="11"/>
      <c r="I32" s="13"/>
      <c r="J32" s="0" t="s">
        <v>40</v>
      </c>
    </row>
    <row r="33" outlineLevel="1">
      <c r="A33" s="9" t="s">
        <v>52</v>
      </c>
      <c r="I33" s="13"/>
    </row>
    <row r="34" outlineLevel="2">
      <c r="A34" s="10" t="s">
        <v>53</v>
      </c>
      <c r="B34" s="0" t="s">
        <v>54</v>
      </c>
      <c r="C34" s="12">
        <v>1.2</v>
      </c>
      <c r="D34" s="12"/>
      <c r="E34" s="12"/>
      <c r="F34" s="12"/>
      <c r="G34" s="12"/>
      <c r="I34" s="13"/>
      <c r="J34" s="0" t="s">
        <v>37</v>
      </c>
    </row>
    <row r="35" outlineLevel="2">
      <c r="A35" s="10" t="s">
        <v>55</v>
      </c>
      <c r="B35" s="0" t="s">
        <v>54</v>
      </c>
      <c r="C35" s="12">
        <v>0.1</v>
      </c>
      <c r="D35" s="12"/>
      <c r="E35" s="12"/>
      <c r="F35" s="12"/>
      <c r="G35" s="12"/>
      <c r="I35" s="13"/>
      <c r="J35" s="0" t="s">
        <v>37</v>
      </c>
    </row>
    <row r="36" outlineLevel="2">
      <c r="A36" s="10" t="s">
        <v>56</v>
      </c>
      <c r="B36" s="0" t="s">
        <v>54</v>
      </c>
      <c r="C36" s="12">
        <v>0.3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57</v>
      </c>
      <c r="B37" s="0" t="s">
        <v>54</v>
      </c>
      <c r="C37" s="12">
        <v>1.1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58</v>
      </c>
      <c r="B38" s="0" t="s">
        <v>54</v>
      </c>
      <c r="C38" s="12">
        <v>0.16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59</v>
      </c>
      <c r="B39" s="0" t="s">
        <v>54</v>
      </c>
      <c r="C39" s="12">
        <v>0.5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60</v>
      </c>
      <c r="B40" s="0" t="s">
        <v>54</v>
      </c>
      <c r="C40" s="12">
        <v>0.7</v>
      </c>
      <c r="D40" s="12"/>
      <c r="E40" s="12"/>
      <c r="F40" s="12"/>
      <c r="G40" s="12"/>
      <c r="I40" s="13"/>
      <c r="J40" s="0" t="s">
        <v>37</v>
      </c>
    </row>
    <row r="41" outlineLevel="2">
      <c r="A41" s="10" t="s">
        <v>61</v>
      </c>
      <c r="B41" s="0" t="s">
        <v>54</v>
      </c>
      <c r="C41" s="12">
        <v>0.2</v>
      </c>
      <c r="D41" s="12"/>
      <c r="E41" s="12"/>
      <c r="F41" s="12"/>
      <c r="G41" s="12"/>
      <c r="I41" s="13"/>
      <c r="J41" s="0" t="s">
        <v>37</v>
      </c>
    </row>
    <row r="42" outlineLevel="2">
      <c r="A42" s="10" t="s">
        <v>62</v>
      </c>
      <c r="B42" s="0" t="s">
        <v>54</v>
      </c>
      <c r="C42" s="12">
        <v>7</v>
      </c>
      <c r="D42" s="12"/>
      <c r="E42" s="12"/>
      <c r="F42" s="12"/>
      <c r="G42" s="12"/>
      <c r="I42" s="13"/>
      <c r="J42" s="0" t="s">
        <v>37</v>
      </c>
    </row>
    <row r="43">
      <c r="A43" s="5" t="s">
        <v>63</v>
      </c>
      <c r="I43" s="13"/>
    </row>
    <row r="44" outlineLevel="1">
      <c r="A44" s="9" t="s">
        <v>64</v>
      </c>
      <c r="I44" s="13"/>
    </row>
    <row r="45" outlineLevel="2">
      <c r="A45" s="10" t="s">
        <v>65</v>
      </c>
      <c r="B45" s="0" t="s">
        <v>66</v>
      </c>
      <c r="C45" s="11">
        <v>4.93</v>
      </c>
      <c r="D45" s="11"/>
      <c r="E45" s="11"/>
      <c r="F45" s="11"/>
      <c r="G45" s="11"/>
      <c r="I45" s="13"/>
    </row>
    <row r="46" outlineLevel="2">
      <c r="A46" s="10" t="s">
        <v>67</v>
      </c>
      <c r="B46" s="0" t="s">
        <v>66</v>
      </c>
      <c r="C46" s="11">
        <v>10</v>
      </c>
      <c r="D46" s="11"/>
      <c r="E46" s="11"/>
      <c r="F46" s="11"/>
      <c r="G46" s="11"/>
      <c r="I46" s="13"/>
    </row>
    <row r="47" outlineLevel="2">
      <c r="A47" s="10" t="s">
        <v>68</v>
      </c>
      <c r="B47" s="0" t="s">
        <v>66</v>
      </c>
      <c r="C47" s="11">
        <v>4.02</v>
      </c>
      <c r="D47" s="11"/>
      <c r="E47" s="11"/>
      <c r="F47" s="11"/>
      <c r="G47" s="11"/>
      <c r="I47" s="13"/>
    </row>
    <row r="48" outlineLevel="2">
      <c r="A48" s="10" t="s">
        <v>69</v>
      </c>
      <c r="B48" s="0" t="s">
        <v>66</v>
      </c>
      <c r="C48" s="11">
        <v>1.71</v>
      </c>
      <c r="D48" s="11"/>
      <c r="E48" s="11"/>
      <c r="F48" s="11"/>
      <c r="G48" s="11"/>
      <c r="I48" s="13"/>
    </row>
    <row r="49" outlineLevel="2">
      <c r="A49" s="10" t="s">
        <v>70</v>
      </c>
      <c r="B49" s="0" t="s">
        <v>66</v>
      </c>
      <c r="C49" s="11">
        <v>0.75</v>
      </c>
      <c r="D49" s="11"/>
      <c r="E49" s="11"/>
      <c r="F49" s="11"/>
      <c r="G49" s="11"/>
      <c r="I49" s="13"/>
    </row>
    <row r="50" outlineLevel="2">
      <c r="A50" s="10" t="s">
        <v>71</v>
      </c>
      <c r="B50" s="0" t="s">
        <v>66</v>
      </c>
      <c r="C50" s="11">
        <v>40</v>
      </c>
      <c r="D50" s="11"/>
      <c r="E50" s="11"/>
      <c r="F50" s="11"/>
      <c r="G50" s="11"/>
      <c r="I50" s="13"/>
    </row>
    <row r="51" outlineLevel="2">
      <c r="A51" s="10" t="s">
        <v>72</v>
      </c>
      <c r="B51" s="0" t="s">
        <v>66</v>
      </c>
      <c r="C51" s="11">
        <v>7.52</v>
      </c>
      <c r="D51" s="11"/>
      <c r="E51" s="11"/>
      <c r="F51" s="11"/>
      <c r="G51" s="11"/>
      <c r="I51" s="13"/>
    </row>
    <row r="52" outlineLevel="2">
      <c r="A52" s="10" t="s">
        <v>73</v>
      </c>
      <c r="B52" s="0" t="s">
        <v>66</v>
      </c>
      <c r="C52" s="11">
        <v>2.88</v>
      </c>
      <c r="D52" s="11"/>
      <c r="E52" s="11"/>
      <c r="F52" s="11"/>
      <c r="G52" s="11"/>
      <c r="I52" s="13"/>
    </row>
    <row r="53" outlineLevel="2">
      <c r="A53" s="10" t="s">
        <v>74</v>
      </c>
      <c r="B53" s="0" t="s">
        <v>66</v>
      </c>
      <c r="C53" s="11">
        <v>18.4</v>
      </c>
      <c r="D53" s="11"/>
      <c r="E53" s="11"/>
      <c r="F53" s="11"/>
      <c r="G53" s="11"/>
      <c r="I53" s="13"/>
    </row>
    <row r="54" outlineLevel="2">
      <c r="A54" s="10" t="s">
        <v>75</v>
      </c>
      <c r="B54" s="0" t="s">
        <v>66</v>
      </c>
      <c r="C54" s="11">
        <v>0.48</v>
      </c>
      <c r="D54" s="11"/>
      <c r="E54" s="11"/>
      <c r="F54" s="11"/>
      <c r="G54" s="11"/>
      <c r="I54" s="13"/>
    </row>
    <row r="55">
      <c r="I55" s="13"/>
    </row>
    <row r="5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https://phyllis.nl/Biomass/View/386</dc:description>
  <dcterms:created xsi:type="dcterms:W3CDTF">2026-03-19T04:07:52Z</dcterms:created>
  <dc:title>Phyllis2 #386 wood, birch furniture plywood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