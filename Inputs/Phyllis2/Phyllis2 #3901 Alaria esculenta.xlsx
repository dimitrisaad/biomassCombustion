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01 Alaria esculenta" sheetId="1" r:id="rId1"/>
  </sheets>
  <definedNames>
    <definedName name="w" localSheetId="0">IF(ISBLANK('Phyllis2 #3901 Alaria esculenta'!$C$26),#N/A,'Phyllis2 #3901 Alaria esculenta'!$C$26/100)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<sst xmlns="http://schemas.openxmlformats.org/spreadsheetml/2006/main" count="66" uniqueCount="66">
  <si>
    <t>Phyllis2</t>
  </si>
  <si>
    <t>https://phyllis.nl/Biomass/View/3901</t>
  </si>
  <si>
    <t>Alaria esculenta (#3901)</t>
  </si>
  <si>
    <t>ID-number</t>
  </si>
  <si>
    <t>#3901</t>
  </si>
  <si>
    <t>Material</t>
  </si>
  <si>
    <t>Alaria esculenta</t>
  </si>
  <si>
    <t>Description</t>
  </si>
  <si>
    <t>Air dried</t>
  </si>
  <si>
    <t>Classification</t>
  </si>
  <si>
    <t>ECN Phyllis classification &gt; Marine biomass (algae) &gt; Macroalgae &gt; Alaria esculenta</t>
  </si>
  <si>
    <t>Submitter organisation</t>
  </si>
  <si>
    <t>TNO (Netherlands)</t>
  </si>
  <si>
    <t>Submission date</t>
  </si>
  <si>
    <t>Remarks</t>
  </si>
  <si>
    <t>Phylum: Ochrophyta</t>
  </si>
  <si>
    <t>Genus: Alaria</t>
  </si>
  <si>
    <t>Species: Alaria esculenta</t>
  </si>
  <si>
    <t>Generic algae family: Brown</t>
  </si>
  <si>
    <t>Cultivation region: Faroe Island, Denmark</t>
  </si>
  <si>
    <t>Wild/culture: Cultivation</t>
  </si>
  <si>
    <t>Harvesting date: in 2022</t>
  </si>
  <si>
    <t>Literature</t>
  </si>
  <si>
    <t>Author/institution: TNO</t>
  </si>
  <si>
    <t>Journal/project: Sample provided by Ocean RainForest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</si>
  <si>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</si>
  <si>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</si>
  <si>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</si>
  <si>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</si>
  <si>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</si>
  <si>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</si>
  <si>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</si>
  <si>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</si>
  <si>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</si>
  <si>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</si>
  <si>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</si>
  <si>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</si>
  <si>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</si>
  <si>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</si>
  <si>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</si>
  <si>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</si>
  <si>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</si>
  <si>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</si>
  <si>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</si>
  <si>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</si>
  <si>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</si>
  <si>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Oxygen</t>
  </si>
  <si>
    <t>Nitrogen</t>
  </si>
  <si>
    <t>Total (with halides)</t>
  </si>
  <si>
    <t>Calculated</t>
  </si>
  <si>
    <t>Heating value</t>
  </si>
  <si>
    <t>HHVMilne</t>
  </si>
  <si>
    <t>MJ/kg</t>
  </si>
  <si>
    <t>Biochemical analysis</t>
  </si>
  <si>
    <t>Carbohydrate analysis</t>
  </si>
  <si>
    <t>Glycerol</t>
  </si>
  <si>
    <t>wt% (dry)</t>
  </si>
  <si>
    <t>Mannitol</t>
  </si>
  <si>
    <t>Galactose</t>
  </si>
  <si>
    <t>Glucose</t>
  </si>
  <si>
    <t>Xylose</t>
  </si>
  <si>
    <t>Fucose</t>
  </si>
  <si>
    <t>Uronic acids</t>
  </si>
  <si>
    <t>Guluronic acid</t>
  </si>
  <si>
    <t>Glucuronic acid</t>
  </si>
  <si>
    <t>Mannuronic acid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</si>
</sst>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0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45006.4176273148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>
      <c r="A20" s="7"/>
    </row>
    <row r="21" s="1" customFormat="1">
      <c r="A21" s="9" t="s">
        <v>25</v>
      </c>
    </row>
    <row r="22" s="1" customFormat="1">
      <c r="A22" s="10" t="s">
        <v>26</v>
      </c>
      <c r="B22" s="10" t="s">
        <v>27</v>
      </c>
      <c r="C22" s="10" t="s">
        <v>28</v>
      </c>
      <c r="D22" s="10"/>
      <c r="E22" s="10"/>
      <c r="F22" s="10" t="s">
        <v>29</v>
      </c>
      <c r="G22" s="10" t="s">
        <v>30</v>
      </c>
      <c r="H22" s="10" t="s">
        <v>31</v>
      </c>
      <c r="I22" s="10" t="s">
        <v>32</v>
      </c>
      <c r="J22" s="10" t="s">
        <v>33</v>
      </c>
      <c r="K22" s="10" t="s">
        <v>14</v>
      </c>
      <c r="L22" s="10"/>
    </row>
    <row r="23" s="1" customFormat="1">
      <c r="A23" s="10"/>
      <c r="B23" s="10"/>
      <c r="C23" s="10" t="s">
        <v>34</v>
      </c>
      <c r="D23" s="10" t="s">
        <v>35</v>
      </c>
      <c r="E23" s="10" t="s">
        <v>36</v>
      </c>
      <c r="F23" s="10"/>
      <c r="G23" s="10"/>
      <c r="H23" s="10"/>
      <c r="I23" s="10"/>
      <c r="J23" s="10"/>
      <c r="K23" s="10"/>
      <c r="L23" s="10"/>
    </row>
    <row r="24">
      <c r="A24" s="7" t="s">
        <v>37</v>
      </c>
      <c r="I24" s="5"/>
    </row>
    <row r="25" outlineLevel="1">
      <c r="A25" s="11" t="s">
        <v>38</v>
      </c>
      <c r="I25" s="5"/>
    </row>
    <row r="26" outlineLevel="2">
      <c r="A26" s="12" t="s">
        <v>39</v>
      </c>
      <c r="B26" s="0" t="s">
        <v>40</v>
      </c>
      <c r="C26" s="13">
        <v/>
      </c>
      <c r="D26" s="13"/>
      <c r="E26" s="13"/>
      <c r="F26" s="13"/>
      <c r="G26" s="13"/>
      <c r="I26" s="5"/>
    </row>
    <row r="27" outlineLevel="2">
      <c r="A27" s="12" t="s">
        <v>41</v>
      </c>
      <c r="B27" s="0" t="s">
        <v>42</v>
      </c>
      <c r="C27" s="13">
        <f>IFERROR(34.35*(1-w),"")</f>
        <v/>
      </c>
      <c r="D27" s="13">
        <v>34.35</v>
      </c>
      <c r="E27" s="13">
        <v/>
      </c>
      <c r="F27" s="13"/>
      <c r="G27" s="13"/>
      <c r="I27" s="5"/>
    </row>
    <row r="28" outlineLevel="1">
      <c r="A28" s="11" t="s">
        <v>43</v>
      </c>
      <c r="I28" s="5"/>
    </row>
    <row r="29" outlineLevel="2">
      <c r="A29" s="12" t="s">
        <v>44</v>
      </c>
      <c r="B29" s="0" t="s">
        <v>42</v>
      </c>
      <c r="C29" s="13">
        <f>IFERROR(31.87*(1-w),"")</f>
        <v/>
      </c>
      <c r="D29" s="13">
        <v>31.87</v>
      </c>
      <c r="E29" s="13">
        <v>48.545316070068552</v>
      </c>
      <c r="F29" s="13"/>
      <c r="G29" s="13"/>
      <c r="I29" s="5"/>
    </row>
    <row r="30" outlineLevel="2">
      <c r="A30" s="12" t="s">
        <v>45</v>
      </c>
      <c r="B30" s="0" t="s">
        <v>42</v>
      </c>
      <c r="C30" s="13">
        <f>IFERROR(3.92*(1-w),"")</f>
        <v/>
      </c>
      <c r="D30" s="13">
        <v>3.92</v>
      </c>
      <c r="E30" s="13">
        <v>5.9710586443259714</v>
      </c>
      <c r="F30" s="13"/>
      <c r="G30" s="13"/>
      <c r="I30" s="5"/>
    </row>
    <row r="31" outlineLevel="2">
      <c r="A31" s="12" t="s">
        <v>46</v>
      </c>
      <c r="B31" s="0" t="s">
        <v>42</v>
      </c>
      <c r="C31" s="13">
        <f>IFERROR(33.9*(1-w),"")</f>
        <v/>
      </c>
      <c r="D31" s="13">
        <v>33.9</v>
      </c>
      <c r="E31" s="13">
        <v>51.637471439451637</v>
      </c>
      <c r="F31" s="13"/>
      <c r="G31" s="13"/>
      <c r="I31" s="5"/>
    </row>
    <row r="32" outlineLevel="2">
      <c r="A32" s="12" t="s">
        <v>47</v>
      </c>
      <c r="B32" s="0" t="s">
        <v>42</v>
      </c>
      <c r="C32" s="13">
        <f>IFERROR(3.79*(1-w),"")</f>
        <v/>
      </c>
      <c r="D32" s="13">
        <v>3.79</v>
      </c>
      <c r="E32" s="13">
        <v>5.7730388423457732</v>
      </c>
      <c r="F32" s="13"/>
      <c r="G32" s="13"/>
      <c r="I32" s="5"/>
    </row>
    <row r="33" outlineLevel="2">
      <c r="A33" s="12" t="s">
        <v>48</v>
      </c>
      <c r="B33" s="0" t="s">
        <v>42</v>
      </c>
      <c r="C33" s="13">
        <f>IFERROR(107.83*(1-w)+w*100,"")</f>
        <v/>
      </c>
      <c r="D33" s="13">
        <v>107.83000000000001</v>
      </c>
      <c r="E33" s="13">
        <v>111.92688499619196</v>
      </c>
      <c r="F33" s="13"/>
      <c r="G33" s="13"/>
      <c r="I33" s="5"/>
      <c r="J33" s="0" t="s">
        <v>49</v>
      </c>
    </row>
    <row r="34" outlineLevel="1">
      <c r="A34" s="11" t="s">
        <v>50</v>
      </c>
      <c r="I34" s="5"/>
    </row>
    <row r="35" outlineLevel="2">
      <c r="A35" s="12" t="s">
        <v>51</v>
      </c>
      <c r="B35" s="0" t="s">
        <v>52</v>
      </c>
      <c r="C35" s="13">
        <f>IFERROR(11.1820831425*(1-w),"")</f>
        <v/>
      </c>
      <c r="D35" s="13">
        <v>11.182083142500002</v>
      </c>
      <c r="E35" s="13">
        <v>17.032876073876622</v>
      </c>
      <c r="F35" s="13"/>
      <c r="G35" s="13"/>
      <c r="I35" s="5"/>
      <c r="J35" s="0" t="s">
        <v>49</v>
      </c>
    </row>
    <row r="36" outlineLevel="1">
      <c r="A36" s="11" t="s">
        <v>53</v>
      </c>
      <c r="I36" s="5"/>
    </row>
    <row r="37" outlineLevel="2">
      <c r="A37" s="14" t="s">
        <v>54</v>
      </c>
      <c r="I37" s="5"/>
    </row>
    <row r="38" outlineLevel="3">
      <c r="A38" s="15" t="s">
        <v>55</v>
      </c>
      <c r="B38" s="0" t="s">
        <v>56</v>
      </c>
      <c r="C38" s="13">
        <v>0.71</v>
      </c>
      <c r="D38" s="13"/>
      <c r="E38" s="13"/>
      <c r="F38" s="13"/>
      <c r="G38" s="13"/>
      <c r="I38" s="5"/>
    </row>
    <row r="39" outlineLevel="3">
      <c r="A39" s="15" t="s">
        <v>57</v>
      </c>
      <c r="B39" s="0" t="s">
        <v>56</v>
      </c>
      <c r="C39" s="13">
        <v>2.79</v>
      </c>
      <c r="D39" s="13"/>
      <c r="E39" s="13"/>
      <c r="F39" s="13"/>
      <c r="G39" s="13"/>
      <c r="I39" s="5"/>
    </row>
    <row r="40" outlineLevel="3">
      <c r="A40" s="15" t="s">
        <v>58</v>
      </c>
      <c r="B40" s="0" t="s">
        <v>56</v>
      </c>
      <c r="C40" s="13">
        <v>2.12</v>
      </c>
      <c r="D40" s="13"/>
      <c r="E40" s="13"/>
      <c r="F40" s="13"/>
      <c r="G40" s="13"/>
      <c r="I40" s="5"/>
    </row>
    <row r="41" outlineLevel="3">
      <c r="A41" s="15" t="s">
        <v>59</v>
      </c>
      <c r="B41" s="0" t="s">
        <v>56</v>
      </c>
      <c r="C41" s="13">
        <v>3.01</v>
      </c>
      <c r="D41" s="13"/>
      <c r="E41" s="13"/>
      <c r="F41" s="13"/>
      <c r="G41" s="13"/>
      <c r="I41" s="5"/>
    </row>
    <row r="42" outlineLevel="3">
      <c r="A42" s="15" t="s">
        <v>60</v>
      </c>
      <c r="B42" s="0" t="s">
        <v>56</v>
      </c>
      <c r="C42" s="13">
        <v>0.18</v>
      </c>
      <c r="D42" s="13"/>
      <c r="E42" s="13"/>
      <c r="F42" s="13"/>
      <c r="G42" s="13"/>
      <c r="I42" s="5"/>
    </row>
    <row r="43" outlineLevel="3">
      <c r="A43" s="15" t="s">
        <v>61</v>
      </c>
      <c r="B43" s="0" t="s">
        <v>56</v>
      </c>
      <c r="C43" s="13">
        <v>1.62</v>
      </c>
      <c r="D43" s="13"/>
      <c r="E43" s="13"/>
      <c r="F43" s="13"/>
      <c r="G43" s="13"/>
      <c r="I43" s="5"/>
    </row>
    <row r="44" outlineLevel="2">
      <c r="A44" s="14" t="s">
        <v>62</v>
      </c>
      <c r="I44" s="5"/>
    </row>
    <row r="45" outlineLevel="3">
      <c r="A45" s="15" t="s">
        <v>63</v>
      </c>
      <c r="B45" s="0" t="s">
        <v>56</v>
      </c>
      <c r="C45" s="13">
        <v>2.34</v>
      </c>
      <c r="D45" s="13"/>
      <c r="E45" s="13"/>
      <c r="F45" s="13"/>
      <c r="G45" s="13"/>
      <c r="I45" s="5"/>
    </row>
    <row r="46" outlineLevel="3">
      <c r="A46" s="15" t="s">
        <v>64</v>
      </c>
      <c r="B46" s="0" t="s">
        <v>56</v>
      </c>
      <c r="C46" s="13">
        <v>1.01</v>
      </c>
      <c r="D46" s="13"/>
      <c r="E46" s="13"/>
      <c r="F46" s="13"/>
      <c r="G46" s="13"/>
      <c r="I46" s="5"/>
    </row>
    <row r="47" outlineLevel="3">
      <c r="A47" s="15" t="s">
        <v>65</v>
      </c>
      <c r="B47" s="0" t="s">
        <v>56</v>
      </c>
      <c r="C47" s="13">
        <v>7.29</v>
      </c>
      <c r="D47" s="13"/>
      <c r="E47" s="13"/>
      <c r="F47" s="13"/>
      <c r="G47" s="13"/>
      <c r="I47" s="5"/>
    </row>
    <row r="48">
      <c r="I48" s="5"/>
    </row>
    <row r="49" s="1" customFormat="1"/>
  </sheetData>
  <mergeCells>
    <mergeCell ref="A8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38:E38"/>
    <mergeCell ref="C39:E39"/>
    <mergeCell ref="C40:E40"/>
    <mergeCell ref="C41:E41"/>
    <mergeCell ref="C42:E42"/>
    <mergeCell ref="C43:E43"/>
    <mergeCell ref="C45:E45"/>
    <mergeCell ref="C46:E46"/>
    <mergeCell ref="C47:E47"/>
  </mergeCells>
  <dataValidations count="1">
    <dataValidation type="decimal" sqref="C26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https://phyllis.nl/Biomass/View/3901</dc:description>
  <dcterms:created xsi:type="dcterms:W3CDTF">2026-03-17T05:52:05Z</dcterms:created>
  <dc:title>Phyllis2 #3901 Alaria esculenta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