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02 Fucus vesiculosu" sheetId="1" r:id="rId1"/>
  </sheets>
  <definedNames>
    <definedName name="w" localSheetId="0">IF(ISBLANK('Phyllis2 #3902 Fucus vesiculosu'!$C$26),#N/A,'Phyllis2 #3902 Fucus vesiculosu'!$C$26/100)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<sst xmlns="http://schemas.openxmlformats.org/spreadsheetml/2006/main" count="72" uniqueCount="72">
  <si>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</si>
  <si>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https://phyllis.nl/Biomass/View/3902</t>
  </si>
  <si>
    <t>Fucus vesiculosus (#3902)</t>
  </si>
  <si>
    <t>ID-number</t>
  </si>
  <si>
    <t>#3902</t>
  </si>
  <si>
    <t>Material</t>
  </si>
  <si>
    <t>Fucus vesiculosus</t>
  </si>
  <si>
    <t>Description</t>
  </si>
  <si>
    <t>Freeze dried</t>
  </si>
  <si>
    <t>Classification</t>
  </si>
  <si>
    <t>ECN Phyllis classification &gt; Marine biomass (algae) &gt; Macroalgae &gt; Fucus vesiculosus</t>
  </si>
  <si>
    <t>Submitter organisation</t>
  </si>
  <si>
    <t>TNO (Netherlands)</t>
  </si>
  <si>
    <t>Submission date</t>
  </si>
  <si>
    <t>Remarks</t>
  </si>
  <si>
    <t>Phylum: Ochrophyta</t>
  </si>
  <si>
    <t>Genus: Fucus</t>
  </si>
  <si>
    <t>Species: Fucus vesiculosus</t>
  </si>
  <si>
    <t>Generic algae family: Brown</t>
  </si>
  <si>
    <t>Cultivation region: Denmark</t>
  </si>
  <si>
    <t>Wild/culture: Wild</t>
  </si>
  <si>
    <t>Harvesting date: 10-07-2017</t>
  </si>
  <si>
    <t>Literature</t>
  </si>
  <si>
    <t>Author/institution: TNO</t>
  </si>
  <si>
    <t>Journal/project: MacroFuels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</si>
  <si>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</si>
  <si>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</si>
  <si>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</si>
  <si>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</si>
  <si>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</si>
  <si>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</si>
  <si>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</si>
  <si>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</si>
  <si>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</si>
  <si>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</si>
  <si>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</si>
  <si>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</si>
  <si>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</si>
  <si>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</si>
  <si>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</si>
  <si>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</si>
  <si>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</si>
  <si>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</si>
  <si>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</si>
  <si>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</si>
  <si>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</si>
  <si>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</si>
  <si>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</si>
  <si>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</si>
  <si>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</si>
  <si>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</si>
  <si>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</si>
  <si>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</si>
  <si>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</si>
  <si>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</si>
  <si>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</si>
  <si>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</si>
  <si>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</si>
  <si>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</si>
  <si>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</si>
  <si>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</si>
  <si>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</si>
  <si>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</si>
  <si>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Mannitol</t>
  </si>
  <si>
    <t>Galactose</t>
  </si>
  <si>
    <t>Glucose</t>
  </si>
  <si>
    <t>Xylose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</si>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</sst>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45006.4182407407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IFERROR(22.01*(1-w),"")</f>
        <v/>
      </c>
      <c r="D27" s="13">
        <v>22.01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IFERROR(36.88*(1-w),"")</f>
        <v/>
      </c>
      <c r="D29" s="13">
        <v>36.88</v>
      </c>
      <c r="E29" s="13">
        <v>47.28811386075138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IFERROR(4.42*(1-w),"")</f>
        <v/>
      </c>
      <c r="D30" s="13">
        <v>4.42</v>
      </c>
      <c r="E30" s="13">
        <v>5.6673932555455826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IFERROR(39.88*(1-w),"")</f>
        <v/>
      </c>
      <c r="D31" s="13">
        <v>39.88</v>
      </c>
      <c r="E31" s="13">
        <v>51.134760866777796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IFERROR(1.14*(1-w),"")</f>
        <v/>
      </c>
      <c r="D32" s="13">
        <v>1.14</v>
      </c>
      <c r="E32" s="13">
        <v>1.4617258622900371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IFERROR(2.8*(1-w),"")</f>
        <v/>
      </c>
      <c r="D33" s="13">
        <v>2.8</v>
      </c>
      <c r="E33" s="13">
        <v>3.590203872291319</v>
      </c>
      <c r="F33" s="13"/>
      <c r="G33" s="13"/>
      <c r="I33" s="5"/>
    </row>
    <row r="34" outlineLevel="2">
      <c r="A34" s="12" t="s">
        <v>49</v>
      </c>
      <c r="B34" s="0" t="s">
        <v>42</v>
      </c>
      <c r="C34" s="13">
        <f>IFERROR(107.13*(1-w)+w*100,"")</f>
        <v/>
      </c>
      <c r="D34" s="13">
        <v>107.13000000000001</v>
      </c>
      <c r="E34" s="13">
        <v>109.14219771765612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3">
        <f>IFERROR(13.4263663353*(1-w),"")</f>
        <v/>
      </c>
      <c r="D36" s="13">
        <v>13.426366335300003</v>
      </c>
      <c r="E36" s="13">
        <v>17.215497288498529</v>
      </c>
      <c r="F36" s="13"/>
      <c r="G36" s="13"/>
      <c r="I36" s="5"/>
      <c r="J36" s="0" t="s">
        <v>50</v>
      </c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4">
        <v>26300</v>
      </c>
      <c r="D38" s="14"/>
      <c r="E38" s="14"/>
      <c r="F38" s="14"/>
      <c r="G38" s="14"/>
      <c r="I38" s="5"/>
    </row>
    <row r="39" outlineLevel="2">
      <c r="A39" s="12" t="s">
        <v>57</v>
      </c>
      <c r="B39" s="0" t="s">
        <v>56</v>
      </c>
      <c r="C39" s="14">
        <v>23500</v>
      </c>
      <c r="D39" s="14"/>
      <c r="E39" s="14"/>
      <c r="F39" s="14"/>
      <c r="G39" s="14"/>
      <c r="I39" s="5"/>
    </row>
    <row r="40" outlineLevel="2">
      <c r="A40" s="12" t="s">
        <v>58</v>
      </c>
      <c r="B40" s="0" t="s">
        <v>56</v>
      </c>
      <c r="C40" s="14">
        <v>27800</v>
      </c>
      <c r="D40" s="14"/>
      <c r="E40" s="14"/>
      <c r="F40" s="14"/>
      <c r="G40" s="14"/>
      <c r="I40" s="5"/>
    </row>
    <row r="41" outlineLevel="1">
      <c r="A41" s="11" t="s">
        <v>59</v>
      </c>
      <c r="I41" s="5"/>
    </row>
    <row r="42" outlineLevel="2">
      <c r="A42" s="15" t="s">
        <v>60</v>
      </c>
      <c r="I42" s="5"/>
    </row>
    <row r="43" outlineLevel="3">
      <c r="A43" s="16" t="s">
        <v>61</v>
      </c>
      <c r="B43" s="0" t="s">
        <v>62</v>
      </c>
      <c r="C43" s="13">
        <v>0.73</v>
      </c>
      <c r="D43" s="13"/>
      <c r="E43" s="13"/>
      <c r="F43" s="13"/>
      <c r="G43" s="13"/>
      <c r="I43" s="5"/>
    </row>
    <row r="44" outlineLevel="3">
      <c r="A44" s="16" t="s">
        <v>63</v>
      </c>
      <c r="B44" s="0" t="s">
        <v>62</v>
      </c>
      <c r="C44" s="13">
        <v>8.5</v>
      </c>
      <c r="D44" s="13"/>
      <c r="E44" s="13"/>
      <c r="F44" s="13"/>
      <c r="G44" s="13"/>
      <c r="I44" s="5"/>
    </row>
    <row r="45" outlineLevel="3">
      <c r="A45" s="16" t="s">
        <v>64</v>
      </c>
      <c r="B45" s="0" t="s">
        <v>62</v>
      </c>
      <c r="C45" s="13">
        <v>0.79</v>
      </c>
      <c r="D45" s="13"/>
      <c r="E45" s="13"/>
      <c r="F45" s="13"/>
      <c r="G45" s="13"/>
      <c r="I45" s="5"/>
    </row>
    <row r="46" outlineLevel="3">
      <c r="A46" s="16" t="s">
        <v>65</v>
      </c>
      <c r="B46" s="0" t="s">
        <v>62</v>
      </c>
      <c r="C46" s="13">
        <v>6.84</v>
      </c>
      <c r="D46" s="13"/>
      <c r="E46" s="13"/>
      <c r="F46" s="13"/>
      <c r="G46" s="13"/>
      <c r="I46" s="5"/>
    </row>
    <row r="47" outlineLevel="3">
      <c r="A47" s="16" t="s">
        <v>66</v>
      </c>
      <c r="B47" s="0" t="s">
        <v>62</v>
      </c>
      <c r="C47" s="13">
        <v>0.99</v>
      </c>
      <c r="D47" s="13"/>
      <c r="E47" s="13"/>
      <c r="F47" s="13"/>
      <c r="G47" s="13"/>
      <c r="I47" s="5"/>
    </row>
    <row r="48" outlineLevel="3">
      <c r="A48" s="16" t="s">
        <v>67</v>
      </c>
      <c r="B48" s="0" t="s">
        <v>62</v>
      </c>
      <c r="C48" s="13">
        <v>8.51</v>
      </c>
      <c r="D48" s="13"/>
      <c r="E48" s="13"/>
      <c r="F48" s="13"/>
      <c r="G48" s="13"/>
      <c r="I48" s="5"/>
    </row>
    <row r="49" outlineLevel="2">
      <c r="A49" s="15" t="s">
        <v>68</v>
      </c>
      <c r="I49" s="5"/>
    </row>
    <row r="50" outlineLevel="3">
      <c r="A50" s="16" t="s">
        <v>69</v>
      </c>
      <c r="B50" s="0" t="s">
        <v>62</v>
      </c>
      <c r="C50" s="13">
        <v>3.58</v>
      </c>
      <c r="D50" s="13"/>
      <c r="E50" s="13"/>
      <c r="F50" s="13"/>
      <c r="G50" s="13"/>
      <c r="I50" s="5"/>
    </row>
    <row r="51" outlineLevel="3">
      <c r="A51" s="16" t="s">
        <v>70</v>
      </c>
      <c r="B51" s="0" t="s">
        <v>62</v>
      </c>
      <c r="C51" s="13">
        <v>1.95</v>
      </c>
      <c r="D51" s="13"/>
      <c r="E51" s="13"/>
      <c r="F51" s="13"/>
      <c r="G51" s="13"/>
      <c r="I51" s="5"/>
    </row>
    <row r="52" outlineLevel="3">
      <c r="A52" s="16" t="s">
        <v>71</v>
      </c>
      <c r="B52" s="0" t="s">
        <v>62</v>
      </c>
      <c r="C52" s="13">
        <v>4.32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50:E50"/>
    <mergeCell ref="C51:E51"/>
    <mergeCell ref="C52:E52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https://phyllis.nl/Biomass/View/3902</dc:description>
  <dcterms:created xsi:type="dcterms:W3CDTF">2026-03-17T05:54:43Z</dcterms:created>
  <dc:title>Phyllis2 #3902 Fucus vesiculosus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