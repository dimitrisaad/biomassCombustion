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09 Saccharina latis" sheetId="1" r:id="rId1"/>
  </sheets>
  <definedNames>
    <definedName name="w" localSheetId="0">IF(ISBLANK('Phyllis2 #3909 Saccharina latis'!$C$26),#N/A,'Phyllis2 #3909 Saccharina latis'!$C$26/100)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<sst xmlns="http://schemas.openxmlformats.org/spreadsheetml/2006/main" count="72" uniqueCount="72">
  <si>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</si>
  <si>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https://phyllis.nl/Biomass/View/3909</t>
  </si>
  <si>
    <t>Saccharina latissima (#3909)</t>
  </si>
  <si>
    <t>ID-number</t>
  </si>
  <si>
    <t>#3909</t>
  </si>
  <si>
    <t>Material</t>
  </si>
  <si>
    <t>Saccharina latissima</t>
  </si>
  <si>
    <t>Description</t>
  </si>
  <si>
    <t>Air dried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</si>
  <si>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</si>
  <si>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</si>
  <si>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</si>
  <si>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</si>
  <si>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</si>
  <si>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</si>
  <si>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</si>
  <si>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</si>
  <si>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</si>
  <si>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</si>
  <si>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Denmark</t>
  </si>
  <si>
    <t>Wild/culture: Cultivation</t>
  </si>
  <si>
    <t>Harvesting date: 05-07-2017</t>
  </si>
  <si>
    <t>Literature</t>
  </si>
  <si>
    <t>Author/institution: TNO</t>
  </si>
  <si>
    <t>Journal/project: MacroFuels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</si>
  <si>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</si>
  <si>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</si>
  <si>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</si>
  <si>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</si>
  <si>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</si>
  <si>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</si>
  <si>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</si>
  <si>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</si>
  <si>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</si>
  <si>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</si>
  <si>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</si>
  <si>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</si>
  <si>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</si>
  <si>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</si>
  <si>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</si>
  <si>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</si>
  <si>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</si>
  <si>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</si>
  <si>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</si>
  <si>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</si>
  <si>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</si>
  <si>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</si>
  <si>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</si>
  <si>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</si>
  <si>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</si>
  <si>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</si>
  <si>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</si>
  <si>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</si>
  <si>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</si>
  <si>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Trace elements composition</t>
  </si>
  <si>
    <t>Calcium (Ca)</t>
  </si>
  <si>
    <t>mg/kg (dry)</t>
  </si>
  <si>
    <t>Potassium (K)</t>
  </si>
  <si>
    <t>Sodium (Na)</t>
  </si>
  <si>
    <t>Biochemical analysis</t>
  </si>
  <si>
    <t>Carbohydrate analysis</t>
  </si>
  <si>
    <t>Glycerol</t>
  </si>
  <si>
    <t>wt% (dry)</t>
  </si>
  <si>
    <t>Mannitol</t>
  </si>
  <si>
    <t>Galactose</t>
  </si>
  <si>
    <t>Glucose</t>
  </si>
  <si>
    <t>Xylose</t>
  </si>
  <si>
    <t>Fucose</t>
  </si>
  <si>
    <t>Uronic acids</t>
  </si>
  <si>
    <t>Guluronic acid</t>
  </si>
  <si>
    <t>Glucuronic acid</t>
  </si>
  <si>
    <t>Mannuronic acid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</si>
</sst>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45006.4188657407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42</v>
      </c>
      <c r="C27" s="13">
        <f>IFERROR(21.34*(1-w),"")</f>
        <v/>
      </c>
      <c r="D27" s="13">
        <v>21.34</v>
      </c>
      <c r="E27" s="13">
        <v/>
      </c>
      <c r="F27" s="13"/>
      <c r="G27" s="13"/>
      <c r="I27" s="5"/>
    </row>
    <row r="28" outlineLevel="1">
      <c r="A28" s="11" t="s">
        <v>43</v>
      </c>
      <c r="I28" s="5"/>
    </row>
    <row r="29" outlineLevel="2">
      <c r="A29" s="12" t="s">
        <v>44</v>
      </c>
      <c r="B29" s="0" t="s">
        <v>42</v>
      </c>
      <c r="C29" s="13">
        <f>IFERROR(34.35*(1-w),"")</f>
        <v/>
      </c>
      <c r="D29" s="13">
        <v>34.35</v>
      </c>
      <c r="E29" s="13">
        <v>43.668954996186123</v>
      </c>
      <c r="F29" s="13"/>
      <c r="G29" s="13"/>
      <c r="I29" s="5"/>
    </row>
    <row r="30" outlineLevel="2">
      <c r="A30" s="12" t="s">
        <v>45</v>
      </c>
      <c r="B30" s="0" t="s">
        <v>42</v>
      </c>
      <c r="C30" s="13">
        <f>IFERROR(4.62*(1-w),"")</f>
        <v/>
      </c>
      <c r="D30" s="13">
        <v>4.62</v>
      </c>
      <c r="E30" s="13">
        <v>5.8733790999237225</v>
      </c>
      <c r="F30" s="13"/>
      <c r="G30" s="13"/>
      <c r="I30" s="5"/>
    </row>
    <row r="31" outlineLevel="2">
      <c r="A31" s="12" t="s">
        <v>46</v>
      </c>
      <c r="B31" s="0" t="s">
        <v>42</v>
      </c>
      <c r="C31" s="13">
        <f>IFERROR(37.58*(1-w),"")</f>
        <v/>
      </c>
      <c r="D31" s="13">
        <v>37.58</v>
      </c>
      <c r="E31" s="13">
        <v>47.77523518942283</v>
      </c>
      <c r="F31" s="13"/>
      <c r="G31" s="13"/>
      <c r="I31" s="5"/>
    </row>
    <row r="32" outlineLevel="2">
      <c r="A32" s="12" t="s">
        <v>47</v>
      </c>
      <c r="B32" s="0" t="s">
        <v>42</v>
      </c>
      <c r="C32" s="13">
        <f>IFERROR(0.98*(1-w),"")</f>
        <v/>
      </c>
      <c r="D32" s="13">
        <v>0.98</v>
      </c>
      <c r="E32" s="13">
        <v>1.245868293923214</v>
      </c>
      <c r="F32" s="13"/>
      <c r="G32" s="13"/>
      <c r="I32" s="5"/>
    </row>
    <row r="33" outlineLevel="2">
      <c r="A33" s="12" t="s">
        <v>48</v>
      </c>
      <c r="B33" s="0" t="s">
        <v>42</v>
      </c>
      <c r="C33" s="13">
        <f>IFERROR(1.05*(1-w),"")</f>
        <v/>
      </c>
      <c r="D33" s="13">
        <v>1.05</v>
      </c>
      <c r="E33" s="13">
        <v>1.3348588863463007</v>
      </c>
      <c r="F33" s="13"/>
      <c r="G33" s="13"/>
      <c r="I33" s="5"/>
    </row>
    <row r="34" outlineLevel="2">
      <c r="A34" s="12" t="s">
        <v>49</v>
      </c>
      <c r="B34" s="0" t="s">
        <v>42</v>
      </c>
      <c r="C34" s="13">
        <f>IFERROR(99.92*(1-w)+w*100,"")</f>
        <v/>
      </c>
      <c r="D34" s="13">
        <v>99.92</v>
      </c>
      <c r="E34" s="13">
        <v>99.89829646580219</v>
      </c>
      <c r="F34" s="13"/>
      <c r="G34" s="13"/>
      <c r="I34" s="5"/>
      <c r="J34" s="0" t="s">
        <v>50</v>
      </c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3">
        <f>IFERROR(13.0089935268*(1-w),"")</f>
        <v/>
      </c>
      <c r="D36" s="13">
        <v>13.008993526800003</v>
      </c>
      <c r="E36" s="13">
        <v>16.538257725400463</v>
      </c>
      <c r="F36" s="13"/>
      <c r="G36" s="13"/>
      <c r="I36" s="5"/>
      <c r="J36" s="0" t="s">
        <v>50</v>
      </c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4">
        <v>15200</v>
      </c>
      <c r="D38" s="14"/>
      <c r="E38" s="14"/>
      <c r="F38" s="14"/>
      <c r="G38" s="14"/>
      <c r="I38" s="5"/>
    </row>
    <row r="39" outlineLevel="2">
      <c r="A39" s="12" t="s">
        <v>57</v>
      </c>
      <c r="B39" s="0" t="s">
        <v>56</v>
      </c>
      <c r="C39" s="14">
        <v>40000</v>
      </c>
      <c r="D39" s="14"/>
      <c r="E39" s="14"/>
      <c r="F39" s="14"/>
      <c r="G39" s="14"/>
      <c r="I39" s="5"/>
    </row>
    <row r="40" outlineLevel="2">
      <c r="A40" s="12" t="s">
        <v>58</v>
      </c>
      <c r="B40" s="0" t="s">
        <v>56</v>
      </c>
      <c r="C40" s="14">
        <v>27800</v>
      </c>
      <c r="D40" s="14"/>
      <c r="E40" s="14"/>
      <c r="F40" s="14"/>
      <c r="G40" s="14"/>
      <c r="I40" s="5"/>
    </row>
    <row r="41" outlineLevel="1">
      <c r="A41" s="11" t="s">
        <v>59</v>
      </c>
      <c r="I41" s="5"/>
    </row>
    <row r="42" outlineLevel="2">
      <c r="A42" s="15" t="s">
        <v>60</v>
      </c>
      <c r="I42" s="5"/>
    </row>
    <row r="43" outlineLevel="3">
      <c r="A43" s="16" t="s">
        <v>61</v>
      </c>
      <c r="B43" s="0" t="s">
        <v>62</v>
      </c>
      <c r="C43" s="13">
        <v>0.58</v>
      </c>
      <c r="D43" s="13"/>
      <c r="E43" s="13"/>
      <c r="F43" s="13"/>
      <c r="G43" s="13"/>
      <c r="I43" s="5"/>
    </row>
    <row r="44" outlineLevel="3">
      <c r="A44" s="16" t="s">
        <v>63</v>
      </c>
      <c r="B44" s="0" t="s">
        <v>62</v>
      </c>
      <c r="C44" s="13">
        <v>17.92</v>
      </c>
      <c r="D44" s="13"/>
      <c r="E44" s="13"/>
      <c r="F44" s="13"/>
      <c r="G44" s="13"/>
      <c r="I44" s="5"/>
    </row>
    <row r="45" outlineLevel="3">
      <c r="A45" s="16" t="s">
        <v>64</v>
      </c>
      <c r="B45" s="0" t="s">
        <v>62</v>
      </c>
      <c r="C45" s="13">
        <v>0.67</v>
      </c>
      <c r="D45" s="13"/>
      <c r="E45" s="13"/>
      <c r="F45" s="13"/>
      <c r="G45" s="13"/>
      <c r="I45" s="5"/>
    </row>
    <row r="46" outlineLevel="3">
      <c r="A46" s="16" t="s">
        <v>65</v>
      </c>
      <c r="B46" s="0" t="s">
        <v>62</v>
      </c>
      <c r="C46" s="13">
        <v>20.36</v>
      </c>
      <c r="D46" s="13"/>
      <c r="E46" s="13"/>
      <c r="F46" s="13"/>
      <c r="G46" s="13"/>
      <c r="I46" s="5"/>
    </row>
    <row r="47" outlineLevel="3">
      <c r="A47" s="16" t="s">
        <v>66</v>
      </c>
      <c r="B47" s="0" t="s">
        <v>62</v>
      </c>
      <c r="C47" s="13">
        <v>0.43</v>
      </c>
      <c r="D47" s="13"/>
      <c r="E47" s="13"/>
      <c r="F47" s="13"/>
      <c r="G47" s="13"/>
      <c r="I47" s="5"/>
    </row>
    <row r="48" outlineLevel="3">
      <c r="A48" s="16" t="s">
        <v>67</v>
      </c>
      <c r="B48" s="0" t="s">
        <v>62</v>
      </c>
      <c r="C48" s="13">
        <v>2.42</v>
      </c>
      <c r="D48" s="13"/>
      <c r="E48" s="13"/>
      <c r="F48" s="13"/>
      <c r="G48" s="13"/>
      <c r="I48" s="5"/>
    </row>
    <row r="49" outlineLevel="2">
      <c r="A49" s="15" t="s">
        <v>68</v>
      </c>
      <c r="I49" s="5"/>
    </row>
    <row r="50" outlineLevel="3">
      <c r="A50" s="16" t="s">
        <v>69</v>
      </c>
      <c r="B50" s="0" t="s">
        <v>62</v>
      </c>
      <c r="C50" s="13">
        <v>4.31</v>
      </c>
      <c r="D50" s="13"/>
      <c r="E50" s="13"/>
      <c r="F50" s="13"/>
      <c r="G50" s="13"/>
      <c r="I50" s="5"/>
    </row>
    <row r="51" outlineLevel="3">
      <c r="A51" s="16" t="s">
        <v>70</v>
      </c>
      <c r="B51" s="0" t="s">
        <v>62</v>
      </c>
      <c r="C51" s="13">
        <v>1.13</v>
      </c>
      <c r="D51" s="13"/>
      <c r="E51" s="13"/>
      <c r="F51" s="13"/>
      <c r="G51" s="13"/>
      <c r="I51" s="5"/>
    </row>
    <row r="52" outlineLevel="3">
      <c r="A52" s="16" t="s">
        <v>71</v>
      </c>
      <c r="B52" s="0" t="s">
        <v>62</v>
      </c>
      <c r="C52" s="13">
        <v>9.35</v>
      </c>
      <c r="D52" s="13"/>
      <c r="E52" s="13"/>
      <c r="F52" s="13"/>
      <c r="G52" s="13"/>
      <c r="I52" s="5"/>
    </row>
    <row r="53">
      <c r="I53" s="5"/>
    </row>
    <row r="54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38:E38"/>
    <mergeCell ref="C39:E39"/>
    <mergeCell ref="C40:E40"/>
    <mergeCell ref="C43:E43"/>
    <mergeCell ref="C44:E44"/>
    <mergeCell ref="C45:E45"/>
    <mergeCell ref="C46:E46"/>
    <mergeCell ref="C47:E47"/>
    <mergeCell ref="C48:E48"/>
    <mergeCell ref="C50:E50"/>
    <mergeCell ref="C51:E51"/>
    <mergeCell ref="C52:E52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https://phyllis.nl/Biomass/View/3909</dc:description>
  <dcterms:created xsi:type="dcterms:W3CDTF">2026-03-17T05:58:03Z</dcterms:created>
  <dc:title>Phyllis2 #3909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