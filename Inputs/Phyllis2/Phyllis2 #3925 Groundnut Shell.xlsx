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25 Groundnut Shell" sheetId="1" r:id="rId1"/>
  </sheets>
  <definedNames>
    <definedName name="w" localSheetId="0">IF(ISBLANK('Phyllis2 #3925 Groundnut Shell'!$C$22),#N/A,'Phyllis2 #3925 Groundnut Shell'!$C$22/100)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<sst xmlns="http://schemas.openxmlformats.org/spreadsheetml/2006/main" count="67" uniqueCount="67">
  <si>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</si>
  <si>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https://phyllis.nl/Biomass/View/3925</t>
  </si>
  <si>
    <t>Groundnut Shell (#3925)</t>
  </si>
  <si>
    <t>ID-number</t>
  </si>
  <si>
    <t>#3925</t>
  </si>
  <si>
    <t>Material</t>
  </si>
  <si>
    <t>Groundnut Shell</t>
  </si>
  <si>
    <t>Classification</t>
  </si>
  <si>
    <t>ECN Phyllis classification &gt; husk/shell/pit &gt; peanut &gt; groundnut shells</t>
  </si>
  <si>
    <t>Submitter organisation</t>
  </si>
  <si>
    <t>TNO (Netherlands)</t>
  </si>
  <si>
    <t>Submission date</t>
  </si>
  <si>
    <t>Remarks</t>
  </si>
  <si>
    <t>Cultivation region: India</t>
  </si>
  <si>
    <t>Harvesting date: 2019</t>
  </si>
  <si>
    <t>Literature</t>
  </si>
  <si>
    <t>Author/institution: Anubhuti Bhatnagar, Abhishek Singhal, Henrik Tolvanen, Kati Valtonen, Tero Joronen, Jukka Konttinen</t>
  </si>
  <si>
    <t>Year: 2022</t>
  </si>
  <si>
    <t>Journal/project: Waste Management (Elsevier)</t>
  </si>
  <si>
    <t>DOI/link: https://doi.org/10.1016/j.wasman.2021.12.013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</si>
  <si>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</si>
  <si>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</si>
  <si>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</si>
  <si>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</si>
  <si>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</si>
  <si>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</si>
  <si>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</si>
  <si>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</si>
  <si>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</si>
  <si>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</si>
  <si>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</si>
  <si>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</si>
  <si>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</si>
  <si>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</si>
  <si>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</si>
  <si>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</si>
  <si>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</si>
  <si>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</si>
  <si>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</si>
  <si>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</si>
  <si>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</si>
  <si>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</si>
  <si>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</si>
  <si>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</si>
  <si>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</si>
  <si>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</si>
  <si>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</si>
  <si>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</si>
  <si>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</si>
  <si>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</si>
  <si>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</si>
  <si>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&lt;0.05</t>
  </si>
  <si>
    <t>Total (with halides)</t>
  </si>
  <si>
    <t>Heating value</t>
  </si>
  <si>
    <t>Gross calorific value (HHV)</t>
  </si>
  <si>
    <t>MJ/kg</t>
  </si>
  <si>
    <t>HHVMilne</t>
  </si>
  <si>
    <t>Trace elements composition</t>
  </si>
  <si>
    <t>Calcium (Ca)</t>
  </si>
  <si>
    <t>mg/kg (dry)</t>
  </si>
  <si>
    <t>ICP-MS</t>
  </si>
  <si>
    <t>Potassium (K)</t>
  </si>
  <si>
    <t>Magnesium (Mg)</t>
  </si>
  <si>
    <t>Sodium (Na)</t>
  </si>
  <si>
    <t>Silicon (Si)</t>
  </si>
  <si>
    <t>Zinc (Zn)</t>
  </si>
  <si>
    <t>0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</si>
</sst>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45009.4153935185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>
      <c r="A16" s="7"/>
    </row>
    <row r="17" s="1" customFormat="1">
      <c r="A17" s="9" t="s">
        <v>20</v>
      </c>
    </row>
    <row r="18" s="1" customFormat="1">
      <c r="A18" s="10" t="s">
        <v>21</v>
      </c>
      <c r="B18" s="10" t="s">
        <v>22</v>
      </c>
      <c r="C18" s="10" t="s">
        <v>23</v>
      </c>
      <c r="D18" s="10"/>
      <c r="E18" s="10"/>
      <c r="F18" s="10" t="s">
        <v>24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12</v>
      </c>
      <c r="L18" s="10"/>
    </row>
    <row r="19" s="1" customFormat="1">
      <c r="A19" s="10"/>
      <c r="B19" s="10"/>
      <c r="C19" s="10" t="s">
        <v>29</v>
      </c>
      <c r="D19" s="10" t="s">
        <v>30</v>
      </c>
      <c r="E19" s="10" t="s">
        <v>31</v>
      </c>
      <c r="F19" s="10"/>
      <c r="G19" s="10"/>
      <c r="H19" s="10"/>
      <c r="I19" s="10"/>
      <c r="J19" s="10"/>
      <c r="K19" s="10"/>
      <c r="L19" s="10"/>
    </row>
    <row r="20">
      <c r="A20" s="7" t="s">
        <v>32</v>
      </c>
      <c r="I20" s="5"/>
    </row>
    <row r="21" outlineLevel="1">
      <c r="A21" s="11" t="s">
        <v>33</v>
      </c>
      <c r="I21" s="5"/>
    </row>
    <row r="22" outlineLevel="2">
      <c r="A22" s="12" t="s">
        <v>34</v>
      </c>
      <c r="B22" s="0" t="s">
        <v>35</v>
      </c>
      <c r="C22" s="13">
        <v>5.4</v>
      </c>
      <c r="D22" s="13"/>
      <c r="E22" s="13"/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35</v>
      </c>
      <c r="C23" s="13">
        <f>IFERROR(2.5*(1-w),"")</f>
        <v>2.3649999999999998</v>
      </c>
      <c r="D23" s="13">
        <v>2.5</v>
      </c>
      <c r="E23" s="13">
        <v/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39</v>
      </c>
      <c r="C24" s="13"/>
      <c r="D24" s="13"/>
      <c r="E24" s="13"/>
      <c r="F24" s="13"/>
      <c r="G24" s="13"/>
      <c r="I24" s="5"/>
      <c r="J24" s="0" t="s">
        <v>36</v>
      </c>
    </row>
    <row r="25" outlineLevel="2">
      <c r="A25" s="12" t="s">
        <v>40</v>
      </c>
      <c r="B25" s="0" t="s">
        <v>35</v>
      </c>
      <c r="C25" s="13">
        <f>IFERROR(62.1*(1-w),"")</f>
        <v>58.7466</v>
      </c>
      <c r="D25" s="13">
        <v>62.1</v>
      </c>
      <c r="E25" s="13">
        <v>63.692307692307693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35</v>
      </c>
      <c r="C26" s="13">
        <f>IFERROR(35.4*(1-w),"")</f>
        <v>33.4884</v>
      </c>
      <c r="D26" s="13">
        <v>35.4</v>
      </c>
      <c r="E26" s="13">
        <v>36.307692307692307</v>
      </c>
      <c r="F26" s="13"/>
      <c r="G26" s="13"/>
      <c r="I26" s="5"/>
      <c r="J26" s="0" t="s">
        <v>42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35</v>
      </c>
      <c r="C28" s="13">
        <f>IFERROR(48.4*(1-w),"")</f>
        <v>45.786399999999993</v>
      </c>
      <c r="D28" s="13">
        <v>48.4</v>
      </c>
      <c r="E28" s="13">
        <v>49.641025641025642</v>
      </c>
      <c r="F28" s="13"/>
      <c r="G28" s="13"/>
      <c r="I28" s="5"/>
      <c r="J28" s="0" t="s">
        <v>45</v>
      </c>
      <c r="K28" s="0" t="s">
        <v>46</v>
      </c>
    </row>
    <row r="29" outlineLevel="2">
      <c r="A29" s="12" t="s">
        <v>47</v>
      </c>
      <c r="B29" s="0" t="s">
        <v>35</v>
      </c>
      <c r="C29" s="13">
        <f>IFERROR(6.8*(1-w),"")</f>
        <v>6.4327999999999994</v>
      </c>
      <c r="D29" s="13">
        <v>6.8</v>
      </c>
      <c r="E29" s="13">
        <v>6.9743589743589745</v>
      </c>
      <c r="F29" s="13"/>
      <c r="G29" s="13"/>
      <c r="I29" s="5"/>
      <c r="J29" s="0" t="s">
        <v>45</v>
      </c>
      <c r="K29" s="0" t="s">
        <v>46</v>
      </c>
    </row>
    <row r="30" outlineLevel="2">
      <c r="A30" s="12" t="s">
        <v>48</v>
      </c>
      <c r="B30" s="0" t="s">
        <v>35</v>
      </c>
      <c r="C30" s="13">
        <f>IFERROR(41*(1-w),"")</f>
        <v>38.786</v>
      </c>
      <c r="D30" s="13">
        <v>41</v>
      </c>
      <c r="E30" s="13">
        <v>42.051282051282051</v>
      </c>
      <c r="F30" s="13"/>
      <c r="G30" s="13"/>
      <c r="I30" s="5"/>
      <c r="J30" s="0" t="s">
        <v>45</v>
      </c>
      <c r="K30" s="0" t="s">
        <v>46</v>
      </c>
    </row>
    <row r="31" outlineLevel="2">
      <c r="A31" s="12" t="s">
        <v>49</v>
      </c>
      <c r="B31" s="0" t="s">
        <v>35</v>
      </c>
      <c r="C31" s="13">
        <f>IFERROR(0.92*(1-w),"")</f>
        <v>0.87032</v>
      </c>
      <c r="D31" s="13">
        <v>0.92</v>
      </c>
      <c r="E31" s="13">
        <v>0.94358974358974368</v>
      </c>
      <c r="F31" s="13"/>
      <c r="G31" s="13"/>
      <c r="I31" s="5"/>
      <c r="J31" s="0" t="s">
        <v>45</v>
      </c>
      <c r="K31" s="0" t="s">
        <v>46</v>
      </c>
    </row>
    <row r="32" outlineLevel="2">
      <c r="A32" s="12" t="s">
        <v>50</v>
      </c>
      <c r="B32" s="0" t="s">
        <v>39</v>
      </c>
      <c r="C32" s="13" t="s">
        <v>51</v>
      </c>
      <c r="D32" s="13"/>
      <c r="E32" s="13"/>
      <c r="F32" s="13"/>
      <c r="G32" s="13"/>
      <c r="I32" s="5"/>
      <c r="J32" s="0" t="s">
        <v>45</v>
      </c>
      <c r="K32" s="0" t="s">
        <v>46</v>
      </c>
    </row>
    <row r="33" outlineLevel="2">
      <c r="A33" s="12" t="s">
        <v>52</v>
      </c>
      <c r="B33" s="0" t="s">
        <v>35</v>
      </c>
      <c r="C33" s="13">
        <f>IFERROR(99.62*(1-w)+w*100,"")</f>
        <v>99.64052</v>
      </c>
      <c r="D33" s="13">
        <v>99.61999999999999</v>
      </c>
      <c r="E33" s="13">
        <v>99.6102564102564</v>
      </c>
      <c r="F33" s="13"/>
      <c r="G33" s="13"/>
      <c r="I33" s="5"/>
      <c r="J33" s="0" t="s">
        <v>42</v>
      </c>
    </row>
    <row r="34" outlineLevel="1">
      <c r="A34" s="11" t="s">
        <v>53</v>
      </c>
      <c r="I34" s="5"/>
    </row>
    <row r="35" outlineLevel="2">
      <c r="A35" s="12" t="s">
        <v>54</v>
      </c>
      <c r="B35" s="0" t="s">
        <v>55</v>
      </c>
      <c r="C35" s="13">
        <f>IFERROR(20.7*(1-w),"")</f>
        <v>19.582199999999997</v>
      </c>
      <c r="D35" s="13">
        <v>20.7</v>
      </c>
      <c r="E35" s="13">
        <v>21.23076923076923</v>
      </c>
      <c r="F35" s="13"/>
      <c r="G35" s="13"/>
      <c r="I35" s="5"/>
      <c r="J35" s="0" t="s">
        <v>42</v>
      </c>
    </row>
    <row r="36" outlineLevel="2">
      <c r="A36" s="12" t="s">
        <v>56</v>
      </c>
      <c r="B36" s="0" t="s">
        <v>55</v>
      </c>
      <c r="C36" s="13">
        <f>IFERROR(20.42630625*(1-w),"")</f>
        <v>19.323285712500002</v>
      </c>
      <c r="D36" s="13">
        <v>20.426306250000003</v>
      </c>
      <c r="E36" s="13">
        <v>20.950057692307695</v>
      </c>
      <c r="F36" s="13"/>
      <c r="G36" s="13"/>
      <c r="I36" s="5"/>
      <c r="J36" s="0" t="s">
        <v>42</v>
      </c>
    </row>
    <row r="37" outlineLevel="1">
      <c r="A37" s="11" t="s">
        <v>57</v>
      </c>
      <c r="I37" s="5"/>
    </row>
    <row r="38" outlineLevel="2">
      <c r="A38" s="12" t="s">
        <v>58</v>
      </c>
      <c r="B38" s="0" t="s">
        <v>59</v>
      </c>
      <c r="C38" s="14">
        <v>6000</v>
      </c>
      <c r="D38" s="14"/>
      <c r="E38" s="14"/>
      <c r="F38" s="14"/>
      <c r="G38" s="14"/>
      <c r="I38" s="5"/>
      <c r="J38" s="0" t="s">
        <v>60</v>
      </c>
    </row>
    <row r="39" outlineLevel="2">
      <c r="A39" s="12" t="s">
        <v>61</v>
      </c>
      <c r="B39" s="0" t="s">
        <v>59</v>
      </c>
      <c r="C39" s="14">
        <v>13000</v>
      </c>
      <c r="D39" s="14"/>
      <c r="E39" s="14"/>
      <c r="F39" s="14"/>
      <c r="G39" s="14"/>
      <c r="I39" s="5"/>
      <c r="J39" s="0" t="s">
        <v>60</v>
      </c>
    </row>
    <row r="40" outlineLevel="2">
      <c r="A40" s="12" t="s">
        <v>62</v>
      </c>
      <c r="B40" s="0" t="s">
        <v>59</v>
      </c>
      <c r="C40" s="14">
        <v>10000</v>
      </c>
      <c r="D40" s="14"/>
      <c r="E40" s="14"/>
      <c r="F40" s="14"/>
      <c r="G40" s="14"/>
      <c r="I40" s="5"/>
      <c r="J40" s="0" t="s">
        <v>60</v>
      </c>
    </row>
    <row r="41" outlineLevel="2">
      <c r="A41" s="12" t="s">
        <v>63</v>
      </c>
      <c r="B41" s="0" t="s">
        <v>59</v>
      </c>
      <c r="C41" s="14">
        <v>8000</v>
      </c>
      <c r="D41" s="14"/>
      <c r="E41" s="14"/>
      <c r="F41" s="14"/>
      <c r="G41" s="14"/>
      <c r="I41" s="5"/>
      <c r="J41" s="0" t="s">
        <v>60</v>
      </c>
    </row>
    <row r="42" outlineLevel="2">
      <c r="A42" s="12" t="s">
        <v>64</v>
      </c>
      <c r="B42" s="0" t="s">
        <v>59</v>
      </c>
      <c r="C42" s="14">
        <v>84200</v>
      </c>
      <c r="D42" s="14"/>
      <c r="E42" s="14"/>
      <c r="F42" s="14"/>
      <c r="G42" s="14"/>
      <c r="I42" s="5"/>
      <c r="J42" s="0" t="s">
        <v>60</v>
      </c>
    </row>
    <row r="43" outlineLevel="2">
      <c r="A43" s="12" t="s">
        <v>65</v>
      </c>
      <c r="B43" s="0" t="s">
        <v>59</v>
      </c>
      <c r="C43" s="14"/>
      <c r="D43" s="14"/>
      <c r="E43" s="14"/>
      <c r="F43" s="14"/>
      <c r="G43" s="14"/>
      <c r="I43" s="5"/>
      <c r="K43" s="0" t="s">
        <v>66</v>
      </c>
    </row>
    <row r="44">
      <c r="I44" s="5"/>
    </row>
    <row r="45" s="1" customFormat="1"/>
  </sheetData>
  <mergeCells>
    <mergeCell ref="A7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24:E24"/>
    <mergeCell ref="C32:E32"/>
    <mergeCell ref="C38:E38"/>
    <mergeCell ref="C39:E39"/>
    <mergeCell ref="C40:E40"/>
    <mergeCell ref="C41:E41"/>
    <mergeCell ref="C42:E42"/>
    <mergeCell ref="C43:E43"/>
  </mergeCells>
  <dataValidations count="1">
    <dataValidation type="decimal" sqref="C22" errorStyle="stop" promptTitle="Enter moisture content" errorTitle="Invalid moisture content" prompt="Value should be between 0 and 100.&#10;Original value: 5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https://phyllis.nl/Biomass/View/3925</dc:description>
  <dcterms:created xsi:type="dcterms:W3CDTF">2026-03-17T05:46:14Z</dcterms:created>
  <dc:title>Phyllis2 #3925 Groundnut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