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926 Groundnut Shell," sheetId="1" r:id="rId1"/>
  </sheets>
  <definedNames>
    <definedName name="w" localSheetId="0">IF(ISBLANK('Phyllis2 #3926 Groundnut Shell,'!$C$23),#N/A,'Phyllis2 #3926 Groundnut Shell,'!$C$23/100)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0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0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0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<sst xmlns="http://schemas.openxmlformats.org/spreadsheetml/2006/main" count="67" uniqueCount="67">
  <si>
    <t>Phyllis2</t>
  </si>
  <si>
    <t>https://phyllis.nl/Biomass/View/3926</t>
  </si>
  <si>
    <t>Groundnut Shell, prewashed - 120 min (#3926)</t>
  </si>
  <si>
    <t>ID-number</t>
  </si>
  <si>
    <t>#3926</t>
  </si>
  <si>
    <t>Material</t>
  </si>
  <si>
    <t>Groundnut Shell, prewashed - 120 min</t>
  </si>
  <si>
    <t>Description</t>
  </si>
  <si>
    <t>Particle size used for washing experiment was 0.2 mm</t>
  </si>
  <si>
    <t>Classification</t>
  </si>
  <si>
    <t>ECN Phyllis classification &gt; husk/shell/pit &gt; peanut &gt; groundnut shells</t>
  </si>
  <si>
    <t>Submitter organisation</t>
  </si>
  <si>
    <t>TNO (Netherlands)</t>
  </si>
  <si>
    <t>Submission date</t>
  </si>
  <si>
    <t>Remarks</t>
  </si>
  <si>
    <t>Cultivation region: India</t>
  </si>
  <si>
    <t>Harvesting date: 2019</t>
  </si>
  <si>
    <t>Literature</t>
  </si>
  <si>
    <t>Author/institution: Anubhuti Bhatnagar, Abhishek Singhal, Henrik Tolvanen, Kati Valtonen, Tero Joronen, Jukka Konttinen</t>
  </si>
  <si>
    <t>Year: 2022</t>
  </si>
  <si>
    <t>Journal/project: Waste Management (Elsevier)</t>
  </si>
  <si>
    <t>DOI/link: https://doi.org/10.1016/j.wasman.2021.12.013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</si>
  <si>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</si>
  <si>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</si>
  <si>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</si>
  <si>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</si>
  <si>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</si>
  <si>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</si>
  <si>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</si>
  <si>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</si>
  <si>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</si>
  <si>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</si>
  <si>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</si>
  <si>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</si>
  <si>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</si>
  <si>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</si>
  <si>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</si>
  <si>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</si>
  <si>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ASTM E872 – 82 (2006) and ASTM E1755 – 01 (2007)</t>
  </si>
  <si>
    <t>Ash content at 550°C</t>
  </si>
  <si>
    <t>Ash content at 815°C</t>
  </si>
  <si>
    <t>wt% (dry)</t>
  </si>
  <si>
    <t>Volatile matter</t>
  </si>
  <si>
    <t>Fixed carbon</t>
  </si>
  <si>
    <t>Calculated</t>
  </si>
  <si>
    <t>Ultimate analysis (macroelements)</t>
  </si>
  <si>
    <t>Carbon</t>
  </si>
  <si>
    <t>BS EN 15104:2011</t>
  </si>
  <si>
    <t>Elemental analyzer</t>
  </si>
  <si>
    <t>Hydrogen</t>
  </si>
  <si>
    <t>Oxygen</t>
  </si>
  <si>
    <t>Nitrogen</t>
  </si>
  <si>
    <t>Sulphur</t>
  </si>
  <si>
    <t>&lt;0.05</t>
  </si>
  <si>
    <t>Total (with halides)</t>
  </si>
  <si>
    <t>Heating value</t>
  </si>
  <si>
    <t>Gross calorific value (HHV)</t>
  </si>
  <si>
    <t>MJ/kg</t>
  </si>
  <si>
    <t>HHVMilne</t>
  </si>
  <si>
    <t>Trace elements composition</t>
  </si>
  <si>
    <t>Calcium (Ca)</t>
  </si>
  <si>
    <t>mg/kg (dry)</t>
  </si>
  <si>
    <t>ICP-MS</t>
  </si>
  <si>
    <t>Potassium (K)</t>
  </si>
  <si>
    <t>Magnesium (Mg)</t>
  </si>
  <si>
    <t>Sodium (Na)</t>
  </si>
  <si>
    <t>Silicon (Si)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</si>
</sst>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92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47.525318145752" customWidth="1"/>
    <col min="11" max="11" width="18.0579719543457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6">
        <v>45009.4153935185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 t="s">
        <v>17</v>
      </c>
      <c r="B13" s="0" t="s">
        <v>18</v>
      </c>
    </row>
    <row r="14" outlineLevel="1">
      <c r="A14" s="7"/>
      <c r="B14" s="0" t="s">
        <v>19</v>
      </c>
    </row>
    <row r="15" outlineLevel="1">
      <c r="A15" s="7"/>
      <c r="B15" s="0" t="s">
        <v>20</v>
      </c>
    </row>
    <row r="16" outlineLevel="1">
      <c r="A16" s="7"/>
      <c r="B16" s="0" t="s">
        <v>21</v>
      </c>
    </row>
    <row r="17">
      <c r="A17" s="7"/>
    </row>
    <row r="18" s="1" customFormat="1">
      <c r="A18" s="9" t="s">
        <v>22</v>
      </c>
    </row>
    <row r="19" s="1" customFormat="1">
      <c r="A19" s="10" t="s">
        <v>23</v>
      </c>
      <c r="B19" s="10" t="s">
        <v>24</v>
      </c>
      <c r="C19" s="10" t="s">
        <v>25</v>
      </c>
      <c r="D19" s="10"/>
      <c r="E19" s="10"/>
      <c r="F19" s="10" t="s">
        <v>26</v>
      </c>
      <c r="G19" s="10" t="s">
        <v>27</v>
      </c>
      <c r="H19" s="10" t="s">
        <v>28</v>
      </c>
      <c r="I19" s="10" t="s">
        <v>29</v>
      </c>
      <c r="J19" s="10" t="s">
        <v>30</v>
      </c>
      <c r="K19" s="10" t="s">
        <v>14</v>
      </c>
      <c r="L19" s="10"/>
    </row>
    <row r="20" s="1" customFormat="1">
      <c r="A20" s="10"/>
      <c r="B20" s="10"/>
      <c r="C20" s="10" t="s">
        <v>31</v>
      </c>
      <c r="D20" s="10" t="s">
        <v>32</v>
      </c>
      <c r="E20" s="10" t="s">
        <v>33</v>
      </c>
      <c r="F20" s="10"/>
      <c r="G20" s="10"/>
      <c r="H20" s="10"/>
      <c r="I20" s="10"/>
      <c r="J20" s="10"/>
      <c r="K20" s="10"/>
      <c r="L20" s="10"/>
    </row>
    <row r="21">
      <c r="A21" s="7" t="s">
        <v>34</v>
      </c>
      <c r="I21" s="5"/>
    </row>
    <row r="22" outlineLevel="1">
      <c r="A22" s="11" t="s">
        <v>35</v>
      </c>
      <c r="I22" s="5"/>
    </row>
    <row r="23" outlineLevel="2">
      <c r="A23" s="12" t="s">
        <v>36</v>
      </c>
      <c r="B23" s="0" t="s">
        <v>37</v>
      </c>
      <c r="C23" s="13">
        <v>6.2</v>
      </c>
      <c r="D23" s="13"/>
      <c r="E23" s="13"/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37</v>
      </c>
      <c r="C24" s="13">
        <f>IFERROR(1.5*(1-w),"")</f>
        <v>1.407</v>
      </c>
      <c r="D24" s="13">
        <v>1.5</v>
      </c>
      <c r="E24" s="13">
        <v/>
      </c>
      <c r="F24" s="13"/>
      <c r="G24" s="13"/>
      <c r="I24" s="5"/>
      <c r="J24" s="0" t="s">
        <v>38</v>
      </c>
    </row>
    <row r="25" outlineLevel="2">
      <c r="A25" s="12" t="s">
        <v>40</v>
      </c>
      <c r="B25" s="0" t="s">
        <v>41</v>
      </c>
      <c r="C25" s="13"/>
      <c r="D25" s="13"/>
      <c r="E25" s="13"/>
      <c r="F25" s="13"/>
      <c r="G25" s="13"/>
      <c r="I25" s="5"/>
      <c r="J25" s="0" t="s">
        <v>38</v>
      </c>
    </row>
    <row r="26" outlineLevel="2">
      <c r="A26" s="12" t="s">
        <v>42</v>
      </c>
      <c r="B26" s="0" t="s">
        <v>37</v>
      </c>
      <c r="C26" s="13">
        <f>IFERROR(68.2*(1-w),"")</f>
        <v>63.9716</v>
      </c>
      <c r="D26" s="13">
        <v>68.2</v>
      </c>
      <c r="E26" s="13">
        <v>69.238578680203048</v>
      </c>
      <c r="F26" s="13"/>
      <c r="G26" s="13"/>
      <c r="I26" s="5"/>
      <c r="J26" s="0" t="s">
        <v>38</v>
      </c>
    </row>
    <row r="27" outlineLevel="2">
      <c r="A27" s="12" t="s">
        <v>43</v>
      </c>
      <c r="B27" s="0" t="s">
        <v>37</v>
      </c>
      <c r="C27" s="13">
        <f>IFERROR(30.3*(1-w),"")</f>
        <v>28.421399999999995</v>
      </c>
      <c r="D27" s="13">
        <v>30.299999999999997</v>
      </c>
      <c r="E27" s="13">
        <v>30.761421319796952</v>
      </c>
      <c r="F27" s="13"/>
      <c r="G27" s="13"/>
      <c r="I27" s="5"/>
      <c r="J27" s="0" t="s">
        <v>44</v>
      </c>
    </row>
    <row r="28" outlineLevel="1">
      <c r="A28" s="11" t="s">
        <v>45</v>
      </c>
      <c r="I28" s="5"/>
    </row>
    <row r="29" outlineLevel="2">
      <c r="A29" s="12" t="s">
        <v>46</v>
      </c>
      <c r="B29" s="0" t="s">
        <v>37</v>
      </c>
      <c r="C29" s="13">
        <f>IFERROR(48.6*(1-w),"")</f>
        <v>45.5868</v>
      </c>
      <c r="D29" s="13">
        <v>48.6</v>
      </c>
      <c r="E29" s="13">
        <v>49.340101522842644</v>
      </c>
      <c r="F29" s="13"/>
      <c r="G29" s="13"/>
      <c r="I29" s="5"/>
      <c r="J29" s="0" t="s">
        <v>47</v>
      </c>
      <c r="K29" s="0" t="s">
        <v>48</v>
      </c>
    </row>
    <row r="30" outlineLevel="2">
      <c r="A30" s="12" t="s">
        <v>49</v>
      </c>
      <c r="B30" s="0" t="s">
        <v>37</v>
      </c>
      <c r="C30" s="13">
        <f>IFERROR(7.8*(1-w),"")</f>
        <v>7.3164</v>
      </c>
      <c r="D30" s="13">
        <v>7.8</v>
      </c>
      <c r="E30" s="13">
        <v>7.9187817258883246</v>
      </c>
      <c r="F30" s="13"/>
      <c r="G30" s="13"/>
      <c r="I30" s="5"/>
      <c r="J30" s="0" t="s">
        <v>47</v>
      </c>
      <c r="K30" s="0" t="s">
        <v>48</v>
      </c>
    </row>
    <row r="31" outlineLevel="2">
      <c r="A31" s="12" t="s">
        <v>50</v>
      </c>
      <c r="B31" s="0" t="s">
        <v>37</v>
      </c>
      <c r="C31" s="13">
        <f>IFERROR(42*(1-w),"")</f>
        <v>39.396</v>
      </c>
      <c r="D31" s="13">
        <v>42</v>
      </c>
      <c r="E31" s="13">
        <v>42.639593908629443</v>
      </c>
      <c r="F31" s="13"/>
      <c r="G31" s="13"/>
      <c r="I31" s="5"/>
      <c r="J31" s="0" t="s">
        <v>47</v>
      </c>
      <c r="K31" s="0" t="s">
        <v>48</v>
      </c>
    </row>
    <row r="32" outlineLevel="2">
      <c r="A32" s="12" t="s">
        <v>51</v>
      </c>
      <c r="B32" s="0" t="s">
        <v>37</v>
      </c>
      <c r="C32" s="13">
        <f>IFERROR(0.71*(1-w),"")</f>
        <v>0.66597999999999991</v>
      </c>
      <c r="D32" s="13">
        <v>0.71</v>
      </c>
      <c r="E32" s="13">
        <v>0.72081218274111669</v>
      </c>
      <c r="F32" s="13"/>
      <c r="G32" s="13"/>
      <c r="I32" s="5"/>
      <c r="J32" s="0" t="s">
        <v>47</v>
      </c>
      <c r="K32" s="0" t="s">
        <v>48</v>
      </c>
    </row>
    <row r="33" outlineLevel="2">
      <c r="A33" s="12" t="s">
        <v>52</v>
      </c>
      <c r="B33" s="0" t="s">
        <v>41</v>
      </c>
      <c r="C33" s="13" t="s">
        <v>53</v>
      </c>
      <c r="D33" s="13"/>
      <c r="E33" s="13"/>
      <c r="F33" s="13"/>
      <c r="G33" s="13"/>
      <c r="I33" s="5"/>
      <c r="J33" s="0" t="s">
        <v>47</v>
      </c>
      <c r="K33" s="0" t="s">
        <v>48</v>
      </c>
    </row>
    <row r="34" outlineLevel="2">
      <c r="A34" s="12" t="s">
        <v>54</v>
      </c>
      <c r="B34" s="0" t="s">
        <v>37</v>
      </c>
      <c r="C34" s="13">
        <f>IFERROR(100.61*(1-w)+w*100,"")</f>
        <v>100.57218</v>
      </c>
      <c r="D34" s="13">
        <v>100.61</v>
      </c>
      <c r="E34" s="13">
        <v>100.61928934010152</v>
      </c>
      <c r="F34" s="13"/>
      <c r="G34" s="13"/>
      <c r="I34" s="5"/>
      <c r="J34" s="0" t="s">
        <v>44</v>
      </c>
    </row>
    <row r="35" outlineLevel="1">
      <c r="A35" s="11" t="s">
        <v>55</v>
      </c>
      <c r="I35" s="5"/>
    </row>
    <row r="36" outlineLevel="2">
      <c r="A36" s="12" t="s">
        <v>56</v>
      </c>
      <c r="B36" s="0" t="s">
        <v>57</v>
      </c>
      <c r="C36" s="13">
        <f>IFERROR(21.7*(1-w),"")</f>
        <v>20.354599999999998</v>
      </c>
      <c r="D36" s="13">
        <v>21.7</v>
      </c>
      <c r="E36" s="13">
        <v>22.030456852791879</v>
      </c>
      <c r="F36" s="13"/>
      <c r="G36" s="13"/>
      <c r="I36" s="5"/>
      <c r="J36" s="0" t="s">
        <v>44</v>
      </c>
    </row>
    <row r="37" outlineLevel="2">
      <c r="A37" s="12" t="s">
        <v>58</v>
      </c>
      <c r="B37" s="0" t="s">
        <v>57</v>
      </c>
      <c r="C37" s="13">
        <f>IFERROR(21.73639425*(1-w),"")</f>
        <v>20.3887378065</v>
      </c>
      <c r="D37" s="13">
        <v>21.73639425</v>
      </c>
      <c r="E37" s="13">
        <v>22.067405329949239</v>
      </c>
      <c r="F37" s="13"/>
      <c r="G37" s="13"/>
      <c r="I37" s="5"/>
      <c r="J37" s="0" t="s">
        <v>44</v>
      </c>
    </row>
    <row r="38" outlineLevel="1">
      <c r="A38" s="11" t="s">
        <v>59</v>
      </c>
      <c r="I38" s="5"/>
    </row>
    <row r="39" outlineLevel="2">
      <c r="A39" s="12" t="s">
        <v>60</v>
      </c>
      <c r="B39" s="0" t="s">
        <v>61</v>
      </c>
      <c r="C39" s="14">
        <v>6000</v>
      </c>
      <c r="D39" s="14"/>
      <c r="E39" s="14"/>
      <c r="F39" s="14"/>
      <c r="G39" s="14"/>
      <c r="I39" s="5"/>
      <c r="J39" s="0" t="s">
        <v>62</v>
      </c>
    </row>
    <row r="40" outlineLevel="2">
      <c r="A40" s="12" t="s">
        <v>63</v>
      </c>
      <c r="B40" s="0" t="s">
        <v>61</v>
      </c>
      <c r="C40" s="14">
        <v>8400</v>
      </c>
      <c r="D40" s="14"/>
      <c r="E40" s="14"/>
      <c r="F40" s="14"/>
      <c r="G40" s="14"/>
      <c r="I40" s="5"/>
      <c r="J40" s="0" t="s">
        <v>62</v>
      </c>
    </row>
    <row r="41" outlineLevel="2">
      <c r="A41" s="12" t="s">
        <v>64</v>
      </c>
      <c r="B41" s="0" t="s">
        <v>61</v>
      </c>
      <c r="C41" s="14">
        <v>700</v>
      </c>
      <c r="D41" s="14"/>
      <c r="E41" s="14"/>
      <c r="F41" s="14"/>
      <c r="G41" s="14"/>
      <c r="I41" s="5"/>
      <c r="J41" s="0" t="s">
        <v>62</v>
      </c>
    </row>
    <row r="42" outlineLevel="2">
      <c r="A42" s="12" t="s">
        <v>65</v>
      </c>
      <c r="B42" s="0" t="s">
        <v>61</v>
      </c>
      <c r="C42" s="14">
        <v>7500</v>
      </c>
      <c r="D42" s="14"/>
      <c r="E42" s="14"/>
      <c r="F42" s="14"/>
      <c r="G42" s="14"/>
      <c r="I42" s="5"/>
      <c r="J42" s="0" t="s">
        <v>62</v>
      </c>
    </row>
    <row r="43" outlineLevel="2">
      <c r="A43" s="12" t="s">
        <v>66</v>
      </c>
      <c r="B43" s="0" t="s">
        <v>61</v>
      </c>
      <c r="C43" s="14">
        <v>82000</v>
      </c>
      <c r="D43" s="14"/>
      <c r="E43" s="14"/>
      <c r="F43" s="14"/>
      <c r="G43" s="14"/>
      <c r="I43" s="5"/>
      <c r="J43" s="0" t="s">
        <v>62</v>
      </c>
    </row>
    <row r="44">
      <c r="I44" s="5"/>
    </row>
    <row r="45" s="1" customFormat="1"/>
  </sheetData>
  <mergeCells>
    <mergeCell ref="A8"/>
    <mergeCell ref="C19:E19"/>
    <mergeCell ref="A19:A20"/>
    <mergeCell ref="B19:B20"/>
    <mergeCell ref="F19:F20"/>
    <mergeCell ref="G19:G20"/>
    <mergeCell ref="H19:H20"/>
    <mergeCell ref="I19:I20"/>
    <mergeCell ref="J19:J20"/>
    <mergeCell ref="K19:K20"/>
    <mergeCell ref="C25:E25"/>
    <mergeCell ref="C33:E33"/>
    <mergeCell ref="C39:E39"/>
    <mergeCell ref="C40:E40"/>
    <mergeCell ref="C41:E41"/>
    <mergeCell ref="C42:E42"/>
    <mergeCell ref="C43:E43"/>
  </mergeCells>
  <dataValidations count="1">
    <dataValidation type="decimal" sqref="C23" errorStyle="stop" promptTitle="Enter moisture content" errorTitle="Invalid moisture content" prompt="Value should be between 0 and 100.&#10;Original value: 6.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https://phyllis.nl/Biomass/View/3926</dc:description>
  <dcterms:created xsi:type="dcterms:W3CDTF">2026-03-17T05:46:17Z</dcterms:created>
  <dc:title>Phyllis2 #3926 Groundnut Shell, prewashed - 120 min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