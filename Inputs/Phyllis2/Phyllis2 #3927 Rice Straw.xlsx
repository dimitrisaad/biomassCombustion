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27 Rice Straw" sheetId="1" r:id="rId1"/>
  </sheets>
  <definedNames>
    <definedName name="w" localSheetId="0">IF(ISBLANK('Phyllis2 #3927 Rice Straw'!$C$22),#N/A,'Phyllis2 #3927 Rice Straw'!$C$22/100)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<sst xmlns="http://schemas.openxmlformats.org/spreadsheetml/2006/main" count="66" uniqueCount="66">
  <si>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</si>
  <si>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https://phyllis.nl/Biomass/View/3927</t>
  </si>
  <si>
    <t>Rice Straw (#3927)</t>
  </si>
  <si>
    <t>ID-number</t>
  </si>
  <si>
    <t>#3927</t>
  </si>
  <si>
    <t>Material</t>
  </si>
  <si>
    <t>Rice Straw</t>
  </si>
  <si>
    <t>Classification</t>
  </si>
  <si>
    <t>ECN Phyllis classification &gt; straw (stalk/cob/ear) &gt; rice &gt; rice straw</t>
  </si>
  <si>
    <t>Submitter organisation</t>
  </si>
  <si>
    <t>TNO (Netherlands)</t>
  </si>
  <si>
    <t>Submission date</t>
  </si>
  <si>
    <t>Remarks</t>
  </si>
  <si>
    <t>Cultivation region: India</t>
  </si>
  <si>
    <t>Harvesting date: 2019</t>
  </si>
  <si>
    <t>Literature</t>
  </si>
  <si>
    <t>Author/institution: Anubhuti Bhatnagar, Abhishek Singhal, Henrik Tolvanen, Kati Valtonen, Tero Joronen, Jukka Konttinen</t>
  </si>
  <si>
    <t>Year: 2022</t>
  </si>
  <si>
    <t>Journal/project: Waste Management (Elsevier)</t>
  </si>
  <si>
    <t>DOI/link: https://doi.org/10.1016/j.wasman.2021.12.013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</si>
  <si>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</si>
  <si>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</si>
  <si>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</si>
  <si>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</si>
  <si>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</si>
  <si>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</si>
  <si>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</si>
  <si>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</si>
  <si>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</si>
  <si>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</si>
  <si>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</si>
  <si>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</si>
  <si>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</si>
  <si>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</si>
  <si>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</si>
  <si>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</si>
  <si>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</si>
  <si>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</si>
  <si>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</si>
  <si>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</si>
  <si>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</si>
  <si>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</si>
  <si>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</si>
  <si>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</si>
  <si>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</si>
  <si>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</si>
  <si>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</si>
  <si>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</si>
  <si>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</si>
  <si>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wt% (dry)</t>
  </si>
  <si>
    <t>&lt;0.05</t>
  </si>
  <si>
    <t>Total (with halides)</t>
  </si>
  <si>
    <t>Heating value</t>
  </si>
  <si>
    <t>Gross calorific value (HHV)</t>
  </si>
  <si>
    <t>MJ/kg</t>
  </si>
  <si>
    <t>HHVMilne</t>
  </si>
  <si>
    <t>Trace elements composition</t>
  </si>
  <si>
    <t>Calcium (Ca)</t>
  </si>
  <si>
    <t>mg/kg (dry)</t>
  </si>
  <si>
    <t>ICP-MS</t>
  </si>
  <si>
    <t>Potassium (K)</t>
  </si>
  <si>
    <t>Magnesium (Mg)</t>
  </si>
  <si>
    <t>Sodium (Na)</t>
  </si>
  <si>
    <t>Silicon (Si)</t>
  </si>
  <si>
    <t>Zinc (Zn)</t>
  </si>
  <si>
    <t>0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</si>
</sst>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45009.4170601852</v>
      </c>
    </row>
    <row r="10" outlineLevel="1">
      <c r="A10" s="7" t="s">
        <v>12</v>
      </c>
      <c r="B10" s="0" t="s">
        <v>13</v>
      </c>
    </row>
    <row r="11" outlineLevel="1">
      <c r="A11" s="7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>
      <c r="A16" s="7"/>
    </row>
    <row r="17" s="1" customFormat="1">
      <c r="A17" s="9" t="s">
        <v>20</v>
      </c>
    </row>
    <row r="18" s="1" customFormat="1">
      <c r="A18" s="10" t="s">
        <v>21</v>
      </c>
      <c r="B18" s="10" t="s">
        <v>22</v>
      </c>
      <c r="C18" s="10" t="s">
        <v>23</v>
      </c>
      <c r="D18" s="10"/>
      <c r="E18" s="10"/>
      <c r="F18" s="10" t="s">
        <v>24</v>
      </c>
      <c r="G18" s="10" t="s">
        <v>25</v>
      </c>
      <c r="H18" s="10" t="s">
        <v>26</v>
      </c>
      <c r="I18" s="10" t="s">
        <v>27</v>
      </c>
      <c r="J18" s="10" t="s">
        <v>28</v>
      </c>
      <c r="K18" s="10" t="s">
        <v>12</v>
      </c>
      <c r="L18" s="10"/>
    </row>
    <row r="19" s="1" customFormat="1">
      <c r="A19" s="10"/>
      <c r="B19" s="10"/>
      <c r="C19" s="10" t="s">
        <v>29</v>
      </c>
      <c r="D19" s="10" t="s">
        <v>30</v>
      </c>
      <c r="E19" s="10" t="s">
        <v>31</v>
      </c>
      <c r="F19" s="10"/>
      <c r="G19" s="10"/>
      <c r="H19" s="10"/>
      <c r="I19" s="10"/>
      <c r="J19" s="10"/>
      <c r="K19" s="10"/>
      <c r="L19" s="10"/>
    </row>
    <row r="20">
      <c r="A20" s="7" t="s">
        <v>32</v>
      </c>
      <c r="I20" s="5"/>
    </row>
    <row r="21" outlineLevel="1">
      <c r="A21" s="11" t="s">
        <v>33</v>
      </c>
      <c r="I21" s="5"/>
    </row>
    <row r="22" outlineLevel="2">
      <c r="A22" s="12" t="s">
        <v>34</v>
      </c>
      <c r="B22" s="0" t="s">
        <v>35</v>
      </c>
      <c r="C22" s="13">
        <v>6.6</v>
      </c>
      <c r="D22" s="13"/>
      <c r="E22" s="13"/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35</v>
      </c>
      <c r="C23" s="13">
        <f>IFERROR(15.4*(1-w),"")</f>
        <v>14.3836</v>
      </c>
      <c r="D23" s="13">
        <v>15.4</v>
      </c>
      <c r="E23" s="13">
        <v/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35</v>
      </c>
      <c r="C24" s="13">
        <f>IFERROR(62.1*(1-w),"")</f>
        <v>58.0014</v>
      </c>
      <c r="D24" s="13">
        <v>62.1</v>
      </c>
      <c r="E24" s="13">
        <v>73.404255319148945</v>
      </c>
      <c r="F24" s="13"/>
      <c r="G24" s="13"/>
      <c r="I24" s="5"/>
      <c r="J24" s="0" t="s">
        <v>36</v>
      </c>
    </row>
    <row r="25" outlineLevel="2">
      <c r="A25" s="12" t="s">
        <v>39</v>
      </c>
      <c r="B25" s="0" t="s">
        <v>35</v>
      </c>
      <c r="C25" s="13">
        <f>IFERROR(22.5*(1-w),"")</f>
        <v>21.014999999999993</v>
      </c>
      <c r="D25" s="13">
        <v>22.499999999999993</v>
      </c>
      <c r="E25" s="13">
        <v>26.595744680851055</v>
      </c>
      <c r="F25" s="13"/>
      <c r="G25" s="13"/>
      <c r="I25" s="5"/>
      <c r="J25" s="0" t="s">
        <v>40</v>
      </c>
    </row>
    <row r="26" outlineLevel="1">
      <c r="A26" s="11" t="s">
        <v>41</v>
      </c>
      <c r="I26" s="5"/>
    </row>
    <row r="27" outlineLevel="2">
      <c r="A27" s="12" t="s">
        <v>42</v>
      </c>
      <c r="B27" s="0" t="s">
        <v>35</v>
      </c>
      <c r="C27" s="13">
        <f>IFERROR(37.74*(1-w),"")</f>
        <v>35.249159999999996</v>
      </c>
      <c r="D27" s="13">
        <v>37.74</v>
      </c>
      <c r="E27" s="13">
        <v>44.60992907801419</v>
      </c>
      <c r="F27" s="13"/>
      <c r="G27" s="13"/>
      <c r="I27" s="5"/>
      <c r="J27" s="0" t="s">
        <v>43</v>
      </c>
      <c r="K27" s="0" t="s">
        <v>44</v>
      </c>
    </row>
    <row r="28" outlineLevel="2">
      <c r="A28" s="12" t="s">
        <v>45</v>
      </c>
      <c r="B28" s="0" t="s">
        <v>35</v>
      </c>
      <c r="C28" s="13">
        <f>IFERROR(6.5*(1-w),"")</f>
        <v>6.071</v>
      </c>
      <c r="D28" s="13">
        <v>6.5</v>
      </c>
      <c r="E28" s="13">
        <v>7.6832151300236413</v>
      </c>
      <c r="F28" s="13"/>
      <c r="G28" s="13"/>
      <c r="I28" s="5"/>
      <c r="J28" s="0" t="s">
        <v>43</v>
      </c>
      <c r="K28" s="0" t="s">
        <v>44</v>
      </c>
    </row>
    <row r="29" outlineLevel="2">
      <c r="A29" s="12" t="s">
        <v>46</v>
      </c>
      <c r="B29" s="0" t="s">
        <v>35</v>
      </c>
      <c r="C29" s="13">
        <f>IFERROR(55.09*(1-w),"")</f>
        <v>51.45406</v>
      </c>
      <c r="D29" s="13">
        <v>55.09</v>
      </c>
      <c r="E29" s="13">
        <v>65.118203309692674</v>
      </c>
      <c r="F29" s="13"/>
      <c r="G29" s="13"/>
      <c r="I29" s="5"/>
      <c r="J29" s="0" t="s">
        <v>43</v>
      </c>
      <c r="K29" s="0" t="s">
        <v>44</v>
      </c>
    </row>
    <row r="30" outlineLevel="2">
      <c r="A30" s="12" t="s">
        <v>47</v>
      </c>
      <c r="B30" s="0" t="s">
        <v>35</v>
      </c>
      <c r="C30" s="13">
        <f>IFERROR(0.67*(1-w),"")</f>
        <v>0.62578</v>
      </c>
      <c r="D30" s="13">
        <v>0.67</v>
      </c>
      <c r="E30" s="13">
        <v>0.79196217494089838</v>
      </c>
      <c r="F30" s="13"/>
      <c r="G30" s="13"/>
      <c r="I30" s="5"/>
      <c r="J30" s="0" t="s">
        <v>43</v>
      </c>
      <c r="K30" s="0" t="s">
        <v>44</v>
      </c>
    </row>
    <row r="31" outlineLevel="2">
      <c r="A31" s="12" t="s">
        <v>48</v>
      </c>
      <c r="B31" s="0" t="s">
        <v>49</v>
      </c>
      <c r="C31" s="13" t="s">
        <v>50</v>
      </c>
      <c r="D31" s="13"/>
      <c r="E31" s="13"/>
      <c r="F31" s="13"/>
      <c r="G31" s="13"/>
      <c r="I31" s="5"/>
      <c r="J31" s="0" t="s">
        <v>43</v>
      </c>
      <c r="K31" s="0" t="s">
        <v>44</v>
      </c>
    </row>
    <row r="32" outlineLevel="2">
      <c r="A32" s="12" t="s">
        <v>51</v>
      </c>
      <c r="B32" s="0" t="s">
        <v>35</v>
      </c>
      <c r="C32" s="13">
        <f>IFERROR(115.4*(1-w)+w*100,"")</f>
        <v>114.3836</v>
      </c>
      <c r="D32" s="13">
        <v>115.40000000000002</v>
      </c>
      <c r="E32" s="13">
        <v>118.20330969267141</v>
      </c>
      <c r="F32" s="13"/>
      <c r="G32" s="13"/>
      <c r="I32" s="5"/>
      <c r="J32" s="0" t="s">
        <v>40</v>
      </c>
    </row>
    <row r="33" outlineLevel="1">
      <c r="A33" s="11" t="s">
        <v>52</v>
      </c>
      <c r="I33" s="5"/>
    </row>
    <row r="34" outlineLevel="2">
      <c r="A34" s="12" t="s">
        <v>53</v>
      </c>
      <c r="B34" s="0" t="s">
        <v>54</v>
      </c>
      <c r="C34" s="13">
        <f>IFERROR(14.78*(1-w),"")</f>
        <v>13.804519999999998</v>
      </c>
      <c r="D34" s="13">
        <v>14.78</v>
      </c>
      <c r="E34" s="13">
        <v>17.470449172576831</v>
      </c>
      <c r="F34" s="13"/>
      <c r="G34" s="13"/>
      <c r="I34" s="5"/>
      <c r="J34" s="0" t="s">
        <v>40</v>
      </c>
    </row>
    <row r="35" outlineLevel="2">
      <c r="A35" s="12" t="s">
        <v>55</v>
      </c>
      <c r="B35" s="0" t="s">
        <v>54</v>
      </c>
      <c r="C35" s="13">
        <f>IFERROR(14.57180548*(1-w),"")</f>
        <v>13.610066318320001</v>
      </c>
      <c r="D35" s="13">
        <v>14.571805480000002</v>
      </c>
      <c r="E35" s="13">
        <v>17.224356359338064</v>
      </c>
      <c r="F35" s="13"/>
      <c r="G35" s="13"/>
      <c r="I35" s="5"/>
      <c r="J35" s="0" t="s">
        <v>40</v>
      </c>
    </row>
    <row r="36" outlineLevel="1">
      <c r="A36" s="11" t="s">
        <v>56</v>
      </c>
      <c r="I36" s="5"/>
    </row>
    <row r="37" outlineLevel="2">
      <c r="A37" s="12" t="s">
        <v>57</v>
      </c>
      <c r="B37" s="0" t="s">
        <v>58</v>
      </c>
      <c r="C37" s="14">
        <v>2700</v>
      </c>
      <c r="D37" s="14"/>
      <c r="E37" s="14"/>
      <c r="F37" s="14"/>
      <c r="G37" s="14"/>
      <c r="I37" s="5"/>
      <c r="J37" s="0" t="s">
        <v>59</v>
      </c>
    </row>
    <row r="38" outlineLevel="2">
      <c r="A38" s="12" t="s">
        <v>60</v>
      </c>
      <c r="B38" s="0" t="s">
        <v>58</v>
      </c>
      <c r="C38" s="14">
        <v>12100</v>
      </c>
      <c r="D38" s="14"/>
      <c r="E38" s="14"/>
      <c r="F38" s="14"/>
      <c r="G38" s="14"/>
      <c r="I38" s="5"/>
      <c r="J38" s="0" t="s">
        <v>59</v>
      </c>
    </row>
    <row r="39" outlineLevel="2">
      <c r="A39" s="12" t="s">
        <v>61</v>
      </c>
      <c r="B39" s="0" t="s">
        <v>58</v>
      </c>
      <c r="C39" s="14">
        <v>1500</v>
      </c>
      <c r="D39" s="14"/>
      <c r="E39" s="14"/>
      <c r="F39" s="14"/>
      <c r="G39" s="14"/>
      <c r="I39" s="5"/>
      <c r="J39" s="0" t="s">
        <v>59</v>
      </c>
    </row>
    <row r="40" outlineLevel="2">
      <c r="A40" s="12" t="s">
        <v>62</v>
      </c>
      <c r="B40" s="0" t="s">
        <v>58</v>
      </c>
      <c r="C40" s="14">
        <v>11400</v>
      </c>
      <c r="D40" s="14"/>
      <c r="E40" s="14"/>
      <c r="F40" s="14"/>
      <c r="G40" s="14"/>
      <c r="I40" s="5"/>
      <c r="J40" s="0" t="s">
        <v>59</v>
      </c>
    </row>
    <row r="41" outlineLevel="2">
      <c r="A41" s="12" t="s">
        <v>63</v>
      </c>
      <c r="B41" s="0" t="s">
        <v>58</v>
      </c>
      <c r="C41" s="14">
        <v>84800</v>
      </c>
      <c r="D41" s="14"/>
      <c r="E41" s="14"/>
      <c r="F41" s="14"/>
      <c r="G41" s="14"/>
      <c r="I41" s="5"/>
      <c r="J41" s="0" t="s">
        <v>59</v>
      </c>
    </row>
    <row r="42" outlineLevel="2">
      <c r="A42" s="12" t="s">
        <v>64</v>
      </c>
      <c r="B42" s="0" t="s">
        <v>58</v>
      </c>
      <c r="C42" s="14"/>
      <c r="D42" s="14"/>
      <c r="E42" s="14"/>
      <c r="F42" s="14"/>
      <c r="G42" s="14"/>
      <c r="I42" s="5"/>
      <c r="K42" s="0" t="s">
        <v>65</v>
      </c>
    </row>
    <row r="43">
      <c r="I43" s="5"/>
    </row>
    <row r="44" s="1" customFormat="1"/>
  </sheetData>
  <mergeCells>
    <mergeCell ref="A7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31:E31"/>
    <mergeCell ref="C37:E37"/>
    <mergeCell ref="C38:E38"/>
    <mergeCell ref="C39:E39"/>
    <mergeCell ref="C40:E40"/>
    <mergeCell ref="C41:E41"/>
    <mergeCell ref="C42:E42"/>
  </mergeCells>
  <dataValidations count="1">
    <dataValidation type="decimal" sqref="C22" errorStyle="stop" promptTitle="Enter moisture content" errorTitle="Invalid moisture content" prompt="Value should be between 0 and 100.&#10;Original value: 6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https://phyllis.nl/Biomass/View/3927</dc:description>
  <dcterms:created xsi:type="dcterms:W3CDTF">2026-03-17T06:10:04Z</dcterms:created>
  <dc:title>Phyllis2 #3927 Rice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