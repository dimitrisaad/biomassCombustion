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28 Rice Straw, prew" sheetId="1" r:id="rId1"/>
  </sheets>
  <definedNames>
    <definedName name="w" localSheetId="0">IF(ISBLANK('Phyllis2 #3928 Rice Straw, prew'!$C$23),#N/A,'Phyllis2 #3928 Rice Straw, prew'!$C$23/100)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<sst xmlns="http://schemas.openxmlformats.org/spreadsheetml/2006/main" count="66" uniqueCount="66">
  <si>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</si>
  <si>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https://phyllis.nl/Biomass/View/3928</t>
  </si>
  <si>
    <t>Rice Straw, prewashed - 120 min (#3928)</t>
  </si>
  <si>
    <t>ID-number</t>
  </si>
  <si>
    <t>#3928</t>
  </si>
  <si>
    <t>Material</t>
  </si>
  <si>
    <t>Rice Straw, prewashed - 120 min</t>
  </si>
  <si>
    <t>Description</t>
  </si>
  <si>
    <t>Particle size used for washing experiment was 0.2 mm</t>
  </si>
  <si>
    <t>Classification</t>
  </si>
  <si>
    <t>ECN Phyllis classification &gt; straw (stalk/cob/ear) &gt; rice &gt; rice straw</t>
  </si>
  <si>
    <t>Submitter organisation</t>
  </si>
  <si>
    <t>TNO (Netherlands)</t>
  </si>
  <si>
    <t>Submission date</t>
  </si>
  <si>
    <t>Remarks</t>
  </si>
  <si>
    <t>Cultivation region: India</t>
  </si>
  <si>
    <t>Harvesting date: 2019</t>
  </si>
  <si>
    <t>Literature</t>
  </si>
  <si>
    <t>Author/institution: Anubhuti Bhatnagar, Abhishek Singhal, Henrik Tolvanen, Kati Valtonen, Tero Joronen, Jukka Konttinen</t>
  </si>
  <si>
    <t>Year: 2022</t>
  </si>
  <si>
    <t>Journal/project: Waste Management (Elsevier)</t>
  </si>
  <si>
    <t>DOI/link: https://doi.org/10.1016/j.wasman.2021.12.013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</si>
  <si>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</si>
  <si>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</si>
  <si>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</si>
  <si>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</si>
  <si>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</si>
  <si>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</si>
  <si>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</si>
  <si>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</si>
  <si>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</si>
  <si>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</si>
  <si>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</si>
  <si>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</si>
  <si>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</si>
  <si>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</si>
  <si>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</si>
  <si>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</si>
  <si>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</si>
  <si>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</si>
  <si>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</si>
  <si>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</si>
  <si>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</si>
  <si>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</si>
  <si>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</si>
  <si>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</si>
  <si>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</si>
  <si>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</si>
  <si>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</si>
  <si>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</si>
  <si>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</si>
  <si>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wt% (dry)</t>
  </si>
  <si>
    <t>&lt;0.05</t>
  </si>
  <si>
    <t>Total (with halides)</t>
  </si>
  <si>
    <t>Heating value</t>
  </si>
  <si>
    <t>Gross calorific value (HHV)</t>
  </si>
  <si>
    <t>MJ/kg</t>
  </si>
  <si>
    <t>HHVMilne</t>
  </si>
  <si>
    <t>Trace elements composition</t>
  </si>
  <si>
    <t>Calcium (Ca)</t>
  </si>
  <si>
    <t>mg/kg (dry)</t>
  </si>
  <si>
    <t>ICP-MS</t>
  </si>
  <si>
    <t>Potassium (K)</t>
  </si>
  <si>
    <t>Magnesium (Mg)</t>
  </si>
  <si>
    <t>Sodium (Na)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</si>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</sst>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45009.4170601852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1.12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IFERROR(12.8*(1-w),"")</f>
        <v>12.656640000000001</v>
      </c>
      <c r="D24" s="13">
        <v>12.8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37</v>
      </c>
      <c r="C25" s="13">
        <f>IFERROR(66.2*(1-w),"")</f>
        <v>65.45856</v>
      </c>
      <c r="D25" s="13">
        <v>66.2</v>
      </c>
      <c r="E25" s="13">
        <v>75.917431192660558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37</v>
      </c>
      <c r="C26" s="13">
        <f>IFERROR(21*(1-w),"")</f>
        <v>20.7648</v>
      </c>
      <c r="D26" s="13">
        <v>21</v>
      </c>
      <c r="E26" s="13">
        <v>24.082568807339449</v>
      </c>
      <c r="F26" s="13"/>
      <c r="G26" s="13"/>
      <c r="I26" s="5"/>
      <c r="J26" s="0" t="s">
        <v>42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37</v>
      </c>
      <c r="C28" s="13">
        <f>IFERROR(40.64*(1-w),"")</f>
        <v>40.184832</v>
      </c>
      <c r="D28" s="13">
        <v>40.64</v>
      </c>
      <c r="E28" s="13">
        <v>46.605504587155963</v>
      </c>
      <c r="F28" s="13"/>
      <c r="G28" s="13"/>
      <c r="I28" s="5"/>
      <c r="J28" s="0" t="s">
        <v>45</v>
      </c>
      <c r="K28" s="0" t="s">
        <v>46</v>
      </c>
    </row>
    <row r="29" outlineLevel="2">
      <c r="A29" s="12" t="s">
        <v>47</v>
      </c>
      <c r="B29" s="0" t="s">
        <v>37</v>
      </c>
      <c r="C29" s="13">
        <f>IFERROR(7.89*(1-w),"")</f>
        <v>7.801632</v>
      </c>
      <c r="D29" s="13">
        <v>7.89</v>
      </c>
      <c r="E29" s="13">
        <v>9.0481651376146779</v>
      </c>
      <c r="F29" s="13"/>
      <c r="G29" s="13"/>
      <c r="I29" s="5"/>
      <c r="J29" s="0" t="s">
        <v>45</v>
      </c>
      <c r="K29" s="0" t="s">
        <v>46</v>
      </c>
    </row>
    <row r="30" outlineLevel="2">
      <c r="A30" s="12" t="s">
        <v>48</v>
      </c>
      <c r="B30" s="0" t="s">
        <v>37</v>
      </c>
      <c r="C30" s="13">
        <f>IFERROR(51.02*(1-w),"")</f>
        <v>50.448576</v>
      </c>
      <c r="D30" s="13">
        <v>51.02</v>
      </c>
      <c r="E30" s="13">
        <v>58.509174311926607</v>
      </c>
      <c r="F30" s="13"/>
      <c r="G30" s="13"/>
      <c r="I30" s="5"/>
      <c r="J30" s="0" t="s">
        <v>45</v>
      </c>
      <c r="K30" s="0" t="s">
        <v>46</v>
      </c>
    </row>
    <row r="31" outlineLevel="2">
      <c r="A31" s="12" t="s">
        <v>49</v>
      </c>
      <c r="B31" s="0" t="s">
        <v>37</v>
      </c>
      <c r="C31" s="13">
        <f>IFERROR(0.44*(1-w),"")</f>
        <v>0.435072</v>
      </c>
      <c r="D31" s="13">
        <v>0.44</v>
      </c>
      <c r="E31" s="13">
        <v>0.50458715596330272</v>
      </c>
      <c r="F31" s="13"/>
      <c r="G31" s="13"/>
      <c r="I31" s="5"/>
      <c r="J31" s="0" t="s">
        <v>45</v>
      </c>
      <c r="K31" s="0" t="s">
        <v>46</v>
      </c>
    </row>
    <row r="32" outlineLevel="2">
      <c r="A32" s="12" t="s">
        <v>50</v>
      </c>
      <c r="B32" s="0" t="s">
        <v>51</v>
      </c>
      <c r="C32" s="13" t="s">
        <v>52</v>
      </c>
      <c r="D32" s="13"/>
      <c r="E32" s="13"/>
      <c r="F32" s="13"/>
      <c r="G32" s="13"/>
      <c r="I32" s="5"/>
      <c r="J32" s="0" t="s">
        <v>45</v>
      </c>
      <c r="K32" s="0" t="s">
        <v>46</v>
      </c>
    </row>
    <row r="33" outlineLevel="2">
      <c r="A33" s="12" t="s">
        <v>53</v>
      </c>
      <c r="B33" s="0" t="s">
        <v>37</v>
      </c>
      <c r="C33" s="13">
        <f>IFERROR(112.79*(1-w)+w*100,"")</f>
        <v>112.646752</v>
      </c>
      <c r="D33" s="13">
        <v>112.79</v>
      </c>
      <c r="E33" s="13">
        <v>114.66743119266056</v>
      </c>
      <c r="F33" s="13"/>
      <c r="G33" s="13"/>
      <c r="I33" s="5"/>
      <c r="J33" s="0" t="s">
        <v>42</v>
      </c>
    </row>
    <row r="34" outlineLevel="1">
      <c r="A34" s="11" t="s">
        <v>54</v>
      </c>
      <c r="I34" s="5"/>
    </row>
    <row r="35" outlineLevel="2">
      <c r="A35" s="12" t="s">
        <v>55</v>
      </c>
      <c r="B35" s="0" t="s">
        <v>56</v>
      </c>
      <c r="C35" s="13">
        <f>IFERROR(17.93*(1-w),"")</f>
        <v>17.729184</v>
      </c>
      <c r="D35" s="13">
        <v>17.93</v>
      </c>
      <c r="E35" s="13">
        <v>20.561926605504588</v>
      </c>
      <c r="F35" s="13"/>
      <c r="G35" s="13"/>
      <c r="I35" s="5"/>
      <c r="J35" s="0" t="s">
        <v>42</v>
      </c>
    </row>
    <row r="36" outlineLevel="2">
      <c r="A36" s="12" t="s">
        <v>57</v>
      </c>
      <c r="B36" s="0" t="s">
        <v>56</v>
      </c>
      <c r="C36" s="13">
        <f>IFERROR(17.94284752*(1-w),"")</f>
        <v>17.741887627776002</v>
      </c>
      <c r="D36" s="13">
        <v>17.94284752</v>
      </c>
      <c r="E36" s="13">
        <v>20.57666</v>
      </c>
      <c r="F36" s="13"/>
      <c r="G36" s="13"/>
      <c r="I36" s="5"/>
      <c r="J36" s="0" t="s">
        <v>42</v>
      </c>
    </row>
    <row r="37" outlineLevel="1">
      <c r="A37" s="11" t="s">
        <v>58</v>
      </c>
      <c r="I37" s="5"/>
    </row>
    <row r="38" outlineLevel="2">
      <c r="A38" s="12" t="s">
        <v>59</v>
      </c>
      <c r="B38" s="0" t="s">
        <v>60</v>
      </c>
      <c r="C38" s="14">
        <v>2100</v>
      </c>
      <c r="D38" s="14"/>
      <c r="E38" s="14"/>
      <c r="F38" s="14"/>
      <c r="G38" s="14"/>
      <c r="I38" s="5"/>
      <c r="J38" s="0" t="s">
        <v>61</v>
      </c>
    </row>
    <row r="39" outlineLevel="2">
      <c r="A39" s="12" t="s">
        <v>62</v>
      </c>
      <c r="B39" s="0" t="s">
        <v>60</v>
      </c>
      <c r="C39" s="14">
        <v>6900</v>
      </c>
      <c r="D39" s="14"/>
      <c r="E39" s="14"/>
      <c r="F39" s="14"/>
      <c r="G39" s="14"/>
      <c r="I39" s="5"/>
      <c r="J39" s="0" t="s">
        <v>61</v>
      </c>
    </row>
    <row r="40" outlineLevel="2">
      <c r="A40" s="12" t="s">
        <v>63</v>
      </c>
      <c r="B40" s="0" t="s">
        <v>60</v>
      </c>
      <c r="C40" s="14">
        <v>400</v>
      </c>
      <c r="D40" s="14"/>
      <c r="E40" s="14"/>
      <c r="F40" s="14"/>
      <c r="G40" s="14"/>
      <c r="I40" s="5"/>
      <c r="J40" s="0" t="s">
        <v>61</v>
      </c>
    </row>
    <row r="41" outlineLevel="2">
      <c r="A41" s="12" t="s">
        <v>64</v>
      </c>
      <c r="B41" s="0" t="s">
        <v>60</v>
      </c>
      <c r="C41" s="14">
        <v>2100</v>
      </c>
      <c r="D41" s="14"/>
      <c r="E41" s="14"/>
      <c r="F41" s="14"/>
      <c r="G41" s="14"/>
      <c r="I41" s="5"/>
      <c r="J41" s="0" t="s">
        <v>61</v>
      </c>
    </row>
    <row r="42" outlineLevel="2">
      <c r="A42" s="12" t="s">
        <v>65</v>
      </c>
      <c r="B42" s="0" t="s">
        <v>60</v>
      </c>
      <c r="C42" s="14">
        <v>65200</v>
      </c>
      <c r="D42" s="14"/>
      <c r="E42" s="14"/>
      <c r="F42" s="14"/>
      <c r="G42" s="14"/>
      <c r="I42" s="5"/>
      <c r="J42" s="0" t="s">
        <v>61</v>
      </c>
    </row>
    <row r="43">
      <c r="I43" s="5"/>
    </row>
    <row r="44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2:E32"/>
    <mergeCell ref="C38:E38"/>
    <mergeCell ref="C39:E39"/>
    <mergeCell ref="C40:E40"/>
    <mergeCell ref="C41:E41"/>
    <mergeCell ref="C42:E42"/>
  </mergeCells>
  <dataValidations count="1">
    <dataValidation type="decimal" sqref="C23" errorStyle="stop" promptTitle="Enter moisture content" errorTitle="Invalid moisture content" prompt="Value should be between 0 and 100.&#10;Original value: 1.1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https://phyllis.nl/Biomass/View/3928</dc:description>
  <dcterms:created xsi:type="dcterms:W3CDTF">2026-03-17T06:10:23Z</dcterms:created>
  <dc:title>Phyllis2 #3928 Rice Straw, prewashed - 120 min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