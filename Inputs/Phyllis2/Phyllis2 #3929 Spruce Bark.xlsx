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29 Spruce Bark" sheetId="1" r:id="rId1"/>
  </sheets>
  <definedNames>
    <definedName name="w" localSheetId="0">IF(ISBLANK('Phyllis2 #3929 Spruce Bark'!$C$23),#N/A,'Phyllis2 #3929 Spruce Bark'!$C$23/100)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<sst xmlns="http://schemas.openxmlformats.org/spreadsheetml/2006/main" count="72" uniqueCount="72">
  <si>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</si>
  <si>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https://phyllis.nl/Biomass/View/3929</t>
  </si>
  <si>
    <t>Spruce Bark (#3929)</t>
  </si>
  <si>
    <t>ID-number</t>
  </si>
  <si>
    <t>#3929</t>
  </si>
  <si>
    <t>Material</t>
  </si>
  <si>
    <t>Spruce Bark</t>
  </si>
  <si>
    <t>Classification</t>
  </si>
  <si>
    <t>ECN Phyllis classification &gt; untreated wood &gt; bark &gt; bark, spruce</t>
  </si>
  <si>
    <t>Submitter organisation</t>
  </si>
  <si>
    <t>TNO (Netherlands)</t>
  </si>
  <si>
    <t>Submission date</t>
  </si>
  <si>
    <t>Remarks</t>
  </si>
  <si>
    <t>Species: Picea abies</t>
  </si>
  <si>
    <t>Cultivation region: Koski TL, Finland</t>
  </si>
  <si>
    <t>Harvesting date: 2021</t>
  </si>
  <si>
    <t>Literature</t>
  </si>
  <si>
    <t>Author/institution: Abhishek Singhal, Avishek Goel, Anubhuti Bhatnagar, Christian Roslander, Ola Wallberg, Jukka Konttinen, Tero Joronen</t>
  </si>
  <si>
    <t>Year: 2023</t>
  </si>
  <si>
    <t>Journal/project: Chemical Engineering (Elsevier)</t>
  </si>
  <si>
    <t>DOI/link: https://doi.org/10.1016/j.cej.2022.139351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</si>
  <si>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</si>
  <si>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</si>
  <si>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</si>
  <si>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</si>
  <si>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</si>
  <si>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</si>
  <si>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</si>
  <si>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</si>
  <si>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</si>
  <si>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</si>
  <si>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</si>
  <si>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</si>
  <si>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</si>
  <si>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</si>
  <si>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</si>
  <si>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</si>
  <si>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</si>
  <si>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</si>
  <si>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</si>
  <si>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</si>
  <si>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</si>
  <si>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</si>
  <si>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</si>
  <si>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</si>
  <si>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</si>
  <si>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</si>
  <si>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</si>
  <si>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</si>
  <si>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</si>
  <si>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</si>
  <si>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</si>
  <si>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</si>
  <si>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</si>
  <si>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XRF analysis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</si>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</sst>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45009.4193634259</v>
      </c>
    </row>
    <row r="10" outlineLevel="1">
      <c r="A10" s="7" t="s">
        <v>12</v>
      </c>
      <c r="B10" s="0" t="s">
        <v>13</v>
      </c>
    </row>
    <row r="11" outlineLevel="1">
      <c r="A11" s="7"/>
      <c r="B11" s="0" t="s">
        <v>14</v>
      </c>
    </row>
    <row r="12" outlineLevel="1">
      <c r="A12" s="7"/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>
      <c r="A17" s="7"/>
    </row>
    <row r="18" s="1" customFormat="1">
      <c r="A18" s="9" t="s">
        <v>21</v>
      </c>
    </row>
    <row r="19" s="1" customFormat="1">
      <c r="A19" s="10" t="s">
        <v>22</v>
      </c>
      <c r="B19" s="10" t="s">
        <v>23</v>
      </c>
      <c r="C19" s="10" t="s">
        <v>24</v>
      </c>
      <c r="D19" s="10"/>
      <c r="E19" s="10"/>
      <c r="F19" s="10" t="s">
        <v>25</v>
      </c>
      <c r="G19" s="10" t="s">
        <v>26</v>
      </c>
      <c r="H19" s="10" t="s">
        <v>27</v>
      </c>
      <c r="I19" s="10" t="s">
        <v>28</v>
      </c>
      <c r="J19" s="10" t="s">
        <v>29</v>
      </c>
      <c r="K19" s="10" t="s">
        <v>12</v>
      </c>
      <c r="L19" s="10"/>
    </row>
    <row r="20" s="1" customFormat="1">
      <c r="A20" s="10"/>
      <c r="B20" s="10"/>
      <c r="C20" s="10" t="s">
        <v>30</v>
      </c>
      <c r="D20" s="10" t="s">
        <v>31</v>
      </c>
      <c r="E20" s="10" t="s">
        <v>32</v>
      </c>
      <c r="F20" s="10"/>
      <c r="G20" s="10"/>
      <c r="H20" s="10"/>
      <c r="I20" s="10"/>
      <c r="J20" s="10"/>
      <c r="K20" s="10"/>
      <c r="L20" s="10"/>
    </row>
    <row r="21">
      <c r="A21" s="7" t="s">
        <v>33</v>
      </c>
      <c r="I21" s="5"/>
    </row>
    <row r="22" outlineLevel="1">
      <c r="A22" s="11" t="s">
        <v>34</v>
      </c>
      <c r="I22" s="5"/>
    </row>
    <row r="23" outlineLevel="2">
      <c r="A23" s="12" t="s">
        <v>35</v>
      </c>
      <c r="B23" s="0" t="s">
        <v>36</v>
      </c>
      <c r="C23" s="13">
        <v>1.72</v>
      </c>
      <c r="D23" s="13"/>
      <c r="E23" s="13"/>
      <c r="F23" s="13"/>
      <c r="G23" s="13"/>
      <c r="I23" s="5"/>
      <c r="J23" s="0" t="s">
        <v>37</v>
      </c>
    </row>
    <row r="24" outlineLevel="2">
      <c r="A24" s="12" t="s">
        <v>38</v>
      </c>
      <c r="B24" s="0" t="s">
        <v>36</v>
      </c>
      <c r="C24" s="13">
        <f>IFERROR(3.64*(1-w),"")</f>
        <v>3.577392</v>
      </c>
      <c r="D24" s="13">
        <v>3.64</v>
      </c>
      <c r="E24" s="13">
        <v/>
      </c>
      <c r="F24" s="13"/>
      <c r="G24" s="13"/>
      <c r="I24" s="5"/>
      <c r="J24" s="0" t="s">
        <v>37</v>
      </c>
    </row>
    <row r="25" outlineLevel="2">
      <c r="A25" s="12" t="s">
        <v>39</v>
      </c>
      <c r="B25" s="0" t="s">
        <v>36</v>
      </c>
      <c r="C25" s="13">
        <f>IFERROR(75.15*(1-w),"")</f>
        <v>73.85742</v>
      </c>
      <c r="D25" s="13">
        <v>75.15</v>
      </c>
      <c r="E25" s="13">
        <v>77.988792029887932</v>
      </c>
      <c r="F25" s="13"/>
      <c r="G25" s="13"/>
      <c r="I25" s="5"/>
      <c r="J25" s="0" t="s">
        <v>37</v>
      </c>
    </row>
    <row r="26" outlineLevel="2">
      <c r="A26" s="12" t="s">
        <v>40</v>
      </c>
      <c r="B26" s="0" t="s">
        <v>36</v>
      </c>
      <c r="C26" s="13">
        <f>IFERROR(21.21*(1-w),"")</f>
        <v>20.845187999999993</v>
      </c>
      <c r="D26" s="13">
        <v>21.209999999999994</v>
      </c>
      <c r="E26" s="13">
        <v>22.011207970112071</v>
      </c>
      <c r="F26" s="13"/>
      <c r="G26" s="13"/>
      <c r="I26" s="5"/>
      <c r="J26" s="0" t="s">
        <v>41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36</v>
      </c>
      <c r="C28" s="13">
        <f>IFERROR(48.63*(1-w),"")</f>
        <v>47.793564</v>
      </c>
      <c r="D28" s="13">
        <v>48.63</v>
      </c>
      <c r="E28" s="13">
        <v>50.466998754669987</v>
      </c>
      <c r="F28" s="13"/>
      <c r="G28" s="13"/>
      <c r="I28" s="5"/>
      <c r="J28" s="0" t="s">
        <v>44</v>
      </c>
      <c r="K28" s="0" t="s">
        <v>45</v>
      </c>
    </row>
    <row r="29" outlineLevel="2">
      <c r="A29" s="12" t="s">
        <v>46</v>
      </c>
      <c r="B29" s="0" t="s">
        <v>36</v>
      </c>
      <c r="C29" s="13">
        <f>IFERROR(5.66*(1-w),"")</f>
        <v>5.562648</v>
      </c>
      <c r="D29" s="13">
        <v>5.66</v>
      </c>
      <c r="E29" s="13">
        <v>5.8738065587380657</v>
      </c>
      <c r="F29" s="13"/>
      <c r="G29" s="13"/>
      <c r="I29" s="5"/>
      <c r="J29" s="0" t="s">
        <v>44</v>
      </c>
      <c r="K29" s="0" t="s">
        <v>45</v>
      </c>
    </row>
    <row r="30" outlineLevel="2">
      <c r="A30" s="12" t="s">
        <v>47</v>
      </c>
      <c r="B30" s="0" t="s">
        <v>36</v>
      </c>
      <c r="C30" s="13">
        <f>IFERROR(42*(1-w),"")</f>
        <v>41.2776</v>
      </c>
      <c r="D30" s="13">
        <v>42</v>
      </c>
      <c r="E30" s="13">
        <v>43.586550435865504</v>
      </c>
      <c r="F30" s="13"/>
      <c r="G30" s="13"/>
      <c r="I30" s="5"/>
      <c r="J30" s="0" t="s">
        <v>44</v>
      </c>
      <c r="K30" s="0" t="s">
        <v>45</v>
      </c>
    </row>
    <row r="31" outlineLevel="2">
      <c r="A31" s="12" t="s">
        <v>48</v>
      </c>
      <c r="B31" s="0" t="s">
        <v>36</v>
      </c>
      <c r="C31" s="13">
        <f>IFERROR(0.25*(1-w),"")</f>
        <v>0.2457</v>
      </c>
      <c r="D31" s="13">
        <v>0.25</v>
      </c>
      <c r="E31" s="13">
        <v>0.25944375259443753</v>
      </c>
      <c r="F31" s="13"/>
      <c r="G31" s="13"/>
      <c r="I31" s="5"/>
      <c r="J31" s="0" t="s">
        <v>44</v>
      </c>
      <c r="K31" s="0" t="s">
        <v>45</v>
      </c>
    </row>
    <row r="32" outlineLevel="2">
      <c r="A32" s="12" t="s">
        <v>49</v>
      </c>
      <c r="B32" s="0" t="s">
        <v>36</v>
      </c>
      <c r="C32" s="13">
        <f>IFERROR(0.08*(1-w),"")</f>
        <v>0.078624</v>
      </c>
      <c r="D32" s="13">
        <v>0.08</v>
      </c>
      <c r="E32" s="13">
        <v>0.08302200083022</v>
      </c>
      <c r="F32" s="13"/>
      <c r="G32" s="13"/>
      <c r="I32" s="5"/>
      <c r="J32" s="0" t="s">
        <v>44</v>
      </c>
      <c r="K32" s="0" t="s">
        <v>45</v>
      </c>
    </row>
    <row r="33" outlineLevel="2">
      <c r="A33" s="12" t="s">
        <v>50</v>
      </c>
      <c r="B33" s="0" t="s">
        <v>36</v>
      </c>
      <c r="C33" s="13">
        <f>IFERROR(100.268*(1-w)+w*100,"")</f>
        <v>100.2633904</v>
      </c>
      <c r="D33" s="13">
        <v>100.268</v>
      </c>
      <c r="E33" s="13">
        <v>100.27812370278123</v>
      </c>
      <c r="F33" s="13"/>
      <c r="G33" s="13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4">
        <f>IFERROR(80*(1-w),"")</f>
        <v>78.624</v>
      </c>
      <c r="D35" s="14">
        <v>80</v>
      </c>
      <c r="E35" s="14">
        <v>83.022000830220009</v>
      </c>
      <c r="F35" s="14"/>
      <c r="G35" s="14"/>
      <c r="I35" s="5"/>
      <c r="J35" s="0" t="s">
        <v>54</v>
      </c>
    </row>
    <row r="36" outlineLevel="1">
      <c r="A36" s="11" t="s">
        <v>55</v>
      </c>
      <c r="I36" s="5"/>
    </row>
    <row r="37" outlineLevel="2">
      <c r="A37" s="12" t="s">
        <v>56</v>
      </c>
      <c r="B37" s="0" t="s">
        <v>57</v>
      </c>
      <c r="C37" s="13">
        <f>IFERROR(19.22*(1-w),"")</f>
        <v>18.889416</v>
      </c>
      <c r="D37" s="13">
        <v>19.22</v>
      </c>
      <c r="E37" s="13">
        <v>19.946035699460356</v>
      </c>
      <c r="F37" s="13"/>
      <c r="G37" s="13"/>
      <c r="I37" s="5"/>
      <c r="J37" s="0" t="s">
        <v>41</v>
      </c>
    </row>
    <row r="38" outlineLevel="2">
      <c r="A38" s="12" t="s">
        <v>58</v>
      </c>
      <c r="B38" s="0" t="s">
        <v>57</v>
      </c>
      <c r="C38" s="13">
        <f>IFERROR(18.9471731888*(1-w),"")</f>
        <v>18.621281809952642</v>
      </c>
      <c r="D38" s="13">
        <v>18.9471731888</v>
      </c>
      <c r="E38" s="13">
        <v>19.662902852635948</v>
      </c>
      <c r="F38" s="13"/>
      <c r="G38" s="13"/>
      <c r="I38" s="5"/>
      <c r="J38" s="0" t="s">
        <v>41</v>
      </c>
    </row>
    <row r="39" outlineLevel="1">
      <c r="A39" s="11" t="s">
        <v>59</v>
      </c>
      <c r="I39" s="5"/>
    </row>
    <row r="40" outlineLevel="2">
      <c r="A40" s="12" t="s">
        <v>60</v>
      </c>
      <c r="B40" s="0" t="s">
        <v>61</v>
      </c>
      <c r="C40" s="14">
        <v>401</v>
      </c>
      <c r="D40" s="14"/>
      <c r="E40" s="14"/>
      <c r="F40" s="14"/>
      <c r="G40" s="14"/>
      <c r="I40" s="5"/>
      <c r="J40" s="0" t="s">
        <v>54</v>
      </c>
    </row>
    <row r="41" outlineLevel="2">
      <c r="A41" s="12" t="s">
        <v>62</v>
      </c>
      <c r="B41" s="0" t="s">
        <v>61</v>
      </c>
      <c r="C41" s="14">
        <v>10432</v>
      </c>
      <c r="D41" s="14"/>
      <c r="E41" s="14"/>
      <c r="F41" s="14"/>
      <c r="G41" s="14"/>
      <c r="I41" s="5"/>
      <c r="J41" s="0" t="s">
        <v>54</v>
      </c>
    </row>
    <row r="42" outlineLevel="2">
      <c r="A42" s="12" t="s">
        <v>63</v>
      </c>
      <c r="B42" s="0" t="s">
        <v>61</v>
      </c>
      <c r="C42" s="14">
        <v>344</v>
      </c>
      <c r="D42" s="14"/>
      <c r="E42" s="14"/>
      <c r="F42" s="14"/>
      <c r="G42" s="14"/>
      <c r="I42" s="5"/>
      <c r="J42" s="0" t="s">
        <v>54</v>
      </c>
    </row>
    <row r="43" outlineLevel="2">
      <c r="A43" s="12" t="s">
        <v>64</v>
      </c>
      <c r="B43" s="0" t="s">
        <v>61</v>
      </c>
      <c r="C43" s="14">
        <v>3976</v>
      </c>
      <c r="D43" s="14"/>
      <c r="E43" s="14"/>
      <c r="F43" s="14"/>
      <c r="G43" s="14"/>
      <c r="I43" s="5"/>
      <c r="J43" s="0" t="s">
        <v>54</v>
      </c>
    </row>
    <row r="44" outlineLevel="2">
      <c r="A44" s="12" t="s">
        <v>65</v>
      </c>
      <c r="B44" s="0" t="s">
        <v>61</v>
      </c>
      <c r="C44" s="14">
        <v>1434</v>
      </c>
      <c r="D44" s="14"/>
      <c r="E44" s="14"/>
      <c r="F44" s="14"/>
      <c r="G44" s="14"/>
      <c r="I44" s="5"/>
      <c r="J44" s="0" t="s">
        <v>54</v>
      </c>
    </row>
    <row r="45" outlineLevel="2">
      <c r="A45" s="12" t="s">
        <v>66</v>
      </c>
      <c r="B45" s="0" t="s">
        <v>61</v>
      </c>
      <c r="C45" s="14">
        <v>1208</v>
      </c>
      <c r="D45" s="14"/>
      <c r="E45" s="14"/>
      <c r="F45" s="14"/>
      <c r="G45" s="14"/>
      <c r="I45" s="5"/>
      <c r="J45" s="0" t="s">
        <v>54</v>
      </c>
    </row>
    <row r="46" outlineLevel="2">
      <c r="A46" s="12" t="s">
        <v>67</v>
      </c>
      <c r="B46" s="0" t="s">
        <v>61</v>
      </c>
      <c r="C46" s="14">
        <v>1170</v>
      </c>
      <c r="D46" s="14"/>
      <c r="E46" s="14"/>
      <c r="F46" s="14"/>
      <c r="G46" s="14"/>
      <c r="I46" s="5"/>
      <c r="J46" s="0" t="s">
        <v>54</v>
      </c>
    </row>
    <row r="47" outlineLevel="2">
      <c r="A47" s="12" t="s">
        <v>68</v>
      </c>
      <c r="B47" s="0" t="s">
        <v>61</v>
      </c>
      <c r="C47" s="14">
        <v>826</v>
      </c>
      <c r="D47" s="14"/>
      <c r="E47" s="14"/>
      <c r="F47" s="14"/>
      <c r="G47" s="14"/>
      <c r="I47" s="5"/>
      <c r="J47" s="0" t="s">
        <v>54</v>
      </c>
    </row>
    <row r="48" outlineLevel="2">
      <c r="A48" s="12" t="s">
        <v>69</v>
      </c>
      <c r="B48" s="0" t="s">
        <v>61</v>
      </c>
      <c r="C48" s="14">
        <v>274</v>
      </c>
      <c r="D48" s="14"/>
      <c r="E48" s="14"/>
      <c r="F48" s="14"/>
      <c r="G48" s="14"/>
      <c r="I48" s="5"/>
      <c r="J48" s="0" t="s">
        <v>54</v>
      </c>
    </row>
    <row r="49" outlineLevel="2">
      <c r="A49" s="12" t="s">
        <v>70</v>
      </c>
      <c r="B49" s="0" t="s">
        <v>61</v>
      </c>
      <c r="C49" s="14">
        <v>108</v>
      </c>
      <c r="D49" s="14"/>
      <c r="E49" s="14"/>
      <c r="F49" s="14"/>
      <c r="G49" s="14"/>
      <c r="I49" s="5"/>
      <c r="J49" s="0" t="s">
        <v>54</v>
      </c>
    </row>
    <row r="50" outlineLevel="2">
      <c r="A50" s="12" t="s">
        <v>71</v>
      </c>
      <c r="B50" s="0" t="s">
        <v>61</v>
      </c>
      <c r="C50" s="14">
        <v>477</v>
      </c>
      <c r="D50" s="14"/>
      <c r="E50" s="14"/>
      <c r="F50" s="14"/>
      <c r="G50" s="14"/>
      <c r="I50" s="5"/>
      <c r="J50" s="0" t="s">
        <v>54</v>
      </c>
    </row>
    <row r="51">
      <c r="I51" s="5"/>
    </row>
    <row r="52" s="1" customFormat="1"/>
  </sheetData>
  <mergeCells>
    <mergeCell ref="A7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23" errorStyle="stop" promptTitle="Enter moisture content" errorTitle="Invalid moisture content" prompt="Value should be between 0 and 100.&#10;Original value: 1.7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https://phyllis.nl/Biomass/View/3929</dc:description>
  <dcterms:created xsi:type="dcterms:W3CDTF">2026-03-19T04:16:40Z</dcterms:created>
  <dc:title>Phyllis2 #3929 Spruce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