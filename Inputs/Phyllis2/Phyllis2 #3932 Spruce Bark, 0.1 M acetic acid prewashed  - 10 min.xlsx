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2 Spruce Bark, 0.1" sheetId="1" r:id="rId1"/>
  </sheets>
  <definedNames>
    <definedName name="w" localSheetId="0">IF(ISBLANK('Phyllis2 #3932 Spruce Bark, 0.1'!$C$24),#N/A,'Phyllis2 #3932 Spruce Bark, 0.1'!$C$24/100)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<sst xmlns="http://schemas.openxmlformats.org/spreadsheetml/2006/main" count="76" uniqueCount="76">
  <si>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</si>
  <si>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https://phyllis.nl/Biomass/View/3932</t>
  </si>
  <si>
    <t xml:space="preserve">Spruce Bark, 0.1 M acetic acid prewashed  - 10 min (#3932)</t>
  </si>
  <si>
    <t>ID-number</t>
  </si>
  <si>
    <t>#3932</t>
  </si>
  <si>
    <t>Material</t>
  </si>
  <si>
    <t xml:space="preserve">Spruce Bark, 0.1 M acetic acid prewashed  - 10 min</t>
  </si>
  <si>
    <t>Description</t>
  </si>
  <si>
    <t>Particle size used for 0.1 M acetic washing experiment was 0.5 cm More washed sample data for 0,2,5,10,15,30,60,180 min washing duration is available in the referenced article</t>
  </si>
  <si>
    <t>Classification</t>
  </si>
  <si>
    <t>ECN Phyllis classification &gt; untreated wood &gt; bark &gt; bark, spruce</t>
  </si>
  <si>
    <t>Submitter organisation</t>
  </si>
  <si>
    <t>TNO (Netherlands)</t>
  </si>
  <si>
    <t>Submission date</t>
  </si>
  <si>
    <t>Remarks</t>
  </si>
  <si>
    <t>Species: Picea abies</t>
  </si>
  <si>
    <t>Cultivation region: Koski TL, Finland</t>
  </si>
  <si>
    <t>Harvesting date: 2021</t>
  </si>
  <si>
    <t>Literature</t>
  </si>
  <si>
    <t>Author/institution: Abhishek Singhal, Avishek Goel, Anubhuti Bhatnagar, Christian Roslander, Ola Wallberg, Jukka Konttinen, Tero Joronen</t>
  </si>
  <si>
    <t>Year: 2023</t>
  </si>
  <si>
    <t>Journal/project: Chemical Engineering (Elsevier)</t>
  </si>
  <si>
    <t>DOI/link: https://doi.org/10.1016/j.cej.2022.139351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</si>
  <si>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</si>
  <si>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</si>
  <si>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</si>
  <si>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</si>
  <si>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</si>
  <si>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</si>
  <si>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</si>
  <si>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</si>
  <si>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</si>
  <si>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</si>
  <si>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</si>
  <si>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</si>
  <si>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</si>
  <si>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</si>
  <si>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</si>
  <si>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</si>
  <si>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</si>
  <si>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</si>
  <si>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</si>
  <si>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</si>
  <si>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</si>
  <si>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</si>
  <si>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</si>
  <si>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</si>
  <si>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</si>
  <si>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</si>
  <si>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</si>
  <si>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</si>
  <si>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</si>
  <si>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wt% (dry)</t>
  </si>
  <si>
    <t>&lt;0.05</t>
  </si>
  <si>
    <t>Total (with halides)</t>
  </si>
  <si>
    <t>Halides</t>
  </si>
  <si>
    <t>Chlorine (Cl)</t>
  </si>
  <si>
    <t>mg/kg</t>
  </si>
  <si>
    <t>XRF analysis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</si>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</sst>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45009.4193634259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 outlineLevel="1">
      <c r="A17" s="7"/>
      <c r="B17" s="0" t="s">
        <v>22</v>
      </c>
    </row>
    <row r="18">
      <c r="A18" s="7"/>
    </row>
    <row r="19" s="1" customFormat="1">
      <c r="A19" s="9" t="s">
        <v>23</v>
      </c>
    </row>
    <row r="20" s="1" customFormat="1">
      <c r="A20" s="10" t="s">
        <v>24</v>
      </c>
      <c r="B20" s="10" t="s">
        <v>25</v>
      </c>
      <c r="C20" s="10" t="s">
        <v>26</v>
      </c>
      <c r="D20" s="10"/>
      <c r="E20" s="10"/>
      <c r="F20" s="10" t="s">
        <v>27</v>
      </c>
      <c r="G20" s="10" t="s">
        <v>28</v>
      </c>
      <c r="H20" s="10" t="s">
        <v>29</v>
      </c>
      <c r="I20" s="10" t="s">
        <v>30</v>
      </c>
      <c r="J20" s="10" t="s">
        <v>31</v>
      </c>
      <c r="K20" s="10" t="s">
        <v>14</v>
      </c>
      <c r="L20" s="10"/>
    </row>
    <row r="21" s="1" customFormat="1">
      <c r="A21" s="10"/>
      <c r="B21" s="10"/>
      <c r="C21" s="10" t="s">
        <v>32</v>
      </c>
      <c r="D21" s="10" t="s">
        <v>33</v>
      </c>
      <c r="E21" s="10" t="s">
        <v>34</v>
      </c>
      <c r="F21" s="10"/>
      <c r="G21" s="10"/>
      <c r="H21" s="10"/>
      <c r="I21" s="10"/>
      <c r="J21" s="10"/>
      <c r="K21" s="10"/>
      <c r="L21" s="10"/>
    </row>
    <row r="22">
      <c r="A22" s="7" t="s">
        <v>35</v>
      </c>
      <c r="I22" s="5"/>
    </row>
    <row r="23" outlineLevel="1">
      <c r="A23" s="11" t="s">
        <v>36</v>
      </c>
      <c r="I23" s="5"/>
    </row>
    <row r="24" outlineLevel="2">
      <c r="A24" s="12" t="s">
        <v>37</v>
      </c>
      <c r="B24" s="0" t="s">
        <v>38</v>
      </c>
      <c r="C24" s="13">
        <v>1.85</v>
      </c>
      <c r="D24" s="13"/>
      <c r="E24" s="13"/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38</v>
      </c>
      <c r="C25" s="13">
        <f>IFERROR(2.08*(1-w),"")</f>
        <v>2.0415200000000002</v>
      </c>
      <c r="D25" s="13">
        <v>2.08</v>
      </c>
      <c r="E25" s="13">
        <v/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38</v>
      </c>
      <c r="C26" s="13">
        <f>IFERROR(76.21*(1-w),"")</f>
        <v>74.800114999999991</v>
      </c>
      <c r="D26" s="13">
        <v>76.21</v>
      </c>
      <c r="E26" s="13">
        <v>77.82883986928104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38</v>
      </c>
      <c r="C27" s="13">
        <f>IFERROR(21.71*(1-w),"")</f>
        <v>21.308365000000009</v>
      </c>
      <c r="D27" s="13">
        <v>21.710000000000008</v>
      </c>
      <c r="E27" s="13">
        <v>22.171160130718963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38</v>
      </c>
      <c r="C29" s="13">
        <f>IFERROR(48.59*(1-w),"")</f>
        <v>47.691085000000008</v>
      </c>
      <c r="D29" s="13">
        <v>48.59</v>
      </c>
      <c r="E29" s="13">
        <v>49.622140522875824</v>
      </c>
      <c r="F29" s="13"/>
      <c r="G29" s="13"/>
      <c r="I29" s="5"/>
      <c r="J29" s="0" t="s">
        <v>46</v>
      </c>
      <c r="K29" s="0" t="s">
        <v>47</v>
      </c>
    </row>
    <row r="30" outlineLevel="2">
      <c r="A30" s="12" t="s">
        <v>48</v>
      </c>
      <c r="B30" s="0" t="s">
        <v>38</v>
      </c>
      <c r="C30" s="13">
        <f>IFERROR(5.49*(1-w),"")</f>
        <v>5.388435</v>
      </c>
      <c r="D30" s="13">
        <v>5.49</v>
      </c>
      <c r="E30" s="13">
        <v>5.6066176470588243</v>
      </c>
      <c r="F30" s="13"/>
      <c r="G30" s="13"/>
      <c r="I30" s="5"/>
      <c r="J30" s="0" t="s">
        <v>46</v>
      </c>
      <c r="K30" s="0" t="s">
        <v>47</v>
      </c>
    </row>
    <row r="31" outlineLevel="2">
      <c r="A31" s="12" t="s">
        <v>49</v>
      </c>
      <c r="B31" s="0" t="s">
        <v>38</v>
      </c>
      <c r="C31" s="13">
        <f>IFERROR(43.65*(1-w),"")</f>
        <v>42.842475</v>
      </c>
      <c r="D31" s="13">
        <v>43.65</v>
      </c>
      <c r="E31" s="13">
        <v>44.577205882352942</v>
      </c>
      <c r="F31" s="13"/>
      <c r="G31" s="13"/>
      <c r="I31" s="5"/>
      <c r="J31" s="0" t="s">
        <v>46</v>
      </c>
      <c r="K31" s="0" t="s">
        <v>47</v>
      </c>
    </row>
    <row r="32" outlineLevel="2">
      <c r="A32" s="12" t="s">
        <v>50</v>
      </c>
      <c r="B32" s="0" t="s">
        <v>38</v>
      </c>
      <c r="C32" s="13">
        <f>IFERROR(0.25*(1-w),"")</f>
        <v>0.245375</v>
      </c>
      <c r="D32" s="13">
        <v>0.25</v>
      </c>
      <c r="E32" s="13">
        <v>0.25531045751633991</v>
      </c>
      <c r="F32" s="13"/>
      <c r="G32" s="13"/>
      <c r="I32" s="5"/>
      <c r="J32" s="0" t="s">
        <v>46</v>
      </c>
      <c r="K32" s="0" t="s">
        <v>47</v>
      </c>
    </row>
    <row r="33" outlineLevel="2">
      <c r="A33" s="12" t="s">
        <v>51</v>
      </c>
      <c r="B33" s="0" t="s">
        <v>52</v>
      </c>
      <c r="C33" s="13" t="s">
        <v>53</v>
      </c>
      <c r="D33" s="13"/>
      <c r="E33" s="13"/>
      <c r="F33" s="13"/>
      <c r="G33" s="13"/>
      <c r="I33" s="5"/>
      <c r="J33" s="0" t="s">
        <v>46</v>
      </c>
      <c r="K33" s="0" t="s">
        <v>47</v>
      </c>
    </row>
    <row r="34" outlineLevel="2">
      <c r="A34" s="12" t="s">
        <v>54</v>
      </c>
      <c r="B34" s="0" t="s">
        <v>38</v>
      </c>
      <c r="C34" s="13">
        <f>IFERROR(100.062*(1-w)+w*100,"")</f>
        <v>100.060853</v>
      </c>
      <c r="D34" s="13">
        <v>100.062</v>
      </c>
      <c r="E34" s="13">
        <v>100.06331699346406</v>
      </c>
      <c r="F34" s="13"/>
      <c r="G34" s="13"/>
      <c r="I34" s="5"/>
      <c r="J34" s="0" t="s">
        <v>43</v>
      </c>
    </row>
    <row r="35" outlineLevel="1">
      <c r="A35" s="11" t="s">
        <v>55</v>
      </c>
      <c r="I35" s="5"/>
    </row>
    <row r="36" outlineLevel="2">
      <c r="A36" s="12" t="s">
        <v>56</v>
      </c>
      <c r="B36" s="0" t="s">
        <v>57</v>
      </c>
      <c r="C36" s="14">
        <f>IFERROR(20*(1-w),"")</f>
        <v>19.630000000000003</v>
      </c>
      <c r="D36" s="14">
        <v>20</v>
      </c>
      <c r="E36" s="14">
        <v>20.424836601307192</v>
      </c>
      <c r="F36" s="14"/>
      <c r="G36" s="14"/>
      <c r="I36" s="5"/>
      <c r="J36" s="0" t="s">
        <v>58</v>
      </c>
    </row>
    <row r="37" outlineLevel="1">
      <c r="A37" s="11" t="s">
        <v>59</v>
      </c>
      <c r="I37" s="5"/>
    </row>
    <row r="38" outlineLevel="2">
      <c r="A38" s="12" t="s">
        <v>60</v>
      </c>
      <c r="B38" s="0" t="s">
        <v>61</v>
      </c>
      <c r="C38" s="13">
        <f>IFERROR(18.82*(1-w),"")</f>
        <v>18.47183</v>
      </c>
      <c r="D38" s="13">
        <v>18.82</v>
      </c>
      <c r="E38" s="13">
        <v>19.219771241830067</v>
      </c>
      <c r="F38" s="13"/>
      <c r="G38" s="13"/>
      <c r="I38" s="5"/>
      <c r="J38" s="0" t="s">
        <v>43</v>
      </c>
    </row>
    <row r="39" outlineLevel="2">
      <c r="A39" s="12" t="s">
        <v>62</v>
      </c>
      <c r="B39" s="0" t="s">
        <v>61</v>
      </c>
      <c r="C39" s="13">
        <f>IFERROR(18.5278079392*(1-w),"")</f>
        <v>18.1850434923248</v>
      </c>
      <c r="D39" s="13">
        <v>18.527807939200002</v>
      </c>
      <c r="E39" s="13">
        <v>18.921372486928107</v>
      </c>
      <c r="F39" s="13"/>
      <c r="G39" s="13"/>
      <c r="I39" s="5"/>
      <c r="J39" s="0" t="s">
        <v>43</v>
      </c>
    </row>
    <row r="40" outlineLevel="1">
      <c r="A40" s="11" t="s">
        <v>63</v>
      </c>
      <c r="I40" s="5"/>
    </row>
    <row r="41" outlineLevel="2">
      <c r="A41" s="12" t="s">
        <v>64</v>
      </c>
      <c r="B41" s="0" t="s">
        <v>65</v>
      </c>
      <c r="C41" s="14">
        <v>200</v>
      </c>
      <c r="D41" s="14"/>
      <c r="E41" s="14"/>
      <c r="F41" s="14"/>
      <c r="G41" s="14"/>
      <c r="I41" s="5"/>
      <c r="J41" s="0" t="s">
        <v>58</v>
      </c>
    </row>
    <row r="42" outlineLevel="2">
      <c r="A42" s="12" t="s">
        <v>66</v>
      </c>
      <c r="B42" s="0" t="s">
        <v>65</v>
      </c>
      <c r="C42" s="14">
        <v>7813</v>
      </c>
      <c r="D42" s="14"/>
      <c r="E42" s="14"/>
      <c r="F42" s="14"/>
      <c r="G42" s="14"/>
      <c r="I42" s="5"/>
      <c r="J42" s="0" t="s">
        <v>58</v>
      </c>
    </row>
    <row r="43" outlineLevel="2">
      <c r="A43" s="12" t="s">
        <v>67</v>
      </c>
      <c r="B43" s="0" t="s">
        <v>65</v>
      </c>
      <c r="C43" s="14">
        <v>157</v>
      </c>
      <c r="D43" s="14"/>
      <c r="E43" s="14"/>
      <c r="F43" s="14"/>
      <c r="G43" s="14"/>
      <c r="I43" s="5"/>
      <c r="J43" s="0" t="s">
        <v>58</v>
      </c>
    </row>
    <row r="44" outlineLevel="2">
      <c r="A44" s="12" t="s">
        <v>68</v>
      </c>
      <c r="B44" s="0" t="s">
        <v>65</v>
      </c>
      <c r="C44" s="14">
        <v>1293</v>
      </c>
      <c r="D44" s="14"/>
      <c r="E44" s="14"/>
      <c r="F44" s="14"/>
      <c r="G44" s="14"/>
      <c r="I44" s="5"/>
      <c r="J44" s="0" t="s">
        <v>58</v>
      </c>
    </row>
    <row r="45" outlineLevel="2">
      <c r="A45" s="12" t="s">
        <v>69</v>
      </c>
      <c r="B45" s="0" t="s">
        <v>65</v>
      </c>
      <c r="C45" s="14">
        <v>643</v>
      </c>
      <c r="D45" s="14"/>
      <c r="E45" s="14"/>
      <c r="F45" s="14"/>
      <c r="G45" s="14"/>
      <c r="I45" s="5"/>
      <c r="J45" s="0" t="s">
        <v>58</v>
      </c>
    </row>
    <row r="46" outlineLevel="2">
      <c r="A46" s="12" t="s">
        <v>70</v>
      </c>
      <c r="B46" s="0" t="s">
        <v>65</v>
      </c>
      <c r="C46" s="14">
        <v>640</v>
      </c>
      <c r="D46" s="14"/>
      <c r="E46" s="14"/>
      <c r="F46" s="14"/>
      <c r="G46" s="14"/>
      <c r="I46" s="5"/>
      <c r="J46" s="0" t="s">
        <v>58</v>
      </c>
    </row>
    <row r="47" outlineLevel="2">
      <c r="A47" s="12" t="s">
        <v>71</v>
      </c>
      <c r="B47" s="0" t="s">
        <v>65</v>
      </c>
      <c r="C47" s="14">
        <v>150</v>
      </c>
      <c r="D47" s="14"/>
      <c r="E47" s="14"/>
      <c r="F47" s="14"/>
      <c r="G47" s="14"/>
      <c r="I47" s="5"/>
      <c r="J47" s="0" t="s">
        <v>58</v>
      </c>
    </row>
    <row r="48" outlineLevel="2">
      <c r="A48" s="12" t="s">
        <v>72</v>
      </c>
      <c r="B48" s="0" t="s">
        <v>65</v>
      </c>
      <c r="C48" s="14">
        <v>510</v>
      </c>
      <c r="D48" s="14"/>
      <c r="E48" s="14"/>
      <c r="F48" s="14"/>
      <c r="G48" s="14"/>
      <c r="I48" s="5"/>
      <c r="J48" s="0" t="s">
        <v>58</v>
      </c>
    </row>
    <row r="49" outlineLevel="2">
      <c r="A49" s="12" t="s">
        <v>73</v>
      </c>
      <c r="B49" s="0" t="s">
        <v>65</v>
      </c>
      <c r="C49" s="14">
        <v>204</v>
      </c>
      <c r="D49" s="14"/>
      <c r="E49" s="14"/>
      <c r="F49" s="14"/>
      <c r="G49" s="14"/>
      <c r="I49" s="5"/>
      <c r="J49" s="0" t="s">
        <v>58</v>
      </c>
    </row>
    <row r="50" outlineLevel="2">
      <c r="A50" s="12" t="s">
        <v>74</v>
      </c>
      <c r="B50" s="0" t="s">
        <v>65</v>
      </c>
      <c r="C50" s="14">
        <v>10</v>
      </c>
      <c r="D50" s="14"/>
      <c r="E50" s="14"/>
      <c r="F50" s="14"/>
      <c r="G50" s="14"/>
      <c r="I50" s="5"/>
      <c r="J50" s="0" t="s">
        <v>58</v>
      </c>
    </row>
    <row r="51" outlineLevel="2">
      <c r="A51" s="12" t="s">
        <v>75</v>
      </c>
      <c r="B51" s="0" t="s">
        <v>65</v>
      </c>
      <c r="C51" s="14">
        <v>275</v>
      </c>
      <c r="D51" s="14"/>
      <c r="E51" s="14"/>
      <c r="F51" s="14"/>
      <c r="G51" s="14"/>
      <c r="I51" s="5"/>
      <c r="J51" s="0" t="s">
        <v>58</v>
      </c>
    </row>
    <row r="52">
      <c r="I52" s="5"/>
    </row>
    <row r="53" s="1" customFormat="1"/>
  </sheetData>
  <mergeCells>
    <mergeCell ref="A8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24" errorStyle="stop" promptTitle="Enter moisture content" errorTitle="Invalid moisture content" prompt="Value should be between 0 and 100.&#10;Original value: 1.8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https://phyllis.nl/Biomass/View/3932</dc:description>
  <dcterms:created xsi:type="dcterms:W3CDTF">2026-03-19T04:16:45Z</dcterms:created>
  <dc:title>Phyllis2 #3932 Spruce Bark, 0.1 M acetic acid prewashed  - 10 min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