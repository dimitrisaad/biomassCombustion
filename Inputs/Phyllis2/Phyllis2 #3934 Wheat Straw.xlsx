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4 Wheat Straw" sheetId="1" r:id="rId1"/>
  </sheets>
  <definedNames>
    <definedName name="w" localSheetId="0">IF(ISBLANK('Phyllis2 #3934 Wheat Straw'!$C$22),#N/A,'Phyllis2 #3934 Wheat Straw'!$C$22/100)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<sst xmlns="http://schemas.openxmlformats.org/spreadsheetml/2006/main" count="72" uniqueCount="72">
  <si>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</si>
  <si>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https://phyllis.nl/Biomass/View/3934</t>
  </si>
  <si>
    <t>Wheat Straw (#3934)</t>
  </si>
  <si>
    <t>ID-number</t>
  </si>
  <si>
    <t>#3934</t>
  </si>
  <si>
    <t>Material</t>
  </si>
  <si>
    <t>Wheat Straw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</si>
  <si>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</si>
  <si>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</si>
  <si>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</si>
  <si>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</si>
  <si>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</si>
  <si>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</si>
  <si>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</si>
  <si>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</si>
  <si>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</si>
  <si>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</si>
  <si>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</si>
  <si>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</si>
  <si>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</si>
  <si>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</si>
  <si>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</si>
  <si>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</si>
  <si>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</si>
  <si>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</si>
  <si>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</si>
  <si>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</si>
  <si>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</si>
  <si>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</si>
  <si>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</si>
  <si>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</si>
  <si>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</si>
  <si>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</si>
  <si>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</si>
  <si>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</si>
  <si>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</si>
  <si>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</si>
  <si>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</si>
  <si>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</si>
  <si>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</si>
  <si>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</si>
  <si>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</si>
  <si>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</si>
  <si>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</si>
  <si>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</si>
  <si>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</si>
  <si>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</si>
  <si>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</si>
  <si>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</si>
  <si>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</si>
  <si>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</si>
  <si>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</si>
  <si>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</si>
  <si>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</si>
  <si>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</si>
  <si>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</si>
  <si>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</si>
  <si>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</si>
  <si>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</si>
  <si>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</si>
  <si>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</si>
  <si>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</si>
  <si>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XRF analysis</t>
  </si>
  <si>
    <t>Calcium (Ca)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</si>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</sst>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45009.4221180556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12</v>
      </c>
      <c r="L18" s="10"/>
    </row>
    <row r="19" s="1" customFormat="1">
      <c r="A19" s="10"/>
      <c r="B19" s="10"/>
      <c r="C19" s="10" t="s">
        <v>29</v>
      </c>
      <c r="D19" s="10" t="s">
        <v>30</v>
      </c>
      <c r="E19" s="10" t="s">
        <v>31</v>
      </c>
      <c r="F19" s="10"/>
      <c r="G19" s="10"/>
      <c r="H19" s="10"/>
      <c r="I19" s="10"/>
      <c r="J19" s="10"/>
      <c r="K19" s="10"/>
      <c r="L19" s="10"/>
    </row>
    <row r="20">
      <c r="A20" s="7" t="s">
        <v>32</v>
      </c>
      <c r="I20" s="5"/>
    </row>
    <row r="21" outlineLevel="1">
      <c r="A21" s="11" t="s">
        <v>33</v>
      </c>
      <c r="I21" s="5"/>
    </row>
    <row r="22" outlineLevel="2">
      <c r="A22" s="12" t="s">
        <v>34</v>
      </c>
      <c r="B22" s="0" t="s">
        <v>35</v>
      </c>
      <c r="C22" s="13">
        <v>4.01</v>
      </c>
      <c r="D22" s="13"/>
      <c r="E22" s="13"/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35</v>
      </c>
      <c r="C23" s="13">
        <f>IFERROR(8.52*(1-w),"")</f>
        <v>8.178348</v>
      </c>
      <c r="D23" s="13">
        <v>8.52</v>
      </c>
      <c r="E23" s="13">
        <v/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39</v>
      </c>
      <c r="C24" s="13"/>
      <c r="D24" s="13"/>
      <c r="E24" s="13"/>
      <c r="F24" s="13"/>
      <c r="G24" s="13"/>
      <c r="I24" s="5"/>
      <c r="J24" s="0" t="s">
        <v>36</v>
      </c>
    </row>
    <row r="25" outlineLevel="2">
      <c r="A25" s="12" t="s">
        <v>40</v>
      </c>
      <c r="B25" s="0" t="s">
        <v>35</v>
      </c>
      <c r="C25" s="13">
        <f>IFERROR(70.66*(1-w),"")</f>
        <v>67.826534</v>
      </c>
      <c r="D25" s="13">
        <v>70.66</v>
      </c>
      <c r="E25" s="13">
        <v>77.240926978574549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35</v>
      </c>
      <c r="C26" s="13">
        <f>IFERROR(20.82*(1-w),"")</f>
        <v>19.985118000000007</v>
      </c>
      <c r="D26" s="13">
        <v>20.820000000000007</v>
      </c>
      <c r="E26" s="13">
        <v>22.759073021425454</v>
      </c>
      <c r="F26" s="13"/>
      <c r="G26" s="13"/>
      <c r="I26" s="5"/>
      <c r="J26" s="0" t="s">
        <v>42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35</v>
      </c>
      <c r="C28" s="13">
        <f>IFERROR(44.3*(1-w),"")</f>
        <v>42.52357</v>
      </c>
      <c r="D28" s="13">
        <v>44.3</v>
      </c>
      <c r="E28" s="13">
        <v>48.425885439440307</v>
      </c>
      <c r="F28" s="13"/>
      <c r="G28" s="13"/>
      <c r="I28" s="5"/>
      <c r="J28" s="0" t="s">
        <v>45</v>
      </c>
      <c r="K28" s="0" t="s">
        <v>46</v>
      </c>
    </row>
    <row r="29" outlineLevel="2">
      <c r="A29" s="12" t="s">
        <v>47</v>
      </c>
      <c r="B29" s="0" t="s">
        <v>35</v>
      </c>
      <c r="C29" s="13">
        <f>IFERROR(5.81*(1-w),"")</f>
        <v>5.5770189999999991</v>
      </c>
      <c r="D29" s="13">
        <v>5.81</v>
      </c>
      <c r="E29" s="13">
        <v>6.3511149978137293</v>
      </c>
      <c r="F29" s="13"/>
      <c r="G29" s="13"/>
      <c r="I29" s="5"/>
      <c r="J29" s="0" t="s">
        <v>45</v>
      </c>
      <c r="K29" s="0" t="s">
        <v>46</v>
      </c>
    </row>
    <row r="30" outlineLevel="2">
      <c r="A30" s="12" t="s">
        <v>48</v>
      </c>
      <c r="B30" s="0" t="s">
        <v>35</v>
      </c>
      <c r="C30" s="13">
        <f>IFERROR(40.79*(1-w),"")</f>
        <v>39.154320999999996</v>
      </c>
      <c r="D30" s="13">
        <v>40.79</v>
      </c>
      <c r="E30" s="13">
        <v>44.588981198076077</v>
      </c>
      <c r="F30" s="13"/>
      <c r="G30" s="13"/>
      <c r="I30" s="5"/>
      <c r="J30" s="0" t="s">
        <v>45</v>
      </c>
      <c r="K30" s="0" t="s">
        <v>46</v>
      </c>
    </row>
    <row r="31" outlineLevel="2">
      <c r="A31" s="12" t="s">
        <v>49</v>
      </c>
      <c r="B31" s="0" t="s">
        <v>35</v>
      </c>
      <c r="C31" s="13">
        <f>IFERROR(0.47*(1-w),"")</f>
        <v>0.45115299999999997</v>
      </c>
      <c r="D31" s="13">
        <v>0.47</v>
      </c>
      <c r="E31" s="13">
        <v>0.51377350240489716</v>
      </c>
      <c r="F31" s="13"/>
      <c r="G31" s="13"/>
      <c r="I31" s="5"/>
      <c r="J31" s="0" t="s">
        <v>45</v>
      </c>
      <c r="K31" s="0" t="s">
        <v>46</v>
      </c>
    </row>
    <row r="32" outlineLevel="2">
      <c r="A32" s="12" t="s">
        <v>50</v>
      </c>
      <c r="B32" s="0" t="s">
        <v>35</v>
      </c>
      <c r="C32" s="13">
        <f>IFERROR(0.05*(1-w),"")</f>
        <v>0.047995</v>
      </c>
      <c r="D32" s="13">
        <v>0.05</v>
      </c>
      <c r="E32" s="13">
        <v>0.054656755574989072</v>
      </c>
      <c r="F32" s="13"/>
      <c r="G32" s="13"/>
      <c r="I32" s="5"/>
      <c r="J32" s="0" t="s">
        <v>45</v>
      </c>
      <c r="K32" s="0" t="s">
        <v>46</v>
      </c>
    </row>
    <row r="33" outlineLevel="2">
      <c r="A33" s="12" t="s">
        <v>51</v>
      </c>
      <c r="B33" s="0" t="s">
        <v>35</v>
      </c>
      <c r="C33" s="13">
        <f>IFERROR(100.84*(1-w)+w*100,"")</f>
        <v>100.80631600000001</v>
      </c>
      <c r="D33" s="13">
        <v>100.84</v>
      </c>
      <c r="E33" s="13">
        <v>100.91823349365981</v>
      </c>
      <c r="F33" s="13"/>
      <c r="G33" s="13"/>
      <c r="I33" s="5"/>
      <c r="J33" s="0" t="s">
        <v>42</v>
      </c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4">
        <f>IFERROR(9000*(1-w),"")</f>
        <v>8639.1</v>
      </c>
      <c r="D35" s="14">
        <v>9000</v>
      </c>
      <c r="E35" s="14">
        <v>9838.2160034980316</v>
      </c>
      <c r="F35" s="14"/>
      <c r="G35" s="14"/>
      <c r="I35" s="5"/>
    </row>
    <row r="36" outlineLevel="1">
      <c r="A36" s="11" t="s">
        <v>55</v>
      </c>
      <c r="I36" s="5"/>
    </row>
    <row r="37" outlineLevel="2">
      <c r="A37" s="12" t="s">
        <v>56</v>
      </c>
      <c r="B37" s="0" t="s">
        <v>57</v>
      </c>
      <c r="C37" s="13">
        <f>IFERROR(17.92*(1-w),"")</f>
        <v>17.201408</v>
      </c>
      <c r="D37" s="13">
        <v>17.92</v>
      </c>
      <c r="E37" s="13">
        <v>19.588981198076084</v>
      </c>
      <c r="F37" s="13"/>
      <c r="G37" s="13"/>
      <c r="I37" s="5"/>
      <c r="J37" s="0" t="s">
        <v>42</v>
      </c>
    </row>
    <row r="38" outlineLevel="2">
      <c r="A38" s="12" t="s">
        <v>58</v>
      </c>
      <c r="B38" s="0" t="s">
        <v>57</v>
      </c>
      <c r="C38" s="13">
        <f>IFERROR(17.7201003312*(1-w),"")</f>
        <v>17.009524307918884</v>
      </c>
      <c r="D38" s="13">
        <v>17.720100331200005</v>
      </c>
      <c r="E38" s="13">
        <v>19.370463851333628</v>
      </c>
      <c r="F38" s="13"/>
      <c r="G38" s="13"/>
      <c r="I38" s="5"/>
      <c r="J38" s="0" t="s">
        <v>42</v>
      </c>
    </row>
    <row r="39" outlineLevel="1">
      <c r="A39" s="11" t="s">
        <v>59</v>
      </c>
      <c r="I39" s="5"/>
    </row>
    <row r="40" outlineLevel="2">
      <c r="A40" s="12" t="s">
        <v>60</v>
      </c>
      <c r="B40" s="0" t="s">
        <v>61</v>
      </c>
      <c r="C40" s="14">
        <v>275</v>
      </c>
      <c r="D40" s="14"/>
      <c r="E40" s="14"/>
      <c r="F40" s="14"/>
      <c r="G40" s="14"/>
      <c r="I40" s="5"/>
      <c r="J40" s="0" t="s">
        <v>62</v>
      </c>
    </row>
    <row r="41" outlineLevel="2">
      <c r="A41" s="12" t="s">
        <v>63</v>
      </c>
      <c r="B41" s="0" t="s">
        <v>61</v>
      </c>
      <c r="C41" s="14">
        <v>1358</v>
      </c>
      <c r="D41" s="14"/>
      <c r="E41" s="14"/>
      <c r="F41" s="14"/>
      <c r="G41" s="14"/>
      <c r="I41" s="5"/>
      <c r="J41" s="0" t="s">
        <v>62</v>
      </c>
    </row>
    <row r="42" outlineLevel="2">
      <c r="A42" s="12" t="s">
        <v>64</v>
      </c>
      <c r="B42" s="0" t="s">
        <v>61</v>
      </c>
      <c r="C42" s="14">
        <v>616</v>
      </c>
      <c r="D42" s="14"/>
      <c r="E42" s="14"/>
      <c r="F42" s="14"/>
      <c r="G42" s="14"/>
      <c r="I42" s="5"/>
      <c r="J42" s="0" t="s">
        <v>62</v>
      </c>
    </row>
    <row r="43" outlineLevel="2">
      <c r="A43" s="12" t="s">
        <v>65</v>
      </c>
      <c r="B43" s="0" t="s">
        <v>61</v>
      </c>
      <c r="C43" s="14">
        <v>13555</v>
      </c>
      <c r="D43" s="14"/>
      <c r="E43" s="14"/>
      <c r="F43" s="14"/>
      <c r="G43" s="14"/>
      <c r="I43" s="5"/>
      <c r="J43" s="0" t="s">
        <v>62</v>
      </c>
    </row>
    <row r="44" outlineLevel="2">
      <c r="A44" s="12" t="s">
        <v>66</v>
      </c>
      <c r="B44" s="0" t="s">
        <v>61</v>
      </c>
      <c r="C44" s="14">
        <v>4192</v>
      </c>
      <c r="D44" s="14"/>
      <c r="E44" s="14"/>
      <c r="F44" s="14"/>
      <c r="G44" s="14"/>
      <c r="I44" s="5"/>
      <c r="J44" s="0" t="s">
        <v>62</v>
      </c>
    </row>
    <row r="45" outlineLevel="2">
      <c r="A45" s="12" t="s">
        <v>67</v>
      </c>
      <c r="B45" s="0" t="s">
        <v>61</v>
      </c>
      <c r="C45" s="14">
        <v>65</v>
      </c>
      <c r="D45" s="14"/>
      <c r="E45" s="14"/>
      <c r="F45" s="14"/>
      <c r="G45" s="14"/>
      <c r="I45" s="5"/>
      <c r="J45" s="0" t="s">
        <v>62</v>
      </c>
    </row>
    <row r="46" outlineLevel="2">
      <c r="A46" s="12" t="s">
        <v>68</v>
      </c>
      <c r="B46" s="0" t="s">
        <v>61</v>
      </c>
      <c r="C46" s="14">
        <v>94</v>
      </c>
      <c r="D46" s="14"/>
      <c r="E46" s="14"/>
      <c r="F46" s="14"/>
      <c r="G46" s="14"/>
      <c r="I46" s="5"/>
      <c r="J46" s="0" t="s">
        <v>62</v>
      </c>
    </row>
    <row r="47" outlineLevel="2">
      <c r="A47" s="12" t="s">
        <v>69</v>
      </c>
      <c r="B47" s="0" t="s">
        <v>61</v>
      </c>
      <c r="C47" s="14">
        <v>1616</v>
      </c>
      <c r="D47" s="14"/>
      <c r="E47" s="14"/>
      <c r="F47" s="14"/>
      <c r="G47" s="14"/>
      <c r="I47" s="5"/>
      <c r="J47" s="0" t="s">
        <v>62</v>
      </c>
    </row>
    <row r="48" outlineLevel="2">
      <c r="A48" s="12" t="s">
        <v>70</v>
      </c>
      <c r="B48" s="0" t="s">
        <v>61</v>
      </c>
      <c r="C48" s="14">
        <v>26691</v>
      </c>
      <c r="D48" s="14"/>
      <c r="E48" s="14"/>
      <c r="F48" s="14"/>
      <c r="G48" s="14"/>
      <c r="I48" s="5"/>
      <c r="J48" s="0" t="s">
        <v>62</v>
      </c>
    </row>
    <row r="49" outlineLevel="2">
      <c r="A49" s="12" t="s">
        <v>71</v>
      </c>
      <c r="B49" s="0" t="s">
        <v>61</v>
      </c>
      <c r="C49" s="14">
        <v>32</v>
      </c>
      <c r="D49" s="14"/>
      <c r="E49" s="14"/>
      <c r="F49" s="14"/>
      <c r="G49" s="14"/>
      <c r="I49" s="5"/>
      <c r="J49" s="0" t="s">
        <v>62</v>
      </c>
    </row>
    <row r="50">
      <c r="I50" s="5"/>
    </row>
    <row r="51" s="1" customFormat="1"/>
  </sheetData>
  <mergeCells>
    <mergeCell ref="A7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24:E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2" errorStyle="stop" promptTitle="Enter moisture content" errorTitle="Invalid moisture content" prompt="Value should be between 0 and 100.&#10;Original value: 4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https://phyllis.nl/Biomass/View/3934</dc:description>
  <dcterms:created xsi:type="dcterms:W3CDTF">2026-03-17T06:16:54Z</dcterms:created>
  <dc:title>Phyllis2 #3934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