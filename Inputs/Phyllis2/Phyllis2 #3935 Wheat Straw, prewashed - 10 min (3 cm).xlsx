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5 Wheat Straw, pre" sheetId="1" r:id="rId1"/>
  </sheets>
  <definedNames>
    <definedName name="w" localSheetId="0">IF(ISBLANK('Phyllis2 #3935 Wheat Straw, pre'!$C$23),#N/A,'Phyllis2 #3935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<sst xmlns="http://schemas.openxmlformats.org/spreadsheetml/2006/main" count="73" uniqueCount="73">
  <si>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</si>
  <si>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https://phyllis.nl/Biomass/View/3935</t>
  </si>
  <si>
    <t>Wheat Straw, prewashed - 10 min (3 cm) (#3935)</t>
  </si>
  <si>
    <t>ID-number</t>
  </si>
  <si>
    <t>#3935</t>
  </si>
  <si>
    <t>Material</t>
  </si>
  <si>
    <t>Wheat Straw, prewashed - 10 min (3 cm)</t>
  </si>
  <si>
    <t>Description</t>
  </si>
  <si>
    <t>Particle size used for water washing experiment was 3 cm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</si>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</sst>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2.48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IFERROR(7.13*(1-w),"")</f>
        <v>6.953176</v>
      </c>
      <c r="D24" s="13">
        <v>7.13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IFERROR(74*(1-w),"")</f>
        <v>72.1648</v>
      </c>
      <c r="D26" s="13">
        <v>74</v>
      </c>
      <c r="E26" s="13">
        <v>79.6812749003984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IFERROR(18.87*(1-w),"")</f>
        <v>18.402024000000004</v>
      </c>
      <c r="D27" s="13">
        <v>18.870000000000005</v>
      </c>
      <c r="E27" s="13">
        <v>20.3187250996016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IFERROR(44.87*(1-w),"")</f>
        <v>43.757223999999994</v>
      </c>
      <c r="D29" s="13">
        <v>44.87</v>
      </c>
      <c r="E29" s="13">
        <v>48.314848713255088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IFERROR(5.79*(1-w),"")</f>
        <v>5.646408</v>
      </c>
      <c r="D30" s="13">
        <v>5.79</v>
      </c>
      <c r="E30" s="13">
        <v>6.234521373963605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IFERROR(41.84*(1-w),"")</f>
        <v>40.802368</v>
      </c>
      <c r="D31" s="13">
        <v>41.84</v>
      </c>
      <c r="E31" s="13">
        <v>45.052223538279321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IFERROR(0.37*(1-w),"")</f>
        <v>0.360824</v>
      </c>
      <c r="D32" s="13">
        <v>0.37</v>
      </c>
      <c r="E32" s="13">
        <v>0.39840637450199207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IFERROR(100.29*(1-w)+w*100,"")</f>
        <v>100.282808</v>
      </c>
      <c r="D34" s="13">
        <v>100.29</v>
      </c>
      <c r="E34" s="13">
        <v>100.31226445569077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IFERROR(2900*(1-w),"")</f>
        <v>2828.08</v>
      </c>
      <c r="D36" s="14">
        <v>2900</v>
      </c>
      <c r="E36" s="14">
        <v>3122.6445569075054</v>
      </c>
      <c r="F36" s="14"/>
      <c r="G36" s="14"/>
      <c r="I36" s="5"/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3">
        <f>IFERROR(18*(1-w),"")</f>
        <v>17.5536</v>
      </c>
      <c r="D38" s="13">
        <v>18</v>
      </c>
      <c r="E38" s="13">
        <v>19.381931732529342</v>
      </c>
      <c r="F38" s="13"/>
      <c r="G38" s="13"/>
      <c r="I38" s="5"/>
      <c r="J38" s="0" t="s">
        <v>44</v>
      </c>
    </row>
    <row r="39" outlineLevel="2">
      <c r="A39" s="12" t="s">
        <v>60</v>
      </c>
      <c r="B39" s="0" t="s">
        <v>59</v>
      </c>
      <c r="C39" s="13">
        <f>IFERROR(17.7885390457*(1-w),"")</f>
        <v>17.347383277366642</v>
      </c>
      <c r="D39" s="13">
        <v>17.788539045700002</v>
      </c>
      <c r="E39" s="13">
        <v>19.154236078066116</v>
      </c>
      <c r="F39" s="13"/>
      <c r="G39" s="13"/>
      <c r="I39" s="5"/>
      <c r="J39" s="0" t="s">
        <v>44</v>
      </c>
    </row>
    <row r="40" outlineLevel="1">
      <c r="A40" s="11" t="s">
        <v>61</v>
      </c>
      <c r="I40" s="5"/>
    </row>
    <row r="41" outlineLevel="2">
      <c r="A41" s="12" t="s">
        <v>62</v>
      </c>
      <c r="B41" s="0" t="s">
        <v>63</v>
      </c>
      <c r="C41" s="14">
        <v>221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65</v>
      </c>
      <c r="B42" s="0" t="s">
        <v>63</v>
      </c>
      <c r="C42" s="14">
        <v>1476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66</v>
      </c>
      <c r="B43" s="0" t="s">
        <v>63</v>
      </c>
      <c r="C43" s="14">
        <v>717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67</v>
      </c>
      <c r="B44" s="0" t="s">
        <v>63</v>
      </c>
      <c r="C44" s="14">
        <v>8439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68</v>
      </c>
      <c r="B45" s="0" t="s">
        <v>63</v>
      </c>
      <c r="C45" s="14">
        <v>1808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69</v>
      </c>
      <c r="B46" s="0" t="s">
        <v>63</v>
      </c>
      <c r="C46" s="14">
        <v>72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70</v>
      </c>
      <c r="B47" s="0" t="s">
        <v>63</v>
      </c>
      <c r="C47" s="14">
        <v>1409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71</v>
      </c>
      <c r="B48" s="0" t="s">
        <v>63</v>
      </c>
      <c r="C48" s="14">
        <v>29136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72</v>
      </c>
      <c r="B49" s="0" t="s">
        <v>63</v>
      </c>
      <c r="C49" s="14">
        <v>30</v>
      </c>
      <c r="D49" s="14"/>
      <c r="E49" s="14"/>
      <c r="F49" s="14"/>
      <c r="G49" s="14"/>
      <c r="I49" s="5"/>
      <c r="J49" s="0" t="s">
        <v>64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2.4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https://phyllis.nl/Biomass/View/3935</dc:description>
  <dcterms:created xsi:type="dcterms:W3CDTF">2026-03-17T06:17:09Z</dcterms:created>
  <dc:title>Phyllis2 #3935 Wheat Straw, prewashed - 10 min (3 cm)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