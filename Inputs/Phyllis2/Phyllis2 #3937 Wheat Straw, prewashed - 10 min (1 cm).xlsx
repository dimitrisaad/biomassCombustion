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7 Wheat Straw, pre" sheetId="1" r:id="rId1"/>
  </sheets>
  <definedNames>
    <definedName name="w" localSheetId="0">IF(ISBLANK('Phyllis2 #3937 Wheat Straw, pre'!$C$23),#N/A,'Phyllis2 #3937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<sst xmlns="http://schemas.openxmlformats.org/spreadsheetml/2006/main" count="73" uniqueCount="73">
  <si>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</si>
  <si>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https://phyllis.nl/Biomass/View/3937</t>
  </si>
  <si>
    <t>Wheat Straw, prewashed - 10 min (1 cm) (#3937)</t>
  </si>
  <si>
    <t>ID-number</t>
  </si>
  <si>
    <t>#3937</t>
  </si>
  <si>
    <t>Material</t>
  </si>
  <si>
    <t>Wheat Straw, prewashed - 10 min (1 cm)</t>
  </si>
  <si>
    <t>Description</t>
  </si>
  <si>
    <t>Particle size used for water washing experiment was 1 cm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</si>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</sst>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3.04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IFERROR(7.2*(1-w),"")</f>
        <v>6.9811200000000007</v>
      </c>
      <c r="D24" s="13">
        <v>7.2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IFERROR(73.93*(1-w),"")</f>
        <v>71.682528</v>
      </c>
      <c r="D26" s="13">
        <v>73.93</v>
      </c>
      <c r="E26" s="13">
        <v>79.665948275862078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IFERROR(18.87*(1-w),"")</f>
        <v>18.296351999999992</v>
      </c>
      <c r="D27" s="13">
        <v>18.86999999999999</v>
      </c>
      <c r="E27" s="13">
        <v>20.334051724137922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IFERROR(44.59*(1-w),"")</f>
        <v>43.234464</v>
      </c>
      <c r="D29" s="13">
        <v>44.59</v>
      </c>
      <c r="E29" s="13">
        <v>48.049568965517246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IFERROR(5.79*(1-w),"")</f>
        <v>5.613984</v>
      </c>
      <c r="D30" s="13">
        <v>5.79</v>
      </c>
      <c r="E30" s="13">
        <v>6.2392241379310347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IFERROR(42.04*(1-w),"")</f>
        <v>40.761984</v>
      </c>
      <c r="D31" s="13">
        <v>42.04</v>
      </c>
      <c r="E31" s="13">
        <v>45.301724137931039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IFERROR(0.39*(1-w),"")</f>
        <v>0.37814400000000004</v>
      </c>
      <c r="D32" s="13">
        <v>0.39</v>
      </c>
      <c r="E32" s="13">
        <v>0.42025862068965519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IFERROR(100.19*(1-w)+w*100,"")</f>
        <v>100.18422400000001</v>
      </c>
      <c r="D34" s="13">
        <v>100.19000000000001</v>
      </c>
      <c r="E34" s="13">
        <v>100.20474137931036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IFERROR(1800*(1-w),"")</f>
        <v>1745.28</v>
      </c>
      <c r="D36" s="14">
        <v>1800</v>
      </c>
      <c r="E36" s="14">
        <v>1939.6551724137933</v>
      </c>
      <c r="F36" s="14"/>
      <c r="G36" s="14"/>
      <c r="I36" s="5"/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3">
        <f>IFERROR(17.88*(1-w),"")</f>
        <v>17.336448</v>
      </c>
      <c r="D38" s="13">
        <v>17.88</v>
      </c>
      <c r="E38" s="13">
        <v>19.267241379310345</v>
      </c>
      <c r="F38" s="13"/>
      <c r="G38" s="13"/>
      <c r="I38" s="5"/>
      <c r="J38" s="0" t="s">
        <v>44</v>
      </c>
    </row>
    <row r="39" outlineLevel="2">
      <c r="A39" s="12" t="s">
        <v>60</v>
      </c>
      <c r="B39" s="0" t="s">
        <v>59</v>
      </c>
      <c r="C39" s="13">
        <f>IFERROR(17.66574152*(1-w),"")</f>
        <v>17.128702977792003</v>
      </c>
      <c r="D39" s="13">
        <v>17.66574152</v>
      </c>
      <c r="E39" s="13">
        <v>19.036359396551727</v>
      </c>
      <c r="F39" s="13"/>
      <c r="G39" s="13"/>
      <c r="I39" s="5"/>
      <c r="J39" s="0" t="s">
        <v>44</v>
      </c>
    </row>
    <row r="40" outlineLevel="1">
      <c r="A40" s="11" t="s">
        <v>61</v>
      </c>
      <c r="I40" s="5"/>
    </row>
    <row r="41" outlineLevel="2">
      <c r="A41" s="12" t="s">
        <v>62</v>
      </c>
      <c r="B41" s="0" t="s">
        <v>63</v>
      </c>
      <c r="C41" s="14">
        <v>221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65</v>
      </c>
      <c r="B42" s="0" t="s">
        <v>63</v>
      </c>
      <c r="C42" s="14">
        <v>1318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66</v>
      </c>
      <c r="B43" s="0" t="s">
        <v>63</v>
      </c>
      <c r="C43" s="14">
        <v>579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67</v>
      </c>
      <c r="B44" s="0" t="s">
        <v>63</v>
      </c>
      <c r="C44" s="14">
        <v>7830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68</v>
      </c>
      <c r="B45" s="0" t="s">
        <v>63</v>
      </c>
      <c r="C45" s="14">
        <v>1836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69</v>
      </c>
      <c r="B46" s="0" t="s">
        <v>63</v>
      </c>
      <c r="C46" s="14">
        <v>58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70</v>
      </c>
      <c r="B47" s="0" t="s">
        <v>63</v>
      </c>
      <c r="C47" s="14">
        <v>1488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71</v>
      </c>
      <c r="B48" s="0" t="s">
        <v>63</v>
      </c>
      <c r="C48" s="14">
        <v>29649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72</v>
      </c>
      <c r="B49" s="0" t="s">
        <v>63</v>
      </c>
      <c r="C49" s="14">
        <v>25</v>
      </c>
      <c r="D49" s="14"/>
      <c r="E49" s="14"/>
      <c r="F49" s="14"/>
      <c r="G49" s="14"/>
      <c r="I49" s="5"/>
      <c r="J49" s="0" t="s">
        <v>64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3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https://phyllis.nl/Biomass/View/3937</dc:description>
  <dcterms:created xsi:type="dcterms:W3CDTF">2026-03-17T06:17:07Z</dcterms:created>
  <dc:title>Phyllis2 #3937 Wheat Straw, prewashed - 10 min (1 cm)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