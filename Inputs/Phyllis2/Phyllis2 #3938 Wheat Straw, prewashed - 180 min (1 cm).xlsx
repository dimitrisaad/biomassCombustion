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8 Wheat Straw, pre" sheetId="1" r:id="rId1"/>
  </sheets>
  <definedNames>
    <definedName name="w" localSheetId="0">IF(ISBLANK('Phyllis2 #3938 Wheat Straw, pre'!$C$23),#N/A,'Phyllis2 #3938 Wheat Straw, pre'!$C$23/100)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<sst xmlns="http://schemas.openxmlformats.org/spreadsheetml/2006/main" count="73" uniqueCount="73">
  <si>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</si>
  <si>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https://phyllis.nl/Biomass/View/3938</t>
  </si>
  <si>
    <t>Wheat Straw, prewashed - 180 min (1 cm) (#3938)</t>
  </si>
  <si>
    <t>ID-number</t>
  </si>
  <si>
    <t>#3938</t>
  </si>
  <si>
    <t>Material</t>
  </si>
  <si>
    <t>Wheat Straw, prewashed - 180 min (1 cm)</t>
  </si>
  <si>
    <t>Description</t>
  </si>
  <si>
    <t>Particle size used for water washing experiment was 1 cm More washed sample data for 0,2,5,10,30,60,180 min washing duration is available in the refrenced article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</si>
  <si>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</si>
  <si>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</si>
  <si>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</si>
  <si>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</si>
  <si>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</si>
  <si>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Remarks</t>
  </si>
  <si>
    <t>Cultivation region: Pirkanmaa region, Finland</t>
  </si>
  <si>
    <t>Harvesting date: 2019</t>
  </si>
  <si>
    <t>Literature</t>
  </si>
  <si>
    <t>Author/institution: Abhishek Singhal, Tero Joronen, Jukka Konttinen (Tampere University)</t>
  </si>
  <si>
    <t>Year: 2021</t>
  </si>
  <si>
    <t>Journal/project: Fuel (Elsevier)</t>
  </si>
  <si>
    <t>DOI/link: https://doi.org/10.1016/j.fuel.2021.120206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</si>
  <si>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</si>
  <si>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</si>
  <si>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</si>
  <si>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</si>
  <si>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</si>
  <si>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</si>
  <si>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</si>
  <si>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</si>
  <si>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</si>
  <si>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</si>
  <si>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</si>
  <si>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</si>
  <si>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</si>
  <si>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</si>
  <si>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</si>
  <si>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</si>
  <si>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</si>
  <si>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</si>
  <si>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</si>
  <si>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</si>
  <si>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</si>
  <si>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</si>
  <si>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</si>
  <si>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</si>
  <si>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</si>
  <si>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</si>
  <si>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</si>
  <si>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</si>
  <si>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</si>
  <si>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</si>
  <si>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</si>
  <si>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</si>
  <si>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</si>
  <si>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</si>
  <si>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</si>
  <si>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</si>
  <si>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</si>
  <si>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</si>
  <si>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</si>
  <si>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</si>
  <si>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</si>
  <si>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</si>
  <si>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XRF analysis</t>
  </si>
  <si>
    <t>Calcium (Ca)</t>
  </si>
  <si>
    <t>Iron (Fe)</t>
  </si>
  <si>
    <t>Potassium (K)</t>
  </si>
  <si>
    <t>Magnesium (Mg)</t>
  </si>
  <si>
    <t>Manganese (Mn)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</si>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</sst>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45009.4221180556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2.88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IFERROR(6.4*(1-w),"")</f>
        <v>6.21568</v>
      </c>
      <c r="D24" s="13">
        <v>6.4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37</v>
      </c>
      <c r="C26" s="13">
        <f>IFERROR(75.62*(1-w),"")</f>
        <v>73.442144</v>
      </c>
      <c r="D26" s="13">
        <v>75.62</v>
      </c>
      <c r="E26" s="13">
        <v>80.7905982905983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37</v>
      </c>
      <c r="C27" s="13">
        <f>IFERROR(17.98*(1-w),"")</f>
        <v>17.462175999999989</v>
      </c>
      <c r="D27" s="13">
        <v>17.97999999999999</v>
      </c>
      <c r="E27" s="13">
        <v>19.2094017094017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37</v>
      </c>
      <c r="C29" s="13">
        <f>IFERROR(45.78*(1-w),"")</f>
        <v>44.461536</v>
      </c>
      <c r="D29" s="13">
        <v>45.78</v>
      </c>
      <c r="E29" s="13">
        <v>48.910256410256416</v>
      </c>
      <c r="F29" s="13"/>
      <c r="G29" s="13"/>
      <c r="I29" s="5"/>
      <c r="J29" s="0" t="s">
        <v>47</v>
      </c>
      <c r="K29" s="0" t="s">
        <v>48</v>
      </c>
    </row>
    <row r="30" outlineLevel="2">
      <c r="A30" s="12" t="s">
        <v>49</v>
      </c>
      <c r="B30" s="0" t="s">
        <v>37</v>
      </c>
      <c r="C30" s="13">
        <f>IFERROR(5.83*(1-w),"")</f>
        <v>5.662096</v>
      </c>
      <c r="D30" s="13">
        <v>5.83</v>
      </c>
      <c r="E30" s="13">
        <v>6.2286324786324787</v>
      </c>
      <c r="F30" s="13"/>
      <c r="G30" s="13"/>
      <c r="I30" s="5"/>
      <c r="J30" s="0" t="s">
        <v>47</v>
      </c>
      <c r="K30" s="0" t="s">
        <v>48</v>
      </c>
    </row>
    <row r="31" outlineLevel="2">
      <c r="A31" s="12" t="s">
        <v>50</v>
      </c>
      <c r="B31" s="0" t="s">
        <v>37</v>
      </c>
      <c r="C31" s="13">
        <f>IFERROR(41.72*(1-w),"")</f>
        <v>40.518463999999994</v>
      </c>
      <c r="D31" s="13">
        <v>41.72</v>
      </c>
      <c r="E31" s="13">
        <v>44.572649572649574</v>
      </c>
      <c r="F31" s="13"/>
      <c r="G31" s="13"/>
      <c r="I31" s="5"/>
      <c r="J31" s="0" t="s">
        <v>47</v>
      </c>
      <c r="K31" s="0" t="s">
        <v>48</v>
      </c>
    </row>
    <row r="32" outlineLevel="2">
      <c r="A32" s="12" t="s">
        <v>51</v>
      </c>
      <c r="B32" s="0" t="s">
        <v>37</v>
      </c>
      <c r="C32" s="13">
        <f>IFERROR(0.27*(1-w),"")</f>
        <v>0.262224</v>
      </c>
      <c r="D32" s="13">
        <v>0.27</v>
      </c>
      <c r="E32" s="13">
        <v>0.28846153846153849</v>
      </c>
      <c r="F32" s="13"/>
      <c r="G32" s="13"/>
      <c r="I32" s="5"/>
      <c r="J32" s="0" t="s">
        <v>47</v>
      </c>
      <c r="K32" s="0" t="s">
        <v>48</v>
      </c>
    </row>
    <row r="33" outlineLevel="2">
      <c r="A33" s="12" t="s">
        <v>52</v>
      </c>
      <c r="B33" s="0" t="s">
        <v>41</v>
      </c>
      <c r="C33" s="13"/>
      <c r="D33" s="13"/>
      <c r="E33" s="13"/>
      <c r="F33" s="13"/>
      <c r="G33" s="13"/>
      <c r="I33" s="5"/>
      <c r="J33" s="0" t="s">
        <v>47</v>
      </c>
      <c r="K33" s="0" t="s">
        <v>48</v>
      </c>
    </row>
    <row r="34" outlineLevel="2">
      <c r="A34" s="12" t="s">
        <v>53</v>
      </c>
      <c r="B34" s="0" t="s">
        <v>37</v>
      </c>
      <c r="C34" s="13">
        <f>IFERROR(100.12*(1-w)+w*100,"")</f>
        <v>100.11654399999999</v>
      </c>
      <c r="D34" s="13">
        <v>100.12</v>
      </c>
      <c r="E34" s="13">
        <v>100.12820512820514</v>
      </c>
      <c r="F34" s="13"/>
      <c r="G34" s="13"/>
      <c r="I34" s="5"/>
      <c r="J34" s="0" t="s">
        <v>44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4">
        <f>IFERROR(1200*(1-w),"")</f>
        <v>1165.44</v>
      </c>
      <c r="D36" s="14">
        <v>1200</v>
      </c>
      <c r="E36" s="14">
        <v>1282.0512820512822</v>
      </c>
      <c r="F36" s="14"/>
      <c r="G36" s="14"/>
      <c r="I36" s="5"/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3">
        <f>IFERROR(18.4*(1-w),"")</f>
        <v>17.870079999999998</v>
      </c>
      <c r="D38" s="13">
        <v>18.4</v>
      </c>
      <c r="E38" s="13">
        <v>19.658119658119659</v>
      </c>
      <c r="F38" s="13"/>
      <c r="G38" s="13"/>
      <c r="I38" s="5"/>
      <c r="J38" s="0" t="s">
        <v>44</v>
      </c>
    </row>
    <row r="39" outlineLevel="2">
      <c r="A39" s="12" t="s">
        <v>60</v>
      </c>
      <c r="B39" s="0" t="s">
        <v>59</v>
      </c>
      <c r="C39" s="13">
        <f>IFERROR(18.18778688*(1-w),"")</f>
        <v>17.663978617856</v>
      </c>
      <c r="D39" s="13">
        <v>18.18778688</v>
      </c>
      <c r="E39" s="13">
        <v>19.431396239316243</v>
      </c>
      <c r="F39" s="13"/>
      <c r="G39" s="13"/>
      <c r="I39" s="5"/>
      <c r="J39" s="0" t="s">
        <v>44</v>
      </c>
    </row>
    <row r="40" outlineLevel="1">
      <c r="A40" s="11" t="s">
        <v>61</v>
      </c>
      <c r="I40" s="5"/>
    </row>
    <row r="41" outlineLevel="2">
      <c r="A41" s="12" t="s">
        <v>62</v>
      </c>
      <c r="B41" s="0" t="s">
        <v>63</v>
      </c>
      <c r="C41" s="14">
        <v>214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65</v>
      </c>
      <c r="B42" s="0" t="s">
        <v>63</v>
      </c>
      <c r="C42" s="14">
        <v>1215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66</v>
      </c>
      <c r="B43" s="0" t="s">
        <v>63</v>
      </c>
      <c r="C43" s="14">
        <v>758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67</v>
      </c>
      <c r="B44" s="0" t="s">
        <v>63</v>
      </c>
      <c r="C44" s="14">
        <v>5318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68</v>
      </c>
      <c r="B45" s="0" t="s">
        <v>63</v>
      </c>
      <c r="C45" s="14">
        <v>1293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69</v>
      </c>
      <c r="B46" s="0" t="s">
        <v>63</v>
      </c>
      <c r="C46" s="14">
        <v>90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70</v>
      </c>
      <c r="B47" s="0" t="s">
        <v>63</v>
      </c>
      <c r="C47" s="14">
        <v>1098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71</v>
      </c>
      <c r="B48" s="0" t="s">
        <v>63</v>
      </c>
      <c r="C48" s="14">
        <v>30470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72</v>
      </c>
      <c r="B49" s="0" t="s">
        <v>63</v>
      </c>
      <c r="C49" s="14">
        <v>24</v>
      </c>
      <c r="D49" s="14"/>
      <c r="E49" s="14"/>
      <c r="F49" s="14"/>
      <c r="G49" s="14"/>
      <c r="I49" s="5"/>
      <c r="J49" s="0" t="s">
        <v>64</v>
      </c>
    </row>
    <row r="50">
      <c r="I50" s="5"/>
    </row>
    <row r="51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5:E25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3" errorStyle="stop" promptTitle="Enter moisture content" errorTitle="Invalid moisture content" prompt="Value should be between 0 and 100.&#10;Original value: 2.8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https://phyllis.nl/Biomass/View/3938</dc:description>
  <dcterms:created xsi:type="dcterms:W3CDTF">2026-03-17T06:17:14Z</dcterms:created>
  <dc:title>Phyllis2 #3938 Wheat Straw, prewashed - 180 min (1 cm)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