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39 Wheat Straw, pre" sheetId="1" r:id="rId1"/>
  </sheets>
  <definedNames>
    <definedName name="w" localSheetId="0">IF(ISBLANK('Phyllis2 #3939 Wheat Straw, pre'!$C$23),#N/A,'Phyllis2 #3939 Wheat Straw, pre'!$C$23/100)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<sst xmlns="http://schemas.openxmlformats.org/spreadsheetml/2006/main" count="73" uniqueCount="73">
  <si>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</si>
  <si>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https://phyllis.nl/Biomass/View/3939</t>
  </si>
  <si>
    <t>Wheat Straw, prewashed - 10 min (0.05-0.08 mm) (#3939)</t>
  </si>
  <si>
    <t>ID-number</t>
  </si>
  <si>
    <t>#3939</t>
  </si>
  <si>
    <t>Material</t>
  </si>
  <si>
    <t>Wheat Straw, prewashed - 10 min (0.05-0.08 mm)</t>
  </si>
  <si>
    <t>Description</t>
  </si>
  <si>
    <t>Particle size used for water washing experiment was 0.05-0.08 mm More washed sample data for 0,2,5,10,30,60,180 min washing duration is available in the refrenced article</t>
  </si>
  <si>
    <t>Classification</t>
  </si>
  <si>
    <t>ECN Phyllis classification &gt; straw (stalk/cob/ear) &gt; wheat &gt; wheat straw</t>
  </si>
  <si>
    <t>Submitter organisation</t>
  </si>
  <si>
    <t>TNO (Netherlands)</t>
  </si>
  <si>
    <t>Submission date</t>
  </si>
  <si>
    <t>Remarks</t>
  </si>
  <si>
    <t>Cultivation region: Pirkanmaa region, Finland</t>
  </si>
  <si>
    <t>Harvesting date: 2019</t>
  </si>
  <si>
    <t>Literature</t>
  </si>
  <si>
    <t>Author/institution: Abhishek Singhal, Tero Joronen, Jukka Konttinen (Tampere University)</t>
  </si>
  <si>
    <t>Year: 2021</t>
  </si>
  <si>
    <t>Journal/project: Fuel (Elsevier)</t>
  </si>
  <si>
    <t>DOI/link: https://doi.org/10.1016/j.fuel.2021.120206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</si>
  <si>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</si>
  <si>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</si>
  <si>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</si>
  <si>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</si>
  <si>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</si>
  <si>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</si>
  <si>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</si>
  <si>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</si>
  <si>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</si>
  <si>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</si>
  <si>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</si>
  <si>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</si>
  <si>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</si>
  <si>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</si>
  <si>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</si>
  <si>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</si>
  <si>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ASTM E872 – 82 (2006) and ASTM E1755 – 01 (2007)</t>
  </si>
  <si>
    <t>Ash content at 550°C</t>
  </si>
  <si>
    <t>Ash content at 815°C</t>
  </si>
  <si>
    <t>wt% (dry)</t>
  </si>
  <si>
    <t>Volatile matter</t>
  </si>
  <si>
    <t>Fixed carbon</t>
  </si>
  <si>
    <t>Calculated</t>
  </si>
  <si>
    <t>Ultimate analysis (macroelements)</t>
  </si>
  <si>
    <t>Carbon</t>
  </si>
  <si>
    <t>BS EN 15104:2011</t>
  </si>
  <si>
    <t>Elemental analyzer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</si>
  <si>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</si>
  <si>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</si>
  <si>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</si>
  <si>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</si>
  <si>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</si>
  <si>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</si>
  <si>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</si>
  <si>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</si>
  <si>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</si>
  <si>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Gross calorific value (HHV)</t>
  </si>
  <si>
    <t>MJ/kg</t>
  </si>
  <si>
    <t>HHVMilne</t>
  </si>
  <si>
    <t>Trace elements composition</t>
  </si>
  <si>
    <t>Aluminium (Al)</t>
  </si>
  <si>
    <t>mg/kg (dry)</t>
  </si>
  <si>
    <t>XRF analysis</t>
  </si>
  <si>
    <t>Calcium (Ca)</t>
  </si>
  <si>
    <t>Iron (Fe)</t>
  </si>
  <si>
    <t>Potassium (K)</t>
  </si>
  <si>
    <t>Magnesium (Mg)</t>
  </si>
  <si>
    <t>Manganese (Mn)</t>
  </si>
  <si>
    <t>Phosphorus (P)</t>
  </si>
  <si>
    <t>Silicon (Si)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</si>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</sst>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3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47.525318145752" customWidth="1"/>
    <col min="11" max="11" width="18.057971954345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45009.4221180556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/>
      <c r="B14" s="0" t="s">
        <v>19</v>
      </c>
    </row>
    <row r="15" outlineLevel="1">
      <c r="A15" s="7"/>
      <c r="B15" s="0" t="s">
        <v>20</v>
      </c>
    </row>
    <row r="16" outlineLevel="1">
      <c r="A16" s="7"/>
      <c r="B16" s="0" t="s">
        <v>21</v>
      </c>
    </row>
    <row r="17">
      <c r="A17" s="7"/>
    </row>
    <row r="18" s="1" customFormat="1">
      <c r="A18" s="9" t="s">
        <v>22</v>
      </c>
    </row>
    <row r="19" s="1" customFormat="1">
      <c r="A19" s="10" t="s">
        <v>23</v>
      </c>
      <c r="B19" s="10" t="s">
        <v>24</v>
      </c>
      <c r="C19" s="10" t="s">
        <v>25</v>
      </c>
      <c r="D19" s="10"/>
      <c r="E19" s="10"/>
      <c r="F19" s="10" t="s">
        <v>26</v>
      </c>
      <c r="G19" s="10" t="s">
        <v>27</v>
      </c>
      <c r="H19" s="10" t="s">
        <v>28</v>
      </c>
      <c r="I19" s="10" t="s">
        <v>29</v>
      </c>
      <c r="J19" s="10" t="s">
        <v>30</v>
      </c>
      <c r="K19" s="10" t="s">
        <v>14</v>
      </c>
      <c r="L19" s="10"/>
    </row>
    <row r="20" s="1" customFormat="1">
      <c r="A20" s="10"/>
      <c r="B20" s="10"/>
      <c r="C20" s="10" t="s">
        <v>31</v>
      </c>
      <c r="D20" s="10" t="s">
        <v>32</v>
      </c>
      <c r="E20" s="10" t="s">
        <v>33</v>
      </c>
      <c r="F20" s="10"/>
      <c r="G20" s="10"/>
      <c r="H20" s="10"/>
      <c r="I20" s="10"/>
      <c r="J20" s="10"/>
      <c r="K20" s="10"/>
      <c r="L20" s="10"/>
    </row>
    <row r="21">
      <c r="A21" s="7" t="s">
        <v>34</v>
      </c>
      <c r="I21" s="5"/>
    </row>
    <row r="22" outlineLevel="1">
      <c r="A22" s="11" t="s">
        <v>35</v>
      </c>
      <c r="I22" s="5"/>
    </row>
    <row r="23" outlineLevel="2">
      <c r="A23" s="12" t="s">
        <v>36</v>
      </c>
      <c r="B23" s="0" t="s">
        <v>37</v>
      </c>
      <c r="C23" s="13">
        <v>2.86</v>
      </c>
      <c r="D23" s="13"/>
      <c r="E23" s="13"/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37</v>
      </c>
      <c r="C24" s="13">
        <f>IFERROR(5.88*(1-w),"")</f>
        <v>5.711832</v>
      </c>
      <c r="D24" s="13">
        <v>5.88</v>
      </c>
      <c r="E24" s="13">
        <v/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41</v>
      </c>
      <c r="C25" s="13"/>
      <c r="D25" s="13"/>
      <c r="E25" s="13"/>
      <c r="F25" s="13"/>
      <c r="G25" s="13"/>
      <c r="I25" s="5"/>
      <c r="J25" s="0" t="s">
        <v>38</v>
      </c>
    </row>
    <row r="26" outlineLevel="2">
      <c r="A26" s="12" t="s">
        <v>42</v>
      </c>
      <c r="B26" s="0" t="s">
        <v>37</v>
      </c>
      <c r="C26" s="13">
        <f>IFERROR(75.77*(1-w),"")</f>
        <v>73.602978</v>
      </c>
      <c r="D26" s="13">
        <v>75.77</v>
      </c>
      <c r="E26" s="13">
        <v>80.503612409689751</v>
      </c>
      <c r="F26" s="13"/>
      <c r="G26" s="13"/>
      <c r="I26" s="5"/>
      <c r="J26" s="0" t="s">
        <v>38</v>
      </c>
    </row>
    <row r="27" outlineLevel="2">
      <c r="A27" s="12" t="s">
        <v>43</v>
      </c>
      <c r="B27" s="0" t="s">
        <v>37</v>
      </c>
      <c r="C27" s="13">
        <f>IFERROR(18.35*(1-w),"")</f>
        <v>17.82519000000001</v>
      </c>
      <c r="D27" s="13">
        <v>18.350000000000009</v>
      </c>
      <c r="E27" s="13">
        <v>19.496387590310249</v>
      </c>
      <c r="F27" s="13"/>
      <c r="G27" s="13"/>
      <c r="I27" s="5"/>
      <c r="J27" s="0" t="s">
        <v>44</v>
      </c>
    </row>
    <row r="28" outlineLevel="1">
      <c r="A28" s="11" t="s">
        <v>45</v>
      </c>
      <c r="I28" s="5"/>
    </row>
    <row r="29" outlineLevel="2">
      <c r="A29" s="12" t="s">
        <v>46</v>
      </c>
      <c r="B29" s="0" t="s">
        <v>37</v>
      </c>
      <c r="C29" s="13">
        <f>IFERROR(45.07*(1-w),"")</f>
        <v>43.780998000000004</v>
      </c>
      <c r="D29" s="13">
        <v>45.07</v>
      </c>
      <c r="E29" s="13">
        <v>47.885677858053548</v>
      </c>
      <c r="F29" s="13"/>
      <c r="G29" s="13"/>
      <c r="I29" s="5"/>
      <c r="J29" s="0" t="s">
        <v>47</v>
      </c>
      <c r="K29" s="0" t="s">
        <v>48</v>
      </c>
    </row>
    <row r="30" outlineLevel="2">
      <c r="A30" s="12" t="s">
        <v>49</v>
      </c>
      <c r="B30" s="0" t="s">
        <v>37</v>
      </c>
      <c r="C30" s="13">
        <f>IFERROR(5.68*(1-w),"")</f>
        <v>5.517552</v>
      </c>
      <c r="D30" s="13">
        <v>5.68</v>
      </c>
      <c r="E30" s="13">
        <v>6.03484912877178</v>
      </c>
      <c r="F30" s="13"/>
      <c r="G30" s="13"/>
      <c r="I30" s="5"/>
      <c r="J30" s="0" t="s">
        <v>47</v>
      </c>
      <c r="K30" s="0" t="s">
        <v>48</v>
      </c>
    </row>
    <row r="31" outlineLevel="2">
      <c r="A31" s="12" t="s">
        <v>50</v>
      </c>
      <c r="B31" s="0" t="s">
        <v>37</v>
      </c>
      <c r="C31" s="13">
        <f>IFERROR(43.1*(1-w),"")</f>
        <v>41.867340000000006</v>
      </c>
      <c r="D31" s="13">
        <v>43.1</v>
      </c>
      <c r="E31" s="13">
        <v>45.792605184870375</v>
      </c>
      <c r="F31" s="13"/>
      <c r="G31" s="13"/>
      <c r="I31" s="5"/>
      <c r="J31" s="0" t="s">
        <v>47</v>
      </c>
      <c r="K31" s="0" t="s">
        <v>48</v>
      </c>
    </row>
    <row r="32" outlineLevel="2">
      <c r="A32" s="12" t="s">
        <v>51</v>
      </c>
      <c r="B32" s="0" t="s">
        <v>37</v>
      </c>
      <c r="C32" s="13">
        <f>IFERROR(0.28*(1-w),"")</f>
        <v>0.271992</v>
      </c>
      <c r="D32" s="13">
        <v>0.28</v>
      </c>
      <c r="E32" s="13">
        <v>0.29749256268593288</v>
      </c>
      <c r="F32" s="13"/>
      <c r="G32" s="13"/>
      <c r="I32" s="5"/>
      <c r="J32" s="0" t="s">
        <v>47</v>
      </c>
      <c r="K32" s="0" t="s">
        <v>48</v>
      </c>
    </row>
    <row r="33" outlineLevel="2">
      <c r="A33" s="12" t="s">
        <v>52</v>
      </c>
      <c r="B33" s="0" t="s">
        <v>41</v>
      </c>
      <c r="C33" s="13"/>
      <c r="D33" s="13"/>
      <c r="E33" s="13"/>
      <c r="F33" s="13"/>
      <c r="G33" s="13"/>
      <c r="I33" s="5"/>
      <c r="J33" s="0" t="s">
        <v>47</v>
      </c>
      <c r="K33" s="0" t="s">
        <v>48</v>
      </c>
    </row>
    <row r="34" outlineLevel="2">
      <c r="A34" s="12" t="s">
        <v>53</v>
      </c>
      <c r="B34" s="0" t="s">
        <v>37</v>
      </c>
      <c r="C34" s="13">
        <f>IFERROR(100.21*(1-w)+w*100,"")</f>
        <v>100.203994</v>
      </c>
      <c r="D34" s="13">
        <v>100.21</v>
      </c>
      <c r="E34" s="13">
        <v>100.22311942201445</v>
      </c>
      <c r="F34" s="13"/>
      <c r="G34" s="13"/>
      <c r="I34" s="5"/>
      <c r="J34" s="0" t="s">
        <v>44</v>
      </c>
    </row>
    <row r="35" outlineLevel="1">
      <c r="A35" s="11" t="s">
        <v>54</v>
      </c>
      <c r="I35" s="5"/>
    </row>
    <row r="36" outlineLevel="2">
      <c r="A36" s="12" t="s">
        <v>55</v>
      </c>
      <c r="B36" s="0" t="s">
        <v>56</v>
      </c>
      <c r="C36" s="14">
        <f>IFERROR(2000*(1-w),"")</f>
        <v>1942.8000000000002</v>
      </c>
      <c r="D36" s="14">
        <v>2000</v>
      </c>
      <c r="E36" s="14">
        <v>2124.9468763280915</v>
      </c>
      <c r="F36" s="14"/>
      <c r="G36" s="14"/>
      <c r="I36" s="5"/>
    </row>
    <row r="37" outlineLevel="1">
      <c r="A37" s="11" t="s">
        <v>57</v>
      </c>
      <c r="I37" s="5"/>
    </row>
    <row r="38" outlineLevel="2">
      <c r="A38" s="12" t="s">
        <v>58</v>
      </c>
      <c r="B38" s="0" t="s">
        <v>59</v>
      </c>
      <c r="C38" s="13">
        <f>IFERROR(17.84*(1-w),"")</f>
        <v>17.329776</v>
      </c>
      <c r="D38" s="13">
        <v>17.84</v>
      </c>
      <c r="E38" s="13">
        <v>18.954526136846578</v>
      </c>
      <c r="F38" s="13"/>
      <c r="G38" s="13"/>
      <c r="I38" s="5"/>
      <c r="J38" s="0" t="s">
        <v>44</v>
      </c>
    </row>
    <row r="39" outlineLevel="2">
      <c r="A39" s="12" t="s">
        <v>60</v>
      </c>
      <c r="B39" s="0" t="s">
        <v>59</v>
      </c>
      <c r="C39" s="13">
        <f>IFERROR(17.5875558832*(1-w),"")</f>
        <v>17.084551784940484</v>
      </c>
      <c r="D39" s="13">
        <v>17.587555883200004</v>
      </c>
      <c r="E39" s="13">
        <v>18.6863109681258</v>
      </c>
      <c r="F39" s="13"/>
      <c r="G39" s="13"/>
      <c r="I39" s="5"/>
      <c r="J39" s="0" t="s">
        <v>44</v>
      </c>
    </row>
    <row r="40" outlineLevel="1">
      <c r="A40" s="11" t="s">
        <v>61</v>
      </c>
      <c r="I40" s="5"/>
    </row>
    <row r="41" outlineLevel="2">
      <c r="A41" s="12" t="s">
        <v>62</v>
      </c>
      <c r="B41" s="0" t="s">
        <v>63</v>
      </c>
      <c r="C41" s="14">
        <v>193</v>
      </c>
      <c r="D41" s="14"/>
      <c r="E41" s="14"/>
      <c r="F41" s="14"/>
      <c r="G41" s="14"/>
      <c r="I41" s="5"/>
      <c r="J41" s="0" t="s">
        <v>64</v>
      </c>
    </row>
    <row r="42" outlineLevel="2">
      <c r="A42" s="12" t="s">
        <v>65</v>
      </c>
      <c r="B42" s="0" t="s">
        <v>63</v>
      </c>
      <c r="C42" s="14">
        <v>1237</v>
      </c>
      <c r="D42" s="14"/>
      <c r="E42" s="14"/>
      <c r="F42" s="14"/>
      <c r="G42" s="14"/>
      <c r="I42" s="5"/>
      <c r="J42" s="0" t="s">
        <v>64</v>
      </c>
    </row>
    <row r="43" outlineLevel="2">
      <c r="A43" s="12" t="s">
        <v>66</v>
      </c>
      <c r="B43" s="0" t="s">
        <v>63</v>
      </c>
      <c r="C43" s="14">
        <v>983</v>
      </c>
      <c r="D43" s="14"/>
      <c r="E43" s="14"/>
      <c r="F43" s="14"/>
      <c r="G43" s="14"/>
      <c r="I43" s="5"/>
      <c r="J43" s="0" t="s">
        <v>64</v>
      </c>
    </row>
    <row r="44" outlineLevel="2">
      <c r="A44" s="12" t="s">
        <v>67</v>
      </c>
      <c r="B44" s="0" t="s">
        <v>63</v>
      </c>
      <c r="C44" s="14">
        <v>6803</v>
      </c>
      <c r="D44" s="14"/>
      <c r="E44" s="14"/>
      <c r="F44" s="14"/>
      <c r="G44" s="14"/>
      <c r="I44" s="5"/>
      <c r="J44" s="0" t="s">
        <v>64</v>
      </c>
    </row>
    <row r="45" outlineLevel="2">
      <c r="A45" s="12" t="s">
        <v>68</v>
      </c>
      <c r="B45" s="0" t="s">
        <v>63</v>
      </c>
      <c r="C45" s="14">
        <v>1654</v>
      </c>
      <c r="D45" s="14"/>
      <c r="E45" s="14"/>
      <c r="F45" s="14"/>
      <c r="G45" s="14"/>
      <c r="I45" s="5"/>
      <c r="J45" s="0" t="s">
        <v>64</v>
      </c>
    </row>
    <row r="46" outlineLevel="2">
      <c r="A46" s="12" t="s">
        <v>69</v>
      </c>
      <c r="B46" s="0" t="s">
        <v>63</v>
      </c>
      <c r="C46" s="14">
        <v>86</v>
      </c>
      <c r="D46" s="14"/>
      <c r="E46" s="14"/>
      <c r="F46" s="14"/>
      <c r="G46" s="14"/>
      <c r="I46" s="5"/>
      <c r="J46" s="0" t="s">
        <v>64</v>
      </c>
    </row>
    <row r="47" outlineLevel="2">
      <c r="A47" s="12" t="s">
        <v>70</v>
      </c>
      <c r="B47" s="0" t="s">
        <v>63</v>
      </c>
      <c r="C47" s="14">
        <v>1231</v>
      </c>
      <c r="D47" s="14"/>
      <c r="E47" s="14"/>
      <c r="F47" s="14"/>
      <c r="G47" s="14"/>
      <c r="I47" s="5"/>
      <c r="J47" s="0" t="s">
        <v>64</v>
      </c>
    </row>
    <row r="48" outlineLevel="2">
      <c r="A48" s="12" t="s">
        <v>71</v>
      </c>
      <c r="B48" s="0" t="s">
        <v>63</v>
      </c>
      <c r="C48" s="14">
        <v>24561</v>
      </c>
      <c r="D48" s="14"/>
      <c r="E48" s="14"/>
      <c r="F48" s="14"/>
      <c r="G48" s="14"/>
      <c r="I48" s="5"/>
      <c r="J48" s="0" t="s">
        <v>64</v>
      </c>
    </row>
    <row r="49" outlineLevel="2">
      <c r="A49" s="12" t="s">
        <v>72</v>
      </c>
      <c r="B49" s="0" t="s">
        <v>63</v>
      </c>
      <c r="C49" s="14">
        <v>35</v>
      </c>
      <c r="D49" s="14"/>
      <c r="E49" s="14"/>
      <c r="F49" s="14"/>
      <c r="G49" s="14"/>
      <c r="I49" s="5"/>
      <c r="J49" s="0" t="s">
        <v>64</v>
      </c>
    </row>
    <row r="50">
      <c r="I50" s="5"/>
    </row>
    <row r="51" s="1" customFormat="1"/>
  </sheetData>
  <mergeCells>
    <mergeCell ref="A8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25:E25"/>
    <mergeCell ref="C33:E33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</mergeCells>
  <dataValidations count="1">
    <dataValidation type="decimal" sqref="C23" errorStyle="stop" promptTitle="Enter moisture content" errorTitle="Invalid moisture content" prompt="Value should be between 0 and 100.&#10;Original value: 2.8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https://phyllis.nl/Biomass/View/3939</dc:description>
  <dcterms:created xsi:type="dcterms:W3CDTF">2026-03-17T06:17:05Z</dcterms:created>
  <dc:title>Phyllis2 #3939 Wheat Straw, prewashed - 10 min (0.05-0.08 mm)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