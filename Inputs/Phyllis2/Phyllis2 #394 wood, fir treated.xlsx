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 wood, fir treated" sheetId="1" r:id="rId1"/>
  </sheets>
  <definedNames>
    <definedName name="w" localSheetId="0">IF(ISBLANK('Phyllis2 #394 wood, fir treated'!$C$18),#N/A,'Phyllis2 #394 wood, fir treated'!$C$18/100)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<sst xmlns="http://schemas.openxmlformats.org/spreadsheetml/2006/main" count="75" uniqueCount="75">
  <si>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</si>
  <si>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https://phyllis.nl/Biomass/View/394</t>
  </si>
  <si>
    <t>wood, fir treated (#394)</t>
  </si>
  <si>
    <t>ID-number</t>
  </si>
  <si>
    <t>#394</t>
  </si>
  <si>
    <t>Material</t>
  </si>
  <si>
    <t>wood, fir treated</t>
  </si>
  <si>
    <t>Classification</t>
  </si>
  <si>
    <t>ECN Phyllis classification &gt; treated wood &gt; salt impregnated</t>
  </si>
  <si>
    <t>NTA 8003 classification &gt; [100] hout &gt; [150] verwerkt hout &gt; [180] geïmpregneerd hout (C-hout)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</si>
  <si>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</si>
  <si>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</si>
  <si>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</si>
  <si>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</si>
  <si>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</si>
  <si>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</si>
  <si>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</si>
  <si>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</si>
  <si>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</si>
  <si>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</si>
  <si>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</si>
  <si>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</si>
  <si>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</si>
  <si>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</si>
  <si>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</si>
  <si>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</si>
  <si>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</si>
  <si>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</si>
  <si>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</si>
  <si>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</si>
  <si>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</si>
  <si>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</si>
  <si>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</si>
  <si>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</si>
  <si>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</si>
  <si>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</si>
  <si>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</si>
  <si>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</si>
  <si>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</si>
  <si>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</si>
  <si>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</si>
  <si>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</si>
  <si>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</si>
  <si>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</si>
  <si>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</si>
  <si>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</si>
  <si>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</si>
  <si>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</si>
  <si>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</si>
  <si>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</si>
  <si>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</si>
  <si>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</si>
  <si>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</si>
  <si>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</si>
  <si>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</si>
  <si>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</si>
  <si>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Nickel (Ni)</t>
  </si>
  <si>
    <t>Lead (Pb)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</si>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</sst>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IFERROR(1.23*(1-w),"")</f>
        <v/>
      </c>
      <c r="D19" s="11">
        <v>1.23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IFERROR(50.19*(1-w),"")</f>
        <v/>
      </c>
      <c r="D21" s="11">
        <v>50.19</v>
      </c>
      <c r="E21" s="11">
        <v>50.815024805102759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IFERROR(6.24*(1-w),"")</f>
        <v/>
      </c>
      <c r="D22" s="11">
        <v>6.24</v>
      </c>
      <c r="E22" s="11">
        <v>6.3177078060139715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IFERROR(40.44*(1-w),"")</f>
        <v/>
      </c>
      <c r="D23" s="11">
        <v>40.44</v>
      </c>
      <c r="E23" s="11">
        <v>40.943606358205926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IFERROR(1.89*(1-w),"")</f>
        <v/>
      </c>
      <c r="D24" s="11">
        <v>1.89</v>
      </c>
      <c r="E24" s="11">
        <v>1.9135364989369241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0.010124531740407006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1">
        <f>IFERROR(17.91733*(1-w)-w*2.443,"")</f>
        <v/>
      </c>
      <c r="D28" s="11">
        <v>17.91733</v>
      </c>
      <c r="E28" s="11">
        <v>18.140457628834668</v>
      </c>
      <c r="F28" s="11"/>
      <c r="G28" s="11"/>
      <c r="I28" s="13"/>
    </row>
    <row r="29" outlineLevel="2">
      <c r="A29" s="10" t="s">
        <v>47</v>
      </c>
      <c r="B29" s="0" t="s">
        <v>46</v>
      </c>
      <c r="C29" s="11">
        <f>IFERROR(19.279*(1-w),"")</f>
        <v/>
      </c>
      <c r="D29" s="11">
        <v>19.279</v>
      </c>
      <c r="E29" s="11">
        <v>19.519084742330666</v>
      </c>
      <c r="F29" s="11"/>
      <c r="G29" s="11"/>
      <c r="I29" s="13"/>
    </row>
    <row r="30" outlineLevel="2">
      <c r="A30" s="10" t="s">
        <v>48</v>
      </c>
      <c r="B30" s="0" t="s">
        <v>46</v>
      </c>
      <c r="C30" s="11">
        <f>IFERROR(20.2665684737*(1-w),"")</f>
        <v/>
      </c>
      <c r="D30" s="11">
        <v>20.2665684737</v>
      </c>
      <c r="E30" s="11">
        <v>20.518951578110762</v>
      </c>
      <c r="F30" s="11"/>
      <c r="G30" s="11"/>
      <c r="I30" s="13"/>
      <c r="J30" s="0" t="s">
        <v>40</v>
      </c>
    </row>
    <row r="31" outlineLevel="1">
      <c r="A31" s="9" t="s">
        <v>49</v>
      </c>
      <c r="I31" s="13"/>
    </row>
    <row r="32" outlineLevel="2">
      <c r="A32" s="10" t="s">
        <v>50</v>
      </c>
      <c r="B32" s="0" t="s">
        <v>51</v>
      </c>
      <c r="C32" s="12">
        <v>10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52</v>
      </c>
      <c r="B33" s="0" t="s">
        <v>51</v>
      </c>
      <c r="C33" s="12">
        <v>17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53</v>
      </c>
      <c r="B34" s="0" t="s">
        <v>51</v>
      </c>
      <c r="C34" s="12">
        <v>0.3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54</v>
      </c>
      <c r="B35" s="0" t="s">
        <v>51</v>
      </c>
      <c r="C35" s="12">
        <v>31.7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55</v>
      </c>
      <c r="B36" s="0" t="s">
        <v>51</v>
      </c>
      <c r="C36" s="12">
        <v>64.5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56</v>
      </c>
      <c r="B37" s="0" t="s">
        <v>51</v>
      </c>
      <c r="C37" s="12">
        <v>0.85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57</v>
      </c>
      <c r="B38" s="0" t="s">
        <v>51</v>
      </c>
      <c r="C38" s="12">
        <v>1.2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58</v>
      </c>
      <c r="B39" s="0" t="s">
        <v>51</v>
      </c>
      <c r="C39" s="12">
        <v>17.22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59</v>
      </c>
      <c r="B40" s="0" t="s">
        <v>51</v>
      </c>
      <c r="C40" s="12">
        <v>11.84</v>
      </c>
      <c r="D40" s="12"/>
      <c r="E40" s="12"/>
      <c r="F40" s="12"/>
      <c r="G40" s="12"/>
      <c r="I40" s="13"/>
      <c r="J40" s="0" t="s">
        <v>37</v>
      </c>
    </row>
    <row r="41">
      <c r="A41" s="5" t="s">
        <v>60</v>
      </c>
      <c r="I41" s="13"/>
    </row>
    <row r="42" outlineLevel="1">
      <c r="A42" s="9" t="s">
        <v>61</v>
      </c>
      <c r="I42" s="13"/>
    </row>
    <row r="43" outlineLevel="2">
      <c r="A43" s="10" t="s">
        <v>62</v>
      </c>
      <c r="B43" s="0" t="s">
        <v>63</v>
      </c>
      <c r="C43" s="11">
        <v>0.15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63</v>
      </c>
      <c r="C44" s="11">
        <v>80.64</v>
      </c>
      <c r="D44" s="11"/>
      <c r="E44" s="11"/>
      <c r="F44" s="11"/>
      <c r="G44" s="11"/>
      <c r="I44" s="13"/>
    </row>
    <row r="45" outlineLevel="2">
      <c r="A45" s="10" t="s">
        <v>65</v>
      </c>
      <c r="B45" s="0" t="s">
        <v>63</v>
      </c>
      <c r="C45" s="11">
        <v>1.37</v>
      </c>
      <c r="D45" s="11"/>
      <c r="E45" s="11"/>
      <c r="F45" s="11"/>
      <c r="G45" s="11"/>
      <c r="I45" s="13"/>
    </row>
    <row r="46" outlineLevel="2">
      <c r="A46" s="10" t="s">
        <v>66</v>
      </c>
      <c r="B46" s="0" t="s">
        <v>63</v>
      </c>
      <c r="C46" s="11">
        <v>0.86</v>
      </c>
      <c r="D46" s="11"/>
      <c r="E46" s="11"/>
      <c r="F46" s="11"/>
      <c r="G46" s="11"/>
      <c r="I46" s="13"/>
    </row>
    <row r="47" outlineLevel="2">
      <c r="A47" s="10" t="s">
        <v>67</v>
      </c>
      <c r="B47" s="0" t="s">
        <v>63</v>
      </c>
      <c r="C47" s="11">
        <v>0.44</v>
      </c>
      <c r="D47" s="11"/>
      <c r="E47" s="11"/>
      <c r="F47" s="11"/>
      <c r="G47" s="11"/>
      <c r="I47" s="13"/>
    </row>
    <row r="48" outlineLevel="2">
      <c r="A48" s="10" t="s">
        <v>68</v>
      </c>
      <c r="B48" s="0" t="s">
        <v>63</v>
      </c>
      <c r="C48" s="11">
        <v>7.35</v>
      </c>
      <c r="D48" s="11"/>
      <c r="E48" s="11"/>
      <c r="F48" s="11"/>
      <c r="G48" s="11"/>
      <c r="I48" s="13"/>
    </row>
    <row r="49" outlineLevel="2">
      <c r="A49" s="10" t="s">
        <v>69</v>
      </c>
      <c r="B49" s="0" t="s">
        <v>63</v>
      </c>
      <c r="C49" s="11">
        <v>1.62</v>
      </c>
      <c r="D49" s="11"/>
      <c r="E49" s="11"/>
      <c r="F49" s="11"/>
      <c r="G49" s="11"/>
      <c r="I49" s="13"/>
    </row>
    <row r="50" outlineLevel="2">
      <c r="A50" s="10" t="s">
        <v>70</v>
      </c>
      <c r="B50" s="0" t="s">
        <v>63</v>
      </c>
      <c r="C50" s="11">
        <v>2.47</v>
      </c>
      <c r="D50" s="11"/>
      <c r="E50" s="11"/>
      <c r="F50" s="11"/>
      <c r="G50" s="11"/>
      <c r="I50" s="13"/>
    </row>
    <row r="51" outlineLevel="2">
      <c r="A51" s="10" t="s">
        <v>71</v>
      </c>
      <c r="B51" s="0" t="s">
        <v>63</v>
      </c>
      <c r="C51" s="11">
        <v>2.93</v>
      </c>
      <c r="D51" s="11"/>
      <c r="E51" s="11"/>
      <c r="F51" s="11"/>
      <c r="G51" s="11"/>
      <c r="I51" s="13"/>
    </row>
    <row r="52" outlineLevel="2">
      <c r="A52" s="10" t="s">
        <v>72</v>
      </c>
      <c r="B52" s="0" t="s">
        <v>63</v>
      </c>
      <c r="C52" s="11">
        <v>0.03</v>
      </c>
      <c r="D52" s="11"/>
      <c r="E52" s="11"/>
      <c r="F52" s="11"/>
      <c r="G52" s="11"/>
      <c r="I52" s="13"/>
    </row>
    <row r="53" outlineLevel="2">
      <c r="A53" s="10" t="s">
        <v>73</v>
      </c>
      <c r="B53" s="0" t="s">
        <v>74</v>
      </c>
      <c r="C53" s="12">
        <v>0.26</v>
      </c>
      <c r="D53" s="12"/>
      <c r="E53" s="12"/>
      <c r="F53" s="12"/>
      <c r="G53" s="12"/>
      <c r="I53" s="13"/>
    </row>
    <row r="54">
      <c r="I54" s="13"/>
    </row>
    <row r="5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</dc:description>
  <dcterms:created xsi:type="dcterms:W3CDTF">2026-03-19T04:12:03Z</dcterms:created>
  <dc:title>Phyllis2 #394 wood, fir treated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