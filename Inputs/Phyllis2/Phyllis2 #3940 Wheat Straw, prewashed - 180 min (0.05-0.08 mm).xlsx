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0 Wheat Straw, pre" sheetId="1" r:id="rId1"/>
  </sheets>
  <definedNames>
    <definedName name="w" localSheetId="0">IF(ISBLANK('Phyllis2 #3940 Wheat Straw, pre'!$C$23),#N/A,'Phyllis2 #3940 Wheat Straw, pre'!$C$23/100)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<sst xmlns="http://schemas.openxmlformats.org/spreadsheetml/2006/main" count="73" uniqueCount="73">
  <si>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</si>
  <si>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https://phyllis.nl/Biomass/View/3940</t>
  </si>
  <si>
    <t>Wheat Straw, prewashed - 180 min (0.05-0.08 mm) (#3940)</t>
  </si>
  <si>
    <t>ID-number</t>
  </si>
  <si>
    <t>#3940</t>
  </si>
  <si>
    <t>Material</t>
  </si>
  <si>
    <t>Wheat Straw, prewashed - 180 min (0.05-0.08 mm)</t>
  </si>
  <si>
    <t>Description</t>
  </si>
  <si>
    <t>Particle size used for water washing experiment was 0.05-0.08 mm More washed sample data for 0,2,5,10,30,60,180 min washing duration is available in the refrenced article</t>
  </si>
  <si>
    <t>Classification</t>
  </si>
  <si>
    <t>ECN Phyllis classification &gt; straw (stalk/cob/ear) &gt; wheat &gt; wheat straw</t>
  </si>
  <si>
    <t>Submitter organisation</t>
  </si>
  <si>
    <t>TNO (Netherlands)</t>
  </si>
  <si>
    <t>Submission date</t>
  </si>
  <si>
    <t>Remarks</t>
  </si>
  <si>
    <t>Cultivation region: Pirkanmaa region, Finland</t>
  </si>
  <si>
    <t>Harvesting date: 2019</t>
  </si>
  <si>
    <t>Literature</t>
  </si>
  <si>
    <t>Author/institution: Abhishek Singhal, Tero Joronen, Jukka Konttinen (Tampere University)</t>
  </si>
  <si>
    <t>Year: 2021</t>
  </si>
  <si>
    <t>Journal/project: Fuel (Elsevier)</t>
  </si>
  <si>
    <t>DOI/link: https://doi.org/10.1016/j.fuel.2021.120206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</si>
  <si>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</si>
  <si>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</si>
  <si>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</si>
  <si>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</si>
  <si>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</si>
  <si>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</si>
  <si>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</si>
  <si>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</si>
  <si>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</si>
  <si>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</si>
  <si>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</si>
  <si>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</si>
  <si>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</si>
  <si>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</si>
  <si>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</si>
  <si>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</si>
  <si>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</si>
  <si>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</si>
  <si>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</si>
  <si>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</si>
  <si>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</si>
  <si>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</si>
  <si>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</si>
  <si>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</si>
  <si>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</si>
  <si>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</si>
  <si>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</si>
  <si>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</si>
  <si>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</si>
  <si>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</si>
  <si>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</si>
  <si>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</si>
  <si>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</si>
  <si>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</si>
  <si>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</si>
  <si>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</si>
  <si>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</si>
  <si>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</si>
  <si>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</si>
  <si>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</si>
  <si>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</si>
  <si>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</si>
  <si>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XRF analysis</t>
  </si>
  <si>
    <t>Calcium (Ca)</t>
  </si>
  <si>
    <t>Iron (Fe)</t>
  </si>
  <si>
    <t>Potassium (K)</t>
  </si>
  <si>
    <t>Magnesium (Mg)</t>
  </si>
  <si>
    <t>Manganese (Mn)</t>
  </si>
  <si>
    <t>Phosphorus (P)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</si>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</sst>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45009.4221180556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14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3.1</v>
      </c>
      <c r="D23" s="13"/>
      <c r="E23" s="13"/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37</v>
      </c>
      <c r="C24" s="13">
        <f>IFERROR(5.54*(1-w),"")</f>
        <v>5.36826</v>
      </c>
      <c r="D24" s="13">
        <v>5.54</v>
      </c>
      <c r="E24" s="13">
        <v/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41</v>
      </c>
      <c r="C25" s="13"/>
      <c r="D25" s="13"/>
      <c r="E25" s="13"/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37</v>
      </c>
      <c r="C26" s="13">
        <f>IFERROR(75.85*(1-w),"")</f>
        <v>73.49865</v>
      </c>
      <c r="D26" s="13">
        <v>75.85</v>
      </c>
      <c r="E26" s="13">
        <v>80.298539064154127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37</v>
      </c>
      <c r="C27" s="13">
        <f>IFERROR(18.61*(1-w),"")</f>
        <v>18.033089999999998</v>
      </c>
      <c r="D27" s="13">
        <v>18.61</v>
      </c>
      <c r="E27" s="13">
        <v>19.701460935845859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37</v>
      </c>
      <c r="C29" s="13">
        <f>IFERROR(45.36*(1-w),"")</f>
        <v>43.95384</v>
      </c>
      <c r="D29" s="13">
        <v>45.36</v>
      </c>
      <c r="E29" s="13">
        <v>48.020326063942406</v>
      </c>
      <c r="F29" s="13"/>
      <c r="G29" s="13"/>
      <c r="I29" s="5"/>
      <c r="J29" s="0" t="s">
        <v>47</v>
      </c>
      <c r="K29" s="0" t="s">
        <v>48</v>
      </c>
    </row>
    <row r="30" outlineLevel="2">
      <c r="A30" s="12" t="s">
        <v>49</v>
      </c>
      <c r="B30" s="0" t="s">
        <v>37</v>
      </c>
      <c r="C30" s="13">
        <f>IFERROR(5.78*(1-w),"")</f>
        <v>5.60082</v>
      </c>
      <c r="D30" s="13">
        <v>5.78</v>
      </c>
      <c r="E30" s="13">
        <v>6.1189921659961888</v>
      </c>
      <c r="F30" s="13"/>
      <c r="G30" s="13"/>
      <c r="I30" s="5"/>
      <c r="J30" s="0" t="s">
        <v>47</v>
      </c>
      <c r="K30" s="0" t="s">
        <v>48</v>
      </c>
    </row>
    <row r="31" outlineLevel="2">
      <c r="A31" s="12" t="s">
        <v>50</v>
      </c>
      <c r="B31" s="0" t="s">
        <v>37</v>
      </c>
      <c r="C31" s="13">
        <f>IFERROR(43.05*(1-w),"")</f>
        <v>41.71545</v>
      </c>
      <c r="D31" s="13">
        <v>43.05</v>
      </c>
      <c r="E31" s="13">
        <v>45.574846495871263</v>
      </c>
      <c r="F31" s="13"/>
      <c r="G31" s="13"/>
      <c r="I31" s="5"/>
      <c r="J31" s="0" t="s">
        <v>47</v>
      </c>
      <c r="K31" s="0" t="s">
        <v>48</v>
      </c>
    </row>
    <row r="32" outlineLevel="2">
      <c r="A32" s="12" t="s">
        <v>51</v>
      </c>
      <c r="B32" s="0" t="s">
        <v>37</v>
      </c>
      <c r="C32" s="13">
        <f>IFERROR(0.27*(1-w),"")</f>
        <v>0.26163000000000003</v>
      </c>
      <c r="D32" s="13">
        <v>0.27</v>
      </c>
      <c r="E32" s="13">
        <v>0.28583527419013344</v>
      </c>
      <c r="F32" s="13"/>
      <c r="G32" s="13"/>
      <c r="I32" s="5"/>
      <c r="J32" s="0" t="s">
        <v>47</v>
      </c>
      <c r="K32" s="0" t="s">
        <v>48</v>
      </c>
    </row>
    <row r="33" outlineLevel="2">
      <c r="A33" s="12" t="s">
        <v>52</v>
      </c>
      <c r="B33" s="0" t="s">
        <v>41</v>
      </c>
      <c r="C33" s="13"/>
      <c r="D33" s="13"/>
      <c r="E33" s="13"/>
      <c r="F33" s="13"/>
      <c r="G33" s="13"/>
      <c r="I33" s="5"/>
      <c r="J33" s="0" t="s">
        <v>47</v>
      </c>
      <c r="K33" s="0" t="s">
        <v>48</v>
      </c>
    </row>
    <row r="34" outlineLevel="2">
      <c r="A34" s="12" t="s">
        <v>53</v>
      </c>
      <c r="B34" s="0" t="s">
        <v>37</v>
      </c>
      <c r="C34" s="13">
        <f>IFERROR(100.12*(1-w)+w*100,"")</f>
        <v>100.11627999999999</v>
      </c>
      <c r="D34" s="13">
        <v>100.12</v>
      </c>
      <c r="E34" s="13">
        <v>100.12703789964006</v>
      </c>
      <c r="F34" s="13"/>
      <c r="G34" s="13"/>
      <c r="I34" s="5"/>
      <c r="J34" s="0" t="s">
        <v>44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4">
        <f>IFERROR(1200*(1-w),"")</f>
        <v>1162.8</v>
      </c>
      <c r="D36" s="14">
        <v>1200</v>
      </c>
      <c r="E36" s="14">
        <v>1270.3789964005928</v>
      </c>
      <c r="F36" s="14"/>
      <c r="G36" s="14"/>
      <c r="I36" s="5"/>
    </row>
    <row r="37" outlineLevel="1">
      <c r="A37" s="11" t="s">
        <v>57</v>
      </c>
      <c r="I37" s="5"/>
    </row>
    <row r="38" outlineLevel="2">
      <c r="A38" s="12" t="s">
        <v>58</v>
      </c>
      <c r="B38" s="0" t="s">
        <v>59</v>
      </c>
      <c r="C38" s="13">
        <f>IFERROR(18.07*(1-w),"")</f>
        <v>17.50983</v>
      </c>
      <c r="D38" s="13">
        <v>18.07</v>
      </c>
      <c r="E38" s="13">
        <v>19.129790387465594</v>
      </c>
      <c r="F38" s="13"/>
      <c r="G38" s="13"/>
      <c r="I38" s="5"/>
      <c r="J38" s="0" t="s">
        <v>44</v>
      </c>
    </row>
    <row r="39" outlineLevel="2">
      <c r="A39" s="12" t="s">
        <v>60</v>
      </c>
      <c r="B39" s="0" t="s">
        <v>59</v>
      </c>
      <c r="C39" s="13">
        <f>IFERROR(17.8304538148*(1-w),"")</f>
        <v>17.2777097465412</v>
      </c>
      <c r="D39" s="13">
        <v>17.8304538148</v>
      </c>
      <c r="E39" s="13">
        <v>18.876195018843955</v>
      </c>
      <c r="F39" s="13"/>
      <c r="G39" s="13"/>
      <c r="I39" s="5"/>
      <c r="J39" s="0" t="s">
        <v>44</v>
      </c>
    </row>
    <row r="40" outlineLevel="1">
      <c r="A40" s="11" t="s">
        <v>61</v>
      </c>
      <c r="I40" s="5"/>
    </row>
    <row r="41" outlineLevel="2">
      <c r="A41" s="12" t="s">
        <v>62</v>
      </c>
      <c r="B41" s="0" t="s">
        <v>63</v>
      </c>
      <c r="C41" s="14">
        <v>222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65</v>
      </c>
      <c r="B42" s="0" t="s">
        <v>63</v>
      </c>
      <c r="C42" s="14">
        <v>1153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66</v>
      </c>
      <c r="B43" s="0" t="s">
        <v>63</v>
      </c>
      <c r="C43" s="14">
        <v>1365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67</v>
      </c>
      <c r="B44" s="0" t="s">
        <v>63</v>
      </c>
      <c r="C44" s="14">
        <v>4728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68</v>
      </c>
      <c r="B45" s="0" t="s">
        <v>63</v>
      </c>
      <c r="C45" s="14">
        <v>1529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69</v>
      </c>
      <c r="B46" s="0" t="s">
        <v>63</v>
      </c>
      <c r="C46" s="14">
        <v>91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70</v>
      </c>
      <c r="B47" s="0" t="s">
        <v>63</v>
      </c>
      <c r="C47" s="14">
        <v>955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71</v>
      </c>
      <c r="B48" s="0" t="s">
        <v>63</v>
      </c>
      <c r="C48" s="14">
        <v>23650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72</v>
      </c>
      <c r="B49" s="0" t="s">
        <v>63</v>
      </c>
      <c r="C49" s="14">
        <v>26</v>
      </c>
      <c r="D49" s="14"/>
      <c r="E49" s="14"/>
      <c r="F49" s="14"/>
      <c r="G49" s="14"/>
      <c r="I49" s="5"/>
      <c r="J49" s="0" t="s">
        <v>64</v>
      </c>
    </row>
    <row r="50">
      <c r="I50" s="5"/>
    </row>
    <row r="51" s="1" customFormat="1"/>
  </sheetData>
  <mergeCells>
    <mergeCell ref="A8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5:E25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3" errorStyle="stop" promptTitle="Enter moisture content" errorTitle="Invalid moisture content" prompt="Value should be between 0 and 100.&#10;Original value: 3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https://phyllis.nl/Biomass/View/3940</dc:description>
  <dcterms:created xsi:type="dcterms:W3CDTF">2026-03-17T06:17:11Z</dcterms:created>
  <dc:title>Phyllis2 #3940 Wheat Straw, prewashed - 180 min (0.05-0.08 mm)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