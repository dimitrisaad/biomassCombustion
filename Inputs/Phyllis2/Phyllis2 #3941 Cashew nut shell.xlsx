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1 Cashew nut shell" sheetId="1" r:id="rId1"/>
  </sheets>
  <definedNames>
    <definedName name="w" localSheetId="0">IF(ISBLANK('Phyllis2 #3941 Cashew nut shell'!$C$22),#N/A,'Phyllis2 #3941 Cashew nut shell'!$C$22/100)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<sst xmlns="http://schemas.openxmlformats.org/spreadsheetml/2006/main" count="94" uniqueCount="94">
  <si>
    <t>Phyllis2</t>
  </si>
  <si>
    <t>https://phyllis.nl/Biomass/View/3941</t>
  </si>
  <si>
    <t>Cashew nut shell (#3941)</t>
  </si>
  <si>
    <t>ID-number</t>
  </si>
  <si>
    <t>#3941</t>
  </si>
  <si>
    <t>Material</t>
  </si>
  <si>
    <t>Cashew nut shell</t>
  </si>
  <si>
    <t>Description</t>
  </si>
  <si>
    <t>Shell had steam treatment</t>
  </si>
  <si>
    <t>Classification</t>
  </si>
  <si>
    <t>ECN Phyllis classification &gt; husk/shell/pit &gt; others</t>
  </si>
  <si>
    <t>Submitter organisation</t>
  </si>
  <si>
    <t>TNO (Netherlands)</t>
  </si>
  <si>
    <t>Submission date</t>
  </si>
  <si>
    <t>Remarks</t>
  </si>
  <si>
    <t>Cultivation region: Burkina Faso, Bobo Dioulasso</t>
  </si>
  <si>
    <t>Literature</t>
  </si>
  <si>
    <t>Author/institution: J.Valette, CIRAD; I.Ouedraogo, 2IE</t>
  </si>
  <si>
    <t>Year: 2021</t>
  </si>
  <si>
    <t>Journal/project: BIOSTAR grant contract / European Union external actions: FOOD/2019/410-794</t>
  </si>
  <si>
    <t>DOI/link: www.biostar-afrique.org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</si>
  <si>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</si>
  <si>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</si>
  <si>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</si>
  <si>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</si>
  <si>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</si>
  <si>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</si>
  <si>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</si>
  <si>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</si>
  <si>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</si>
  <si>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</si>
  <si>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</si>
  <si>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</si>
  <si>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</si>
  <si>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</si>
  <si>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</si>
  <si>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</si>
  <si>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NF EN ISO 18134-3</t>
  </si>
  <si>
    <t>Ash content at 550°C</t>
  </si>
  <si>
    <t>NF EN ISO 18122</t>
  </si>
  <si>
    <t>Volatile matter</t>
  </si>
  <si>
    <t>NF EN ISO 18123</t>
  </si>
  <si>
    <t>Fixed carbon</t>
  </si>
  <si>
    <t>Calculated</t>
  </si>
  <si>
    <t>Ultimate analysis (macroelements)</t>
  </si>
  <si>
    <t>Carbon</t>
  </si>
  <si>
    <t>NF EN ISO 16948</t>
  </si>
  <si>
    <t>Hydrogen</t>
  </si>
  <si>
    <t>Oxygen</t>
  </si>
  <si>
    <t>Nitrogen</t>
  </si>
  <si>
    <t>Sulphur</t>
  </si>
  <si>
    <t>µ-onde + acid mineralization - ICP-AES analysis</t>
  </si>
  <si>
    <t>Total (with halides)</t>
  </si>
  <si>
    <t>Halides</t>
  </si>
  <si>
    <t>Chlorine (Cl)</t>
  </si>
  <si>
    <t>mg/kg (dry)</t>
  </si>
  <si>
    <t>(0,011)&lt;LD=0,028</t>
  </si>
  <si>
    <t>HNO3 extraction - colorimetry</t>
  </si>
  <si>
    <t>Heating value</t>
  </si>
  <si>
    <t>Net calorific value (LHV)</t>
  </si>
  <si>
    <t>MJ/kg</t>
  </si>
  <si>
    <t>NF EN ISO 18125</t>
  </si>
  <si>
    <t>Gross calorific value (HHV)</t>
  </si>
  <si>
    <t>HHVMilne</t>
  </si>
  <si>
    <t>Trace elements composition</t>
  </si>
  <si>
    <t>Aluminium (Al)</t>
  </si>
  <si>
    <t>Double calcination mineralization - ICP-AES analysis</t>
  </si>
  <si>
    <t>Boron (B)</t>
  </si>
  <si>
    <t>(3,52)&lt;LD=4,81</t>
  </si>
  <si>
    <t>Calcium (Ca)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</si>
  <si>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</si>
  <si>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</si>
  <si>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</si>
  <si>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</si>
  <si>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</si>
  <si>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</si>
  <si>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</si>
  <si>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</si>
  <si>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(374)&lt;LD=421</t>
  </si>
  <si>
    <t>Titanium (Ti)</t>
  </si>
  <si>
    <t>(5,63)&lt;LD=6,57</t>
  </si>
  <si>
    <t>Zinc (Zn)</t>
  </si>
  <si>
    <t>Biochemical analysis</t>
  </si>
  <si>
    <t>Extractives</t>
  </si>
  <si>
    <t>Ethanol</t>
  </si>
  <si>
    <t>wt% (dry)</t>
  </si>
  <si>
    <t>Soxhlet</t>
  </si>
  <si>
    <t>Cellulose, hemicellulose, lignin</t>
  </si>
  <si>
    <t>Cellulose</t>
  </si>
  <si>
    <t>Van Soest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</si>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</sst>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6.518619537353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45048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/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>
      <c r="A16" s="7"/>
    </row>
    <row r="17" s="1" customFormat="1">
      <c r="A17" s="9" t="s">
        <v>21</v>
      </c>
    </row>
    <row r="18" s="1" customFormat="1">
      <c r="A18" s="10" t="s">
        <v>22</v>
      </c>
      <c r="B18" s="10" t="s">
        <v>23</v>
      </c>
      <c r="C18" s="10" t="s">
        <v>24</v>
      </c>
      <c r="D18" s="10"/>
      <c r="E18" s="10"/>
      <c r="F18" s="10" t="s">
        <v>25</v>
      </c>
      <c r="G18" s="10" t="s">
        <v>26</v>
      </c>
      <c r="H18" s="10" t="s">
        <v>27</v>
      </c>
      <c r="I18" s="10" t="s">
        <v>28</v>
      </c>
      <c r="J18" s="10" t="s">
        <v>29</v>
      </c>
      <c r="K18" s="10" t="s">
        <v>14</v>
      </c>
      <c r="L18" s="10"/>
    </row>
    <row r="19" s="1" customFormat="1">
      <c r="A19" s="10"/>
      <c r="B19" s="10"/>
      <c r="C19" s="10" t="s">
        <v>30</v>
      </c>
      <c r="D19" s="10" t="s">
        <v>31</v>
      </c>
      <c r="E19" s="10" t="s">
        <v>32</v>
      </c>
      <c r="F19" s="10"/>
      <c r="G19" s="10"/>
      <c r="H19" s="10"/>
      <c r="I19" s="10"/>
      <c r="J19" s="10"/>
      <c r="K19" s="10"/>
      <c r="L19" s="10"/>
    </row>
    <row r="20">
      <c r="A20" s="7" t="s">
        <v>33</v>
      </c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36</v>
      </c>
      <c r="C22" s="13">
        <v>7.1</v>
      </c>
      <c r="D22" s="13"/>
      <c r="E22" s="13"/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36</v>
      </c>
      <c r="C23" s="13">
        <f>IFERROR(1.7*(1-w),"")</f>
        <v>1.5793000000000001</v>
      </c>
      <c r="D23" s="13">
        <v>1.7</v>
      </c>
      <c r="E23" s="13">
        <v/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36</v>
      </c>
      <c r="C24" s="13">
        <f>IFERROR(81.5*(1-w),"")</f>
        <v>75.71350000000001</v>
      </c>
      <c r="D24" s="13">
        <v>81.5</v>
      </c>
      <c r="E24" s="13">
        <v>82.909460834181075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36</v>
      </c>
      <c r="C25" s="13">
        <f>IFERROR(16.8*(1-w),"")</f>
        <v>15.607199999999999</v>
      </c>
      <c r="D25" s="13">
        <v>16.799999999999997</v>
      </c>
      <c r="E25" s="13">
        <v>17.090539165818917</v>
      </c>
      <c r="F25" s="13"/>
      <c r="G25" s="13"/>
      <c r="I25" s="5"/>
      <c r="J25" s="0" t="s">
        <v>43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36</v>
      </c>
      <c r="C27" s="13">
        <f>IFERROR(58.6*(1-w),"")</f>
        <v>54.439400000000006</v>
      </c>
      <c r="D27" s="13">
        <v>58.6</v>
      </c>
      <c r="E27" s="13">
        <v>59.613428280773142</v>
      </c>
      <c r="F27" s="13"/>
      <c r="G27" s="13"/>
      <c r="I27" s="5"/>
      <c r="J27" s="0" t="s">
        <v>46</v>
      </c>
    </row>
    <row r="28" outlineLevel="2">
      <c r="A28" s="12" t="s">
        <v>47</v>
      </c>
      <c r="B28" s="0" t="s">
        <v>36</v>
      </c>
      <c r="C28" s="13">
        <f>IFERROR(6.21*(1-w),"")</f>
        <v>5.76909</v>
      </c>
      <c r="D28" s="13">
        <v>6.21</v>
      </c>
      <c r="E28" s="13">
        <v>6.3173957273652084</v>
      </c>
      <c r="F28" s="13"/>
      <c r="G28" s="13"/>
      <c r="I28" s="5"/>
      <c r="J28" s="0" t="s">
        <v>46</v>
      </c>
    </row>
    <row r="29" outlineLevel="2">
      <c r="A29" s="12" t="s">
        <v>48</v>
      </c>
      <c r="B29" s="0" t="s">
        <v>36</v>
      </c>
      <c r="C29" s="13">
        <f>IFERROR(33.1*(1-w),"")</f>
        <v>30.749900000000004</v>
      </c>
      <c r="D29" s="13">
        <v>33.1</v>
      </c>
      <c r="E29" s="13">
        <v>33.672431332655137</v>
      </c>
      <c r="F29" s="13"/>
      <c r="G29" s="13"/>
      <c r="I29" s="5"/>
      <c r="J29" s="0" t="s">
        <v>43</v>
      </c>
    </row>
    <row r="30" outlineLevel="2">
      <c r="A30" s="12" t="s">
        <v>49</v>
      </c>
      <c r="B30" s="0" t="s">
        <v>36</v>
      </c>
      <c r="C30" s="13">
        <f>IFERROR(0.39*(1-w),"")</f>
        <v>0.36231</v>
      </c>
      <c r="D30" s="13">
        <v>0.39</v>
      </c>
      <c r="E30" s="13">
        <v>0.3967446592065107</v>
      </c>
      <c r="F30" s="13"/>
      <c r="G30" s="13"/>
      <c r="I30" s="5"/>
      <c r="J30" s="0" t="s">
        <v>46</v>
      </c>
    </row>
    <row r="31" outlineLevel="2">
      <c r="A31" s="12" t="s">
        <v>50</v>
      </c>
      <c r="B31" s="0" t="s">
        <v>36</v>
      </c>
      <c r="C31" s="13">
        <f>IFERROR(0.037*(1-w),"")</f>
        <v>0.034373</v>
      </c>
      <c r="D31" s="13">
        <v>0.037</v>
      </c>
      <c r="E31" s="13">
        <v>0.03763987792472024</v>
      </c>
      <c r="F31" s="13"/>
      <c r="G31" s="13"/>
      <c r="I31" s="5"/>
      <c r="J31" s="0" t="s">
        <v>51</v>
      </c>
    </row>
    <row r="32" outlineLevel="2">
      <c r="A32" s="12" t="s">
        <v>52</v>
      </c>
      <c r="B32" s="0" t="s">
        <v>36</v>
      </c>
      <c r="C32" s="13">
        <f>IFERROR(100.037*(1-w)+w*100,"")</f>
        <v>100.034373</v>
      </c>
      <c r="D32" s="13">
        <v>100.037</v>
      </c>
      <c r="E32" s="13">
        <v>100.03763987792472</v>
      </c>
      <c r="F32" s="13"/>
      <c r="G32" s="13"/>
      <c r="I32" s="5"/>
      <c r="J32" s="0" t="s">
        <v>43</v>
      </c>
    </row>
    <row r="33" outlineLevel="1">
      <c r="A33" s="11" t="s">
        <v>53</v>
      </c>
      <c r="I33" s="5"/>
    </row>
    <row r="34" outlineLevel="2">
      <c r="A34" s="12" t="s">
        <v>54</v>
      </c>
      <c r="B34" s="0" t="s">
        <v>55</v>
      </c>
      <c r="C34" s="14" t="s">
        <v>56</v>
      </c>
      <c r="D34" s="14"/>
      <c r="E34" s="14"/>
      <c r="F34" s="14"/>
      <c r="G34" s="14"/>
      <c r="I34" s="5"/>
      <c r="J34" s="0" t="s">
        <v>57</v>
      </c>
    </row>
    <row r="35" outlineLevel="1">
      <c r="A35" s="11" t="s">
        <v>58</v>
      </c>
      <c r="I35" s="5"/>
    </row>
    <row r="36" outlineLevel="2">
      <c r="A36" s="12" t="s">
        <v>59</v>
      </c>
      <c r="B36" s="0" t="s">
        <v>60</v>
      </c>
      <c r="C36" s="13">
        <f>IFERROR(23.85*(1-w)-w*2.443,"")</f>
        <v>21.983197000000004</v>
      </c>
      <c r="D36" s="13">
        <v>23.85</v>
      </c>
      <c r="E36" s="13">
        <v>24.262461851475077</v>
      </c>
      <c r="F36" s="13"/>
      <c r="G36" s="13"/>
      <c r="I36" s="5"/>
      <c r="J36" s="0" t="s">
        <v>61</v>
      </c>
    </row>
    <row r="37" outlineLevel="2">
      <c r="A37" s="12" t="s">
        <v>62</v>
      </c>
      <c r="B37" s="0" t="s">
        <v>60</v>
      </c>
      <c r="C37" s="13">
        <f>IFERROR(25.168*(1-w),"")</f>
        <v>23.381072</v>
      </c>
      <c r="D37" s="13">
        <v>25.168</v>
      </c>
      <c r="E37" s="13">
        <v>25.603255340793488</v>
      </c>
      <c r="F37" s="13"/>
      <c r="G37" s="13"/>
      <c r="I37" s="5"/>
      <c r="J37" s="0" t="s">
        <v>61</v>
      </c>
    </row>
    <row r="38" outlineLevel="2">
      <c r="A38" s="12" t="s">
        <v>63</v>
      </c>
      <c r="B38" s="0" t="s">
        <v>60</v>
      </c>
      <c r="C38" s="13">
        <f>IFERROR(24.15039037*(1-w),"")</f>
        <v>22.435712653730004</v>
      </c>
      <c r="D38" s="13">
        <v>24.150390370000004</v>
      </c>
      <c r="E38" s="13">
        <v>24.568047171922689</v>
      </c>
      <c r="F38" s="13"/>
      <c r="G38" s="13"/>
      <c r="I38" s="5"/>
      <c r="J38" s="0" t="s">
        <v>43</v>
      </c>
    </row>
    <row r="39" outlineLevel="1">
      <c r="A39" s="11" t="s">
        <v>64</v>
      </c>
      <c r="I39" s="5"/>
    </row>
    <row r="40" outlineLevel="2">
      <c r="A40" s="12" t="s">
        <v>65</v>
      </c>
      <c r="B40" s="0" t="s">
        <v>55</v>
      </c>
      <c r="C40" s="14">
        <v>66.7</v>
      </c>
      <c r="D40" s="14"/>
      <c r="E40" s="14"/>
      <c r="F40" s="14"/>
      <c r="G40" s="14"/>
      <c r="I40" s="5"/>
      <c r="J40" s="0" t="s">
        <v>66</v>
      </c>
    </row>
    <row r="41" outlineLevel="2">
      <c r="A41" s="12" t="s">
        <v>67</v>
      </c>
      <c r="B41" s="0" t="s">
        <v>55</v>
      </c>
      <c r="C41" s="14" t="s">
        <v>68</v>
      </c>
      <c r="D41" s="14"/>
      <c r="E41" s="14"/>
      <c r="F41" s="14"/>
      <c r="G41" s="14"/>
      <c r="I41" s="5"/>
      <c r="J41" s="0" t="s">
        <v>66</v>
      </c>
    </row>
    <row r="42" outlineLevel="2">
      <c r="A42" s="12" t="s">
        <v>69</v>
      </c>
      <c r="B42" s="0" t="s">
        <v>55</v>
      </c>
      <c r="C42" s="14">
        <v>950</v>
      </c>
      <c r="D42" s="14"/>
      <c r="E42" s="14"/>
      <c r="F42" s="14"/>
      <c r="G42" s="14"/>
      <c r="I42" s="5"/>
      <c r="J42" s="0" t="s">
        <v>66</v>
      </c>
    </row>
    <row r="43" outlineLevel="2">
      <c r="A43" s="12" t="s">
        <v>70</v>
      </c>
      <c r="B43" s="0" t="s">
        <v>55</v>
      </c>
      <c r="C43" s="14">
        <v>6.73</v>
      </c>
      <c r="D43" s="14"/>
      <c r="E43" s="14"/>
      <c r="F43" s="14"/>
      <c r="G43" s="14"/>
      <c r="I43" s="5"/>
      <c r="J43" s="0" t="s">
        <v>66</v>
      </c>
    </row>
    <row r="44" outlineLevel="2">
      <c r="A44" s="12" t="s">
        <v>71</v>
      </c>
      <c r="B44" s="0" t="s">
        <v>55</v>
      </c>
      <c r="C44" s="14">
        <v>96.5</v>
      </c>
      <c r="D44" s="14"/>
      <c r="E44" s="14"/>
      <c r="F44" s="14"/>
      <c r="G44" s="14"/>
      <c r="I44" s="5"/>
      <c r="J44" s="0" t="s">
        <v>66</v>
      </c>
    </row>
    <row r="45" outlineLevel="2">
      <c r="A45" s="12" t="s">
        <v>72</v>
      </c>
      <c r="B45" s="0" t="s">
        <v>55</v>
      </c>
      <c r="C45" s="14">
        <v>6020</v>
      </c>
      <c r="D45" s="14"/>
      <c r="E45" s="14"/>
      <c r="F45" s="14"/>
      <c r="G45" s="14"/>
      <c r="I45" s="5"/>
      <c r="J45" s="0" t="s">
        <v>66</v>
      </c>
    </row>
    <row r="46" outlineLevel="2">
      <c r="A46" s="12" t="s">
        <v>73</v>
      </c>
      <c r="B46" s="0" t="s">
        <v>55</v>
      </c>
      <c r="C46" s="14">
        <v>1640</v>
      </c>
      <c r="D46" s="14"/>
      <c r="E46" s="14"/>
      <c r="F46" s="14"/>
      <c r="G46" s="14"/>
      <c r="I46" s="5"/>
      <c r="J46" s="0" t="s">
        <v>66</v>
      </c>
    </row>
    <row r="47" outlineLevel="2">
      <c r="A47" s="12" t="s">
        <v>74</v>
      </c>
      <c r="B47" s="0" t="s">
        <v>55</v>
      </c>
      <c r="C47" s="14">
        <v>63.1</v>
      </c>
      <c r="D47" s="14"/>
      <c r="E47" s="14"/>
      <c r="F47" s="14"/>
      <c r="G47" s="14"/>
      <c r="I47" s="5"/>
      <c r="J47" s="0" t="s">
        <v>66</v>
      </c>
    </row>
    <row r="48" outlineLevel="2">
      <c r="A48" s="12" t="s">
        <v>75</v>
      </c>
      <c r="B48" s="0" t="s">
        <v>55</v>
      </c>
      <c r="C48" s="14">
        <v>260</v>
      </c>
      <c r="D48" s="14"/>
      <c r="E48" s="14"/>
      <c r="F48" s="14"/>
      <c r="G48" s="14"/>
      <c r="I48" s="5"/>
      <c r="J48" s="0" t="s">
        <v>66</v>
      </c>
    </row>
    <row r="49" outlineLevel="2">
      <c r="A49" s="12" t="s">
        <v>76</v>
      </c>
      <c r="B49" s="0" t="s">
        <v>55</v>
      </c>
      <c r="C49" s="14">
        <v>470</v>
      </c>
      <c r="D49" s="14"/>
      <c r="E49" s="14"/>
      <c r="F49" s="14"/>
      <c r="G49" s="14"/>
      <c r="I49" s="5"/>
      <c r="J49" s="0" t="s">
        <v>66</v>
      </c>
    </row>
    <row r="50" outlineLevel="2">
      <c r="A50" s="12" t="s">
        <v>77</v>
      </c>
      <c r="B50" s="0" t="s">
        <v>55</v>
      </c>
      <c r="C50" s="14" t="s">
        <v>78</v>
      </c>
      <c r="D50" s="14"/>
      <c r="E50" s="14"/>
      <c r="F50" s="14"/>
      <c r="G50" s="14"/>
      <c r="I50" s="5"/>
    </row>
    <row r="51" outlineLevel="2">
      <c r="A51" s="12" t="s">
        <v>79</v>
      </c>
      <c r="B51" s="0" t="s">
        <v>55</v>
      </c>
      <c r="C51" s="14" t="s">
        <v>80</v>
      </c>
      <c r="D51" s="14"/>
      <c r="E51" s="14"/>
      <c r="F51" s="14"/>
      <c r="G51" s="14"/>
      <c r="I51" s="5"/>
      <c r="J51" s="0" t="s">
        <v>66</v>
      </c>
    </row>
    <row r="52" outlineLevel="2">
      <c r="A52" s="12" t="s">
        <v>81</v>
      </c>
      <c r="B52" s="0" t="s">
        <v>55</v>
      </c>
      <c r="C52" s="14">
        <v>36.8</v>
      </c>
      <c r="D52" s="14"/>
      <c r="E52" s="14"/>
      <c r="F52" s="14"/>
      <c r="G52" s="14"/>
      <c r="I52" s="5"/>
      <c r="J52" s="0" t="s">
        <v>66</v>
      </c>
    </row>
    <row r="53" outlineLevel="1">
      <c r="A53" s="11" t="s">
        <v>82</v>
      </c>
      <c r="I53" s="5"/>
    </row>
    <row r="54" outlineLevel="2">
      <c r="A54" s="15" t="s">
        <v>83</v>
      </c>
      <c r="I54" s="5"/>
    </row>
    <row r="55" outlineLevel="3">
      <c r="A55" s="16" t="s">
        <v>84</v>
      </c>
      <c r="B55" s="0" t="s">
        <v>85</v>
      </c>
      <c r="C55" s="13">
        <v>36.1</v>
      </c>
      <c r="D55" s="13"/>
      <c r="E55" s="13"/>
      <c r="F55" s="13"/>
      <c r="G55" s="13"/>
      <c r="I55" s="5"/>
      <c r="J55" s="0" t="s">
        <v>86</v>
      </c>
    </row>
    <row r="56" outlineLevel="2">
      <c r="A56" s="15" t="s">
        <v>87</v>
      </c>
      <c r="I56" s="5"/>
    </row>
    <row r="57" outlineLevel="3">
      <c r="A57" s="16" t="s">
        <v>88</v>
      </c>
      <c r="B57" s="0" t="s">
        <v>85</v>
      </c>
      <c r="C57" s="13">
        <v>14.5</v>
      </c>
      <c r="D57" s="13"/>
      <c r="E57" s="13"/>
      <c r="F57" s="13"/>
      <c r="G57" s="13"/>
      <c r="I57" s="5"/>
      <c r="J57" s="0" t="s">
        <v>89</v>
      </c>
    </row>
    <row r="58" outlineLevel="3">
      <c r="A58" s="16" t="s">
        <v>90</v>
      </c>
      <c r="B58" s="0" t="s">
        <v>85</v>
      </c>
      <c r="C58" s="13">
        <v>7.7</v>
      </c>
      <c r="D58" s="13"/>
      <c r="E58" s="13"/>
      <c r="F58" s="13"/>
      <c r="G58" s="13"/>
      <c r="I58" s="5"/>
      <c r="J58" s="0" t="s">
        <v>89</v>
      </c>
    </row>
    <row r="59" outlineLevel="3">
      <c r="A59" s="16" t="s">
        <v>91</v>
      </c>
      <c r="B59" s="0" t="s">
        <v>85</v>
      </c>
      <c r="C59" s="13">
        <v>4.7</v>
      </c>
      <c r="D59" s="13"/>
      <c r="E59" s="13"/>
      <c r="F59" s="13"/>
      <c r="G59" s="13"/>
      <c r="I59" s="5"/>
      <c r="J59" s="0" t="s">
        <v>89</v>
      </c>
    </row>
    <row r="60" outlineLevel="2">
      <c r="A60" s="15" t="s">
        <v>92</v>
      </c>
      <c r="I60" s="5"/>
    </row>
    <row r="61" outlineLevel="3">
      <c r="A61" s="16" t="s">
        <v>93</v>
      </c>
      <c r="B61" s="0" t="s">
        <v>85</v>
      </c>
      <c r="C61" s="13">
        <v>28.599999999999998</v>
      </c>
      <c r="D61" s="13"/>
      <c r="E61" s="13"/>
      <c r="F61" s="13"/>
      <c r="G61" s="13"/>
      <c r="I61" s="5"/>
      <c r="J61" s="0" t="s">
        <v>43</v>
      </c>
    </row>
    <row r="62">
      <c r="I62" s="5"/>
    </row>
    <row r="63" s="1" customFormat="1"/>
  </sheetData>
  <mergeCells>
    <mergeCell ref="A8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4:E34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5:E55"/>
    <mergeCell ref="C57:E57"/>
    <mergeCell ref="C58:E58"/>
    <mergeCell ref="C59:E59"/>
    <mergeCell ref="C61:E61"/>
  </mergeCells>
  <dataValidations count="1">
    <dataValidation type="decimal" sqref="C22" errorStyle="stop" promptTitle="Enter moisture content" errorTitle="Invalid moisture content" prompt="Value should be between 0 and 100.&#10;Original value: 7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https://phyllis.nl/Biomass/View/3941</dc:description>
  <dcterms:created xsi:type="dcterms:W3CDTF">2026-03-17T05:44:03Z</dcterms:created>
  <dc:title>Phyllis2 #3941 Cashew 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