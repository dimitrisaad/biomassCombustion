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3 Mango pits" sheetId="1" r:id="rId1"/>
  </sheets>
  <definedNames>
    <definedName name="w" localSheetId="0">IF(ISBLANK('Phyllis2 #3943 Mango pits'!$C$21),#N/A,'Phyllis2 #3943 Mango pits'!$C$21/100)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<sst xmlns="http://schemas.openxmlformats.org/spreadsheetml/2006/main" count="93" uniqueCount="93">
  <si>
    <t>Phyllis2</t>
  </si>
  <si>
    <t>https://phyllis.nl/Biomass/View/3943</t>
  </si>
  <si>
    <t>Mango pits (#3943)</t>
  </si>
  <si>
    <t>ID-number</t>
  </si>
  <si>
    <t>#3943</t>
  </si>
  <si>
    <t>Material</t>
  </si>
  <si>
    <t>Mango pits</t>
  </si>
  <si>
    <t>Classification</t>
  </si>
  <si>
    <t>ECN Phyllis classification &gt; husk/shell/pit &gt; others</t>
  </si>
  <si>
    <t>Submitter organisation</t>
  </si>
  <si>
    <t>TNO (Netherlands)</t>
  </si>
  <si>
    <t>Submission date</t>
  </si>
  <si>
    <t>Remarks</t>
  </si>
  <si>
    <t>Cultivation region: Burkina Faso, Bobo Dioulasso</t>
  </si>
  <si>
    <t>Literature</t>
  </si>
  <si>
    <t>Author/institution: J.Valette, CIRAD; I.Ouedraogo, 2IE</t>
  </si>
  <si>
    <t>Year: 2021</t>
  </si>
  <si>
    <t>Journal/project: BIOSTAR grant contract / European Union external actions: FOOD/2019/410-794</t>
  </si>
  <si>
    <t>DOI/link: www.biostar-afrique.org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</si>
  <si>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</si>
  <si>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</si>
  <si>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</si>
  <si>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</si>
  <si>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</si>
  <si>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</si>
  <si>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</si>
  <si>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</si>
  <si>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</si>
  <si>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</si>
  <si>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</si>
  <si>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</si>
  <si>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</si>
  <si>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</si>
  <si>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</si>
  <si>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</si>
  <si>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NF EN ISO 18134-3</t>
  </si>
  <si>
    <t>Ash content at 550°C</t>
  </si>
  <si>
    <t>NF EN ISO 18122</t>
  </si>
  <si>
    <t>Volatile matter</t>
  </si>
  <si>
    <t>NF EN ISO 18123</t>
  </si>
  <si>
    <t>Fixed carbon</t>
  </si>
  <si>
    <t>Calculated</t>
  </si>
  <si>
    <t>Ultimate analysis (macroelements)</t>
  </si>
  <si>
    <t>Carbon</t>
  </si>
  <si>
    <t>NF EN ISO 16948</t>
  </si>
  <si>
    <t>Hydrogen</t>
  </si>
  <si>
    <t>Oxygen</t>
  </si>
  <si>
    <t>Nitrogen</t>
  </si>
  <si>
    <t>Sulphur</t>
  </si>
  <si>
    <t>µ-onde + acid mineralization - ICP-AES analysis</t>
  </si>
  <si>
    <t>Total (with halides)</t>
  </si>
  <si>
    <t>Halides</t>
  </si>
  <si>
    <t>Chlorine (Cl)</t>
  </si>
  <si>
    <t>mg/kg (dry)</t>
  </si>
  <si>
    <t>(0,027)&lt;LD=0,028</t>
  </si>
  <si>
    <t>HNO3 extraction - colorimetry</t>
  </si>
  <si>
    <t>Heating value</t>
  </si>
  <si>
    <t>Net calorific value (LHV)</t>
  </si>
  <si>
    <t>MJ/kg</t>
  </si>
  <si>
    <t>NF EN ISO 18125</t>
  </si>
  <si>
    <t>Gross calorific value (HHV)</t>
  </si>
  <si>
    <t>HHVMilne</t>
  </si>
  <si>
    <t>Trace elements composition</t>
  </si>
  <si>
    <t>Aluminium (Al)</t>
  </si>
  <si>
    <t>Double calcination mineralization - ICP-AES analysis</t>
  </si>
  <si>
    <t>Boron (B)</t>
  </si>
  <si>
    <t>(4,73)&lt;LD=4,81</t>
  </si>
  <si>
    <t>Calcium (Ca)</t>
  </si>
  <si>
    <t>Copper (Cu)</t>
  </si>
  <si>
    <t>Iron (Fe)</t>
  </si>
  <si>
    <t>Potassium (K)</t>
  </si>
  <si>
    <t>Magnesium (Mg)</t>
  </si>
  <si>
    <t>Manganese (Mn)</t>
  </si>
  <si>
    <t>Sodium (Na)</t>
  </si>
  <si>
    <t>(10)&lt;LD=10</t>
  </si>
  <si>
    <t>Phosphorus (P)</t>
  </si>
  <si>
    <t>Silicon (Si)</t>
  </si>
  <si>
    <t>&lt;LD=421</t>
  </si>
  <si>
    <t>Titanium (Ti)</t>
  </si>
  <si>
    <t>(0,97)&lt;LD=1,48</t>
  </si>
  <si>
    <t>Zinc (Zn)</t>
  </si>
  <si>
    <t>Biochemical analysis</t>
  </si>
  <si>
    <t>Extractives</t>
  </si>
  <si>
    <t>Ethanol</t>
  </si>
  <si>
    <t>wt% (dry)</t>
  </si>
  <si>
    <t>Soxhlet</t>
  </si>
  <si>
    <t>Cellulose, hemicellulose, lignin</t>
  </si>
  <si>
    <t>Cellulose</t>
  </si>
  <si>
    <t>Van Soest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</si>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</sst>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6.518619537353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45048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12</v>
      </c>
      <c r="L17" s="10"/>
    </row>
    <row r="18" s="1" customFormat="1">
      <c r="A18" s="10"/>
      <c r="B18" s="10"/>
      <c r="C18" s="10" t="s">
        <v>28</v>
      </c>
      <c r="D18" s="10" t="s">
        <v>29</v>
      </c>
      <c r="E18" s="10" t="s">
        <v>30</v>
      </c>
      <c r="F18" s="10"/>
      <c r="G18" s="10"/>
      <c r="H18" s="10"/>
      <c r="I18" s="10"/>
      <c r="J18" s="10"/>
      <c r="K18" s="10"/>
      <c r="L18" s="10"/>
    </row>
    <row r="19">
      <c r="A19" s="7" t="s">
        <v>31</v>
      </c>
      <c r="I19" s="5"/>
    </row>
    <row r="20" outlineLevel="1">
      <c r="A20" s="11" t="s">
        <v>32</v>
      </c>
      <c r="I20" s="5"/>
    </row>
    <row r="21" outlineLevel="2">
      <c r="A21" s="12" t="s">
        <v>33</v>
      </c>
      <c r="B21" s="0" t="s">
        <v>34</v>
      </c>
      <c r="C21" s="13">
        <v>86.1</v>
      </c>
      <c r="D21" s="13"/>
      <c r="E21" s="13"/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34</v>
      </c>
      <c r="C22" s="13">
        <f>IFERROR(2.5*(1-w),"")</f>
        <v>0.34750000000000003</v>
      </c>
      <c r="D22" s="13">
        <v>2.5</v>
      </c>
      <c r="E22" s="13">
        <v/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IFERROR(74.8*(1-w),"")</f>
        <v>10.3972</v>
      </c>
      <c r="D23" s="13">
        <v>74.8</v>
      </c>
      <c r="E23" s="13">
        <v>76.717948717948715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34</v>
      </c>
      <c r="C24" s="13">
        <f>IFERROR(22.7*(1-w),"")</f>
        <v>3.1553000000000009</v>
      </c>
      <c r="D24" s="13">
        <v>22.700000000000003</v>
      </c>
      <c r="E24" s="13">
        <v>23.282051282051285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34</v>
      </c>
      <c r="C26" s="13">
        <f>IFERROR(48.4*(1-w),"")</f>
        <v>6.7276000000000007</v>
      </c>
      <c r="D26" s="13">
        <v>48.4</v>
      </c>
      <c r="E26" s="13">
        <v>49.641025641025642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34</v>
      </c>
      <c r="C27" s="13">
        <f>IFERROR(5.46*(1-w),"")</f>
        <v>0.75894000000000006</v>
      </c>
      <c r="D27" s="13">
        <v>5.46</v>
      </c>
      <c r="E27" s="13">
        <v>5.6000000000000005</v>
      </c>
      <c r="F27" s="13"/>
      <c r="G27" s="13"/>
      <c r="I27" s="5"/>
      <c r="J27" s="0" t="s">
        <v>44</v>
      </c>
    </row>
    <row r="28" outlineLevel="2">
      <c r="A28" s="12" t="s">
        <v>46</v>
      </c>
      <c r="B28" s="0" t="s">
        <v>34</v>
      </c>
      <c r="C28" s="13">
        <f>IFERROR(43.4*(1-w),"")</f>
        <v>6.0326</v>
      </c>
      <c r="D28" s="13">
        <v>43.4</v>
      </c>
      <c r="E28" s="13">
        <v>44.512820512820511</v>
      </c>
      <c r="F28" s="13"/>
      <c r="G28" s="13"/>
      <c r="I28" s="5"/>
      <c r="J28" s="0" t="s">
        <v>41</v>
      </c>
    </row>
    <row r="29" outlineLevel="2">
      <c r="A29" s="12" t="s">
        <v>47</v>
      </c>
      <c r="B29" s="0" t="s">
        <v>34</v>
      </c>
      <c r="C29" s="13">
        <f>IFERROR(0.55*(1-w),"")</f>
        <v>0.076450000000000018</v>
      </c>
      <c r="D29" s="13">
        <v>0.55</v>
      </c>
      <c r="E29" s="13">
        <v>0.56410256410256421</v>
      </c>
      <c r="F29" s="13"/>
      <c r="G29" s="13"/>
      <c r="I29" s="5"/>
      <c r="J29" s="0" t="s">
        <v>44</v>
      </c>
    </row>
    <row r="30" outlineLevel="2">
      <c r="A30" s="12" t="s">
        <v>48</v>
      </c>
      <c r="B30" s="0" t="s">
        <v>34</v>
      </c>
      <c r="C30" s="13">
        <f>IFERROR(0.073*(1-w),"")</f>
        <v>0.010147</v>
      </c>
      <c r="D30" s="13">
        <v>0.073</v>
      </c>
      <c r="E30" s="13">
        <v>0.074871794871794864</v>
      </c>
      <c r="F30" s="13"/>
      <c r="G30" s="13"/>
      <c r="I30" s="5"/>
      <c r="J30" s="0" t="s">
        <v>49</v>
      </c>
    </row>
    <row r="31" outlineLevel="2">
      <c r="A31" s="12" t="s">
        <v>50</v>
      </c>
      <c r="B31" s="0" t="s">
        <v>34</v>
      </c>
      <c r="C31" s="13">
        <f>IFERROR(100.383*(1-w)+w*100,"")</f>
        <v>100.053237</v>
      </c>
      <c r="D31" s="13">
        <v>100.38299999999998</v>
      </c>
      <c r="E31" s="13">
        <v>100.39282051282049</v>
      </c>
      <c r="F31" s="13"/>
      <c r="G31" s="13"/>
      <c r="I31" s="5"/>
      <c r="J31" s="0" t="s">
        <v>41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4" t="s">
        <v>54</v>
      </c>
      <c r="D33" s="14"/>
      <c r="E33" s="14"/>
      <c r="F33" s="14"/>
      <c r="G33" s="14"/>
      <c r="I33" s="5"/>
      <c r="J33" s="0" t="s">
        <v>55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3">
        <f>IFERROR(18.014*(1-w)-w*2.443,"")</f>
        <v>0.40052300000000018</v>
      </c>
      <c r="D35" s="13">
        <v>18.014</v>
      </c>
      <c r="E35" s="13">
        <v>18.475897435897437</v>
      </c>
      <c r="F35" s="13"/>
      <c r="G35" s="13"/>
      <c r="I35" s="5"/>
      <c r="J35" s="0" t="s">
        <v>59</v>
      </c>
    </row>
    <row r="36" outlineLevel="2">
      <c r="A36" s="12" t="s">
        <v>60</v>
      </c>
      <c r="B36" s="0" t="s">
        <v>58</v>
      </c>
      <c r="C36" s="13">
        <f>IFERROR(19.173*(1-w),"")</f>
        <v>2.665047</v>
      </c>
      <c r="D36" s="13">
        <v>19.173</v>
      </c>
      <c r="E36" s="13">
        <v>19.664615384615384</v>
      </c>
      <c r="F36" s="13"/>
      <c r="G36" s="13"/>
      <c r="I36" s="5"/>
      <c r="J36" s="0" t="s">
        <v>59</v>
      </c>
    </row>
    <row r="37" outlineLevel="2">
      <c r="A37" s="12" t="s">
        <v>61</v>
      </c>
      <c r="B37" s="0" t="s">
        <v>58</v>
      </c>
      <c r="C37" s="13">
        <f>IFERROR(18.41623405*(1-w),"")</f>
        <v>2.55985653295</v>
      </c>
      <c r="D37" s="13">
        <v>18.41623405</v>
      </c>
      <c r="E37" s="13">
        <v>18.888445179487181</v>
      </c>
      <c r="F37" s="13"/>
      <c r="G37" s="13"/>
      <c r="I37" s="5"/>
      <c r="J37" s="0" t="s">
        <v>41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53</v>
      </c>
      <c r="C39" s="14">
        <v>33.6</v>
      </c>
      <c r="D39" s="14"/>
      <c r="E39" s="14"/>
      <c r="F39" s="14"/>
      <c r="G39" s="14"/>
      <c r="I39" s="5"/>
      <c r="J39" s="0" t="s">
        <v>64</v>
      </c>
    </row>
    <row r="40" outlineLevel="2">
      <c r="A40" s="12" t="s">
        <v>65</v>
      </c>
      <c r="B40" s="0" t="s">
        <v>53</v>
      </c>
      <c r="C40" s="14" t="s">
        <v>66</v>
      </c>
      <c r="D40" s="14"/>
      <c r="E40" s="14"/>
      <c r="F40" s="14"/>
      <c r="G40" s="14"/>
      <c r="I40" s="5"/>
      <c r="J40" s="0" t="s">
        <v>64</v>
      </c>
    </row>
    <row r="41" outlineLevel="2">
      <c r="A41" s="12" t="s">
        <v>67</v>
      </c>
      <c r="B41" s="0" t="s">
        <v>53</v>
      </c>
      <c r="C41" s="14">
        <v>1270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68</v>
      </c>
      <c r="B42" s="0" t="s">
        <v>53</v>
      </c>
      <c r="C42" s="14">
        <v>7.82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69</v>
      </c>
      <c r="B43" s="0" t="s">
        <v>53</v>
      </c>
      <c r="C43" s="14">
        <v>76.9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70</v>
      </c>
      <c r="B44" s="0" t="s">
        <v>53</v>
      </c>
      <c r="C44" s="14">
        <v>8150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71</v>
      </c>
      <c r="B45" s="0" t="s">
        <v>53</v>
      </c>
      <c r="C45" s="14">
        <v>1220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72</v>
      </c>
      <c r="B46" s="0" t="s">
        <v>53</v>
      </c>
      <c r="C46" s="14">
        <v>26.6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73</v>
      </c>
      <c r="B47" s="0" t="s">
        <v>53</v>
      </c>
      <c r="C47" s="14" t="s">
        <v>74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75</v>
      </c>
      <c r="B48" s="0" t="s">
        <v>53</v>
      </c>
      <c r="C48" s="14">
        <v>1220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76</v>
      </c>
      <c r="B49" s="0" t="s">
        <v>53</v>
      </c>
      <c r="C49" s="14" t="s">
        <v>77</v>
      </c>
      <c r="D49" s="14"/>
      <c r="E49" s="14"/>
      <c r="F49" s="14"/>
      <c r="G49" s="14"/>
      <c r="I49" s="5"/>
    </row>
    <row r="50" outlineLevel="2">
      <c r="A50" s="12" t="s">
        <v>78</v>
      </c>
      <c r="B50" s="0" t="s">
        <v>53</v>
      </c>
      <c r="C50" s="14" t="s">
        <v>79</v>
      </c>
      <c r="D50" s="14"/>
      <c r="E50" s="14"/>
      <c r="F50" s="14"/>
      <c r="G50" s="14"/>
      <c r="I50" s="5"/>
      <c r="J50" s="0" t="s">
        <v>64</v>
      </c>
    </row>
    <row r="51" outlineLevel="2">
      <c r="A51" s="12" t="s">
        <v>80</v>
      </c>
      <c r="B51" s="0" t="s">
        <v>53</v>
      </c>
      <c r="C51" s="14">
        <v>12.9</v>
      </c>
      <c r="D51" s="14"/>
      <c r="E51" s="14"/>
      <c r="F51" s="14"/>
      <c r="G51" s="14"/>
      <c r="I51" s="5"/>
      <c r="J51" s="0" t="s">
        <v>64</v>
      </c>
    </row>
    <row r="52" outlineLevel="1">
      <c r="A52" s="11" t="s">
        <v>81</v>
      </c>
      <c r="I52" s="5"/>
    </row>
    <row r="53" outlineLevel="2">
      <c r="A53" s="15" t="s">
        <v>82</v>
      </c>
      <c r="I53" s="5"/>
    </row>
    <row r="54" outlineLevel="3">
      <c r="A54" s="16" t="s">
        <v>83</v>
      </c>
      <c r="B54" s="0" t="s">
        <v>84</v>
      </c>
      <c r="C54" s="13">
        <v>17.1</v>
      </c>
      <c r="D54" s="13"/>
      <c r="E54" s="13"/>
      <c r="F54" s="13"/>
      <c r="G54" s="13"/>
      <c r="I54" s="5"/>
      <c r="J54" s="0" t="s">
        <v>85</v>
      </c>
    </row>
    <row r="55" outlineLevel="2">
      <c r="A55" s="15" t="s">
        <v>86</v>
      </c>
      <c r="I55" s="5"/>
    </row>
    <row r="56" outlineLevel="3">
      <c r="A56" s="16" t="s">
        <v>87</v>
      </c>
      <c r="B56" s="0" t="s">
        <v>84</v>
      </c>
      <c r="C56" s="13">
        <v>18</v>
      </c>
      <c r="D56" s="13"/>
      <c r="E56" s="13"/>
      <c r="F56" s="13"/>
      <c r="G56" s="13"/>
      <c r="I56" s="5"/>
      <c r="J56" s="0" t="s">
        <v>88</v>
      </c>
    </row>
    <row r="57" outlineLevel="3">
      <c r="A57" s="16" t="s">
        <v>89</v>
      </c>
      <c r="B57" s="0" t="s">
        <v>84</v>
      </c>
      <c r="C57" s="13">
        <v>14.5</v>
      </c>
      <c r="D57" s="13"/>
      <c r="E57" s="13"/>
      <c r="F57" s="13"/>
      <c r="G57" s="13"/>
      <c r="I57" s="5"/>
      <c r="J57" s="0" t="s">
        <v>88</v>
      </c>
    </row>
    <row r="58" outlineLevel="3">
      <c r="A58" s="16" t="s">
        <v>90</v>
      </c>
      <c r="B58" s="0" t="s">
        <v>84</v>
      </c>
      <c r="C58" s="13">
        <v>9.6</v>
      </c>
      <c r="D58" s="13"/>
      <c r="E58" s="13"/>
      <c r="F58" s="13"/>
      <c r="G58" s="13"/>
      <c r="I58" s="5"/>
      <c r="J58" s="0" t="s">
        <v>88</v>
      </c>
    </row>
    <row r="59" outlineLevel="2">
      <c r="A59" s="15" t="s">
        <v>91</v>
      </c>
      <c r="I59" s="5"/>
    </row>
    <row r="60" outlineLevel="3">
      <c r="A60" s="16" t="s">
        <v>92</v>
      </c>
      <c r="B60" s="0" t="s">
        <v>84</v>
      </c>
      <c r="C60" s="13">
        <v>44.6</v>
      </c>
      <c r="D60" s="13"/>
      <c r="E60" s="13"/>
      <c r="F60" s="13"/>
      <c r="G60" s="13"/>
      <c r="I60" s="5"/>
      <c r="J60" s="0" t="s">
        <v>41</v>
      </c>
    </row>
    <row r="61">
      <c r="I61" s="5"/>
    </row>
    <row r="62" s="1" customFormat="1"/>
  </sheetData>
  <mergeCells>
    <mergeCell ref="A7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3:E33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4:E54"/>
    <mergeCell ref="C56:E56"/>
    <mergeCell ref="C57:E57"/>
    <mergeCell ref="C58:E58"/>
    <mergeCell ref="C60:E60"/>
  </mergeCells>
  <dataValidations count="1">
    <dataValidation type="decimal" sqref="C21" errorStyle="stop" promptTitle="Enter moisture content" errorTitle="Invalid moisture content" prompt="Value should be between 0 and 100.&#10;Original value: 86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https://phyllis.nl/Biomass/View/3943</dc:description>
  <dcterms:created xsi:type="dcterms:W3CDTF">2026-03-17T05:44:47Z</dcterms:created>
  <dc:title>Phyllis2 #3943 Mango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