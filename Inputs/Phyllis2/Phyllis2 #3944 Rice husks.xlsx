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44 Rice husks" sheetId="1" r:id="rId1"/>
  </sheets>
  <definedNames>
    <definedName name="w" localSheetId="0">IF(ISBLANK('Phyllis2 #3944 Rice husks'!$C$21),#N/A,'Phyllis2 #3944 Rice husks'!$C$21/100)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<sst xmlns="http://schemas.openxmlformats.org/spreadsheetml/2006/main" count="87" uniqueCount="87">
  <si>
    <t>Phyllis2</t>
  </si>
  <si>
    <t>https://phyllis.nl/Biomass/View/3944</t>
  </si>
  <si>
    <t>Rice husks (#3944)</t>
  </si>
  <si>
    <t>ID-number</t>
  </si>
  <si>
    <t>#3944</t>
  </si>
  <si>
    <t>Material</t>
  </si>
  <si>
    <t>Rice husks</t>
  </si>
  <si>
    <t>Classification</t>
  </si>
  <si>
    <t>ECN Phyllis classification &gt; husk/shell/pit &gt; rice &gt; rice husk</t>
  </si>
  <si>
    <t>Submitter organisation</t>
  </si>
  <si>
    <t>TNO (Netherlands)</t>
  </si>
  <si>
    <t>Submission date</t>
  </si>
  <si>
    <t>Remarks</t>
  </si>
  <si>
    <t>Cultivation region: Burkina Faso, Bobo Dioulasso</t>
  </si>
  <si>
    <t>Literature</t>
  </si>
  <si>
    <t>Author/institution: J.Valette, CIRAD; I.Ouedraogo, 2IE</t>
  </si>
  <si>
    <t>Year: 2021</t>
  </si>
  <si>
    <t>Journal/project: BIOSTAR grant contract / European Union external actions: FOOD/2019/410-794</t>
  </si>
  <si>
    <t>DOI/link: www.biostar-afrique.org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</si>
  <si>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</si>
  <si>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</si>
  <si>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</si>
  <si>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</si>
  <si>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</si>
  <si>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</si>
  <si>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</si>
  <si>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</si>
  <si>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</si>
  <si>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</si>
  <si>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</si>
  <si>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</si>
  <si>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</si>
  <si>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</si>
  <si>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</si>
  <si>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</si>
  <si>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NF EN ISO 18134-3</t>
  </si>
  <si>
    <t>Ash content at 550°C</t>
  </si>
  <si>
    <t>NF EN ISO 18122</t>
  </si>
  <si>
    <t>Volatile matter</t>
  </si>
  <si>
    <t>NF EN ISO 18123</t>
  </si>
  <si>
    <t>Fixed carbon</t>
  </si>
  <si>
    <t>Calculated</t>
  </si>
  <si>
    <t>Ultimate analysis (macroelements)</t>
  </si>
  <si>
    <t>Carbon</t>
  </si>
  <si>
    <t>NF EN ISO 16948</t>
  </si>
  <si>
    <t>Hydrogen</t>
  </si>
  <si>
    <t>Oxygen</t>
  </si>
  <si>
    <t>Nitrogen</t>
  </si>
  <si>
    <t>Sulphur</t>
  </si>
  <si>
    <t>µ-onde + acid mineralization - ICP-AES analysis</t>
  </si>
  <si>
    <t>Total (with halides)</t>
  </si>
  <si>
    <t>Halides</t>
  </si>
  <si>
    <t>Chlorine (Cl)</t>
  </si>
  <si>
    <t>mg/kg</t>
  </si>
  <si>
    <t>HNO3 extraction - colorimetry</t>
  </si>
  <si>
    <t>Heating value</t>
  </si>
  <si>
    <t>Net calorific value (LHV)</t>
  </si>
  <si>
    <t>MJ/kg</t>
  </si>
  <si>
    <t>NF EN ISO 18125</t>
  </si>
  <si>
    <t>Gross calorific value (HHV)</t>
  </si>
  <si>
    <t>HHVMilne</t>
  </si>
  <si>
    <t>Trace elements composition</t>
  </si>
  <si>
    <t>Aluminium (Al)</t>
  </si>
  <si>
    <t>mg/kg (dry)</t>
  </si>
  <si>
    <t>Double calcination mineralization - ICP-AES analysis</t>
  </si>
  <si>
    <t>Boron (B)</t>
  </si>
  <si>
    <t>Calcium (Ca)</t>
  </si>
  <si>
    <t>Copper (Cu)</t>
  </si>
  <si>
    <t>(2,14)&lt;LD=2,73</t>
  </si>
  <si>
    <t>Iron (Fe)</t>
  </si>
  <si>
    <t>Potassium (K)</t>
  </si>
  <si>
    <t>Magnesium (Mg)</t>
  </si>
  <si>
    <t>Manganese (Mn)</t>
  </si>
  <si>
    <t>Sodium (Na)</t>
  </si>
  <si>
    <t>Phosphorus (P)</t>
  </si>
  <si>
    <t>Silicon (Si)</t>
  </si>
  <si>
    <t>Titanium (Ti)</t>
  </si>
  <si>
    <t>Zinc (Zn)</t>
  </si>
  <si>
    <t>Biochemical analysis</t>
  </si>
  <si>
    <t>Cellulose, hemicellulose, lignin</t>
  </si>
  <si>
    <t>Cellulose</t>
  </si>
  <si>
    <t>wt% (dry)</t>
  </si>
  <si>
    <t>Van Soest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</si>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</sst>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4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46.518619537353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6">
        <v>45048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>
      <c r="A15" s="7"/>
    </row>
    <row r="16" s="1" customFormat="1">
      <c r="A16" s="9" t="s">
        <v>19</v>
      </c>
    </row>
    <row r="17" s="1" customFormat="1">
      <c r="A17" s="10" t="s">
        <v>20</v>
      </c>
      <c r="B17" s="10" t="s">
        <v>21</v>
      </c>
      <c r="C17" s="10" t="s">
        <v>22</v>
      </c>
      <c r="D17" s="10"/>
      <c r="E17" s="10"/>
      <c r="F17" s="10" t="s">
        <v>23</v>
      </c>
      <c r="G17" s="10" t="s">
        <v>24</v>
      </c>
      <c r="H17" s="10" t="s">
        <v>25</v>
      </c>
      <c r="I17" s="10" t="s">
        <v>26</v>
      </c>
      <c r="J17" s="10" t="s">
        <v>27</v>
      </c>
      <c r="K17" s="10" t="s">
        <v>12</v>
      </c>
      <c r="L17" s="10"/>
    </row>
    <row r="18" s="1" customFormat="1">
      <c r="A18" s="10"/>
      <c r="B18" s="10"/>
      <c r="C18" s="10" t="s">
        <v>28</v>
      </c>
      <c r="D18" s="10" t="s">
        <v>29</v>
      </c>
      <c r="E18" s="10" t="s">
        <v>30</v>
      </c>
      <c r="F18" s="10"/>
      <c r="G18" s="10"/>
      <c r="H18" s="10"/>
      <c r="I18" s="10"/>
      <c r="J18" s="10"/>
      <c r="K18" s="10"/>
      <c r="L18" s="10"/>
    </row>
    <row r="19">
      <c r="A19" s="7" t="s">
        <v>31</v>
      </c>
      <c r="I19" s="5"/>
    </row>
    <row r="20" outlineLevel="1">
      <c r="A20" s="11" t="s">
        <v>32</v>
      </c>
      <c r="I20" s="5"/>
    </row>
    <row r="21" outlineLevel="2">
      <c r="A21" s="12" t="s">
        <v>33</v>
      </c>
      <c r="B21" s="0" t="s">
        <v>34</v>
      </c>
      <c r="C21" s="13">
        <v>3.7</v>
      </c>
      <c r="D21" s="13"/>
      <c r="E21" s="13"/>
      <c r="F21" s="13"/>
      <c r="G21" s="13"/>
      <c r="I21" s="5"/>
      <c r="J21" s="0" t="s">
        <v>35</v>
      </c>
    </row>
    <row r="22" outlineLevel="2">
      <c r="A22" s="12" t="s">
        <v>36</v>
      </c>
      <c r="B22" s="0" t="s">
        <v>34</v>
      </c>
      <c r="C22" s="13">
        <f>IFERROR(23.2*(1-w),"")</f>
        <v>22.3416</v>
      </c>
      <c r="D22" s="13">
        <v>23.2</v>
      </c>
      <c r="E22" s="13">
        <v/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IFERROR(59.7*(1-w),"")</f>
        <v>57.4911</v>
      </c>
      <c r="D23" s="13">
        <v>59.7</v>
      </c>
      <c r="E23" s="13">
        <v>77.734375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34</v>
      </c>
      <c r="C24" s="13">
        <f>IFERROR(17.1*(1-w),"")</f>
        <v>16.467299999999994</v>
      </c>
      <c r="D24" s="13">
        <v>17.099999999999994</v>
      </c>
      <c r="E24" s="13">
        <v>22.265624999999993</v>
      </c>
      <c r="F24" s="13"/>
      <c r="G24" s="13"/>
      <c r="I24" s="5"/>
      <c r="J24" s="0" t="s">
        <v>41</v>
      </c>
    </row>
    <row r="25" outlineLevel="1">
      <c r="A25" s="11" t="s">
        <v>42</v>
      </c>
      <c r="I25" s="5"/>
    </row>
    <row r="26" outlineLevel="2">
      <c r="A26" s="12" t="s">
        <v>43</v>
      </c>
      <c r="B26" s="0" t="s">
        <v>34</v>
      </c>
      <c r="C26" s="13">
        <f>IFERROR(37.6*(1-w),"")</f>
        <v>36.208800000000004</v>
      </c>
      <c r="D26" s="13">
        <v>37.6</v>
      </c>
      <c r="E26" s="13">
        <v>48.958333333333336</v>
      </c>
      <c r="F26" s="13"/>
      <c r="G26" s="13"/>
      <c r="I26" s="5"/>
      <c r="J26" s="0" t="s">
        <v>44</v>
      </c>
    </row>
    <row r="27" outlineLevel="2">
      <c r="A27" s="12" t="s">
        <v>45</v>
      </c>
      <c r="B27" s="0" t="s">
        <v>34</v>
      </c>
      <c r="C27" s="13">
        <f>IFERROR(4.65*(1-w),"")</f>
        <v>4.47795</v>
      </c>
      <c r="D27" s="13">
        <v>4.65</v>
      </c>
      <c r="E27" s="13">
        <v>6.0546875</v>
      </c>
      <c r="F27" s="13"/>
      <c r="G27" s="13"/>
      <c r="I27" s="5"/>
      <c r="J27" s="0" t="s">
        <v>44</v>
      </c>
    </row>
    <row r="28" outlineLevel="2">
      <c r="A28" s="12" t="s">
        <v>46</v>
      </c>
      <c r="B28" s="0" t="s">
        <v>34</v>
      </c>
      <c r="C28" s="13">
        <f>IFERROR(33.4*(1-w),"")</f>
        <v>32.1642</v>
      </c>
      <c r="D28" s="13">
        <v>33.4</v>
      </c>
      <c r="E28" s="13">
        <v>43.489583333333329</v>
      </c>
      <c r="F28" s="13"/>
      <c r="G28" s="13"/>
      <c r="I28" s="5"/>
      <c r="J28" s="0" t="s">
        <v>41</v>
      </c>
    </row>
    <row r="29" outlineLevel="2">
      <c r="A29" s="12" t="s">
        <v>47</v>
      </c>
      <c r="B29" s="0" t="s">
        <v>34</v>
      </c>
      <c r="C29" s="13">
        <f>IFERROR(0.26*(1-w),"")</f>
        <v>0.25038</v>
      </c>
      <c r="D29" s="13">
        <v>0.26</v>
      </c>
      <c r="E29" s="13">
        <v>0.33854166666666669</v>
      </c>
      <c r="F29" s="13"/>
      <c r="G29" s="13"/>
      <c r="I29" s="5"/>
      <c r="J29" s="0" t="s">
        <v>44</v>
      </c>
    </row>
    <row r="30" outlineLevel="2">
      <c r="A30" s="12" t="s">
        <v>48</v>
      </c>
      <c r="B30" s="0" t="s">
        <v>34</v>
      </c>
      <c r="C30" s="13">
        <f>IFERROR(0.034*(1-w),"")</f>
        <v>0.032742</v>
      </c>
      <c r="D30" s="13">
        <v>0.034</v>
      </c>
      <c r="E30" s="13">
        <v>0.044270833333333336</v>
      </c>
      <c r="F30" s="13"/>
      <c r="G30" s="13"/>
      <c r="I30" s="5"/>
      <c r="J30" s="0" t="s">
        <v>49</v>
      </c>
    </row>
    <row r="31" outlineLevel="2">
      <c r="A31" s="12" t="s">
        <v>50</v>
      </c>
      <c r="B31" s="0" t="s">
        <v>34</v>
      </c>
      <c r="C31" s="13">
        <f>IFERROR(99.274*(1-w)+w*100,"")</f>
        <v>99.300862000000009</v>
      </c>
      <c r="D31" s="13">
        <v>99.274000000000015</v>
      </c>
      <c r="E31" s="13">
        <v>99.054687500000014</v>
      </c>
      <c r="F31" s="13"/>
      <c r="G31" s="13"/>
      <c r="I31" s="5"/>
      <c r="J31" s="0" t="s">
        <v>41</v>
      </c>
    </row>
    <row r="32" outlineLevel="1">
      <c r="A32" s="11" t="s">
        <v>51</v>
      </c>
      <c r="I32" s="5"/>
    </row>
    <row r="33" outlineLevel="2">
      <c r="A33" s="12" t="s">
        <v>52</v>
      </c>
      <c r="B33" s="0" t="s">
        <v>53</v>
      </c>
      <c r="C33" s="14">
        <f>IFERROR(1300*(1-w),"")</f>
        <v>1251.8999999999999</v>
      </c>
      <c r="D33" s="14">
        <v>1300</v>
      </c>
      <c r="E33" s="14">
        <v>1692.7083333333333</v>
      </c>
      <c r="F33" s="14"/>
      <c r="G33" s="14"/>
      <c r="I33" s="5"/>
      <c r="J33" s="0" t="s">
        <v>54</v>
      </c>
    </row>
    <row r="34" outlineLevel="1">
      <c r="A34" s="11" t="s">
        <v>55</v>
      </c>
      <c r="I34" s="5"/>
    </row>
    <row r="35" outlineLevel="2">
      <c r="A35" s="12" t="s">
        <v>56</v>
      </c>
      <c r="B35" s="0" t="s">
        <v>57</v>
      </c>
      <c r="C35" s="13">
        <f>IFERROR(14.227*(1-w)-w*2.443,"")</f>
        <v>13.61021</v>
      </c>
      <c r="D35" s="13">
        <v>14.227</v>
      </c>
      <c r="E35" s="13">
        <v>18.524739583333332</v>
      </c>
      <c r="F35" s="13"/>
      <c r="G35" s="13"/>
      <c r="I35" s="5"/>
      <c r="J35" s="0" t="s">
        <v>58</v>
      </c>
    </row>
    <row r="36" outlineLevel="2">
      <c r="A36" s="12" t="s">
        <v>59</v>
      </c>
      <c r="B36" s="0" t="s">
        <v>57</v>
      </c>
      <c r="C36" s="13">
        <f>IFERROR(15.213*(1-w),"")</f>
        <v>14.650118999999998</v>
      </c>
      <c r="D36" s="13">
        <v>15.213</v>
      </c>
      <c r="E36" s="13">
        <v>19.80859375</v>
      </c>
      <c r="F36" s="13"/>
      <c r="G36" s="13"/>
      <c r="I36" s="5"/>
      <c r="J36" s="0" t="s">
        <v>58</v>
      </c>
    </row>
    <row r="37" outlineLevel="2">
      <c r="A37" s="12" t="s">
        <v>60</v>
      </c>
      <c r="B37" s="0" t="s">
        <v>57</v>
      </c>
      <c r="C37" s="13">
        <f>IFERROR(14.65942312*(1-w),"")</f>
        <v>14.117024464560002</v>
      </c>
      <c r="D37" s="13">
        <v>14.659423120000003</v>
      </c>
      <c r="E37" s="13">
        <v>19.087790520833337</v>
      </c>
      <c r="F37" s="13"/>
      <c r="G37" s="13"/>
      <c r="I37" s="5"/>
      <c r="J37" s="0" t="s">
        <v>41</v>
      </c>
    </row>
    <row r="38" outlineLevel="1">
      <c r="A38" s="11" t="s">
        <v>61</v>
      </c>
      <c r="I38" s="5"/>
    </row>
    <row r="39" outlineLevel="2">
      <c r="A39" s="12" t="s">
        <v>62</v>
      </c>
      <c r="B39" s="0" t="s">
        <v>63</v>
      </c>
      <c r="C39" s="14">
        <v>473.3</v>
      </c>
      <c r="D39" s="14"/>
      <c r="E39" s="14"/>
      <c r="F39" s="14"/>
      <c r="G39" s="14"/>
      <c r="I39" s="5"/>
      <c r="J39" s="0" t="s">
        <v>64</v>
      </c>
    </row>
    <row r="40" outlineLevel="2">
      <c r="A40" s="12" t="s">
        <v>65</v>
      </c>
      <c r="B40" s="0" t="s">
        <v>63</v>
      </c>
      <c r="C40" s="14">
        <v>4.9</v>
      </c>
      <c r="D40" s="14"/>
      <c r="E40" s="14"/>
      <c r="F40" s="14"/>
      <c r="G40" s="14"/>
      <c r="I40" s="5"/>
      <c r="J40" s="0" t="s">
        <v>64</v>
      </c>
    </row>
    <row r="41" outlineLevel="2">
      <c r="A41" s="12" t="s">
        <v>66</v>
      </c>
      <c r="B41" s="0" t="s">
        <v>63</v>
      </c>
      <c r="C41" s="14">
        <v>630</v>
      </c>
      <c r="D41" s="14"/>
      <c r="E41" s="14"/>
      <c r="F41" s="14"/>
      <c r="G41" s="14"/>
      <c r="I41" s="5"/>
      <c r="J41" s="0" t="s">
        <v>64</v>
      </c>
    </row>
    <row r="42" outlineLevel="2">
      <c r="A42" s="12" t="s">
        <v>67</v>
      </c>
      <c r="B42" s="0" t="s">
        <v>63</v>
      </c>
      <c r="C42" s="14" t="s">
        <v>68</v>
      </c>
      <c r="D42" s="14"/>
      <c r="E42" s="14"/>
      <c r="F42" s="14"/>
      <c r="G42" s="14"/>
      <c r="I42" s="5"/>
      <c r="J42" s="0" t="s">
        <v>64</v>
      </c>
    </row>
    <row r="43" outlineLevel="2">
      <c r="A43" s="12" t="s">
        <v>69</v>
      </c>
      <c r="B43" s="0" t="s">
        <v>63</v>
      </c>
      <c r="C43" s="14">
        <v>218.3</v>
      </c>
      <c r="D43" s="14"/>
      <c r="E43" s="14"/>
      <c r="F43" s="14"/>
      <c r="G43" s="14"/>
      <c r="I43" s="5"/>
      <c r="J43" s="0" t="s">
        <v>64</v>
      </c>
    </row>
    <row r="44" outlineLevel="2">
      <c r="A44" s="12" t="s">
        <v>70</v>
      </c>
      <c r="B44" s="0" t="s">
        <v>63</v>
      </c>
      <c r="C44" s="14">
        <v>3310</v>
      </c>
      <c r="D44" s="14"/>
      <c r="E44" s="14"/>
      <c r="F44" s="14"/>
      <c r="G44" s="14"/>
      <c r="I44" s="5"/>
      <c r="J44" s="0" t="s">
        <v>64</v>
      </c>
    </row>
    <row r="45" outlineLevel="2">
      <c r="A45" s="12" t="s">
        <v>71</v>
      </c>
      <c r="B45" s="0" t="s">
        <v>63</v>
      </c>
      <c r="C45" s="14">
        <v>380</v>
      </c>
      <c r="D45" s="14"/>
      <c r="E45" s="14"/>
      <c r="F45" s="14"/>
      <c r="G45" s="14"/>
      <c r="I45" s="5"/>
      <c r="J45" s="0" t="s">
        <v>64</v>
      </c>
    </row>
    <row r="46" outlineLevel="2">
      <c r="A46" s="12" t="s">
        <v>72</v>
      </c>
      <c r="B46" s="0" t="s">
        <v>63</v>
      </c>
      <c r="C46" s="14">
        <v>200</v>
      </c>
      <c r="D46" s="14"/>
      <c r="E46" s="14"/>
      <c r="F46" s="14"/>
      <c r="G46" s="14"/>
      <c r="I46" s="5"/>
      <c r="J46" s="0" t="s">
        <v>64</v>
      </c>
    </row>
    <row r="47" outlineLevel="2">
      <c r="A47" s="12" t="s">
        <v>73</v>
      </c>
      <c r="B47" s="0" t="s">
        <v>63</v>
      </c>
      <c r="C47" s="14">
        <v>10</v>
      </c>
      <c r="D47" s="14"/>
      <c r="E47" s="14"/>
      <c r="F47" s="14"/>
      <c r="G47" s="14"/>
      <c r="I47" s="5"/>
      <c r="J47" s="0" t="s">
        <v>64</v>
      </c>
    </row>
    <row r="48" outlineLevel="2">
      <c r="A48" s="12" t="s">
        <v>74</v>
      </c>
      <c r="B48" s="0" t="s">
        <v>63</v>
      </c>
      <c r="C48" s="14">
        <v>370</v>
      </c>
      <c r="D48" s="14"/>
      <c r="E48" s="14"/>
      <c r="F48" s="14"/>
      <c r="G48" s="14"/>
      <c r="I48" s="5"/>
      <c r="J48" s="0" t="s">
        <v>64</v>
      </c>
    </row>
    <row r="49" outlineLevel="2">
      <c r="A49" s="12" t="s">
        <v>75</v>
      </c>
      <c r="B49" s="0" t="s">
        <v>63</v>
      </c>
      <c r="C49" s="14">
        <v>101666</v>
      </c>
      <c r="D49" s="14"/>
      <c r="E49" s="14"/>
      <c r="F49" s="14"/>
      <c r="G49" s="14"/>
      <c r="I49" s="5"/>
    </row>
    <row r="50" outlineLevel="2">
      <c r="A50" s="12" t="s">
        <v>76</v>
      </c>
      <c r="B50" s="0" t="s">
        <v>63</v>
      </c>
      <c r="C50" s="14">
        <v>29.3</v>
      </c>
      <c r="D50" s="14"/>
      <c r="E50" s="14"/>
      <c r="F50" s="14"/>
      <c r="G50" s="14"/>
      <c r="I50" s="5"/>
      <c r="J50" s="0" t="s">
        <v>64</v>
      </c>
    </row>
    <row r="51" outlineLevel="2">
      <c r="A51" s="12" t="s">
        <v>77</v>
      </c>
      <c r="B51" s="0" t="s">
        <v>63</v>
      </c>
      <c r="C51" s="14">
        <v>12.9</v>
      </c>
      <c r="D51" s="14"/>
      <c r="E51" s="14"/>
      <c r="F51" s="14"/>
      <c r="G51" s="14"/>
      <c r="I51" s="5"/>
      <c r="J51" s="0" t="s">
        <v>64</v>
      </c>
    </row>
    <row r="52" outlineLevel="1">
      <c r="A52" s="11" t="s">
        <v>78</v>
      </c>
      <c r="I52" s="5"/>
    </row>
    <row r="53" outlineLevel="2">
      <c r="A53" s="15" t="s">
        <v>79</v>
      </c>
      <c r="I53" s="5"/>
    </row>
    <row r="54" outlineLevel="3">
      <c r="A54" s="16" t="s">
        <v>80</v>
      </c>
      <c r="B54" s="0" t="s">
        <v>81</v>
      </c>
      <c r="C54" s="13">
        <v>37.4</v>
      </c>
      <c r="D54" s="13"/>
      <c r="E54" s="13"/>
      <c r="F54" s="13"/>
      <c r="G54" s="13"/>
      <c r="I54" s="5"/>
      <c r="J54" s="0" t="s">
        <v>82</v>
      </c>
    </row>
    <row r="55" outlineLevel="3">
      <c r="A55" s="16" t="s">
        <v>83</v>
      </c>
      <c r="B55" s="0" t="s">
        <v>81</v>
      </c>
      <c r="C55" s="13">
        <v>19.7</v>
      </c>
      <c r="D55" s="13"/>
      <c r="E55" s="13"/>
      <c r="F55" s="13"/>
      <c r="G55" s="13"/>
      <c r="I55" s="5"/>
      <c r="J55" s="0" t="s">
        <v>82</v>
      </c>
    </row>
    <row r="56" outlineLevel="3">
      <c r="A56" s="16" t="s">
        <v>84</v>
      </c>
      <c r="B56" s="0" t="s">
        <v>81</v>
      </c>
      <c r="C56" s="13">
        <v>16.5</v>
      </c>
      <c r="D56" s="13"/>
      <c r="E56" s="13"/>
      <c r="F56" s="13"/>
      <c r="G56" s="13"/>
      <c r="I56" s="5"/>
      <c r="J56" s="0" t="s">
        <v>82</v>
      </c>
    </row>
    <row r="57" outlineLevel="2">
      <c r="A57" s="15" t="s">
        <v>85</v>
      </c>
      <c r="I57" s="5"/>
    </row>
    <row r="58" outlineLevel="3">
      <c r="A58" s="16" t="s">
        <v>86</v>
      </c>
      <c r="B58" s="0" t="s">
        <v>81</v>
      </c>
      <c r="C58" s="13">
        <v>96.8</v>
      </c>
      <c r="D58" s="13"/>
      <c r="E58" s="13"/>
      <c r="F58" s="13"/>
      <c r="G58" s="13"/>
      <c r="I58" s="5"/>
      <c r="J58" s="0" t="s">
        <v>41</v>
      </c>
    </row>
    <row r="59">
      <c r="I59" s="5"/>
    </row>
    <row r="60" s="1" customFormat="1"/>
  </sheetData>
  <mergeCells>
    <mergeCell ref="A7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4:E54"/>
    <mergeCell ref="C55:E55"/>
    <mergeCell ref="C56:E56"/>
    <mergeCell ref="C58:E58"/>
  </mergeCells>
  <dataValidations count="1">
    <dataValidation type="decimal" sqref="C21" errorStyle="stop" promptTitle="Enter moisture content" errorTitle="Invalid moisture content" prompt="Value should be between 0 and 100.&#10;Original value: 3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https://phyllis.nl/Biomass/View/3944</dc:description>
  <dcterms:created xsi:type="dcterms:W3CDTF">2026-03-17T05:47:52Z</dcterms:created>
  <dc:title>Phyllis2 #3944 Rice husks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