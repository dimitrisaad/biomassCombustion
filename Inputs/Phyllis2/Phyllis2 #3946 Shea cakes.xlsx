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6 Shea cakes" sheetId="1" r:id="rId1"/>
  </sheets>
  <definedNames>
    <definedName name="w" localSheetId="0">IF(ISBLANK('Phyllis2 #3946 Shea cakes'!$C$21),#N/A,'Phyllis2 #3946 Shea cakes'!$C$21/100)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<sst xmlns="http://schemas.openxmlformats.org/spreadsheetml/2006/main" count="91" uniqueCount="91">
  <si>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</si>
  <si>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https://phyllis.nl/Biomass/View/3946</t>
  </si>
  <si>
    <t>Shea cakes (#3946)</t>
  </si>
  <si>
    <t>ID-number</t>
  </si>
  <si>
    <t>#3946</t>
  </si>
  <si>
    <t>Material</t>
  </si>
  <si>
    <t>Shea cakes</t>
  </si>
  <si>
    <t>Classification</t>
  </si>
  <si>
    <t>ECN Phyllis classification &gt; husk/shell/pit &gt; others</t>
  </si>
  <si>
    <t>Submitter organisation</t>
  </si>
  <si>
    <t>TNO (Netherlands)</t>
  </si>
  <si>
    <t>Submission date</t>
  </si>
  <si>
    <t>Remarks</t>
  </si>
  <si>
    <t>Cultivation region: Burkina Faso, Bobo Dioulasso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</si>
  <si>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</si>
  <si>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</si>
  <si>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</si>
  <si>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</si>
  <si>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</si>
  <si>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</si>
  <si>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</si>
  <si>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</si>
  <si>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</si>
  <si>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</si>
  <si>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</si>
  <si>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</si>
  <si>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</si>
  <si>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</si>
  <si>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</si>
  <si>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</si>
  <si>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</si>
  <si>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</si>
  <si>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</si>
  <si>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</si>
  <si>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</si>
  <si>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</si>
  <si>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</si>
  <si>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</si>
  <si>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</si>
  <si>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</si>
  <si>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</si>
  <si>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</si>
  <si>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</si>
  <si>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</si>
  <si>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</si>
  <si>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</si>
  <si>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</si>
  <si>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</si>
  <si>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</si>
  <si>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</si>
  <si>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</si>
  <si>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</si>
  <si>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</si>
  <si>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</si>
  <si>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</si>
  <si>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</si>
  <si>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</si>
  <si>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</si>
  <si>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</si>
  <si>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</si>
  <si>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</si>
  <si>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</si>
  <si>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</si>
  <si>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mg/kg (dry)</t>
  </si>
  <si>
    <t>Double calcination mineralization - ICP-AES analysis</t>
  </si>
  <si>
    <t>Boron (B)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</si>
  <si>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</si>
  <si>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</si>
  <si>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</si>
  <si>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</si>
  <si>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</si>
  <si>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</si>
  <si>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</si>
  <si>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</si>
  <si>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</si>
  <si>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&lt;LD=421</t>
  </si>
  <si>
    <t>Titanium (Ti)</t>
  </si>
  <si>
    <t>(3,86)&lt;LD=6,57</t>
  </si>
  <si>
    <t>Zinc (Zn)</t>
  </si>
  <si>
    <t>Biochemical analysis</t>
  </si>
  <si>
    <t>Extractives</t>
  </si>
  <si>
    <t>Ethanol</t>
  </si>
  <si>
    <t>wt% (dry)</t>
  </si>
  <si>
    <t>Soxhlet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</si>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</sst>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4.1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IFERROR(5.6*(1-w),"")</f>
        <v>5.3703999999999992</v>
      </c>
      <c r="D22" s="13">
        <v>5.6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IFERROR(66.3*(1-w),"")</f>
        <v>63.5817</v>
      </c>
      <c r="D23" s="13">
        <v>66.3</v>
      </c>
      <c r="E23" s="13">
        <v>70.233050847457633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IFERROR(28.1*(1-w),"")</f>
        <v>26.947900000000008</v>
      </c>
      <c r="D24" s="13">
        <v>28.100000000000009</v>
      </c>
      <c r="E24" s="13">
        <v>29.766949152542384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IFERROR(53.2*(1-w),"")</f>
        <v>51.0188</v>
      </c>
      <c r="D26" s="13">
        <v>53.2</v>
      </c>
      <c r="E26" s="13">
        <v>56.355932203389834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IFERROR(5.11*(1-w),"")</f>
        <v>4.9004900000000005</v>
      </c>
      <c r="D27" s="13">
        <v>5.11</v>
      </c>
      <c r="E27" s="13">
        <v>5.41313559322034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IFERROR(33.6*(1-w),"")</f>
        <v>32.2224</v>
      </c>
      <c r="D28" s="13">
        <v>33.6</v>
      </c>
      <c r="E28" s="13">
        <v>35.593220338983052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IFERROR(2.67*(1-w),"")</f>
        <v>2.56053</v>
      </c>
      <c r="D29" s="13">
        <v>2.67</v>
      </c>
      <c r="E29" s="13">
        <v>2.8283898305084745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IFERROR(0.289*(1-w),"")</f>
        <v>0.277151</v>
      </c>
      <c r="D30" s="13">
        <v>0.289</v>
      </c>
      <c r="E30" s="13">
        <v>0.30614406779661019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IFERROR(100.569*(1-w)+w*100,"")</f>
        <v>100.54567099999998</v>
      </c>
      <c r="D31" s="13">
        <v>100.56899999999999</v>
      </c>
      <c r="E31" s="13">
        <v>100.60275423728814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>
        <f>IFERROR(1000*(1-w),"")</f>
        <v>959</v>
      </c>
      <c r="D33" s="14">
        <v>1000</v>
      </c>
      <c r="E33" s="14">
        <v>1059.3220338983051</v>
      </c>
      <c r="F33" s="14"/>
      <c r="G33" s="14"/>
      <c r="I33" s="5"/>
      <c r="J33" s="0" t="s">
        <v>54</v>
      </c>
    </row>
    <row r="34" outlineLevel="1">
      <c r="A34" s="11" t="s">
        <v>55</v>
      </c>
      <c r="I34" s="5"/>
    </row>
    <row r="35" outlineLevel="2">
      <c r="A35" s="12" t="s">
        <v>56</v>
      </c>
      <c r="B35" s="0" t="s">
        <v>57</v>
      </c>
      <c r="C35" s="13">
        <f>IFERROR(20.891*(1-w)-w*2.443,"")</f>
        <v>19.934306</v>
      </c>
      <c r="D35" s="13">
        <v>20.891</v>
      </c>
      <c r="E35" s="13">
        <v>22.130296610169491</v>
      </c>
      <c r="F35" s="13"/>
      <c r="G35" s="13"/>
      <c r="I35" s="5"/>
      <c r="J35" s="0" t="s">
        <v>58</v>
      </c>
    </row>
    <row r="36" outlineLevel="2">
      <c r="A36" s="12" t="s">
        <v>59</v>
      </c>
      <c r="B36" s="0" t="s">
        <v>57</v>
      </c>
      <c r="C36" s="13">
        <f>IFERROR(21.975*(1-w),"")</f>
        <v>21.074025</v>
      </c>
      <c r="D36" s="13">
        <v>21.975</v>
      </c>
      <c r="E36" s="13">
        <v>23.278601694915256</v>
      </c>
      <c r="F36" s="13"/>
      <c r="G36" s="13"/>
      <c r="I36" s="5"/>
      <c r="J36" s="0" t="s">
        <v>58</v>
      </c>
    </row>
    <row r="37" outlineLevel="2">
      <c r="A37" s="12" t="s">
        <v>60</v>
      </c>
      <c r="B37" s="0" t="s">
        <v>57</v>
      </c>
      <c r="C37" s="13">
        <f>IFERROR(20.48316348*(1-w),"")</f>
        <v>19.643353777320009</v>
      </c>
      <c r="D37" s="13">
        <v>20.483163480000009</v>
      </c>
      <c r="E37" s="13">
        <v>21.698266398305094</v>
      </c>
      <c r="F37" s="13"/>
      <c r="G37" s="13"/>
      <c r="I37" s="5"/>
      <c r="J37" s="0" t="s">
        <v>41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v>104.3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63</v>
      </c>
      <c r="C40" s="14">
        <v>15.23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66</v>
      </c>
      <c r="B41" s="0" t="s">
        <v>63</v>
      </c>
      <c r="C41" s="14">
        <v>1420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67</v>
      </c>
      <c r="B42" s="0" t="s">
        <v>63</v>
      </c>
      <c r="C42" s="14">
        <v>2.79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68</v>
      </c>
      <c r="B43" s="0" t="s">
        <v>63</v>
      </c>
      <c r="C43" s="14">
        <v>200.6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69</v>
      </c>
      <c r="B44" s="0" t="s">
        <v>63</v>
      </c>
      <c r="C44" s="14">
        <v>20340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70</v>
      </c>
      <c r="B45" s="0" t="s">
        <v>63</v>
      </c>
      <c r="C45" s="14">
        <v>1990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71</v>
      </c>
      <c r="B46" s="0" t="s">
        <v>63</v>
      </c>
      <c r="C46" s="14">
        <v>8.3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72</v>
      </c>
      <c r="B47" s="0" t="s">
        <v>63</v>
      </c>
      <c r="C47" s="14">
        <v>30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73</v>
      </c>
      <c r="B48" s="0" t="s">
        <v>63</v>
      </c>
      <c r="C48" s="14">
        <v>1980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74</v>
      </c>
      <c r="B49" s="0" t="s">
        <v>63</v>
      </c>
      <c r="C49" s="14" t="s">
        <v>75</v>
      </c>
      <c r="D49" s="14"/>
      <c r="E49" s="14"/>
      <c r="F49" s="14"/>
      <c r="G49" s="14"/>
      <c r="I49" s="5"/>
    </row>
    <row r="50" outlineLevel="2">
      <c r="A50" s="12" t="s">
        <v>76</v>
      </c>
      <c r="B50" s="0" t="s">
        <v>63</v>
      </c>
      <c r="C50" s="14" t="s">
        <v>77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78</v>
      </c>
      <c r="B51" s="0" t="s">
        <v>63</v>
      </c>
      <c r="C51" s="14">
        <v>22.1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79</v>
      </c>
      <c r="I52" s="5"/>
    </row>
    <row r="53" outlineLevel="2">
      <c r="A53" s="15" t="s">
        <v>80</v>
      </c>
      <c r="I53" s="5"/>
    </row>
    <row r="54" outlineLevel="3">
      <c r="A54" s="16" t="s">
        <v>81</v>
      </c>
      <c r="B54" s="0" t="s">
        <v>82</v>
      </c>
      <c r="C54" s="13">
        <v>15.6</v>
      </c>
      <c r="D54" s="13"/>
      <c r="E54" s="13"/>
      <c r="F54" s="13"/>
      <c r="G54" s="13"/>
      <c r="I54" s="5"/>
      <c r="J54" s="0" t="s">
        <v>83</v>
      </c>
    </row>
    <row r="55" outlineLevel="2">
      <c r="A55" s="15" t="s">
        <v>84</v>
      </c>
      <c r="I55" s="5"/>
    </row>
    <row r="56" outlineLevel="3">
      <c r="A56" s="16" t="s">
        <v>85</v>
      </c>
      <c r="B56" s="0" t="s">
        <v>82</v>
      </c>
      <c r="C56" s="13">
        <v>5.8</v>
      </c>
      <c r="D56" s="13"/>
      <c r="E56" s="13"/>
      <c r="F56" s="13"/>
      <c r="G56" s="13"/>
      <c r="I56" s="5"/>
      <c r="J56" s="0" t="s">
        <v>86</v>
      </c>
    </row>
    <row r="57" outlineLevel="3">
      <c r="A57" s="16" t="s">
        <v>87</v>
      </c>
      <c r="B57" s="0" t="s">
        <v>82</v>
      </c>
      <c r="C57" s="13">
        <v>7.9</v>
      </c>
      <c r="D57" s="13"/>
      <c r="E57" s="13"/>
      <c r="F57" s="13"/>
      <c r="G57" s="13"/>
      <c r="I57" s="5"/>
      <c r="J57" s="0" t="s">
        <v>86</v>
      </c>
    </row>
    <row r="58" outlineLevel="3">
      <c r="A58" s="16" t="s">
        <v>88</v>
      </c>
      <c r="B58" s="0" t="s">
        <v>82</v>
      </c>
      <c r="C58" s="13">
        <v>26.7</v>
      </c>
      <c r="D58" s="13"/>
      <c r="E58" s="13"/>
      <c r="F58" s="13"/>
      <c r="G58" s="13"/>
      <c r="I58" s="5"/>
      <c r="J58" s="0" t="s">
        <v>86</v>
      </c>
    </row>
    <row r="59" outlineLevel="2">
      <c r="A59" s="15" t="s">
        <v>89</v>
      </c>
      <c r="I59" s="5"/>
    </row>
    <row r="60" outlineLevel="3">
      <c r="A60" s="16" t="s">
        <v>90</v>
      </c>
      <c r="B60" s="0" t="s">
        <v>82</v>
      </c>
      <c r="C60" s="13">
        <v>46</v>
      </c>
      <c r="D60" s="13"/>
      <c r="E60" s="13"/>
      <c r="F60" s="13"/>
      <c r="G60" s="13"/>
      <c r="I60" s="5"/>
      <c r="J60" s="0" t="s">
        <v>41</v>
      </c>
    </row>
    <row r="61">
      <c r="I61" s="5"/>
    </row>
    <row r="62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6:E56"/>
    <mergeCell ref="C57:E57"/>
    <mergeCell ref="C58:E58"/>
    <mergeCell ref="C60:E60"/>
  </mergeCells>
  <dataValidations count="1">
    <dataValidation type="decimal" sqref="C21" errorStyle="stop" promptTitle="Enter moisture content" errorTitle="Invalid moisture content" prompt="Value should be between 0 and 100.&#10;Original value: 4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https://phyllis.nl/Biomass/View/3946</dc:description>
  <dcterms:created xsi:type="dcterms:W3CDTF">2026-03-17T05:45:52Z</dcterms:created>
  <dc:title>Phyllis2 #3946 Shea cakes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