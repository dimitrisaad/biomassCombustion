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7 Shea slurry" sheetId="1" r:id="rId1"/>
  </sheets>
  <definedNames>
    <definedName name="w" localSheetId="0">IF(ISBLANK('Phyllis2 #3947 Shea slurry'!$C$21),#N/A,'Phyllis2 #3947 Shea slurry'!$C$21/100)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<sst xmlns="http://schemas.openxmlformats.org/spreadsheetml/2006/main" count="89" uniqueCount="89">
  <si>
    <t>Phyllis2</t>
  </si>
  <si>
    <t>https://phyllis.nl/Biomass/View/3947</t>
  </si>
  <si>
    <t>Shea slurry (#3947)</t>
  </si>
  <si>
    <t>ID-number</t>
  </si>
  <si>
    <t>#3947</t>
  </si>
  <si>
    <t>Material</t>
  </si>
  <si>
    <t>Shea slurry</t>
  </si>
  <si>
    <t>Classification</t>
  </si>
  <si>
    <t>ECN Phyllis classification &gt; husk/shell/pit &gt; others</t>
  </si>
  <si>
    <t>Submitter organisation</t>
  </si>
  <si>
    <t>TNO (Netherlands)</t>
  </si>
  <si>
    <t>Submission date</t>
  </si>
  <si>
    <t>Remarks</t>
  </si>
  <si>
    <t>Cultivation region: Burkina Faso, Ouagadougou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</si>
  <si>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</si>
  <si>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</si>
  <si>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</si>
  <si>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</si>
  <si>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</si>
  <si>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</si>
  <si>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</si>
  <si>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</si>
  <si>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</si>
  <si>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</si>
  <si>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</si>
  <si>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</si>
  <si>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</si>
  <si>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</si>
  <si>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</si>
  <si>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</si>
  <si>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</si>
  <si>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</si>
  <si>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</si>
  <si>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</si>
  <si>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</si>
  <si>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</si>
  <si>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</si>
  <si>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</si>
  <si>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</si>
  <si>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</si>
  <si>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</si>
  <si>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</si>
  <si>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</si>
  <si>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</si>
  <si>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</si>
  <si>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</si>
  <si>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</si>
  <si>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</si>
  <si>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</si>
  <si>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</si>
  <si>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</si>
  <si>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</si>
  <si>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</si>
  <si>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</si>
  <si>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</si>
  <si>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</si>
  <si>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</si>
  <si>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</si>
  <si>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</si>
  <si>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</si>
  <si>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</si>
  <si>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</si>
  <si>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</si>
  <si>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mg/kg (dry)</t>
  </si>
  <si>
    <t>Double calcination mineralization - ICP-AES analysis</t>
  </si>
  <si>
    <t>Boron (B)</t>
  </si>
  <si>
    <t>Calcium (Ca)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</si>
  <si>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</si>
  <si>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</si>
  <si>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</si>
  <si>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</si>
  <si>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</si>
  <si>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</si>
  <si>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</si>
  <si>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</si>
  <si>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</si>
  <si>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</si>
  <si>
    <t>Biochemical analysis</t>
  </si>
  <si>
    <t>Extractives</t>
  </si>
  <si>
    <t>Ethanol</t>
  </si>
  <si>
    <t>wt% (dry)</t>
  </si>
  <si>
    <t>Soxhlet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</si>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</sst>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45048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12</v>
      </c>
      <c r="L17" s="10"/>
    </row>
    <row r="18" s="1" customFormat="1">
      <c r="A18" s="10"/>
      <c r="B18" s="10"/>
      <c r="C18" s="10" t="s">
        <v>28</v>
      </c>
      <c r="D18" s="10" t="s">
        <v>29</v>
      </c>
      <c r="E18" s="10" t="s">
        <v>30</v>
      </c>
      <c r="F18" s="10"/>
      <c r="G18" s="10"/>
      <c r="H18" s="10"/>
      <c r="I18" s="10"/>
      <c r="J18" s="10"/>
      <c r="K18" s="10"/>
      <c r="L18" s="10"/>
    </row>
    <row r="19">
      <c r="A19" s="7" t="s">
        <v>31</v>
      </c>
      <c r="I19" s="5"/>
    </row>
    <row r="20" outlineLevel="1">
      <c r="A20" s="11" t="s">
        <v>32</v>
      </c>
      <c r="I20" s="5"/>
    </row>
    <row r="21" outlineLevel="2">
      <c r="A21" s="12" t="s">
        <v>33</v>
      </c>
      <c r="B21" s="0" t="s">
        <v>34</v>
      </c>
      <c r="C21" s="13">
        <v>3.7</v>
      </c>
      <c r="D21" s="13"/>
      <c r="E21" s="13"/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34</v>
      </c>
      <c r="C22" s="13">
        <f>IFERROR(4.1*(1-w),"")</f>
        <v>3.9482999999999997</v>
      </c>
      <c r="D22" s="13">
        <v>4.1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IFERROR(75*(1-w),"")</f>
        <v>72.225</v>
      </c>
      <c r="D23" s="13">
        <v>75</v>
      </c>
      <c r="E23" s="13">
        <v>78.206465067778936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34</v>
      </c>
      <c r="C24" s="13">
        <f>IFERROR(20.9*(1-w),"")</f>
        <v>20.126700000000003</v>
      </c>
      <c r="D24" s="13">
        <v>20.900000000000006</v>
      </c>
      <c r="E24" s="13">
        <v>21.793534932221071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34</v>
      </c>
      <c r="C26" s="13">
        <f>IFERROR(58.2*(1-w),"")</f>
        <v>56.0466</v>
      </c>
      <c r="D26" s="13">
        <v>58.2</v>
      </c>
      <c r="E26" s="13">
        <v>60.688216892596458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IFERROR(6.66*(1-w),"")</f>
        <v>6.41358</v>
      </c>
      <c r="D27" s="13">
        <v>6.66</v>
      </c>
      <c r="E27" s="13">
        <v>6.94473409801877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34</v>
      </c>
      <c r="C28" s="13">
        <f>IFERROR(28.3*(1-w),"")</f>
        <v>27.2529</v>
      </c>
      <c r="D28" s="13">
        <v>28.3</v>
      </c>
      <c r="E28" s="13">
        <v>29.509906152241921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34</v>
      </c>
      <c r="C29" s="13">
        <f>IFERROR(2.31*(1-w),"")</f>
        <v>2.22453</v>
      </c>
      <c r="D29" s="13">
        <v>2.31</v>
      </c>
      <c r="E29" s="13">
        <v>2.4087591240875912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34</v>
      </c>
      <c r="C30" s="13">
        <f>IFERROR(0.211*(1-w),"")</f>
        <v>0.20319299999999998</v>
      </c>
      <c r="D30" s="13">
        <v>0.211</v>
      </c>
      <c r="E30" s="13">
        <v>0.22002085505735142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34</v>
      </c>
      <c r="C31" s="13">
        <f>IFERROR(99.821*(1-w)+w*100,"")</f>
        <v>99.827623</v>
      </c>
      <c r="D31" s="13">
        <v>99.821</v>
      </c>
      <c r="E31" s="13">
        <v>99.813347236704914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>
        <f>IFERROR(400*(1-w),"")</f>
        <v>385.2</v>
      </c>
      <c r="D33" s="14">
        <v>400</v>
      </c>
      <c r="E33" s="14">
        <v>417.10114702815434</v>
      </c>
      <c r="F33" s="14"/>
      <c r="G33" s="14"/>
      <c r="I33" s="5"/>
      <c r="J33" s="0" t="s">
        <v>54</v>
      </c>
    </row>
    <row r="34" outlineLevel="1">
      <c r="A34" s="11" t="s">
        <v>55</v>
      </c>
      <c r="I34" s="5"/>
    </row>
    <row r="35" outlineLevel="2">
      <c r="A35" s="12" t="s">
        <v>56</v>
      </c>
      <c r="B35" s="0" t="s">
        <v>57</v>
      </c>
      <c r="C35" s="13">
        <f>IFERROR(24.652*(1-w)-w*2.443,"")</f>
        <v>23.649485</v>
      </c>
      <c r="D35" s="13">
        <v>24.652</v>
      </c>
      <c r="E35" s="13">
        <v>25.705943691345155</v>
      </c>
      <c r="F35" s="13"/>
      <c r="G35" s="13"/>
      <c r="I35" s="5"/>
      <c r="J35" s="0" t="s">
        <v>58</v>
      </c>
    </row>
    <row r="36" outlineLevel="2">
      <c r="A36" s="12" t="s">
        <v>59</v>
      </c>
      <c r="B36" s="0" t="s">
        <v>57</v>
      </c>
      <c r="C36" s="13">
        <f>IFERROR(26.065*(1-w),"")</f>
        <v>25.100595000000002</v>
      </c>
      <c r="D36" s="13">
        <v>26.065</v>
      </c>
      <c r="E36" s="13">
        <v>27.179353493222109</v>
      </c>
      <c r="F36" s="13"/>
      <c r="G36" s="13"/>
      <c r="I36" s="5"/>
      <c r="J36" s="0" t="s">
        <v>58</v>
      </c>
    </row>
    <row r="37" outlineLevel="2">
      <c r="A37" s="12" t="s">
        <v>60</v>
      </c>
      <c r="B37" s="0" t="s">
        <v>57</v>
      </c>
      <c r="C37" s="13">
        <f>IFERROR(24.93183653*(1-w),"")</f>
        <v>24.00935857839</v>
      </c>
      <c r="D37" s="13">
        <v>24.93183653</v>
      </c>
      <c r="E37" s="13">
        <v>25.9977440354536</v>
      </c>
      <c r="F37" s="13"/>
      <c r="G37" s="13"/>
      <c r="I37" s="5"/>
      <c r="J37" s="0" t="s">
        <v>41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v>1346.1</v>
      </c>
      <c r="D39" s="14"/>
      <c r="E39" s="14"/>
      <c r="F39" s="14"/>
      <c r="G39" s="14"/>
      <c r="I39" s="5"/>
      <c r="J39" s="0" t="s">
        <v>64</v>
      </c>
    </row>
    <row r="40" outlineLevel="2">
      <c r="A40" s="12" t="s">
        <v>65</v>
      </c>
      <c r="B40" s="0" t="s">
        <v>63</v>
      </c>
      <c r="C40" s="14">
        <v>9.63</v>
      </c>
      <c r="D40" s="14"/>
      <c r="E40" s="14"/>
      <c r="F40" s="14"/>
      <c r="G40" s="14"/>
      <c r="I40" s="5"/>
      <c r="J40" s="0" t="s">
        <v>64</v>
      </c>
    </row>
    <row r="41" outlineLevel="2">
      <c r="A41" s="12" t="s">
        <v>66</v>
      </c>
      <c r="B41" s="0" t="s">
        <v>63</v>
      </c>
      <c r="C41" s="14">
        <v>1590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67</v>
      </c>
      <c r="B42" s="0" t="s">
        <v>63</v>
      </c>
      <c r="C42" s="14">
        <v>3.2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68</v>
      </c>
      <c r="B43" s="0" t="s">
        <v>63</v>
      </c>
      <c r="C43" s="14">
        <v>1211.3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69</v>
      </c>
      <c r="B44" s="0" t="s">
        <v>63</v>
      </c>
      <c r="C44" s="14">
        <v>9370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70</v>
      </c>
      <c r="B45" s="0" t="s">
        <v>63</v>
      </c>
      <c r="C45" s="14">
        <v>1130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71</v>
      </c>
      <c r="B46" s="0" t="s">
        <v>63</v>
      </c>
      <c r="C46" s="14">
        <v>14.1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72</v>
      </c>
      <c r="B47" s="0" t="s">
        <v>63</v>
      </c>
      <c r="C47" s="14">
        <v>90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73</v>
      </c>
      <c r="B48" s="0" t="s">
        <v>63</v>
      </c>
      <c r="C48" s="14">
        <v>1120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74</v>
      </c>
      <c r="B49" s="0" t="s">
        <v>63</v>
      </c>
      <c r="C49" s="14">
        <v>6918</v>
      </c>
      <c r="D49" s="14"/>
      <c r="E49" s="14"/>
      <c r="F49" s="14"/>
      <c r="G49" s="14"/>
      <c r="I49" s="5"/>
    </row>
    <row r="50" outlineLevel="2">
      <c r="A50" s="12" t="s">
        <v>75</v>
      </c>
      <c r="B50" s="0" t="s">
        <v>63</v>
      </c>
      <c r="C50" s="14">
        <v>91.54</v>
      </c>
      <c r="D50" s="14"/>
      <c r="E50" s="14"/>
      <c r="F50" s="14"/>
      <c r="G50" s="14"/>
      <c r="I50" s="5"/>
      <c r="J50" s="0" t="s">
        <v>64</v>
      </c>
    </row>
    <row r="51" outlineLevel="2">
      <c r="A51" s="12" t="s">
        <v>76</v>
      </c>
      <c r="B51" s="0" t="s">
        <v>63</v>
      </c>
      <c r="C51" s="14">
        <v>20.5</v>
      </c>
      <c r="D51" s="14"/>
      <c r="E51" s="14"/>
      <c r="F51" s="14"/>
      <c r="G51" s="14"/>
      <c r="I51" s="5"/>
      <c r="J51" s="0" t="s">
        <v>64</v>
      </c>
    </row>
    <row r="52" outlineLevel="1">
      <c r="A52" s="11" t="s">
        <v>77</v>
      </c>
      <c r="I52" s="5"/>
    </row>
    <row r="53" outlineLevel="2">
      <c r="A53" s="15" t="s">
        <v>78</v>
      </c>
      <c r="I53" s="5"/>
    </row>
    <row r="54" outlineLevel="3">
      <c r="A54" s="16" t="s">
        <v>79</v>
      </c>
      <c r="B54" s="0" t="s">
        <v>80</v>
      </c>
      <c r="C54" s="13">
        <v>26.9</v>
      </c>
      <c r="D54" s="13"/>
      <c r="E54" s="13"/>
      <c r="F54" s="13"/>
      <c r="G54" s="13"/>
      <c r="I54" s="5"/>
      <c r="J54" s="0" t="s">
        <v>81</v>
      </c>
    </row>
    <row r="55" outlineLevel="2">
      <c r="A55" s="15" t="s">
        <v>82</v>
      </c>
      <c r="I55" s="5"/>
    </row>
    <row r="56" outlineLevel="3">
      <c r="A56" s="16" t="s">
        <v>83</v>
      </c>
      <c r="B56" s="0" t="s">
        <v>80</v>
      </c>
      <c r="C56" s="13">
        <v>7.3</v>
      </c>
      <c r="D56" s="13"/>
      <c r="E56" s="13"/>
      <c r="F56" s="13"/>
      <c r="G56" s="13"/>
      <c r="I56" s="5"/>
      <c r="J56" s="0" t="s">
        <v>84</v>
      </c>
    </row>
    <row r="57" outlineLevel="3">
      <c r="A57" s="16" t="s">
        <v>85</v>
      </c>
      <c r="B57" s="0" t="s">
        <v>80</v>
      </c>
      <c r="C57" s="13">
        <v>13.1</v>
      </c>
      <c r="D57" s="13"/>
      <c r="E57" s="13"/>
      <c r="F57" s="13"/>
      <c r="G57" s="13"/>
      <c r="I57" s="5"/>
      <c r="J57" s="0" t="s">
        <v>84</v>
      </c>
    </row>
    <row r="58" outlineLevel="3">
      <c r="A58" s="16" t="s">
        <v>86</v>
      </c>
      <c r="B58" s="0" t="s">
        <v>80</v>
      </c>
      <c r="C58" s="13">
        <v>25.8</v>
      </c>
      <c r="D58" s="13"/>
      <c r="E58" s="13"/>
      <c r="F58" s="13"/>
      <c r="G58" s="13"/>
      <c r="I58" s="5"/>
      <c r="J58" s="0" t="s">
        <v>84</v>
      </c>
    </row>
    <row r="59" outlineLevel="2">
      <c r="A59" s="15" t="s">
        <v>87</v>
      </c>
      <c r="I59" s="5"/>
    </row>
    <row r="60" outlineLevel="3">
      <c r="A60" s="16" t="s">
        <v>88</v>
      </c>
      <c r="B60" s="0" t="s">
        <v>80</v>
      </c>
      <c r="C60" s="13">
        <v>50.300000000000004</v>
      </c>
      <c r="D60" s="13"/>
      <c r="E60" s="13"/>
      <c r="F60" s="13"/>
      <c r="G60" s="13"/>
      <c r="I60" s="5"/>
      <c r="J60" s="0" t="s">
        <v>41</v>
      </c>
    </row>
    <row r="61">
      <c r="I61" s="5"/>
    </row>
    <row r="62" s="1" customFormat="1"/>
  </sheetData>
  <mergeCells>
    <mergeCell ref="A7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4:E54"/>
    <mergeCell ref="C56:E56"/>
    <mergeCell ref="C57:E57"/>
    <mergeCell ref="C58:E58"/>
    <mergeCell ref="C60:E60"/>
  </mergeCells>
  <dataValidations count="1">
    <dataValidation type="decimal" sqref="C21" errorStyle="stop" promptTitle="Enter moisture content" errorTitle="Invalid moisture content" prompt="Value should be between 0 and 100.&#10;Original value: 3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https://phyllis.nl/Biomass/View/3947</dc:description>
  <dcterms:created xsi:type="dcterms:W3CDTF">2026-03-17T05:45:58Z</dcterms:created>
  <dc:title>Phyllis2 #3947 Shea slurry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