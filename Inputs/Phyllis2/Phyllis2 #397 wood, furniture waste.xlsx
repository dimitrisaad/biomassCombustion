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7 wood, furniture w" sheetId="1" r:id="rId1"/>
  </sheets>
  <definedNames>
    <definedName name="w" localSheetId="0">IF(ISBLANK('Phyllis2 #397 wood, furniture w'!$C$18),#N/A,'Phyllis2 #397 wood, furniture 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<sst xmlns="http://schemas.openxmlformats.org/spreadsheetml/2006/main" count="71" uniqueCount="71">
  <si>
    <t>Phyllis2</t>
  </si>
  <si>
    <t>https://phyllis.nl/Biomass/View/397</t>
  </si>
  <si>
    <t>wood, furniture waste (#397)</t>
  </si>
  <si>
    <t>ID-number</t>
  </si>
  <si>
    <t>#397</t>
  </si>
  <si>
    <t>Material</t>
  </si>
  <si>
    <t>wood, furniture waste</t>
  </si>
  <si>
    <t>Classification</t>
  </si>
  <si>
    <t>ECN Phyllis classification &gt; treated wood &gt; others &gt; wood, furniture waste</t>
  </si>
  <si>
    <t>NTA 8003 classification &gt; [100] hout &gt; [150] verwerkt 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</si>
  <si>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</si>
  <si>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</si>
  <si>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</si>
  <si>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</si>
  <si>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</si>
  <si>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</si>
  <si>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</si>
  <si>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</si>
  <si>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</si>
  <si>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</si>
  <si>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</si>
  <si>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</si>
  <si>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</si>
  <si>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</si>
  <si>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</si>
  <si>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</si>
  <si>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</si>
  <si>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</si>
  <si>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</si>
  <si>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</si>
  <si>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</si>
  <si>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</si>
  <si>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</si>
  <si>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</si>
  <si>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</si>
  <si>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</si>
  <si>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</si>
  <si>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</si>
  <si>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</si>
  <si>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</si>
  <si>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</si>
  <si>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</si>
  <si>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</si>
  <si>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</si>
  <si>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</si>
  <si>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</si>
  <si>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</si>
  <si>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</si>
  <si>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</si>
  <si>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</si>
  <si>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</si>
  <si>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</si>
  <si>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</si>
  <si>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Barium (Ba)</t>
  </si>
  <si>
    <t>mg/kg (dry)</t>
  </si>
  <si>
    <t>Copper (Cu)</t>
  </si>
  <si>
    <t>Titanium (Ti)</t>
  </si>
  <si>
    <t>Zinc (Zn)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</si>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</sst>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IFERROR(1.08*(1-w),"")</f>
        <v/>
      </c>
      <c r="D19" s="11">
        <v>1.08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IFERROR(50.88*(1-w),"")</f>
        <v/>
      </c>
      <c r="D21" s="11">
        <v>50.88</v>
      </c>
      <c r="E21" s="11">
        <v>51.435503437120907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IFERROR(6.13*(1-w),"")</f>
        <v/>
      </c>
      <c r="D22" s="11">
        <v>6.13</v>
      </c>
      <c r="E22" s="11">
        <v>6.196926809543065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IFERROR(40.23*(1-w),"")</f>
        <v/>
      </c>
      <c r="D23" s="11">
        <v>40.23</v>
      </c>
      <c r="E23" s="11">
        <v>40.669227658714114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IFERROR(1.6*(1-w),"")</f>
        <v/>
      </c>
      <c r="D24" s="11">
        <v>1.6</v>
      </c>
      <c r="E24" s="11">
        <v>1.6174686615446827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IFERROR(0.02*(1-w),"")</f>
        <v/>
      </c>
      <c r="D25" s="11">
        <v>0.02</v>
      </c>
      <c r="E25" s="11">
        <v>0.020218358269308533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IFERROR(600*(1-w),"")</f>
        <v/>
      </c>
      <c r="D28" s="12">
        <v>600</v>
      </c>
      <c r="E28" s="12">
        <v>606.550748079256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IFERROR(18.28833*(1-w)-w*2.443,"")</f>
        <v/>
      </c>
      <c r="D30" s="11">
        <v>18.28833</v>
      </c>
      <c r="E30" s="11">
        <v>18.488000404367163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IFERROR(19.626*(1-w),"")</f>
        <v/>
      </c>
      <c r="D31" s="11">
        <v>19.626</v>
      </c>
      <c r="E31" s="11">
        <v>19.840274969672464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IFERROR(20.4193664592*(1-w),"")</f>
        <v/>
      </c>
      <c r="D32" s="11">
        <v>20.419366459200006</v>
      </c>
      <c r="E32" s="11">
        <v>20.642303335220387</v>
      </c>
      <c r="F32" s="11"/>
      <c r="G32" s="11"/>
      <c r="I32" s="13"/>
      <c r="J32" s="0" t="s">
        <v>40</v>
      </c>
    </row>
    <row r="33" outlineLevel="1">
      <c r="A33" s="9" t="s">
        <v>52</v>
      </c>
      <c r="I33" s="13"/>
    </row>
    <row r="34" outlineLevel="2">
      <c r="A34" s="10" t="s">
        <v>53</v>
      </c>
      <c r="B34" s="0" t="s">
        <v>54</v>
      </c>
      <c r="C34" s="12">
        <v>10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54</v>
      </c>
      <c r="C35" s="12">
        <v>2.5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54</v>
      </c>
      <c r="C36" s="12">
        <v>2.9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54</v>
      </c>
      <c r="C37" s="12">
        <v>7</v>
      </c>
      <c r="D37" s="12"/>
      <c r="E37" s="12"/>
      <c r="F37" s="12"/>
      <c r="G37" s="12"/>
      <c r="I37" s="13"/>
      <c r="J37" s="0" t="s">
        <v>37</v>
      </c>
    </row>
    <row r="38">
      <c r="A38" s="5" t="s">
        <v>58</v>
      </c>
      <c r="I38" s="13"/>
    </row>
    <row r="39" outlineLevel="1">
      <c r="A39" s="9" t="s">
        <v>59</v>
      </c>
      <c r="I39" s="13"/>
    </row>
    <row r="40" outlineLevel="2">
      <c r="A40" s="10" t="s">
        <v>60</v>
      </c>
      <c r="B40" s="0" t="s">
        <v>61</v>
      </c>
      <c r="C40" s="11">
        <v>0.1</v>
      </c>
      <c r="D40" s="11"/>
      <c r="E40" s="11"/>
      <c r="F40" s="11"/>
      <c r="G40" s="11"/>
      <c r="I40" s="13"/>
    </row>
    <row r="41" outlineLevel="2">
      <c r="A41" s="10" t="s">
        <v>62</v>
      </c>
      <c r="B41" s="0" t="s">
        <v>61</v>
      </c>
      <c r="C41" s="11">
        <v>2.2</v>
      </c>
      <c r="D41" s="11"/>
      <c r="E41" s="11"/>
      <c r="F41" s="11"/>
      <c r="G41" s="11"/>
      <c r="I41" s="13"/>
    </row>
    <row r="42" outlineLevel="2">
      <c r="A42" s="10" t="s">
        <v>63</v>
      </c>
      <c r="B42" s="0" t="s">
        <v>61</v>
      </c>
      <c r="C42" s="11">
        <v>12.37</v>
      </c>
      <c r="D42" s="11"/>
      <c r="E42" s="11"/>
      <c r="F42" s="11"/>
      <c r="G42" s="11"/>
      <c r="I42" s="13"/>
    </row>
    <row r="43" outlineLevel="2">
      <c r="A43" s="10" t="s">
        <v>64</v>
      </c>
      <c r="B43" s="0" t="s">
        <v>61</v>
      </c>
      <c r="C43" s="11">
        <v>6.54</v>
      </c>
      <c r="D43" s="11"/>
      <c r="E43" s="11"/>
      <c r="F43" s="11"/>
      <c r="G43" s="11"/>
      <c r="I43" s="13"/>
    </row>
    <row r="44" outlineLevel="2">
      <c r="A44" s="10" t="s">
        <v>65</v>
      </c>
      <c r="B44" s="0" t="s">
        <v>61</v>
      </c>
      <c r="C44" s="11">
        <v>15.03</v>
      </c>
      <c r="D44" s="11"/>
      <c r="E44" s="11"/>
      <c r="F44" s="11"/>
      <c r="G44" s="11"/>
      <c r="I44" s="13"/>
    </row>
    <row r="45" outlineLevel="2">
      <c r="A45" s="10" t="s">
        <v>66</v>
      </c>
      <c r="B45" s="0" t="s">
        <v>61</v>
      </c>
      <c r="C45" s="11">
        <v>14.6</v>
      </c>
      <c r="D45" s="11"/>
      <c r="E45" s="11"/>
      <c r="F45" s="11"/>
      <c r="G45" s="11"/>
      <c r="I45" s="13"/>
    </row>
    <row r="46" outlineLevel="2">
      <c r="A46" s="10" t="s">
        <v>67</v>
      </c>
      <c r="B46" s="0" t="s">
        <v>61</v>
      </c>
      <c r="C46" s="11">
        <v>2.24</v>
      </c>
      <c r="D46" s="11"/>
      <c r="E46" s="11"/>
      <c r="F46" s="11"/>
      <c r="G46" s="11"/>
      <c r="I46" s="13"/>
    </row>
    <row r="47" outlineLevel="2">
      <c r="A47" s="10" t="s">
        <v>68</v>
      </c>
      <c r="B47" s="0" t="s">
        <v>61</v>
      </c>
      <c r="C47" s="11">
        <v>4.83</v>
      </c>
      <c r="D47" s="11"/>
      <c r="E47" s="11"/>
      <c r="F47" s="11"/>
      <c r="G47" s="11"/>
      <c r="I47" s="13"/>
    </row>
    <row r="48" outlineLevel="2">
      <c r="A48" s="10" t="s">
        <v>69</v>
      </c>
      <c r="B48" s="0" t="s">
        <v>61</v>
      </c>
      <c r="C48" s="11">
        <v>6</v>
      </c>
      <c r="D48" s="11"/>
      <c r="E48" s="11"/>
      <c r="F48" s="11"/>
      <c r="G48" s="11"/>
      <c r="I48" s="13"/>
    </row>
    <row r="49" outlineLevel="2">
      <c r="A49" s="10" t="s">
        <v>70</v>
      </c>
      <c r="B49" s="0" t="s">
        <v>61</v>
      </c>
      <c r="C49" s="11">
        <v>28</v>
      </c>
      <c r="D49" s="11"/>
      <c r="E49" s="11"/>
      <c r="F49" s="11"/>
      <c r="G49" s="11"/>
      <c r="I49" s="13"/>
    </row>
    <row r="50">
      <c r="I50" s="13"/>
    </row>
    <row r="5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https://phyllis.nl/Biomass/View/397</dc:description>
  <dcterms:created xsi:type="dcterms:W3CDTF">2026-03-19T04:05:28Z</dcterms:created>
  <dc:title>Phyllis2 #397 wood, furniture waste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