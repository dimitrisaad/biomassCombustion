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08 rape" sheetId="1" r:id="rId1"/>
  </sheets>
  <definedNames>
    <definedName name="w" localSheetId="0">IF(ISBLANK('Phyllis2 #408 rape'!$C$18),#N/A,'Phyllis2 #408 rape'!$C$18/100)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<sst xmlns="http://schemas.openxmlformats.org/spreadsheetml/2006/main" count="84" uniqueCount="84">
  <si>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</si>
  <si>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https://phyllis.nl/Biomass/View/408</t>
  </si>
  <si>
    <t>rape (#408)</t>
  </si>
  <si>
    <t>ID-number</t>
  </si>
  <si>
    <t>#408</t>
  </si>
  <si>
    <t>Material</t>
  </si>
  <si>
    <t>rape</t>
  </si>
  <si>
    <t>Classification</t>
  </si>
  <si>
    <t>ECN Phyllis classification &gt; straw (stalk/cob/ear) &gt; rape &gt; rape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</si>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</sst>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IFERROR(5.54*(1-w),"")</f>
        <v/>
      </c>
      <c r="D19" s="11">
        <v>5.54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IFERROR(51.07*(1-w),"")</f>
        <v/>
      </c>
      <c r="D21" s="11">
        <v>51.07</v>
      </c>
      <c r="E21" s="11">
        <v>54.0652127884819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IFERROR(6.44*(1-w),"")</f>
        <v/>
      </c>
      <c r="D22" s="11">
        <v>6.44</v>
      </c>
      <c r="E22" s="11">
        <v>6.8177006140165153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IFERROR(33.99*(1-w),"")</f>
        <v/>
      </c>
      <c r="D23" s="11">
        <v>33.99</v>
      </c>
      <c r="E23" s="11">
        <v>35.983485073046793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IFERROR(2.3*(1-w),"")</f>
        <v/>
      </c>
      <c r="D24" s="11">
        <v>2.3</v>
      </c>
      <c r="E24" s="11">
        <v>2.4348930764344696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IFERROR(0.4*(1-w),"")</f>
        <v/>
      </c>
      <c r="D25" s="11">
        <v>0.4</v>
      </c>
      <c r="E25" s="11">
        <v>0.42345966546686431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IFERROR(2600*(1-w),"")</f>
        <v/>
      </c>
      <c r="D28" s="12">
        <v>2600</v>
      </c>
      <c r="E28" s="12">
        <v>2752.487825534618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IFERROR(20.187*(1-w)-w*2.443,"")</f>
        <v/>
      </c>
      <c r="D30" s="11">
        <v>20.187</v>
      </c>
      <c r="E30" s="11">
        <v>21.370950666948975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IFERROR(21.604*(1-w),"")</f>
        <v/>
      </c>
      <c r="D31" s="11">
        <v>21.604</v>
      </c>
      <c r="E31" s="11">
        <v>22.871056531865339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IFERROR(21.5211238148*(1-w),"")</f>
        <v/>
      </c>
      <c r="D32" s="11">
        <v>21.5211238148</v>
      </c>
      <c r="E32" s="11">
        <v>22.783319727715433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0.11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2.5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0.4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1380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1590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1640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1660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16.5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4.05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2.45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8.92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1.4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0.12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0.06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8.88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2.58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2.6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13.1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0.02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https://phyllis.nl/Biomass/View/408</dc:description>
  <dcterms:created xsi:type="dcterms:W3CDTF">2026-03-17T06:08:47Z</dcterms:created>
  <dc:title>Phyllis2 #408 rape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