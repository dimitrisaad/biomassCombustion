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1 bark, spruce" sheetId="1" r:id="rId1"/>
  </sheets>
  <definedNames>
    <definedName name="w" localSheetId="0">IF(ISBLANK('Phyllis2 #41 bark, spruce'!$C$18),#N/A,'Phyllis2 #41 bark, spruce'!$C$18/100)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<sst xmlns="http://schemas.openxmlformats.org/spreadsheetml/2006/main" count="58" uniqueCount="58">
  <si>
    <t>Phyllis2</t>
  </si>
  <si>
    <t>https://phyllis.nl/Biomass/View/41</t>
  </si>
  <si>
    <t>bark, spruce (#41)</t>
  </si>
  <si>
    <t>ID-number</t>
  </si>
  <si>
    <t>#41</t>
  </si>
  <si>
    <t>Material</t>
  </si>
  <si>
    <t>bark, spruce</t>
  </si>
  <si>
    <t>Classification</t>
  </si>
  <si>
    <t>ECN Phyllis classification &gt; untreated wood &gt; bark &gt; bark, spruce</t>
  </si>
  <si>
    <t>NTA 8003 classification &gt; [100] hout &gt; [110] vers hout &gt; [112] schors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</si>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</sst>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IFERROR(1.82*(1-w),"")</f>
        <v/>
      </c>
      <c r="D19" s="11">
        <v>1.82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IFERROR(54.73*(1-w),"")</f>
        <v/>
      </c>
      <c r="D21" s="11">
        <v>54.73</v>
      </c>
      <c r="E21" s="11">
        <v>55.744550825015274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IFERROR(5.33*(1-w),"")</f>
        <v/>
      </c>
      <c r="D22" s="11">
        <v>5.33</v>
      </c>
      <c r="E22" s="11">
        <v>5.4288042371155019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IFERROR(37.67*(1-w),"")</f>
        <v/>
      </c>
      <c r="D23" s="11">
        <v>37.67</v>
      </c>
      <c r="E23" s="11">
        <v>38.368303116724384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IFERROR(0.36*(1-w),"")</f>
        <v/>
      </c>
      <c r="D24" s="11">
        <v>0.36</v>
      </c>
      <c r="E24" s="11">
        <v>0.36667345691586878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IFERROR(0.07*(1-w),"")</f>
        <v/>
      </c>
      <c r="D25" s="11">
        <v>0.07</v>
      </c>
      <c r="E25" s="11">
        <v>0.07129761662253005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99.999999999999972</v>
      </c>
      <c r="E26" s="11">
        <v>99.999999999999972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IFERROR(200*(1-w),"")</f>
        <v/>
      </c>
      <c r="D28" s="12">
        <v>200</v>
      </c>
      <c r="E28" s="12">
        <v>203.70747606437155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IFERROR(20.313*(1-w)-w*2.443,"")</f>
        <v/>
      </c>
      <c r="D30" s="11">
        <v>20.313</v>
      </c>
      <c r="E30" s="11">
        <v>20.689549806477896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IFERROR(21.468*(1-w),"")</f>
        <v/>
      </c>
      <c r="D31" s="11">
        <v>21.468</v>
      </c>
      <c r="E31" s="11">
        <v>21.865960480749642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IFERROR(21.1230527972*(1-w),"")</f>
        <v/>
      </c>
      <c r="D32" s="11">
        <v>21.123052797200003</v>
      </c>
      <c r="E32" s="11">
        <v>21.514618860460381</v>
      </c>
      <c r="F32" s="11"/>
      <c r="G32" s="11"/>
      <c r="I32" s="13"/>
      <c r="J32" s="0" t="s">
        <v>40</v>
      </c>
    </row>
    <row r="33" outlineLevel="1">
      <c r="A33" s="9" t="s">
        <v>52</v>
      </c>
      <c r="I33" s="13"/>
    </row>
    <row r="34" outlineLevel="2">
      <c r="A34" s="10" t="s">
        <v>53</v>
      </c>
      <c r="B34" s="0" t="s">
        <v>54</v>
      </c>
      <c r="C34" s="12">
        <v>0.3</v>
      </c>
      <c r="D34" s="12"/>
      <c r="E34" s="12"/>
      <c r="F34" s="12"/>
      <c r="G34" s="12"/>
      <c r="I34" s="13"/>
      <c r="J34" s="0" t="s">
        <v>37</v>
      </c>
    </row>
    <row r="35" outlineLevel="2">
      <c r="A35" s="10" t="s">
        <v>55</v>
      </c>
      <c r="B35" s="0" t="s">
        <v>54</v>
      </c>
      <c r="C35" s="12">
        <v>5.71</v>
      </c>
      <c r="D35" s="12"/>
      <c r="E35" s="12"/>
      <c r="F35" s="12"/>
      <c r="G35" s="12"/>
      <c r="I35" s="13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3"/>
      <c r="J36" s="0" t="s">
        <v>37</v>
      </c>
    </row>
    <row r="37" outlineLevel="2">
      <c r="A37" s="10" t="s">
        <v>57</v>
      </c>
      <c r="B37" s="0" t="s">
        <v>54</v>
      </c>
      <c r="C37" s="12">
        <v>41.49</v>
      </c>
      <c r="D37" s="12"/>
      <c r="E37" s="12"/>
      <c r="F37" s="12"/>
      <c r="G37" s="12"/>
      <c r="I37" s="13"/>
      <c r="J37" s="0" t="s">
        <v>37</v>
      </c>
    </row>
    <row r="38">
      <c r="I38" s="13"/>
    </row>
    <row r="39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https://phyllis.nl/Biomass/View/41</dc:description>
  <dcterms:created xsi:type="dcterms:W3CDTF">2026-03-19T04:16:05Z</dcterms:created>
  <dc:title>Phyllis2 #41 bark, spruce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