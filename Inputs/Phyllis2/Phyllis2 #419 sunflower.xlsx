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19 sunflower" sheetId="1" r:id="rId1"/>
  </sheets>
  <definedNames>
    <definedName name="w" localSheetId="0">IF(ISBLANK('Phyllis2 #419 sunflower'!$C$18),#N/A,'Phyllis2 #419 sunflower'!$C$18/100)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<sst xmlns="http://schemas.openxmlformats.org/spreadsheetml/2006/main" count="84" uniqueCount="84">
  <si>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</si>
  <si>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https://phyllis.nl/Biomass/View/419</t>
  </si>
  <si>
    <t>sunflower (#419)</t>
  </si>
  <si>
    <t>ID-number</t>
  </si>
  <si>
    <t>#419</t>
  </si>
  <si>
    <t>Material</t>
  </si>
  <si>
    <t>sunflower</t>
  </si>
  <si>
    <t>Classification</t>
  </si>
  <si>
    <t>ECN Phyllis classification &gt; straw (stalk/cob/ear) &gt; sunflower &gt; sunflower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</si>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</sst>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IFERROR(3.51*(1-w),"")</f>
        <v/>
      </c>
      <c r="D19" s="11">
        <v>3.51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IFERROR(60.33*(1-w),"")</f>
        <v/>
      </c>
      <c r="D21" s="11">
        <v>60.33</v>
      </c>
      <c r="E21" s="11">
        <v>62.524613949632084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IFERROR(7.13*(1-w),"")</f>
        <v/>
      </c>
      <c r="D22" s="11">
        <v>7.13</v>
      </c>
      <c r="E22" s="11">
        <v>7.3893667737589386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IFERROR(26.8*(1-w),"")</f>
        <v/>
      </c>
      <c r="D23" s="11">
        <v>26.8</v>
      </c>
      <c r="E23" s="11">
        <v>27.774898953259406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IFERROR(2*(1-w),"")</f>
        <v/>
      </c>
      <c r="D24" s="11">
        <v>2</v>
      </c>
      <c r="E24" s="11">
        <v>2.0727536532283137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IFERROR(0.12*(1-w),"")</f>
        <v/>
      </c>
      <c r="D25" s="11">
        <v>0.12</v>
      </c>
      <c r="E25" s="11">
        <v>0.12436521919369882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IFERROR(1100*(1-w),"")</f>
        <v/>
      </c>
      <c r="D28" s="12">
        <v>1100</v>
      </c>
      <c r="E28" s="12">
        <v>1140.0145092755727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IFERROR(24.351*(1-w)-w*2.443,"")</f>
        <v/>
      </c>
      <c r="D30" s="11">
        <v>24.351</v>
      </c>
      <c r="E30" s="11">
        <v>25.236812104881334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IFERROR(25.948*(1-w),"")</f>
        <v/>
      </c>
      <c r="D31" s="11">
        <v>25.948</v>
      </c>
      <c r="E31" s="11">
        <v>26.891905896984145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IFERROR(26.4988039753*(1-w),"")</f>
        <v/>
      </c>
      <c r="D32" s="11">
        <v>26.498803975300003</v>
      </c>
      <c r="E32" s="11">
        <v>27.462746372992022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19.44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0.33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1100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1180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1300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1340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8.2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3.22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1.25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18.5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3.1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0.18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0.11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6.6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4.27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0.04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27.5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0.28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253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https://phyllis.nl/Biomass/View/419</dc:description>
  <dcterms:created xsi:type="dcterms:W3CDTF">2026-03-17T06:12:18Z</dcterms:created>
  <dc:title>Phyllis2 #419 sunflower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