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20 sunflower" sheetId="1" r:id="rId1"/>
  </sheets>
  <definedNames>
    <definedName name="w" localSheetId="0">IF(ISBLANK('Phyllis2 #420 sunflower'!$C$18),#N/A,'Phyllis2 #420 sunflower'!$C$18/100)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<sst xmlns="http://schemas.openxmlformats.org/spreadsheetml/2006/main" count="78" uniqueCount="78">
  <si>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</si>
  <si>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https://phyllis.nl/Biomass/View/420</t>
  </si>
  <si>
    <t>sunflower (#420)</t>
  </si>
  <si>
    <t>ID-number</t>
  </si>
  <si>
    <t>#420</t>
  </si>
  <si>
    <t>Material</t>
  </si>
  <si>
    <t>sunflower</t>
  </si>
  <si>
    <t>Classification</t>
  </si>
  <si>
    <t>ECN Phyllis classification &gt; straw (stalk/cob/ear) &gt; sunflower &gt; sunflower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</si>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</sst>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IFERROR(2.95*(1-w),"")</f>
        <v/>
      </c>
      <c r="D19" s="11">
        <v>2.95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IFERROR(54.78*(1-w),"")</f>
        <v/>
      </c>
      <c r="D21" s="11">
        <v>54.78</v>
      </c>
      <c r="E21" s="11">
        <v>56.4451313755796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IFERROR(5.83*(1-w),"")</f>
        <v/>
      </c>
      <c r="D22" s="11">
        <v>5.83</v>
      </c>
      <c r="E22" s="11">
        <v>6.0072127769191139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IFERROR(34.93*(1-w),"")</f>
        <v/>
      </c>
      <c r="D23" s="11">
        <v>34.93</v>
      </c>
      <c r="E23" s="11">
        <v>35.991756826378158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IFERROR(1.3*(1-w),"")</f>
        <v/>
      </c>
      <c r="D24" s="11">
        <v>1.3</v>
      </c>
      <c r="E24" s="11">
        <v>1.3395157135497167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IFERROR(0.13*(1-w),"")</f>
        <v/>
      </c>
      <c r="D25" s="11">
        <v>0.13</v>
      </c>
      <c r="E25" s="11">
        <v>0.13395157135497165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IFERROR(800*(1-w),"")</f>
        <v/>
      </c>
      <c r="D28" s="12">
        <v>800</v>
      </c>
      <c r="E28" s="12">
        <v>824.317362184441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IFERROR(21.054*(1-w)-w*2.443,"")</f>
        <v/>
      </c>
      <c r="D30" s="11">
        <v>21.054</v>
      </c>
      <c r="E30" s="11">
        <v>21.693972179289023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IFERROR(22.352*(1-w),"")</f>
        <v/>
      </c>
      <c r="D31" s="11">
        <v>22.352</v>
      </c>
      <c r="E31" s="11">
        <v>23.03142709943328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IFERROR(22.0047544825*(1-w),"")</f>
        <v/>
      </c>
      <c r="D32" s="11">
        <v>22.0047544825</v>
      </c>
      <c r="E32" s="11">
        <v>22.67362646316332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1020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1100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1750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1800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15.9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3.77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1.41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13.1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8.1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0.28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0.29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10.6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62</v>
      </c>
      <c r="C49" s="11">
        <v>5.25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62</v>
      </c>
      <c r="C50" s="11">
        <v>0.08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62</v>
      </c>
      <c r="C51" s="11">
        <v>33.5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74</v>
      </c>
      <c r="C52" s="12">
        <v>13</v>
      </c>
      <c r="D52" s="12"/>
      <c r="E52" s="12"/>
      <c r="F52" s="12"/>
      <c r="G52" s="12"/>
      <c r="I52" s="16"/>
    </row>
    <row r="53" outlineLevel="2">
      <c r="A53" s="10" t="s">
        <v>75</v>
      </c>
      <c r="B53" s="0" t="s">
        <v>74</v>
      </c>
      <c r="C53" s="12">
        <v>0.12</v>
      </c>
      <c r="D53" s="12"/>
      <c r="E53" s="12"/>
      <c r="F53" s="12"/>
      <c r="G53" s="12"/>
      <c r="I53" s="16"/>
    </row>
    <row r="54" outlineLevel="2">
      <c r="A54" s="10" t="s">
        <v>76</v>
      </c>
      <c r="B54" s="0" t="s">
        <v>74</v>
      </c>
      <c r="C54" s="12">
        <v>340</v>
      </c>
      <c r="D54" s="12"/>
      <c r="E54" s="12"/>
      <c r="F54" s="12"/>
      <c r="G54" s="12"/>
      <c r="I54" s="16"/>
    </row>
    <row r="55" outlineLevel="2">
      <c r="A55" s="10" t="s">
        <v>77</v>
      </c>
      <c r="B55" s="0" t="s">
        <v>74</v>
      </c>
      <c r="C55" s="12">
        <v>0.04</v>
      </c>
      <c r="D55" s="12"/>
      <c r="E55" s="12"/>
      <c r="F55" s="12"/>
      <c r="G55" s="12"/>
      <c r="I55" s="16"/>
    </row>
    <row r="56">
      <c r="I56" s="16"/>
    </row>
    <row r="5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https://phyllis.nl/Biomass/View/420</dc:description>
  <dcterms:created xsi:type="dcterms:W3CDTF">2026-03-17T06:12:27Z</dcterms:created>
  <dc:title>Phyllis2 #420 sunflower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