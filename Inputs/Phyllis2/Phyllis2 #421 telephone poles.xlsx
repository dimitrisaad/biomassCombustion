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21 telephone poles" sheetId="1" r:id="rId1"/>
  </sheets>
  <definedNames>
    <definedName name="w" localSheetId="0">IF(ISBLANK('Phyllis2 #421 telephone poles'!$C$18),#N/A,'Phyllis2 #421 telephone poles'!$C$18/100)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<sst xmlns="http://schemas.openxmlformats.org/spreadsheetml/2006/main" count="74" uniqueCount="74">
  <si>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</si>
  <si>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https://phyllis.nl/Biomass/View/421</t>
  </si>
  <si>
    <t>telephone poles (#421)</t>
  </si>
  <si>
    <t>ID-number</t>
  </si>
  <si>
    <t>#421</t>
  </si>
  <si>
    <t>Material</t>
  </si>
  <si>
    <t>telephone poles</t>
  </si>
  <si>
    <t>Classification</t>
  </si>
  <si>
    <t>ECN Phyllis classification &gt; treated wood &gt; organic impregnated</t>
  </si>
  <si>
    <t>NTA 8003 classification &gt; [100] hout &gt; [150] verwerkt hout &gt; [180] geïmpregneerd hout (C-hout)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</si>
  <si>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</si>
  <si>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</si>
  <si>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</si>
  <si>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</si>
  <si>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</si>
  <si>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</si>
  <si>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</si>
  <si>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</si>
  <si>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</si>
  <si>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</si>
  <si>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</si>
  <si>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</si>
  <si>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</si>
  <si>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</si>
  <si>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</si>
  <si>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</si>
  <si>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</si>
  <si>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</si>
  <si>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</si>
  <si>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</si>
  <si>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</si>
  <si>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</si>
  <si>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</si>
  <si>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</si>
  <si>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</si>
  <si>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</si>
  <si>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</si>
  <si>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</si>
  <si>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</si>
  <si>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</si>
  <si>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</si>
  <si>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</si>
  <si>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</si>
  <si>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</si>
  <si>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</si>
  <si>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</si>
  <si>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</si>
  <si>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</si>
  <si>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</si>
  <si>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</si>
  <si>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</si>
  <si>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</si>
  <si>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</si>
  <si>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</si>
  <si>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</si>
  <si>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Barium (Ba)</t>
  </si>
  <si>
    <t>Cadmium (Cd)</t>
  </si>
  <si>
    <t>Copper (Cu)</t>
  </si>
  <si>
    <t>Lead (Pb)</t>
  </si>
  <si>
    <t>Titanium (Ti)</t>
  </si>
  <si>
    <t>Zinc (Zn)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</si>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</sst>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IFERROR(2.41*(1-w),"")</f>
        <v/>
      </c>
      <c r="D19" s="11">
        <v>2.41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IFERROR(55.65*(1-w),"")</f>
        <v/>
      </c>
      <c r="D21" s="11">
        <v>55.65</v>
      </c>
      <c r="E21" s="11">
        <v>57.024285275130644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IFERROR(6.02*(1-w),"")</f>
        <v/>
      </c>
      <c r="D22" s="11">
        <v>6.02</v>
      </c>
      <c r="E22" s="11">
        <v>6.1686648222153906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IFERROR(34.51*(1-w),"")</f>
        <v/>
      </c>
      <c r="D23" s="11">
        <v>34.51</v>
      </c>
      <c r="E23" s="11">
        <v>35.362229736653347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IFERROR(0.44*(1-w),"")</f>
        <v/>
      </c>
      <c r="D24" s="11">
        <v>0.44</v>
      </c>
      <c r="E24" s="11">
        <v>0.45086586740444717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IFERROR(0.56*(1-w),"")</f>
        <v/>
      </c>
      <c r="D25" s="11">
        <v>0.56</v>
      </c>
      <c r="E25" s="11">
        <v>0.57382928578747827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IFERROR(4100*(1-w),"")</f>
        <v/>
      </c>
      <c r="D28" s="12">
        <v>4100</v>
      </c>
      <c r="E28" s="12">
        <v>4201.2501280868946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IFERROR(20.60833*(1-w)-w*2.443,"")</f>
        <v/>
      </c>
      <c r="D30" s="11">
        <v>20.60833</v>
      </c>
      <c r="E30" s="11">
        <v>21.11725586637975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IFERROR(21.922*(1-w),"")</f>
        <v/>
      </c>
      <c r="D31" s="11">
        <v>21.922</v>
      </c>
      <c r="E31" s="11">
        <v>22.463367148273388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IFERROR(22.7435216393*(1-w),"")</f>
        <v/>
      </c>
      <c r="D32" s="11">
        <v>22.7435216393</v>
      </c>
      <c r="E32" s="11">
        <v>23.305176390306382</v>
      </c>
      <c r="F32" s="11"/>
      <c r="G32" s="11"/>
      <c r="I32" s="13"/>
      <c r="J32" s="0" t="s">
        <v>40</v>
      </c>
    </row>
    <row r="33" outlineLevel="1">
      <c r="A33" s="9" t="s">
        <v>52</v>
      </c>
      <c r="I33" s="13"/>
    </row>
    <row r="34" outlineLevel="2">
      <c r="A34" s="10" t="s">
        <v>53</v>
      </c>
      <c r="B34" s="0" t="s">
        <v>54</v>
      </c>
      <c r="C34" s="12">
        <v>0.75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54</v>
      </c>
      <c r="C35" s="12">
        <v>14.5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54</v>
      </c>
      <c r="C36" s="12">
        <v>0.14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54</v>
      </c>
      <c r="C37" s="12">
        <v>8.5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54</v>
      </c>
      <c r="C38" s="12">
        <v>39.5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59</v>
      </c>
      <c r="B39" s="0" t="s">
        <v>54</v>
      </c>
      <c r="C39" s="12">
        <v>2.52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60</v>
      </c>
      <c r="B40" s="0" t="s">
        <v>54</v>
      </c>
      <c r="C40" s="12">
        <v>91.5</v>
      </c>
      <c r="D40" s="12"/>
      <c r="E40" s="12"/>
      <c r="F40" s="12"/>
      <c r="G40" s="12"/>
      <c r="I40" s="13"/>
      <c r="J40" s="0" t="s">
        <v>37</v>
      </c>
    </row>
    <row r="41">
      <c r="A41" s="5" t="s">
        <v>61</v>
      </c>
      <c r="I41" s="13"/>
    </row>
    <row r="42" outlineLevel="1">
      <c r="A42" s="9" t="s">
        <v>62</v>
      </c>
      <c r="I42" s="13"/>
    </row>
    <row r="43" outlineLevel="2">
      <c r="A43" s="10" t="s">
        <v>63</v>
      </c>
      <c r="B43" s="0" t="s">
        <v>64</v>
      </c>
      <c r="C43" s="11">
        <v>20.44</v>
      </c>
      <c r="D43" s="11"/>
      <c r="E43" s="11"/>
      <c r="F43" s="11"/>
      <c r="G43" s="11"/>
      <c r="I43" s="13"/>
    </row>
    <row r="44" outlineLevel="2">
      <c r="A44" s="10" t="s">
        <v>65</v>
      </c>
      <c r="B44" s="0" t="s">
        <v>64</v>
      </c>
      <c r="C44" s="11">
        <v>0.3</v>
      </c>
      <c r="D44" s="11"/>
      <c r="E44" s="11"/>
      <c r="F44" s="11"/>
      <c r="G44" s="11"/>
      <c r="I44" s="13"/>
    </row>
    <row r="45" outlineLevel="2">
      <c r="A45" s="10" t="s">
        <v>66</v>
      </c>
      <c r="B45" s="0" t="s">
        <v>64</v>
      </c>
      <c r="C45" s="11">
        <v>19.73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64</v>
      </c>
      <c r="C46" s="11">
        <v>22.64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64</v>
      </c>
      <c r="C47" s="11">
        <v>3.97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64</v>
      </c>
      <c r="C48" s="11">
        <v>8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64</v>
      </c>
      <c r="C49" s="11">
        <v>3.6</v>
      </c>
      <c r="D49" s="11"/>
      <c r="E49" s="11"/>
      <c r="F49" s="11"/>
      <c r="G49" s="11"/>
      <c r="I49" s="13"/>
    </row>
    <row r="50" outlineLevel="2">
      <c r="A50" s="10" t="s">
        <v>71</v>
      </c>
      <c r="B50" s="0" t="s">
        <v>64</v>
      </c>
      <c r="C50" s="11">
        <v>16</v>
      </c>
      <c r="D50" s="11"/>
      <c r="E50" s="11"/>
      <c r="F50" s="11"/>
      <c r="G50" s="11"/>
      <c r="I50" s="13"/>
    </row>
    <row r="51" outlineLevel="2">
      <c r="A51" s="10" t="s">
        <v>72</v>
      </c>
      <c r="B51" s="0" t="s">
        <v>64</v>
      </c>
      <c r="C51" s="11">
        <v>2.42</v>
      </c>
      <c r="D51" s="11"/>
      <c r="E51" s="11"/>
      <c r="F51" s="11"/>
      <c r="G51" s="11"/>
      <c r="I51" s="13"/>
    </row>
    <row r="52" outlineLevel="2">
      <c r="A52" s="10" t="s">
        <v>73</v>
      </c>
      <c r="B52" s="0" t="s">
        <v>64</v>
      </c>
      <c r="C52" s="11">
        <v>0.36</v>
      </c>
      <c r="D52" s="11"/>
      <c r="E52" s="11"/>
      <c r="F52" s="11"/>
      <c r="G52" s="11"/>
      <c r="I52" s="13"/>
    </row>
    <row r="53">
      <c r="I53" s="13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https://phyllis.nl/Biomass/View/421</dc:description>
  <dcterms:created xsi:type="dcterms:W3CDTF">2026-03-19T04:04:15Z</dcterms:created>
  <dc:title>Phyllis2 #421 telephone poles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