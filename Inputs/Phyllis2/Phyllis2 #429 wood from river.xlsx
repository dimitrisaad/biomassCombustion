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29 wood from river" sheetId="1" r:id="rId1"/>
  </sheets>
  <definedNames>
    <definedName name="w" localSheetId="0">IF(ISBLANK('Phyllis2 #429 wood from river'!$C$18),#N/A,'Phyllis2 #429 wood from river'!$C$18/100)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<sst xmlns="http://schemas.openxmlformats.org/spreadsheetml/2006/main" count="74" uniqueCount="74">
  <si>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</si>
  <si>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https://phyllis.nl/Biomass/View/429</t>
  </si>
  <si>
    <t>wood from river (#429)</t>
  </si>
  <si>
    <t>ID-number</t>
  </si>
  <si>
    <t>#429</t>
  </si>
  <si>
    <t>Material</t>
  </si>
  <si>
    <t>wood from river</t>
  </si>
  <si>
    <t>Classification</t>
  </si>
  <si>
    <t>ECN Phyllis classification &gt; treated wood &gt; others</t>
  </si>
  <si>
    <t>NTA 8003 classification &gt; [100] hout &gt; [150] verwerkt hout &gt; [190] hout uit verwerking &gt; [194] hout dat langdurig in het water gelegen heeft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</si>
  <si>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</si>
  <si>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</si>
  <si>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</si>
  <si>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</si>
  <si>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</si>
  <si>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</si>
  <si>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</si>
  <si>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</si>
  <si>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</si>
  <si>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</si>
  <si>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</si>
  <si>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</si>
  <si>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</si>
  <si>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</si>
  <si>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</si>
  <si>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</si>
  <si>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</si>
  <si>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</si>
  <si>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</si>
  <si>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</si>
  <si>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</si>
  <si>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</si>
  <si>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</si>
  <si>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</si>
  <si>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</si>
  <si>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</si>
  <si>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</si>
  <si>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</si>
  <si>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</si>
  <si>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</si>
  <si>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</si>
  <si>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</si>
  <si>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</si>
  <si>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</si>
  <si>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</si>
  <si>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</si>
  <si>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</si>
  <si>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</si>
  <si>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</si>
  <si>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</si>
  <si>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</si>
  <si>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</si>
  <si>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</si>
  <si>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</si>
  <si>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</si>
  <si>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</si>
  <si>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</si>
  <si>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</si>
  <si>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</si>
  <si>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</si>
  <si>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</si>
  <si>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</si>
  <si>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</si>
  <si>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</si>
  <si>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</si>
  <si>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</si>
  <si>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</si>
  <si>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</si>
  <si>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</si>
  <si>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</si>
  <si>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</si>
  <si>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</si>
  <si>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</si>
  <si>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Cr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</si>
</sst>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2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IFERROR(40.6*(1-w),"")</f>
        <v/>
      </c>
      <c r="D19" s="11">
        <v>40.6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IFERROR(30.4*(1-w),"")</f>
        <v/>
      </c>
      <c r="D21" s="11">
        <v>30.4</v>
      </c>
      <c r="E21" s="11">
        <v>51.178451178451176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IFERROR(3.6*(1-w),"")</f>
        <v/>
      </c>
      <c r="D22" s="11">
        <v>3.6</v>
      </c>
      <c r="E22" s="11">
        <v>6.0606060606060614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IFERROR(24.8829*(1-w),"")</f>
        <v/>
      </c>
      <c r="D23" s="11">
        <v>24.8829</v>
      </c>
      <c r="E23" s="11">
        <v>41.890404040404043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IFERROR(0.5*(1-w),"")</f>
        <v/>
      </c>
      <c r="D24" s="11">
        <v>0.5</v>
      </c>
      <c r="E24" s="11">
        <v>0.84175084175084181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6"/>
      <c r="J25" s="0" t="s">
        <v>40</v>
      </c>
    </row>
    <row r="26" outlineLevel="1">
      <c r="A26" s="9" t="s">
        <v>43</v>
      </c>
      <c r="I26" s="16"/>
    </row>
    <row r="27" outlineLevel="2">
      <c r="A27" s="10" t="s">
        <v>44</v>
      </c>
      <c r="B27" s="0" t="s">
        <v>45</v>
      </c>
      <c r="C27" s="12">
        <f>IFERROR(171*(1-w),"")</f>
        <v/>
      </c>
      <c r="D27" s="12">
        <v>171</v>
      </c>
      <c r="E27" s="12">
        <v>287.87878787878788</v>
      </c>
      <c r="F27" s="12"/>
      <c r="G27" s="12"/>
      <c r="I27" s="16"/>
      <c r="J27" s="0" t="s">
        <v>37</v>
      </c>
    </row>
    <row r="28" outlineLevel="1">
      <c r="A28" s="9" t="s">
        <v>46</v>
      </c>
      <c r="I28" s="16"/>
    </row>
    <row r="29" outlineLevel="2">
      <c r="A29" s="10" t="s">
        <v>47</v>
      </c>
      <c r="B29" s="0" t="s">
        <v>48</v>
      </c>
      <c r="C29" s="11">
        <f>IFERROR(10.85682*(1-w)-w*2.443,"")</f>
        <v/>
      </c>
      <c r="D29" s="11">
        <v>10.85682</v>
      </c>
      <c r="E29" s="11">
        <v>18.277474747474749</v>
      </c>
      <c r="F29" s="11"/>
      <c r="G29" s="11"/>
      <c r="I29" s="16"/>
    </row>
    <row r="30" outlineLevel="2">
      <c r="A30" s="10" t="s">
        <v>49</v>
      </c>
      <c r="B30" s="0" t="s">
        <v>48</v>
      </c>
      <c r="C30" s="11">
        <f>IFERROR(11.6424*(1-w),"")</f>
        <v/>
      </c>
      <c r="D30" s="11">
        <v>11.6424</v>
      </c>
      <c r="E30" s="11">
        <v>19.6</v>
      </c>
      <c r="F30" s="11"/>
      <c r="G30" s="11"/>
      <c r="I30" s="16"/>
    </row>
    <row r="31" outlineLevel="2">
      <c r="A31" s="10" t="s">
        <v>50</v>
      </c>
      <c r="B31" s="0" t="s">
        <v>48</v>
      </c>
      <c r="C31" s="11">
        <f>IFERROR(11.71067108*(1-w),"")</f>
        <v/>
      </c>
      <c r="D31" s="11">
        <v>11.710671080000001</v>
      </c>
      <c r="E31" s="11">
        <v>19.714934478114479</v>
      </c>
      <c r="F31" s="11"/>
      <c r="G31" s="11"/>
      <c r="I31" s="16"/>
      <c r="J31" s="0" t="s">
        <v>40</v>
      </c>
    </row>
    <row r="32" outlineLevel="1">
      <c r="A32" s="9" t="s">
        <v>51</v>
      </c>
      <c r="I32" s="16"/>
    </row>
    <row r="33" outlineLevel="2">
      <c r="A33" s="13" t="s">
        <v>52</v>
      </c>
      <c r="I33" s="16"/>
    </row>
    <row r="34" outlineLevel="3">
      <c r="A34" s="14" t="s">
        <v>53</v>
      </c>
      <c r="B34" s="0" t="s">
        <v>54</v>
      </c>
      <c r="C34" s="15">
        <v>1100</v>
      </c>
      <c r="D34" s="15"/>
      <c r="E34" s="15"/>
      <c r="F34" s="15"/>
      <c r="G34" s="15"/>
      <c r="I34" s="16"/>
    </row>
    <row r="35" outlineLevel="3">
      <c r="A35" s="14" t="s">
        <v>55</v>
      </c>
      <c r="B35" s="0" t="s">
        <v>54</v>
      </c>
      <c r="C35" s="15">
        <v>1170</v>
      </c>
      <c r="D35" s="15"/>
      <c r="E35" s="15"/>
      <c r="F35" s="15"/>
      <c r="G35" s="15"/>
      <c r="I35" s="16"/>
    </row>
    <row r="36" outlineLevel="3">
      <c r="A36" s="14" t="s">
        <v>56</v>
      </c>
      <c r="B36" s="0" t="s">
        <v>54</v>
      </c>
      <c r="C36" s="15">
        <v>1200</v>
      </c>
      <c r="D36" s="15"/>
      <c r="E36" s="15"/>
      <c r="F36" s="15"/>
      <c r="G36" s="15"/>
      <c r="I36" s="16"/>
    </row>
    <row r="37" outlineLevel="3">
      <c r="A37" s="14" t="s">
        <v>57</v>
      </c>
      <c r="B37" s="0" t="s">
        <v>54</v>
      </c>
      <c r="C37" s="15">
        <v>1200</v>
      </c>
      <c r="D37" s="15"/>
      <c r="E37" s="15"/>
      <c r="F37" s="15"/>
      <c r="G37" s="15"/>
      <c r="I37" s="16"/>
    </row>
    <row r="38">
      <c r="A38" s="5" t="s">
        <v>58</v>
      </c>
      <c r="I38" s="16"/>
    </row>
    <row r="39" outlineLevel="1">
      <c r="A39" s="9" t="s">
        <v>59</v>
      </c>
      <c r="I39" s="16"/>
    </row>
    <row r="40" outlineLevel="2">
      <c r="A40" s="10" t="s">
        <v>60</v>
      </c>
      <c r="B40" s="0" t="s">
        <v>61</v>
      </c>
      <c r="C40" s="11">
        <v>0</v>
      </c>
      <c r="D40" s="11"/>
      <c r="E40" s="11"/>
      <c r="F40" s="11"/>
      <c r="G40" s="11"/>
      <c r="I40" s="16"/>
    </row>
    <row r="41" outlineLevel="2">
      <c r="A41" s="10" t="s">
        <v>62</v>
      </c>
      <c r="B41" s="0" t="s">
        <v>61</v>
      </c>
      <c r="C41" s="11">
        <v>50.2</v>
      </c>
      <c r="D41" s="11"/>
      <c r="E41" s="11"/>
      <c r="F41" s="11"/>
      <c r="G41" s="11"/>
      <c r="I41" s="16"/>
    </row>
    <row r="42" outlineLevel="2">
      <c r="A42" s="10" t="s">
        <v>63</v>
      </c>
      <c r="B42" s="0" t="s">
        <v>61</v>
      </c>
      <c r="C42" s="11">
        <v>4.4</v>
      </c>
      <c r="D42" s="11"/>
      <c r="E42" s="11"/>
      <c r="F42" s="11"/>
      <c r="G42" s="11"/>
      <c r="I42" s="16"/>
    </row>
    <row r="43" outlineLevel="2">
      <c r="A43" s="10" t="s">
        <v>64</v>
      </c>
      <c r="B43" s="0" t="s">
        <v>61</v>
      </c>
      <c r="C43" s="11">
        <v>7.4</v>
      </c>
      <c r="D43" s="11"/>
      <c r="E43" s="11"/>
      <c r="F43" s="11"/>
      <c r="G43" s="11"/>
      <c r="I43" s="16"/>
    </row>
    <row r="44" outlineLevel="2">
      <c r="A44" s="10" t="s">
        <v>65</v>
      </c>
      <c r="B44" s="0" t="s">
        <v>61</v>
      </c>
      <c r="C44" s="11">
        <v>15.1</v>
      </c>
      <c r="D44" s="11"/>
      <c r="E44" s="11"/>
      <c r="F44" s="11"/>
      <c r="G44" s="11"/>
      <c r="I44" s="16"/>
    </row>
    <row r="45" outlineLevel="2">
      <c r="A45" s="10" t="s">
        <v>66</v>
      </c>
      <c r="B45" s="0" t="s">
        <v>61</v>
      </c>
      <c r="C45" s="11">
        <v>4.6</v>
      </c>
      <c r="D45" s="11"/>
      <c r="E45" s="11"/>
      <c r="F45" s="11"/>
      <c r="G45" s="11"/>
      <c r="I45" s="16"/>
    </row>
    <row r="46" outlineLevel="2">
      <c r="A46" s="10" t="s">
        <v>67</v>
      </c>
      <c r="B46" s="0" t="s">
        <v>61</v>
      </c>
      <c r="C46" s="11">
        <v>1.2</v>
      </c>
      <c r="D46" s="11"/>
      <c r="E46" s="11"/>
      <c r="F46" s="11"/>
      <c r="G46" s="11"/>
      <c r="I46" s="16"/>
    </row>
    <row r="47" outlineLevel="2">
      <c r="A47" s="10" t="s">
        <v>68</v>
      </c>
      <c r="B47" s="0" t="s">
        <v>61</v>
      </c>
      <c r="C47" s="11">
        <v>2.2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70</v>
      </c>
      <c r="C48" s="12">
        <v>286</v>
      </c>
      <c r="D48" s="12"/>
      <c r="E48" s="12"/>
      <c r="F48" s="12"/>
      <c r="G48" s="12"/>
      <c r="I48" s="16"/>
    </row>
    <row r="49" outlineLevel="2">
      <c r="A49" s="10" t="s">
        <v>71</v>
      </c>
      <c r="B49" s="0" t="s">
        <v>70</v>
      </c>
      <c r="C49" s="12">
        <v>0.57</v>
      </c>
      <c r="D49" s="12"/>
      <c r="E49" s="12"/>
      <c r="F49" s="12"/>
      <c r="G49" s="12"/>
      <c r="I49" s="16"/>
    </row>
    <row r="50" outlineLevel="2">
      <c r="A50" s="10" t="s">
        <v>72</v>
      </c>
      <c r="B50" s="0" t="s">
        <v>70</v>
      </c>
      <c r="C50" s="12">
        <v>68</v>
      </c>
      <c r="D50" s="12"/>
      <c r="E50" s="12"/>
      <c r="F50" s="12"/>
      <c r="G50" s="12"/>
      <c r="I50" s="16"/>
    </row>
    <row r="51" outlineLevel="2">
      <c r="A51" s="10" t="s">
        <v>73</v>
      </c>
      <c r="B51" s="0" t="s">
        <v>70</v>
      </c>
      <c r="C51" s="12">
        <v>72</v>
      </c>
      <c r="D51" s="12"/>
      <c r="E51" s="12"/>
      <c r="F51" s="12"/>
      <c r="G51" s="12"/>
      <c r="I51" s="16"/>
    </row>
    <row r="52">
      <c r="I52" s="16"/>
    </row>
    <row r="5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https://phyllis.nl/Biomass/View/429</dc:description>
  <dcterms:created xsi:type="dcterms:W3CDTF">2026-03-19T04:07:40Z</dcterms:created>
  <dc:title>Phyllis2 #429 wood from river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