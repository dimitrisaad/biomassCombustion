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33 barley" sheetId="1" r:id="rId1"/>
  </sheets>
  <definedNames>
    <definedName name="w" localSheetId="0">IF(ISBLANK('Phyllis2 #433 barley'!$C$18),#N/A,'Phyllis2 #433 barley'!$C$18/100)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<sst xmlns="http://schemas.openxmlformats.org/spreadsheetml/2006/main" count="84" uniqueCount="84">
  <si>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</si>
  <si>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https://phyllis.nl/Biomass/View/433</t>
  </si>
  <si>
    <t>barley (#433)</t>
  </si>
  <si>
    <t>ID-number</t>
  </si>
  <si>
    <t>#433</t>
  </si>
  <si>
    <t>Material</t>
  </si>
  <si>
    <t>barley</t>
  </si>
  <si>
    <t>Classification</t>
  </si>
  <si>
    <t>ECN Phyllis classification &gt; straw (stalk/cob/ear) &gt; barley &gt; barley</t>
  </si>
  <si>
    <t>NTA 8003 classification &gt; [200] biomassa uit land- en tuinbouw &gt; [220] stro &gt; [222] gerstestro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</si>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</sst>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3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IFERROR(5.88*(1-w),"")</f>
        <v/>
      </c>
      <c r="D19" s="11">
        <v>5.88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IFERROR(46.86*(1-w),"")</f>
        <v/>
      </c>
      <c r="D21" s="11">
        <v>46.86</v>
      </c>
      <c r="E21" s="11">
        <v>49.787505312367188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IFERROR(5.31*(1-w),"")</f>
        <v/>
      </c>
      <c r="D22" s="11">
        <v>5.31</v>
      </c>
      <c r="E22" s="11">
        <v>5.6417339566510831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IFERROR(40.12*(1-w),"")</f>
        <v/>
      </c>
      <c r="D23" s="11">
        <v>40.12</v>
      </c>
      <c r="E23" s="11">
        <v>42.626434339141518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IFERROR(0.73*(1-w),"")</f>
        <v/>
      </c>
      <c r="D24" s="11">
        <v>0.73</v>
      </c>
      <c r="E24" s="11">
        <v>0.77560560985975346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IFERROR(0.12*(1-w),"")</f>
        <v/>
      </c>
      <c r="D25" s="11">
        <v>0.12</v>
      </c>
      <c r="E25" s="11">
        <v>0.12749681257968551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IFERROR(9800*(1-w),"")</f>
        <v/>
      </c>
      <c r="D28" s="12">
        <v>9800</v>
      </c>
      <c r="E28" s="12">
        <v>10412.239694007649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IFERROR(17.4*(1-w)-w*2.443,"")</f>
        <v/>
      </c>
      <c r="D30" s="11">
        <v>17.4</v>
      </c>
      <c r="E30" s="11">
        <v>18.487037824054397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IFERROR(18.568*(1-w),"")</f>
        <v/>
      </c>
      <c r="D31" s="11">
        <v>18.568</v>
      </c>
      <c r="E31" s="11">
        <v>19.728006799830005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IFERROR(18.0206378832*(1-w),"")</f>
        <v/>
      </c>
      <c r="D32" s="11">
        <v>18.020637883200003</v>
      </c>
      <c r="E32" s="11">
        <v>19.14644908967276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0.05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3.28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0.02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0.11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720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760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1010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1080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2.5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4.43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11.9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2.73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33.8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0.28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0.28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8.3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2.22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4.11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26.1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0.22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36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https://phyllis.nl/Biomass/View/433</dc:description>
  <dcterms:created xsi:type="dcterms:W3CDTF">2026-03-17T06:03:49Z</dcterms:created>
  <dc:title>Phyllis2 #433 barley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