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34 barley" sheetId="1" r:id="rId1"/>
  </sheets>
  <definedNames>
    <definedName name="w" localSheetId="0">IF(ISBLANK('Phyllis2 #434 barley'!$C$18),#N/A,'Phyllis2 #434 barley'!$C$18/100)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<sst xmlns="http://schemas.openxmlformats.org/spreadsheetml/2006/main" count="66" uniqueCount="66">
  <si>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</si>
  <si>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https://phyllis.nl/Biomass/View/434</t>
  </si>
  <si>
    <t>barley (#434)</t>
  </si>
  <si>
    <t>ID-number</t>
  </si>
  <si>
    <t>#434</t>
  </si>
  <si>
    <t>Material</t>
  </si>
  <si>
    <t>barley</t>
  </si>
  <si>
    <t>Classification</t>
  </si>
  <si>
    <t>ECN Phyllis classification &gt; straw (stalk/cob/ear) &gt; barley &gt; barley</t>
  </si>
  <si>
    <t>NTA 8003 classification &gt; [200] biomassa uit land- en tuinbouw &gt; [220] stro &gt; [222] gerstestro</t>
  </si>
  <si>
    <t>Ash type</t>
  </si>
  <si>
    <t>industrial</t>
  </si>
  <si>
    <t>Submitter organisation</t>
  </si>
  <si>
    <t>ECN (Netherlands)</t>
  </si>
  <si>
    <t>Literature</t>
  </si>
  <si>
    <t>W. R. Livingston: Straw ash characteristics, Babcock Energy Limited, DE92 519748, 23 p. (1991).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</si>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</sst>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6.2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IFERROR(4.26*(1-w),"")</f>
        <v>3.9958799999999997</v>
      </c>
      <c r="D19" s="11">
        <v>4.26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IFERROR(76.8*(1-w),"")</f>
        <v>72.0384</v>
      </c>
      <c r="D20" s="11">
        <v>76.8</v>
      </c>
      <c r="E20" s="11">
        <v>80.217255065803215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IFERROR(18.94*(1-w),"")</f>
        <v>17.765719999999998</v>
      </c>
      <c r="D21" s="11">
        <v>18.939999999999998</v>
      </c>
      <c r="E21" s="11">
        <v>19.782744934196781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IFERROR(45.86354*(1-w),"")</f>
        <v>43.020000519999996</v>
      </c>
      <c r="D23" s="11">
        <v>45.86354</v>
      </c>
      <c r="E23" s="11">
        <v>47.904261541675368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IFERROR(5.916844*(1-w),"")</f>
        <v>5.549999672</v>
      </c>
      <c r="D24" s="11">
        <v>5.916844</v>
      </c>
      <c r="E24" s="11">
        <v>6.1801169834969709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IFERROR(42.97441*(1-w),"")</f>
        <v>40.309996579999996</v>
      </c>
      <c r="D25" s="11">
        <v>42.97441</v>
      </c>
      <c r="E25" s="11">
        <v>44.886578232713596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IFERROR(0.4264392*(1-w),"")</f>
        <v>0.3999999696</v>
      </c>
      <c r="D26" s="11">
        <v>0.4264392</v>
      </c>
      <c r="E26" s="11">
        <v>0.44541382912053479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IFERROR(0.2025586*(1-w),"")</f>
        <v>0.1899999668</v>
      </c>
      <c r="D27" s="11">
        <v>0.2025586</v>
      </c>
      <c r="E27" s="11">
        <v>0.21157154794234384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IFERROR(99.9956042*(1-w)+w*100,"")</f>
        <v>99.9958767396</v>
      </c>
      <c r="D28" s="11">
        <v>99.995604200000017</v>
      </c>
      <c r="E28" s="11">
        <v>99.995408606643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IFERROR(3518.124*(1-w),"")</f>
        <v>3300.0003119999997</v>
      </c>
      <c r="D30" s="12">
        <v>3518.124</v>
      </c>
      <c r="E30" s="12">
        <v>3674.664716941717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IFERROR(16.85383*(1-w)-w*2.443,"")</f>
        <v>15.657426539999998</v>
      </c>
      <c r="D32" s="11">
        <v>16.85383</v>
      </c>
      <c r="E32" s="11">
        <v>17.603749738876122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IFERROR(18.14499*(1-w),"")</f>
        <v>17.020000619999998</v>
      </c>
      <c r="D33" s="11">
        <v>18.14499</v>
      </c>
      <c r="E33" s="11">
        <v>18.952360559849591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IFERROR(18.20492710676*(1-w),"")</f>
        <v>17.076221626140878</v>
      </c>
      <c r="D34" s="11">
        <v>18.20492710676</v>
      </c>
      <c r="E34" s="11">
        <v>19.014964598663045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2.571785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1.87901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67.92897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0.1572777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0.09446438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5.596754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1.807629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0.3774094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56</v>
      </c>
      <c r="C45" s="11">
        <v>14.53867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56</v>
      </c>
      <c r="C46" s="11">
        <v>0.1001001</v>
      </c>
      <c r="D46" s="11"/>
      <c r="E46" s="11"/>
      <c r="F46" s="11"/>
      <c r="G46" s="11"/>
      <c r="I46" s="13"/>
    </row>
    <row r="47">
      <c r="I47" s="13"/>
    </row>
    <row r="4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8" errorStyle="stop" promptTitle="Enter moisture content" errorTitle="Invalid moisture content" prompt="Value should be between 0 and 100.&#10;Original value: 6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https://phyllis.nl/Biomass/View/434</dc:description>
  <dcterms:created xsi:type="dcterms:W3CDTF">2026-03-17T06:03:51Z</dcterms:created>
  <dc:title>Phyllis2 #434 barley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