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443 wood, plywood scr" sheetId="1" r:id="rId1"/>
  </sheets>
  <definedNames>
    <definedName name="w" localSheetId="0">IF(ISBLANK('Phyllis2 #443 wood, plywood scr'!$C$18),#N/A,'Phyllis2 #443 wood, plywood scr'!$C$18/100)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<sst xmlns="http://schemas.openxmlformats.org/spreadsheetml/2006/main" count="74" uniqueCount="74">
  <si>
    <t>Phyllis2</t>
  </si>
  <si>
    <t>https://phyllis.nl/Biomass/View/443</t>
  </si>
  <si>
    <t>wood, plywood scraps (#443)</t>
  </si>
  <si>
    <t>ID-number</t>
  </si>
  <si>
    <t>#443</t>
  </si>
  <si>
    <t>Material</t>
  </si>
  <si>
    <t>wood, plywood scraps</t>
  </si>
  <si>
    <t>Classification</t>
  </si>
  <si>
    <t>ECN Phyllis classification &gt; treated wood &gt; others</t>
  </si>
  <si>
    <t>NTA 8003 classification &gt; [100] hout &gt; [150] verwerkt hout &gt; [170] geverfd/verlijmd hout (B-hout) &gt; [172] plaatmateriaal/verlijmd hout</t>
  </si>
  <si>
    <t>Ash type</t>
  </si>
  <si>
    <t>industrial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</si>
  <si>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</si>
  <si>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</si>
  <si>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</si>
  <si>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</si>
  <si>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</si>
  <si>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</si>
  <si>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</si>
  <si>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</si>
  <si>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</si>
  <si>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</si>
  <si>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</si>
  <si>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</si>
  <si>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</si>
  <si>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</si>
  <si>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</si>
  <si>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</si>
  <si>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</si>
  <si>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</si>
  <si>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</si>
  <si>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</si>
  <si>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</si>
  <si>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</si>
  <si>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</si>
  <si>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</si>
  <si>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</si>
  <si>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</si>
  <si>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</si>
  <si>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</si>
  <si>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</si>
  <si>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</si>
  <si>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</si>
  <si>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</si>
  <si>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</si>
  <si>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</si>
  <si>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</si>
  <si>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</si>
  <si>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</si>
  <si>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</si>
  <si>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</si>
  <si>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</si>
  <si>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</si>
  <si>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Arsenic (As)</t>
  </si>
  <si>
    <t>mg/kg (dry)</t>
  </si>
  <si>
    <t>Barium (Ba)</t>
  </si>
  <si>
    <t>Chromium (Cr)</t>
  </si>
  <si>
    <t>Copper (Cu)</t>
  </si>
  <si>
    <t>Lead (Pb)</t>
  </si>
  <si>
    <t>Titanium (Ti)</t>
  </si>
  <si>
    <t>Zinc (Zn)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</si>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</sst>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44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34</v>
      </c>
      <c r="C19" s="11">
        <f>IFERROR(1.5*(1-w),"")</f>
        <v/>
      </c>
      <c r="D19" s="11">
        <v>1.5</v>
      </c>
      <c r="E19" s="11">
        <v/>
      </c>
      <c r="F19" s="11"/>
      <c r="G19" s="11"/>
      <c r="I19" s="13"/>
    </row>
    <row r="20" outlineLevel="1">
      <c r="A20" s="9" t="s">
        <v>35</v>
      </c>
      <c r="I20" s="13"/>
    </row>
    <row r="21" outlineLevel="2">
      <c r="A21" s="10" t="s">
        <v>36</v>
      </c>
      <c r="B21" s="0" t="s">
        <v>34</v>
      </c>
      <c r="C21" s="11">
        <f>IFERROR(54.74*(1-w),"")</f>
        <v/>
      </c>
      <c r="D21" s="11">
        <v>54.74</v>
      </c>
      <c r="E21" s="11">
        <v>55.573604060913709</v>
      </c>
      <c r="F21" s="11"/>
      <c r="G21" s="11"/>
      <c r="I21" s="13"/>
      <c r="J21" s="0" t="s">
        <v>37</v>
      </c>
    </row>
    <row r="22" outlineLevel="2">
      <c r="A22" s="10" t="s">
        <v>38</v>
      </c>
      <c r="B22" s="0" t="s">
        <v>34</v>
      </c>
      <c r="C22" s="11">
        <f>IFERROR(6.13*(1-w),"")</f>
        <v/>
      </c>
      <c r="D22" s="11">
        <v>6.13</v>
      </c>
      <c r="E22" s="11">
        <v>6.2233502538071068</v>
      </c>
      <c r="F22" s="11"/>
      <c r="G22" s="11"/>
      <c r="I22" s="13"/>
      <c r="J22" s="0" t="s">
        <v>37</v>
      </c>
    </row>
    <row r="23" outlineLevel="2">
      <c r="A23" s="10" t="s">
        <v>39</v>
      </c>
      <c r="B23" s="0" t="s">
        <v>34</v>
      </c>
      <c r="C23" s="11">
        <f>IFERROR(37.25*(1-w),"")</f>
        <v/>
      </c>
      <c r="D23" s="11">
        <v>37.25</v>
      </c>
      <c r="E23" s="11">
        <v>37.817258883248734</v>
      </c>
      <c r="F23" s="11"/>
      <c r="G23" s="11"/>
      <c r="I23" s="13"/>
      <c r="J23" s="0" t="s">
        <v>40</v>
      </c>
    </row>
    <row r="24" outlineLevel="2">
      <c r="A24" s="10" t="s">
        <v>41</v>
      </c>
      <c r="B24" s="0" t="s">
        <v>34</v>
      </c>
      <c r="C24" s="11">
        <f>IFERROR(0.31*(1-w),"")</f>
        <v/>
      </c>
      <c r="D24" s="11">
        <v>0.31</v>
      </c>
      <c r="E24" s="11">
        <v>0.31472081218274112</v>
      </c>
      <c r="F24" s="11"/>
      <c r="G24" s="11"/>
      <c r="I24" s="13"/>
      <c r="J24" s="0" t="s">
        <v>37</v>
      </c>
    </row>
    <row r="25" outlineLevel="2">
      <c r="A25" s="10" t="s">
        <v>42</v>
      </c>
      <c r="B25" s="0" t="s">
        <v>34</v>
      </c>
      <c r="C25" s="11">
        <f>IFERROR(0.04*(1-w),"")</f>
        <v/>
      </c>
      <c r="D25" s="11">
        <v>0.04</v>
      </c>
      <c r="E25" s="11">
        <v>0.040609137055837567</v>
      </c>
      <c r="F25" s="11"/>
      <c r="G25" s="11"/>
      <c r="I25" s="13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100.00000000000001</v>
      </c>
      <c r="E26" s="11">
        <v>100.00000000000001</v>
      </c>
      <c r="F26" s="11"/>
      <c r="G26" s="11"/>
      <c r="I26" s="13"/>
      <c r="J26" s="0" t="s">
        <v>40</v>
      </c>
    </row>
    <row r="27" outlineLevel="1">
      <c r="A27" s="9" t="s">
        <v>44</v>
      </c>
      <c r="I27" s="13"/>
    </row>
    <row r="28" outlineLevel="2">
      <c r="A28" s="10" t="s">
        <v>45</v>
      </c>
      <c r="B28" s="0" t="s">
        <v>46</v>
      </c>
      <c r="C28" s="12">
        <f>IFERROR(300*(1-w),"")</f>
        <v/>
      </c>
      <c r="D28" s="12">
        <v>300</v>
      </c>
      <c r="E28" s="12">
        <v>304.56852791878174</v>
      </c>
      <c r="F28" s="12"/>
      <c r="G28" s="12"/>
      <c r="I28" s="13"/>
      <c r="J28" s="0" t="s">
        <v>37</v>
      </c>
    </row>
    <row r="29" outlineLevel="1">
      <c r="A29" s="9" t="s">
        <v>47</v>
      </c>
      <c r="I29" s="13"/>
    </row>
    <row r="30" outlineLevel="2">
      <c r="A30" s="10" t="s">
        <v>48</v>
      </c>
      <c r="B30" s="0" t="s">
        <v>49</v>
      </c>
      <c r="C30" s="11">
        <f>IFERROR(20.03233*(1-w)-w*2.443,"")</f>
        <v/>
      </c>
      <c r="D30" s="11">
        <v>20.03233</v>
      </c>
      <c r="E30" s="11">
        <v>20.337390862944165</v>
      </c>
      <c r="F30" s="11"/>
      <c r="G30" s="11"/>
      <c r="I30" s="13"/>
    </row>
    <row r="31" outlineLevel="2">
      <c r="A31" s="10" t="s">
        <v>50</v>
      </c>
      <c r="B31" s="0" t="s">
        <v>49</v>
      </c>
      <c r="C31" s="11">
        <f>IFERROR(21.37*(1-w),"")</f>
        <v/>
      </c>
      <c r="D31" s="11">
        <v>21.37</v>
      </c>
      <c r="E31" s="11">
        <v>21.695431472081218</v>
      </c>
      <c r="F31" s="11"/>
      <c r="G31" s="11"/>
      <c r="I31" s="13"/>
    </row>
    <row r="32" outlineLevel="2">
      <c r="A32" s="10" t="s">
        <v>51</v>
      </c>
      <c r="B32" s="0" t="s">
        <v>49</v>
      </c>
      <c r="C32" s="11">
        <f>IFERROR(22.24313825*(1-w),"")</f>
        <v/>
      </c>
      <c r="D32" s="11">
        <v>22.243138250000005</v>
      </c>
      <c r="E32" s="11">
        <v>22.581866243654826</v>
      </c>
      <c r="F32" s="11"/>
      <c r="G32" s="11"/>
      <c r="I32" s="13"/>
      <c r="J32" s="0" t="s">
        <v>40</v>
      </c>
    </row>
    <row r="33" outlineLevel="1">
      <c r="A33" s="9" t="s">
        <v>52</v>
      </c>
      <c r="I33" s="13"/>
    </row>
    <row r="34" outlineLevel="2">
      <c r="A34" s="10" t="s">
        <v>53</v>
      </c>
      <c r="B34" s="0" t="s">
        <v>54</v>
      </c>
      <c r="C34" s="12">
        <v>7.2</v>
      </c>
      <c r="D34" s="12"/>
      <c r="E34" s="12"/>
      <c r="F34" s="12"/>
      <c r="G34" s="12"/>
      <c r="I34" s="13"/>
      <c r="J34" s="0" t="s">
        <v>37</v>
      </c>
    </row>
    <row r="35" outlineLevel="2">
      <c r="A35" s="10" t="s">
        <v>55</v>
      </c>
      <c r="B35" s="0" t="s">
        <v>54</v>
      </c>
      <c r="C35" s="12">
        <v>11.1</v>
      </c>
      <c r="D35" s="12"/>
      <c r="E35" s="12"/>
      <c r="F35" s="12"/>
      <c r="G35" s="12"/>
      <c r="I35" s="13"/>
      <c r="J35" s="0" t="s">
        <v>37</v>
      </c>
    </row>
    <row r="36" outlineLevel="2">
      <c r="A36" s="10" t="s">
        <v>56</v>
      </c>
      <c r="B36" s="0" t="s">
        <v>54</v>
      </c>
      <c r="C36" s="12">
        <v>8.5</v>
      </c>
      <c r="D36" s="12"/>
      <c r="E36" s="12"/>
      <c r="F36" s="12"/>
      <c r="G36" s="12"/>
      <c r="I36" s="13"/>
      <c r="J36" s="0" t="s">
        <v>37</v>
      </c>
    </row>
    <row r="37" outlineLevel="2">
      <c r="A37" s="10" t="s">
        <v>57</v>
      </c>
      <c r="B37" s="0" t="s">
        <v>54</v>
      </c>
      <c r="C37" s="12">
        <v>2.5</v>
      </c>
      <c r="D37" s="12"/>
      <c r="E37" s="12"/>
      <c r="F37" s="12"/>
      <c r="G37" s="12"/>
      <c r="I37" s="13"/>
      <c r="J37" s="0" t="s">
        <v>37</v>
      </c>
    </row>
    <row r="38" outlineLevel="2">
      <c r="A38" s="10" t="s">
        <v>58</v>
      </c>
      <c r="B38" s="0" t="s">
        <v>54</v>
      </c>
      <c r="C38" s="12">
        <v>7.5</v>
      </c>
      <c r="D38" s="12"/>
      <c r="E38" s="12"/>
      <c r="F38" s="12"/>
      <c r="G38" s="12"/>
      <c r="I38" s="13"/>
      <c r="J38" s="0" t="s">
        <v>37</v>
      </c>
    </row>
    <row r="39" outlineLevel="2">
      <c r="A39" s="10" t="s">
        <v>59</v>
      </c>
      <c r="B39" s="0" t="s">
        <v>54</v>
      </c>
      <c r="C39" s="12">
        <v>1.19</v>
      </c>
      <c r="D39" s="12"/>
      <c r="E39" s="12"/>
      <c r="F39" s="12"/>
      <c r="G39" s="12"/>
      <c r="I39" s="13"/>
      <c r="J39" s="0" t="s">
        <v>37</v>
      </c>
    </row>
    <row r="40" outlineLevel="2">
      <c r="A40" s="10" t="s">
        <v>60</v>
      </c>
      <c r="B40" s="0" t="s">
        <v>54</v>
      </c>
      <c r="C40" s="12">
        <v>8.5</v>
      </c>
      <c r="D40" s="12"/>
      <c r="E40" s="12"/>
      <c r="F40" s="12"/>
      <c r="G40" s="12"/>
      <c r="I40" s="13"/>
      <c r="J40" s="0" t="s">
        <v>37</v>
      </c>
    </row>
    <row r="41">
      <c r="A41" s="5" t="s">
        <v>61</v>
      </c>
      <c r="I41" s="13"/>
    </row>
    <row r="42" outlineLevel="1">
      <c r="A42" s="9" t="s">
        <v>62</v>
      </c>
      <c r="I42" s="13"/>
    </row>
    <row r="43" outlineLevel="2">
      <c r="A43" s="10" t="s">
        <v>63</v>
      </c>
      <c r="B43" s="0" t="s">
        <v>64</v>
      </c>
      <c r="C43" s="11">
        <v>0.48</v>
      </c>
      <c r="D43" s="11"/>
      <c r="E43" s="11"/>
      <c r="F43" s="11"/>
      <c r="G43" s="11"/>
      <c r="I43" s="13"/>
    </row>
    <row r="44" outlineLevel="2">
      <c r="A44" s="10" t="s">
        <v>65</v>
      </c>
      <c r="B44" s="0" t="s">
        <v>64</v>
      </c>
      <c r="C44" s="11">
        <v>0.6</v>
      </c>
      <c r="D44" s="11"/>
      <c r="E44" s="11"/>
      <c r="F44" s="11"/>
      <c r="G44" s="11"/>
      <c r="I44" s="13"/>
    </row>
    <row r="45" outlineLevel="2">
      <c r="A45" s="10" t="s">
        <v>66</v>
      </c>
      <c r="B45" s="0" t="s">
        <v>64</v>
      </c>
      <c r="C45" s="11">
        <v>9.2</v>
      </c>
      <c r="D45" s="11"/>
      <c r="E45" s="11"/>
      <c r="F45" s="11"/>
      <c r="G45" s="11"/>
      <c r="I45" s="13"/>
    </row>
    <row r="46" outlineLevel="2">
      <c r="A46" s="10" t="s">
        <v>67</v>
      </c>
      <c r="B46" s="0" t="s">
        <v>64</v>
      </c>
      <c r="C46" s="11">
        <v>1.03</v>
      </c>
      <c r="D46" s="11"/>
      <c r="E46" s="11"/>
      <c r="F46" s="11"/>
      <c r="G46" s="11"/>
      <c r="I46" s="13"/>
    </row>
    <row r="47" outlineLevel="2">
      <c r="A47" s="10" t="s">
        <v>68</v>
      </c>
      <c r="B47" s="0" t="s">
        <v>64</v>
      </c>
      <c r="C47" s="11">
        <v>1.93</v>
      </c>
      <c r="D47" s="11"/>
      <c r="E47" s="11"/>
      <c r="F47" s="11"/>
      <c r="G47" s="11"/>
      <c r="I47" s="13"/>
    </row>
    <row r="48" outlineLevel="2">
      <c r="A48" s="10" t="s">
        <v>69</v>
      </c>
      <c r="B48" s="0" t="s">
        <v>64</v>
      </c>
      <c r="C48" s="11">
        <v>53.6</v>
      </c>
      <c r="D48" s="11"/>
      <c r="E48" s="11"/>
      <c r="F48" s="11"/>
      <c r="G48" s="11"/>
      <c r="I48" s="13"/>
    </row>
    <row r="49" outlineLevel="2">
      <c r="A49" s="10" t="s">
        <v>70</v>
      </c>
      <c r="B49" s="0" t="s">
        <v>64</v>
      </c>
      <c r="C49" s="11">
        <v>2.8</v>
      </c>
      <c r="D49" s="11"/>
      <c r="E49" s="11"/>
      <c r="F49" s="11"/>
      <c r="G49" s="11"/>
      <c r="I49" s="13"/>
    </row>
    <row r="50" outlineLevel="2">
      <c r="A50" s="10" t="s">
        <v>71</v>
      </c>
      <c r="B50" s="0" t="s">
        <v>64</v>
      </c>
      <c r="C50" s="11">
        <v>7.96</v>
      </c>
      <c r="D50" s="11"/>
      <c r="E50" s="11"/>
      <c r="F50" s="11"/>
      <c r="G50" s="11"/>
      <c r="I50" s="13"/>
    </row>
    <row r="51" outlineLevel="2">
      <c r="A51" s="10" t="s">
        <v>72</v>
      </c>
      <c r="B51" s="0" t="s">
        <v>64</v>
      </c>
      <c r="C51" s="11">
        <v>0.92</v>
      </c>
      <c r="D51" s="11"/>
      <c r="E51" s="11"/>
      <c r="F51" s="11"/>
      <c r="G51" s="11"/>
      <c r="I51" s="13"/>
    </row>
    <row r="52" outlineLevel="2">
      <c r="A52" s="10" t="s">
        <v>73</v>
      </c>
      <c r="B52" s="0" t="s">
        <v>64</v>
      </c>
      <c r="C52" s="11">
        <v>0.16</v>
      </c>
      <c r="D52" s="11"/>
      <c r="E52" s="11"/>
      <c r="F52" s="11"/>
      <c r="G52" s="11"/>
      <c r="I52" s="13"/>
    </row>
    <row r="53">
      <c r="I53" s="13"/>
    </row>
    <row r="54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4:E34"/>
    <mergeCell ref="C35:E35"/>
    <mergeCell ref="C36:E36"/>
    <mergeCell ref="C37:E37"/>
    <mergeCell ref="C38:E38"/>
    <mergeCell ref="C39:E39"/>
    <mergeCell ref="C40:E40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https://phyllis.nl/Biomass/View/443</dc:description>
  <dcterms:created xsi:type="dcterms:W3CDTF">2026-03-19T04:08:06Z</dcterms:created>
  <dc:title>Phyllis2 #443 wood, plywood scraps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