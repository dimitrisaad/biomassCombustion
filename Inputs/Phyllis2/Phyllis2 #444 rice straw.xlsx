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44 rice straw" sheetId="1" r:id="rId1"/>
  </sheets>
  <definedNames>
    <definedName name="w" localSheetId="0">IF(ISBLANK('Phyllis2 #444 rice straw'!$C$18),#N/A,'Phyllis2 #444 rice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<sst xmlns="http://schemas.openxmlformats.org/spreadsheetml/2006/main" count="64" uniqueCount="64">
  <si>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</si>
  <si>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https://phyllis.nl/Biomass/View/444</t>
  </si>
  <si>
    <t>rice straw (#444)</t>
  </si>
  <si>
    <t>ID-number</t>
  </si>
  <si>
    <t>#444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</si>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</sst>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IFERROR(19.09*(1-w),"")</f>
        <v/>
      </c>
      <c r="D19" s="11">
        <v>19.09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IFERROR(38.91*(1-w),"")</f>
        <v/>
      </c>
      <c r="D21" s="11">
        <v>38.91</v>
      </c>
      <c r="E21" s="11">
        <v>48.090470893585461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IFERROR(4.74*(1-w),"")</f>
        <v/>
      </c>
      <c r="D22" s="11">
        <v>4.74</v>
      </c>
      <c r="E22" s="11">
        <v>5.85836114200964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IFERROR(35.31*(1-w),"")</f>
        <v/>
      </c>
      <c r="D23" s="11">
        <v>35.31</v>
      </c>
      <c r="E23" s="11">
        <v>43.641082684464223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IFERROR(1.37*(1-w),"")</f>
        <v/>
      </c>
      <c r="D24" s="11">
        <v>1.37</v>
      </c>
      <c r="E24" s="11">
        <v>1.6932394018044741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IFERROR(0.11*(1-w),"")</f>
        <v/>
      </c>
      <c r="D25" s="11">
        <v>0.11</v>
      </c>
      <c r="E25" s="11">
        <v>0.13595352861203805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IFERROR(4700*(1-w),"")</f>
        <v/>
      </c>
      <c r="D28" s="12">
        <v>4700</v>
      </c>
      <c r="E28" s="12">
        <v>5808.9234952416264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IFERROR(14.91965*(1-w)-w*2.443,"")</f>
        <v/>
      </c>
      <c r="D30" s="11">
        <v>14.91965</v>
      </c>
      <c r="E30" s="11">
        <v>18.439809665059943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IFERROR(15.954*(1-w),"")</f>
        <v/>
      </c>
      <c r="D31" s="11">
        <v>15.954</v>
      </c>
      <c r="E31" s="11">
        <v>19.718205413422321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IFERROR(14.9042164993*(1-w),"")</f>
        <v/>
      </c>
      <c r="D32" s="11">
        <v>14.904216499299999</v>
      </c>
      <c r="E32" s="11">
        <v>18.420734766159928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0.7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1.4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73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0.6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1.4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1.9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1.8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0.4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13.5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https://phyllis.nl/Biomass/View/444</dc:description>
  <dcterms:created xsi:type="dcterms:W3CDTF">2026-03-17T06:09:24Z</dcterms:created>
  <dc:title>Phyllis2 #444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