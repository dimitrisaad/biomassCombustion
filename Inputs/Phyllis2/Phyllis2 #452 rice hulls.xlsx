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52 rice hulls" sheetId="1" r:id="rId1"/>
  </sheets>
  <definedNames>
    <definedName name="w" localSheetId="0">IF(ISBLANK('Phyllis2 #452 rice hulls'!$C$19),#N/A,'Phyllis2 #452 rice hulls'!$C$19/100)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<sst xmlns="http://schemas.openxmlformats.org/spreadsheetml/2006/main" count="67" uniqueCount="67">
  <si>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</si>
  <si>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https://phyllis.nl/Biomass/View/452</t>
  </si>
  <si>
    <t>rice hulls (#452)</t>
  </si>
  <si>
    <t>ID-number</t>
  </si>
  <si>
    <t>#452</t>
  </si>
  <si>
    <t>Material</t>
  </si>
  <si>
    <t>rice hulls</t>
  </si>
  <si>
    <t>Classification</t>
  </si>
  <si>
    <t>ECN Phyllis classification &gt; husk/shell/pit &gt; rice &gt; rice hulls</t>
  </si>
  <si>
    <t>NTA 8003 classification &gt; [500] biomassa uit de industrie &gt; [520] schillen/vliezen/pitten &gt; [523] rijstvliezen</t>
  </si>
  <si>
    <t>Ash type</t>
  </si>
  <si>
    <t>ashed at 815 degC</t>
  </si>
  <si>
    <t>Submitter organisation</t>
  </si>
  <si>
    <t>ECN (Netherlands)</t>
  </si>
  <si>
    <t>Remarks</t>
  </si>
  <si>
    <t>(Australia)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</si>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</sst>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5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8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IFERROR(23.37*(1-w),"")</f>
        <v>21.500400000000003</v>
      </c>
      <c r="D20" s="11">
        <v>23.37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IFERROR(38.8*(1-w),"")</f>
        <v>35.696</v>
      </c>
      <c r="D21" s="11">
        <v>38.8</v>
      </c>
      <c r="E21" s="11">
        <v>50.632911392405063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IFERROR(37.83*(1-w),"")</f>
        <v>34.8036</v>
      </c>
      <c r="D22" s="11">
        <v>37.83</v>
      </c>
      <c r="E22" s="11">
        <v>49.367088607594937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IFERROR(37.85522*(1-w),"")</f>
        <v>34.826802400000005</v>
      </c>
      <c r="D24" s="11">
        <v>37.85522</v>
      </c>
      <c r="E24" s="11">
        <v>49.400000000000006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IFERROR(4.75106*(1-w),"")</f>
        <v>4.3709752</v>
      </c>
      <c r="D25" s="11">
        <v>4.75106</v>
      </c>
      <c r="E25" s="11">
        <v>6.2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IFERROR(33.48731*(1-w),"")</f>
        <v>30.808325200000002</v>
      </c>
      <c r="D26" s="11">
        <v>33.48731</v>
      </c>
      <c r="E26" s="11">
        <v>43.7</v>
      </c>
      <c r="F26" s="11"/>
      <c r="G26" s="11"/>
      <c r="I26" s="15"/>
      <c r="J26" s="0" t="s">
        <v>37</v>
      </c>
    </row>
    <row r="27" outlineLevel="2">
      <c r="A27" s="10" t="s">
        <v>43</v>
      </c>
      <c r="B27" s="0" t="s">
        <v>33</v>
      </c>
      <c r="C27" s="11">
        <f>IFERROR(0.22989*(1-w),"")</f>
        <v>0.21149880000000001</v>
      </c>
      <c r="D27" s="11">
        <v>0.22989</v>
      </c>
      <c r="E27" s="11">
        <v>0.30000000000000004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IFERROR(0.30652*(1-w),"")</f>
        <v>0.28199840000000004</v>
      </c>
      <c r="D28" s="11">
        <v>0.30652</v>
      </c>
      <c r="E28" s="11">
        <v>0.4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IFERROR(12.27387*(1-w)-w*2.443,"")</f>
        <v>11.096520400000001</v>
      </c>
      <c r="D31" s="11">
        <v>12.27387</v>
      </c>
      <c r="E31" s="11">
        <v>16.017055983296359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IFERROR(13.31063*(1-w),"")</f>
        <v>12.2457796</v>
      </c>
      <c r="D32" s="11">
        <v>13.31063</v>
      </c>
      <c r="E32" s="11">
        <v>17.369998695028055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IFERROR(14.8904956177*(1-w),"")</f>
        <v>13.699255968284</v>
      </c>
      <c r="D33" s="11">
        <v>14.8904956177</v>
      </c>
      <c r="E33" s="11">
        <v>19.431679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1400</v>
      </c>
      <c r="D36" s="14"/>
      <c r="E36" s="14"/>
      <c r="F36" s="14"/>
      <c r="G36" s="14"/>
      <c r="I36" s="15"/>
    </row>
    <row r="37" outlineLevel="3">
      <c r="A37" s="13" t="s">
        <v>55</v>
      </c>
      <c r="B37" s="0" t="s">
        <v>54</v>
      </c>
      <c r="C37" s="14">
        <v>1400</v>
      </c>
      <c r="D37" s="14"/>
      <c r="E37" s="14"/>
      <c r="F37" s="14"/>
      <c r="G37" s="14"/>
      <c r="I37" s="15"/>
    </row>
    <row r="38" outlineLevel="3">
      <c r="A38" s="13" t="s">
        <v>56</v>
      </c>
      <c r="B38" s="0" t="s">
        <v>54</v>
      </c>
      <c r="C38" s="14">
        <v>1400</v>
      </c>
      <c r="D38" s="14"/>
      <c r="E38" s="14"/>
      <c r="F38" s="14"/>
      <c r="G38" s="14"/>
      <c r="I38" s="15"/>
    </row>
    <row r="39">
      <c r="A39" s="5" t="s">
        <v>57</v>
      </c>
      <c r="I39" s="15"/>
    </row>
    <row r="40" outlineLevel="1">
      <c r="A40" s="9" t="s">
        <v>58</v>
      </c>
      <c r="I40" s="15"/>
    </row>
    <row r="41" outlineLevel="2">
      <c r="A41" s="10" t="s">
        <v>59</v>
      </c>
      <c r="B41" s="0" t="s">
        <v>60</v>
      </c>
      <c r="C41" s="11">
        <v>95.6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60</v>
      </c>
      <c r="C42" s="11">
        <v>0.1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60</v>
      </c>
      <c r="C43" s="11">
        <v>2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60</v>
      </c>
      <c r="C44" s="11">
        <v>0.2</v>
      </c>
      <c r="D44" s="11"/>
      <c r="E44" s="11"/>
      <c r="F44" s="11"/>
      <c r="G44" s="11"/>
      <c r="I44" s="15"/>
    </row>
    <row r="45" outlineLevel="2">
      <c r="A45" s="10" t="s">
        <v>64</v>
      </c>
      <c r="B45" s="0" t="s">
        <v>60</v>
      </c>
      <c r="C45" s="11">
        <v>0.2</v>
      </c>
      <c r="D45" s="11"/>
      <c r="E45" s="11"/>
      <c r="F45" s="11"/>
      <c r="G45" s="11"/>
      <c r="I45" s="15"/>
    </row>
    <row r="46" outlineLevel="2">
      <c r="A46" s="10" t="s">
        <v>65</v>
      </c>
      <c r="B46" s="0" t="s">
        <v>60</v>
      </c>
      <c r="C46" s="11">
        <v>0.1</v>
      </c>
      <c r="D46" s="11"/>
      <c r="E46" s="11"/>
      <c r="F46" s="11"/>
      <c r="G46" s="11"/>
      <c r="I46" s="15"/>
    </row>
    <row r="47" outlineLevel="2">
      <c r="A47" s="10" t="s">
        <v>66</v>
      </c>
      <c r="B47" s="0" t="s">
        <v>60</v>
      </c>
      <c r="C47" s="11">
        <v>1.2</v>
      </c>
      <c r="D47" s="11"/>
      <c r="E47" s="11"/>
      <c r="F47" s="11"/>
      <c r="G47" s="11"/>
      <c r="I47" s="15"/>
    </row>
    <row r="48">
      <c r="I48" s="1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https://phyllis.nl/Biomass/View/452</dc:description>
  <dcterms:created xsi:type="dcterms:W3CDTF">2026-03-17T05:46:58Z</dcterms:created>
  <dc:title>Phyllis2 #452 rice hulls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