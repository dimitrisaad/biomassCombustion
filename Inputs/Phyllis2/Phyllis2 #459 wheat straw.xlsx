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9 wheat straw" sheetId="1" r:id="rId1"/>
  </sheets>
  <definedNames>
    <definedName name="w" localSheetId="0">IF(ISBLANK('Phyllis2 #459 wheat straw'!$C$19),#N/A,'Phyllis2 #459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<sst xmlns="http://schemas.openxmlformats.org/spreadsheetml/2006/main" count="74" uniqueCount="74">
  <si>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</si>
  <si>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https://phyllis.nl/Biomass/View/459</t>
  </si>
  <si>
    <t>wheat straw (#459)</t>
  </si>
  <si>
    <t>ID-number</t>
  </si>
  <si>
    <t>#459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</si>
  <si>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</si>
  <si>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</si>
  <si>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</si>
  <si>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</si>
  <si>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</si>
  <si>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</si>
  <si>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industrial</t>
  </si>
  <si>
    <t>Submitter organisation</t>
  </si>
  <si>
    <t>ECN (Netherlands)</t>
  </si>
  <si>
    <t>Remarks</t>
  </si>
  <si>
    <t>56% of Na2O in ash is acid extractible, 59% of K2O in ash is acid extractible</t>
  </si>
  <si>
    <t>Literature</t>
  </si>
  <si>
    <t>W. R. Livingston: Straw ash characteristics, Babcock Energy Limited, DE92 519748, 23 p.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</si>
  <si>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</si>
  <si>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</si>
  <si>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</si>
  <si>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</si>
  <si>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</si>
  <si>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</si>
  <si>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</si>
  <si>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</si>
  <si>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</si>
  <si>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</si>
  <si>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</si>
  <si>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</si>
  <si>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</si>
  <si>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</si>
  <si>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</si>
  <si>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</si>
  <si>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</si>
  <si>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</si>
  <si>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</si>
  <si>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</si>
  <si>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</si>
  <si>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</si>
  <si>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</si>
  <si>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</si>
  <si>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</si>
  <si>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</si>
  <si>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</si>
  <si>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</si>
  <si>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</si>
  <si>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</si>
  <si>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</si>
  <si>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</si>
  <si>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</si>
  <si>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</si>
  <si>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</si>
  <si>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</si>
  <si>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</si>
  <si>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</si>
  <si>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</si>
  <si>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</si>
  <si>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</si>
  <si>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</si>
  <si>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American standard method, measured in reducing conditions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</si>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</sst>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15.1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IFERROR(8.95*(1-w),"")</f>
        <v>7.5985499999999995</v>
      </c>
      <c r="D20" s="11">
        <v>8.95</v>
      </c>
      <c r="E20" s="11">
        <v/>
      </c>
      <c r="F20" s="11"/>
      <c r="G20" s="11"/>
      <c r="I20" s="16"/>
    </row>
    <row r="21" outlineLevel="2">
      <c r="A21" s="10" t="s">
        <v>35</v>
      </c>
      <c r="B21" s="0" t="s">
        <v>33</v>
      </c>
      <c r="C21" s="11">
        <f>IFERROR(73.4*(1-w),"")</f>
        <v>62.3166</v>
      </c>
      <c r="D21" s="11">
        <v>73.4</v>
      </c>
      <c r="E21" s="11">
        <v>80.615046677649644</v>
      </c>
      <c r="F21" s="11"/>
      <c r="G21" s="11"/>
      <c r="I21" s="16"/>
    </row>
    <row r="22" outlineLevel="2">
      <c r="A22" s="10" t="s">
        <v>36</v>
      </c>
      <c r="B22" s="0" t="s">
        <v>33</v>
      </c>
      <c r="C22" s="11">
        <f>IFERROR(17.65*(1-w),"")</f>
        <v>14.984849999999993</v>
      </c>
      <c r="D22" s="11">
        <v>17.649999999999991</v>
      </c>
      <c r="E22" s="11">
        <v>19.384953322350349</v>
      </c>
      <c r="F22" s="11"/>
      <c r="G22" s="11"/>
      <c r="I22" s="16"/>
      <c r="J22" s="0" t="s">
        <v>37</v>
      </c>
    </row>
    <row r="23" outlineLevel="1">
      <c r="A23" s="9" t="s">
        <v>38</v>
      </c>
      <c r="I23" s="16"/>
    </row>
    <row r="24" outlineLevel="2">
      <c r="A24" s="10" t="s">
        <v>39</v>
      </c>
      <c r="B24" s="0" t="s">
        <v>33</v>
      </c>
      <c r="C24" s="11">
        <f>IFERROR(43.92226*(1-w),"")</f>
        <v>37.28999874</v>
      </c>
      <c r="D24" s="11">
        <v>43.92226</v>
      </c>
      <c r="E24" s="11">
        <v>48.239714442613952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IFERROR(5.524146*(1-w),"")</f>
        <v>4.689999954</v>
      </c>
      <c r="D25" s="11">
        <v>5.524146</v>
      </c>
      <c r="E25" s="11">
        <v>6.0671565074135092</v>
      </c>
      <c r="F25" s="11"/>
      <c r="G25" s="11"/>
      <c r="I25" s="16"/>
      <c r="J25" s="0" t="s">
        <v>40</v>
      </c>
    </row>
    <row r="26" outlineLevel="2">
      <c r="A26" s="10" t="s">
        <v>42</v>
      </c>
      <c r="B26" s="0" t="s">
        <v>33</v>
      </c>
      <c r="C26" s="11">
        <f>IFERROR(40.38869*(1-w),"")</f>
        <v>34.289997809999996</v>
      </c>
      <c r="D26" s="11">
        <v>40.38869</v>
      </c>
      <c r="E26" s="11">
        <v>44.358802855573856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IFERROR(0.7302709*(1-w),"")</f>
        <v>0.6199999941</v>
      </c>
      <c r="D27" s="11">
        <v>0.7302709</v>
      </c>
      <c r="E27" s="11">
        <v>0.80205480505216908</v>
      </c>
      <c r="F27" s="11"/>
      <c r="G27" s="11"/>
      <c r="I27" s="16"/>
      <c r="J27" s="0" t="s">
        <v>40</v>
      </c>
    </row>
    <row r="28" outlineLevel="2">
      <c r="A28" s="10" t="s">
        <v>44</v>
      </c>
      <c r="B28" s="0" t="s">
        <v>33</v>
      </c>
      <c r="C28" s="11">
        <f>IFERROR(0.2237927*(1-w),"")</f>
        <v>0.1900000023</v>
      </c>
      <c r="D28" s="11">
        <v>0.2237927</v>
      </c>
      <c r="E28" s="11">
        <v>0.24579099395936302</v>
      </c>
      <c r="F28" s="11"/>
      <c r="G28" s="11"/>
      <c r="I28" s="16"/>
      <c r="J28" s="0" t="s">
        <v>40</v>
      </c>
    </row>
    <row r="29" outlineLevel="2">
      <c r="A29" s="10" t="s">
        <v>45</v>
      </c>
      <c r="B29" s="0" t="s">
        <v>33</v>
      </c>
      <c r="C29" s="11">
        <f>IFERROR(99.998288*(1-w)+w*100,"")</f>
        <v>99.998546511999976</v>
      </c>
      <c r="D29" s="11">
        <v>99.998287999999988</v>
      </c>
      <c r="E29" s="11">
        <v>99.9981197144426</v>
      </c>
      <c r="F29" s="11"/>
      <c r="G29" s="11"/>
      <c r="I29" s="16"/>
      <c r="J29" s="0" t="s">
        <v>37</v>
      </c>
    </row>
    <row r="30" outlineLevel="1">
      <c r="A30" s="9" t="s">
        <v>46</v>
      </c>
      <c r="I30" s="16"/>
    </row>
    <row r="31" outlineLevel="2">
      <c r="A31" s="10" t="s">
        <v>47</v>
      </c>
      <c r="B31" s="0" t="s">
        <v>48</v>
      </c>
      <c r="C31" s="12">
        <f>IFERROR(2591.284*(1-w),"")</f>
        <v>2200.000116</v>
      </c>
      <c r="D31" s="12">
        <v>2591.284</v>
      </c>
      <c r="E31" s="12">
        <v>2846.0010982976387</v>
      </c>
      <c r="F31" s="12"/>
      <c r="G31" s="12"/>
      <c r="I31" s="16"/>
      <c r="J31" s="0" t="s">
        <v>40</v>
      </c>
    </row>
    <row r="32" outlineLevel="1">
      <c r="A32" s="9" t="s">
        <v>49</v>
      </c>
      <c r="I32" s="16"/>
    </row>
    <row r="33" outlineLevel="2">
      <c r="A33" s="10" t="s">
        <v>50</v>
      </c>
      <c r="B33" s="0" t="s">
        <v>51</v>
      </c>
      <c r="C33" s="11">
        <f>IFERROR(16.44913*(1-w)-w*2.443,"")</f>
        <v>13.59641837</v>
      </c>
      <c r="D33" s="11">
        <v>16.44913</v>
      </c>
      <c r="E33" s="11">
        <v>18.06604063701263</v>
      </c>
      <c r="F33" s="11"/>
      <c r="G33" s="11"/>
      <c r="I33" s="16"/>
    </row>
    <row r="34" outlineLevel="2">
      <c r="A34" s="10" t="s">
        <v>52</v>
      </c>
      <c r="B34" s="0" t="s">
        <v>51</v>
      </c>
      <c r="C34" s="11">
        <f>IFERROR(17.6546*(1-w),"")</f>
        <v>14.988755399999999</v>
      </c>
      <c r="D34" s="11">
        <v>17.6546</v>
      </c>
      <c r="E34" s="11">
        <v>19.390005491488193</v>
      </c>
      <c r="F34" s="11"/>
      <c r="G34" s="11"/>
      <c r="I34" s="16"/>
    </row>
    <row r="35" outlineLevel="2">
      <c r="A35" s="10" t="s">
        <v>53</v>
      </c>
      <c r="B35" s="0" t="s">
        <v>51</v>
      </c>
      <c r="C35" s="11">
        <f>IFERROR(17.23680922572*(1-w),"")</f>
        <v>14.634051032636281</v>
      </c>
      <c r="D35" s="11">
        <v>17.236809225720002</v>
      </c>
      <c r="E35" s="11">
        <v>18.931146870642507</v>
      </c>
      <c r="F35" s="11"/>
      <c r="G35" s="11"/>
      <c r="I35" s="16"/>
      <c r="J35" s="0" t="s">
        <v>37</v>
      </c>
    </row>
    <row r="36" outlineLevel="1">
      <c r="A36" s="9" t="s">
        <v>54</v>
      </c>
      <c r="I36" s="16"/>
    </row>
    <row r="37" outlineLevel="2">
      <c r="A37" s="13" t="s">
        <v>55</v>
      </c>
      <c r="I37" s="16"/>
    </row>
    <row r="38" outlineLevel="3">
      <c r="A38" s="14" t="s">
        <v>56</v>
      </c>
      <c r="B38" s="0" t="s">
        <v>57</v>
      </c>
      <c r="C38" s="15">
        <v>1080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57</v>
      </c>
      <c r="C39" s="15">
        <v>1280</v>
      </c>
      <c r="D39" s="15"/>
      <c r="E39" s="15"/>
      <c r="F39" s="15"/>
      <c r="G39" s="15"/>
      <c r="I39" s="16"/>
    </row>
    <row r="40" outlineLevel="3">
      <c r="A40" s="14" t="s">
        <v>59</v>
      </c>
      <c r="B40" s="0" t="s">
        <v>57</v>
      </c>
      <c r="C40" s="15">
        <v>1500</v>
      </c>
      <c r="D40" s="15"/>
      <c r="E40" s="15"/>
      <c r="F40" s="15"/>
      <c r="G40" s="15"/>
      <c r="I40" s="16"/>
    </row>
    <row r="41" outlineLevel="2">
      <c r="A41" s="13" t="s">
        <v>60</v>
      </c>
      <c r="I41" s="16"/>
    </row>
    <row r="42" outlineLevel="3">
      <c r="A42" s="14" t="s">
        <v>56</v>
      </c>
      <c r="B42" s="0" t="s">
        <v>57</v>
      </c>
      <c r="C42" s="15">
        <v>1000</v>
      </c>
      <c r="D42" s="15"/>
      <c r="E42" s="15"/>
      <c r="F42" s="15"/>
      <c r="G42" s="15"/>
      <c r="I42" s="16"/>
    </row>
    <row r="43" outlineLevel="3">
      <c r="A43" s="14" t="s">
        <v>58</v>
      </c>
      <c r="B43" s="0" t="s">
        <v>57</v>
      </c>
      <c r="C43" s="15">
        <v>1280</v>
      </c>
      <c r="D43" s="15"/>
      <c r="E43" s="15"/>
      <c r="F43" s="15"/>
      <c r="G43" s="15"/>
      <c r="I43" s="16"/>
    </row>
    <row r="44" outlineLevel="3">
      <c r="A44" s="14" t="s">
        <v>59</v>
      </c>
      <c r="B44" s="0" t="s">
        <v>57</v>
      </c>
      <c r="C44" s="15">
        <v>1500</v>
      </c>
      <c r="D44" s="15"/>
      <c r="E44" s="15"/>
      <c r="F44" s="15"/>
      <c r="G44" s="15"/>
      <c r="I44" s="16"/>
    </row>
    <row r="45">
      <c r="A45" s="5" t="s">
        <v>61</v>
      </c>
      <c r="I45" s="16"/>
    </row>
    <row r="46" outlineLevel="1">
      <c r="A46" s="9" t="s">
        <v>62</v>
      </c>
      <c r="I46" s="16"/>
    </row>
    <row r="47" outlineLevel="2">
      <c r="A47" s="10" t="s">
        <v>63</v>
      </c>
      <c r="B47" s="0" t="s">
        <v>64</v>
      </c>
      <c r="C47" s="11">
        <v>6.017478</v>
      </c>
      <c r="D47" s="11"/>
      <c r="E47" s="11"/>
      <c r="F47" s="11"/>
      <c r="G47" s="11"/>
      <c r="I47" s="16"/>
    </row>
    <row r="48" outlineLevel="2">
      <c r="A48" s="10" t="s">
        <v>65</v>
      </c>
      <c r="B48" s="0" t="s">
        <v>64</v>
      </c>
      <c r="C48" s="11">
        <v>3.024748</v>
      </c>
      <c r="D48" s="11"/>
      <c r="E48" s="11"/>
      <c r="F48" s="11"/>
      <c r="G48" s="11"/>
      <c r="I48" s="16"/>
    </row>
    <row r="49" outlineLevel="2">
      <c r="A49" s="10" t="s">
        <v>66</v>
      </c>
      <c r="B49" s="0" t="s">
        <v>64</v>
      </c>
      <c r="C49" s="11">
        <v>42.7899</v>
      </c>
      <c r="D49" s="11"/>
      <c r="E49" s="11"/>
      <c r="F49" s="11"/>
      <c r="G49" s="11"/>
      <c r="I49" s="16"/>
    </row>
    <row r="50" outlineLevel="2">
      <c r="A50" s="10" t="s">
        <v>67</v>
      </c>
      <c r="B50" s="0" t="s">
        <v>64</v>
      </c>
      <c r="C50" s="11">
        <v>0.3860452</v>
      </c>
      <c r="D50" s="11"/>
      <c r="E50" s="11"/>
      <c r="F50" s="11"/>
      <c r="G50" s="11"/>
      <c r="I50" s="16"/>
    </row>
    <row r="51" outlineLevel="2">
      <c r="A51" s="10" t="s">
        <v>68</v>
      </c>
      <c r="B51" s="0" t="s">
        <v>64</v>
      </c>
      <c r="C51" s="11">
        <v>0.09446438</v>
      </c>
      <c r="D51" s="11"/>
      <c r="E51" s="11"/>
      <c r="F51" s="11"/>
      <c r="G51" s="11"/>
      <c r="I51" s="16"/>
    </row>
    <row r="52" outlineLevel="2">
      <c r="A52" s="10" t="s">
        <v>69</v>
      </c>
      <c r="B52" s="0" t="s">
        <v>64</v>
      </c>
      <c r="C52" s="11">
        <v>12.03302</v>
      </c>
      <c r="D52" s="11"/>
      <c r="E52" s="11"/>
      <c r="F52" s="11"/>
      <c r="G52" s="11"/>
      <c r="I52" s="16"/>
    </row>
    <row r="53" outlineLevel="2">
      <c r="A53" s="10" t="s">
        <v>70</v>
      </c>
      <c r="B53" s="0" t="s">
        <v>64</v>
      </c>
      <c r="C53" s="11">
        <v>3.698176</v>
      </c>
      <c r="D53" s="11"/>
      <c r="E53" s="11"/>
      <c r="F53" s="11"/>
      <c r="G53" s="11"/>
      <c r="I53" s="16"/>
    </row>
    <row r="54" outlineLevel="2">
      <c r="A54" s="10" t="s">
        <v>71</v>
      </c>
      <c r="B54" s="0" t="s">
        <v>64</v>
      </c>
      <c r="C54" s="11">
        <v>1.536595</v>
      </c>
      <c r="D54" s="11"/>
      <c r="E54" s="11"/>
      <c r="F54" s="11"/>
      <c r="G54" s="11"/>
      <c r="I54" s="16"/>
    </row>
    <row r="55" outlineLevel="2">
      <c r="A55" s="10" t="s">
        <v>72</v>
      </c>
      <c r="B55" s="0" t="s">
        <v>64</v>
      </c>
      <c r="C55" s="11">
        <v>24.10263</v>
      </c>
      <c r="D55" s="11"/>
      <c r="E55" s="11"/>
      <c r="F55" s="11"/>
      <c r="G55" s="11"/>
      <c r="I55" s="16"/>
    </row>
    <row r="56" outlineLevel="2">
      <c r="A56" s="10" t="s">
        <v>73</v>
      </c>
      <c r="B56" s="0" t="s">
        <v>64</v>
      </c>
      <c r="C56" s="11">
        <v>0.1001001</v>
      </c>
      <c r="D56" s="11"/>
      <c r="E56" s="11"/>
      <c r="F56" s="11"/>
      <c r="G56" s="11"/>
      <c r="I56" s="16"/>
    </row>
    <row r="57">
      <c r="I57" s="16"/>
    </row>
    <row r="5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15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https://phyllis.nl/Biomass/View/459</dc:description>
  <dcterms:created xsi:type="dcterms:W3CDTF">2026-03-17T06:13:04Z</dcterms:created>
  <dc:title>Phyllis2 #459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