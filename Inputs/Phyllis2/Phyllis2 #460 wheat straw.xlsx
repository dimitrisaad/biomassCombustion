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60 wheat straw" sheetId="1" r:id="rId1"/>
  </sheets>
  <definedNames>
    <definedName name="w" localSheetId="0">IF(ISBLANK('Phyllis2 #460 wheat straw'!$C$18),#N/A,'Phyllis2 #460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<sst xmlns="http://schemas.openxmlformats.org/spreadsheetml/2006/main" count="66" uniqueCount="66">
  <si>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</si>
  <si>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https://phyllis.nl/Biomass/View/460</t>
  </si>
  <si>
    <t>wheat straw (#460)</t>
  </si>
  <si>
    <t>ID-number</t>
  </si>
  <si>
    <t>#460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</si>
  <si>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</si>
  <si>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</si>
  <si>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</si>
  <si>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</si>
  <si>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</si>
  <si>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Ash type</t>
  </si>
  <si>
    <t>industrial</t>
  </si>
  <si>
    <t>Submitter organisation</t>
  </si>
  <si>
    <t>ECN (Netherlands)</t>
  </si>
  <si>
    <t>Literature</t>
  </si>
  <si>
    <t>W. R. Livingston: Straw ash characteristics, Babcock Energy Limited, DE92 519748, 23 p. (1991).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</si>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</sst>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12.9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IFERROR(7*(1-w),"")</f>
        <v>6.0969999999999995</v>
      </c>
      <c r="D19" s="11">
        <v>7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IFERROR(75.8*(1-w),"")</f>
        <v>66.0218</v>
      </c>
      <c r="D20" s="11">
        <v>75.8</v>
      </c>
      <c r="E20" s="11">
        <v>81.505376344086031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IFERROR(17.2*(1-w),"")</f>
        <v>14.981200000000003</v>
      </c>
      <c r="D21" s="11">
        <v>17.200000000000003</v>
      </c>
      <c r="E21" s="11">
        <v>18.494623655913983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IFERROR(46.25718*(1-w),"")</f>
        <v>40.29000378</v>
      </c>
      <c r="D23" s="11">
        <v>46.25718</v>
      </c>
      <c r="E23" s="11">
        <v>49.738903225806453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IFERROR(5.889782*(1-w),"")</f>
        <v>5.130000122</v>
      </c>
      <c r="D24" s="11">
        <v>5.889782</v>
      </c>
      <c r="E24" s="11">
        <v>6.3330989247311837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IFERROR(39.5752*(1-w),"")</f>
        <v>34.469999200000004</v>
      </c>
      <c r="D25" s="11">
        <v>39.5752</v>
      </c>
      <c r="E25" s="11">
        <v>42.553978494623664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IFERROR(0.9873708*(1-w),"")</f>
        <v>0.8599999668</v>
      </c>
      <c r="D26" s="11">
        <v>0.9873708</v>
      </c>
      <c r="E26" s="11">
        <v>1.0616890322580645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IFERROR(0.1607348*(1-w),"")</f>
        <v>0.14000001080000002</v>
      </c>
      <c r="D27" s="11">
        <v>0.1607348</v>
      </c>
      <c r="E27" s="11">
        <v>0.1728331182795699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IFERROR(99.9965592*(1-w)+w*100,"")</f>
        <v>99.9970030632</v>
      </c>
      <c r="D28" s="11">
        <v>99.9965592</v>
      </c>
      <c r="E28" s="11">
        <v>99.996300215053765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IFERROR(1262.916*(1-w),"")</f>
        <v>1099.999836</v>
      </c>
      <c r="D30" s="12">
        <v>1262.916</v>
      </c>
      <c r="E30" s="12">
        <v>1357.9741935483871</v>
      </c>
      <c r="F30" s="12"/>
      <c r="G30" s="12"/>
      <c r="I30" s="13"/>
      <c r="J30" s="0" t="s">
        <v>39</v>
      </c>
    </row>
    <row r="31" outlineLevel="1">
      <c r="A31" s="9" t="s">
        <v>48</v>
      </c>
      <c r="I31" s="13"/>
    </row>
    <row r="32" outlineLevel="2">
      <c r="A32" s="10" t="s">
        <v>49</v>
      </c>
      <c r="B32" s="0" t="s">
        <v>50</v>
      </c>
      <c r="C32" s="11">
        <f>IFERROR(16.39405*(1-w)-w*2.443,"")</f>
        <v>13.96407055</v>
      </c>
      <c r="D32" s="11">
        <v>16.39405</v>
      </c>
      <c r="E32" s="11">
        <v>17.628010752688173</v>
      </c>
      <c r="F32" s="11"/>
      <c r="G32" s="11"/>
      <c r="I32" s="13"/>
    </row>
    <row r="33" outlineLevel="2">
      <c r="A33" s="10" t="s">
        <v>51</v>
      </c>
      <c r="B33" s="0" t="s">
        <v>50</v>
      </c>
      <c r="C33" s="11">
        <f>IFERROR(17.6793*(1-w),"")</f>
        <v>15.398670300000001</v>
      </c>
      <c r="D33" s="11">
        <v>17.6793</v>
      </c>
      <c r="E33" s="11">
        <v>19.01</v>
      </c>
      <c r="F33" s="11"/>
      <c r="G33" s="11"/>
      <c r="I33" s="13"/>
    </row>
    <row r="34" outlineLevel="2">
      <c r="A34" s="10" t="s">
        <v>52</v>
      </c>
      <c r="B34" s="0" t="s">
        <v>50</v>
      </c>
      <c r="C34" s="11">
        <f>IFERROR(18.60390509528*(1-w),"")</f>
        <v>16.204001337988878</v>
      </c>
      <c r="D34" s="11">
        <v>18.60390509528</v>
      </c>
      <c r="E34" s="11">
        <v>20.004199027182796</v>
      </c>
      <c r="F34" s="11"/>
      <c r="G34" s="11"/>
      <c r="I34" s="13"/>
      <c r="J34" s="0" t="s">
        <v>36</v>
      </c>
    </row>
    <row r="35">
      <c r="A35" s="5" t="s">
        <v>53</v>
      </c>
      <c r="I35" s="13"/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1">
        <v>2.546817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56</v>
      </c>
      <c r="C38" s="11">
        <v>3.070577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56</v>
      </c>
      <c r="C39" s="11">
        <v>69.40522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56</v>
      </c>
      <c r="C40" s="11">
        <v>0.4003431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56</v>
      </c>
      <c r="C41" s="11">
        <v>0.09446438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56</v>
      </c>
      <c r="C42" s="11">
        <v>9.178677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56</v>
      </c>
      <c r="C43" s="11">
        <v>1.923715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56</v>
      </c>
      <c r="C44" s="11">
        <v>0.2965359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56</v>
      </c>
      <c r="C45" s="11">
        <v>12.29824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56</v>
      </c>
      <c r="C46" s="11">
        <v>0.1001001</v>
      </c>
      <c r="D46" s="11"/>
      <c r="E46" s="11"/>
      <c r="F46" s="11"/>
      <c r="G46" s="11"/>
      <c r="I46" s="13"/>
    </row>
    <row r="47">
      <c r="I47" s="13"/>
    </row>
    <row r="48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8" errorStyle="stop" promptTitle="Enter moisture content" errorTitle="Invalid moisture content" prompt="Value should be between 0 and 100.&#10;Original value: 12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https://phyllis.nl/Biomass/View/460</dc:description>
  <dcterms:created xsi:type="dcterms:W3CDTF">2026-03-17T06:13:06Z</dcterms:created>
  <dc:title>Phyllis2 #460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