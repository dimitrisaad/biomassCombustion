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72 wheat straw" sheetId="1" r:id="rId1"/>
  </sheets>
  <definedNames>
    <definedName name="w" localSheetId="0">IF(ISBLANK('Phyllis2 #472 wheat straw'!$C$18),#N/A,'Phyllis2 #472 wheat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<sst xmlns="http://schemas.openxmlformats.org/spreadsheetml/2006/main" count="65" uniqueCount="65">
  <si>
    <t>Phyllis2</t>
  </si>
  <si>
    <t>https://phyllis.nl/Biomass/View/472</t>
  </si>
  <si>
    <t>wheat straw (#472)</t>
  </si>
  <si>
    <t>ID-number</t>
  </si>
  <si>
    <t>#472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</si>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</sst>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7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IFERROR(9.44*(1-w),"")</f>
        <v/>
      </c>
      <c r="D19" s="11">
        <v>9.44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IFERROR(42.94*(1-w),"")</f>
        <v/>
      </c>
      <c r="D21" s="11">
        <v>42.94</v>
      </c>
      <c r="E21" s="11">
        <v>47.4160777385159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IFERROR(5.22*(1-w),"")</f>
        <v/>
      </c>
      <c r="D22" s="11">
        <v>5.22</v>
      </c>
      <c r="E22" s="11">
        <v>5.7641342756183747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IFERROR(39.45*(1-w),"")</f>
        <v/>
      </c>
      <c r="D23" s="11">
        <v>39.45</v>
      </c>
      <c r="E23" s="11">
        <v>43.562279151943471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IFERROR(0.57*(1-w),"")</f>
        <v/>
      </c>
      <c r="D24" s="11">
        <v>0.57</v>
      </c>
      <c r="E24" s="11">
        <v>0.629416961130742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IFERROR(0.35*(1-w),"")</f>
        <v/>
      </c>
      <c r="D25" s="11">
        <v>0.35</v>
      </c>
      <c r="E25" s="11">
        <v>0.3864840989399293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99.999999999999986</v>
      </c>
      <c r="E26" s="11">
        <v>99.999999999999986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IFERROR(20300*(1-w),"")</f>
        <v/>
      </c>
      <c r="D28" s="12">
        <v>20300</v>
      </c>
      <c r="E28" s="12">
        <v>22416.0777385159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IFERROR(15.64391*(1-w)-w*2.443,"")</f>
        <v/>
      </c>
      <c r="D30" s="11">
        <v>15.64391</v>
      </c>
      <c r="E30" s="11">
        <v>17.274635600706713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IFERROR(16.783*(1-w),"")</f>
        <v/>
      </c>
      <c r="D31" s="11">
        <v>16.783</v>
      </c>
      <c r="E31" s="11">
        <v>18.532464664310957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IFERROR(16.6341923808*(1-w),"")</f>
        <v/>
      </c>
      <c r="D32" s="11">
        <v>16.634192380800002</v>
      </c>
      <c r="E32" s="11">
        <v>18.36814529681979</v>
      </c>
      <c r="F32" s="11"/>
      <c r="G32" s="11"/>
      <c r="I32" s="13"/>
      <c r="J32" s="0" t="s">
        <v>40</v>
      </c>
    </row>
    <row r="33">
      <c r="A33" s="5" t="s">
        <v>52</v>
      </c>
      <c r="I33" s="13"/>
    </row>
    <row r="34" outlineLevel="1">
      <c r="A34" s="9" t="s">
        <v>53</v>
      </c>
      <c r="I34" s="13"/>
    </row>
    <row r="35" outlineLevel="2">
      <c r="A35" s="10" t="s">
        <v>54</v>
      </c>
      <c r="B35" s="0" t="s">
        <v>55</v>
      </c>
      <c r="C35" s="11">
        <v>4.43</v>
      </c>
      <c r="D35" s="11"/>
      <c r="E35" s="11"/>
      <c r="F35" s="11"/>
      <c r="G35" s="11"/>
      <c r="I35" s="13"/>
    </row>
    <row r="36" outlineLevel="2">
      <c r="A36" s="10" t="s">
        <v>56</v>
      </c>
      <c r="B36" s="0" t="s">
        <v>55</v>
      </c>
      <c r="C36" s="11">
        <v>1.72</v>
      </c>
      <c r="D36" s="11"/>
      <c r="E36" s="11"/>
      <c r="F36" s="11"/>
      <c r="G36" s="11"/>
      <c r="I36" s="13"/>
    </row>
    <row r="37" outlineLevel="2">
      <c r="A37" s="10" t="s">
        <v>57</v>
      </c>
      <c r="B37" s="0" t="s">
        <v>55</v>
      </c>
      <c r="C37" s="11">
        <v>40.58</v>
      </c>
      <c r="D37" s="11"/>
      <c r="E37" s="11"/>
      <c r="F37" s="11"/>
      <c r="G37" s="11"/>
      <c r="I37" s="13"/>
    </row>
    <row r="38" outlineLevel="2">
      <c r="A38" s="10" t="s">
        <v>58</v>
      </c>
      <c r="B38" s="0" t="s">
        <v>55</v>
      </c>
      <c r="C38" s="11">
        <v>0.98</v>
      </c>
      <c r="D38" s="11"/>
      <c r="E38" s="11"/>
      <c r="F38" s="11"/>
      <c r="G38" s="11"/>
      <c r="I38" s="13"/>
    </row>
    <row r="39" outlineLevel="2">
      <c r="A39" s="10" t="s">
        <v>59</v>
      </c>
      <c r="B39" s="0" t="s">
        <v>55</v>
      </c>
      <c r="C39" s="11">
        <v>2.66</v>
      </c>
      <c r="D39" s="11"/>
      <c r="E39" s="11"/>
      <c r="F39" s="11"/>
      <c r="G39" s="11"/>
      <c r="I39" s="13"/>
    </row>
    <row r="40" outlineLevel="2">
      <c r="A40" s="10" t="s">
        <v>60</v>
      </c>
      <c r="B40" s="0" t="s">
        <v>55</v>
      </c>
      <c r="C40" s="11">
        <v>5.97</v>
      </c>
      <c r="D40" s="11"/>
      <c r="E40" s="11"/>
      <c r="F40" s="11"/>
      <c r="G40" s="11"/>
      <c r="I40" s="13"/>
    </row>
    <row r="41" outlineLevel="2">
      <c r="A41" s="10" t="s">
        <v>61</v>
      </c>
      <c r="B41" s="0" t="s">
        <v>55</v>
      </c>
      <c r="C41" s="11">
        <v>2.53</v>
      </c>
      <c r="D41" s="11"/>
      <c r="E41" s="11"/>
      <c r="F41" s="11"/>
      <c r="G41" s="11"/>
      <c r="I41" s="13"/>
    </row>
    <row r="42" outlineLevel="2">
      <c r="A42" s="10" t="s">
        <v>62</v>
      </c>
      <c r="B42" s="0" t="s">
        <v>55</v>
      </c>
      <c r="C42" s="11">
        <v>9.77</v>
      </c>
      <c r="D42" s="11"/>
      <c r="E42" s="11"/>
      <c r="F42" s="11"/>
      <c r="G42" s="11"/>
      <c r="I42" s="13"/>
    </row>
    <row r="43" outlineLevel="2">
      <c r="A43" s="10" t="s">
        <v>63</v>
      </c>
      <c r="B43" s="0" t="s">
        <v>55</v>
      </c>
      <c r="C43" s="11">
        <v>19.3</v>
      </c>
      <c r="D43" s="11"/>
      <c r="E43" s="11"/>
      <c r="F43" s="11"/>
      <c r="G43" s="11"/>
      <c r="I43" s="13"/>
    </row>
    <row r="44" outlineLevel="2">
      <c r="A44" s="10" t="s">
        <v>64</v>
      </c>
      <c r="B44" s="0" t="s">
        <v>55</v>
      </c>
      <c r="C44" s="11">
        <v>0.12</v>
      </c>
      <c r="D44" s="11"/>
      <c r="E44" s="11"/>
      <c r="F44" s="11"/>
      <c r="G44" s="11"/>
      <c r="I44" s="13"/>
    </row>
    <row r="45">
      <c r="I45" s="13"/>
    </row>
    <row r="4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https://phyllis.nl/Biomass/View/472</dc:description>
  <dcterms:created xsi:type="dcterms:W3CDTF">2026-03-17T06:15:12Z</dcterms:created>
  <dc:title>Phyllis2 #472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