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76 wheat straw" sheetId="1" r:id="rId1"/>
  </sheets>
  <definedNames>
    <definedName name="w" localSheetId="0">IF(ISBLANK('Phyllis2 #476 wheat straw'!$C$18),#N/A,'Phyllis2 #476 wheat straw'!$C$18/100)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<sst xmlns="http://schemas.openxmlformats.org/spreadsheetml/2006/main" count="66" uniqueCount="66">
  <si>
    <t>Phyllis2</t>
  </si>
  <si>
    <t>https://phyllis.nl/Biomass/View/476</t>
  </si>
  <si>
    <t>wheat straw (#476)</t>
  </si>
  <si>
    <t>ID-number</t>
  </si>
  <si>
    <t>#476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</si>
  <si>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</si>
  <si>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</si>
  <si>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</si>
  <si>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</si>
  <si>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</si>
  <si>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Ash type</t>
  </si>
  <si>
    <t>ASTM D1102; 600C ASTM D 1102, 600 Degree Celcius</t>
  </si>
  <si>
    <t>Submitter organisation</t>
  </si>
  <si>
    <t>ECN (Netherlands)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</si>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</sst>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7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13.01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IFERROR(9.55*(1-w),"")</f>
        <v>8.3075450000000011</v>
      </c>
      <c r="D19" s="11">
        <v>9.55</v>
      </c>
      <c r="E19" s="11">
        <v/>
      </c>
      <c r="F19" s="11"/>
      <c r="G19" s="11"/>
      <c r="I19" s="13"/>
    </row>
    <row r="20" outlineLevel="2">
      <c r="A20" s="10" t="s">
        <v>34</v>
      </c>
      <c r="B20" s="0" t="s">
        <v>32</v>
      </c>
      <c r="C20" s="11">
        <f>IFERROR(71.11*(1-w),"")</f>
        <v>61.858589</v>
      </c>
      <c r="D20" s="11">
        <v>71.11</v>
      </c>
      <c r="E20" s="11">
        <v>78.61802100608071</v>
      </c>
      <c r="F20" s="11"/>
      <c r="G20" s="11"/>
      <c r="I20" s="13"/>
    </row>
    <row r="21" outlineLevel="2">
      <c r="A21" s="10" t="s">
        <v>35</v>
      </c>
      <c r="B21" s="0" t="s">
        <v>32</v>
      </c>
      <c r="C21" s="11">
        <f>IFERROR(19.34*(1-w),"")</f>
        <v>16.823866000000002</v>
      </c>
      <c r="D21" s="11">
        <v>19.340000000000003</v>
      </c>
      <c r="E21" s="11">
        <v>21.381978993919297</v>
      </c>
      <c r="F21" s="11"/>
      <c r="G21" s="11"/>
      <c r="I21" s="13"/>
      <c r="J21" s="0" t="s">
        <v>36</v>
      </c>
    </row>
    <row r="22" outlineLevel="1">
      <c r="A22" s="9" t="s">
        <v>37</v>
      </c>
      <c r="I22" s="13"/>
    </row>
    <row r="23" outlineLevel="2">
      <c r="A23" s="10" t="s">
        <v>38</v>
      </c>
      <c r="B23" s="0" t="s">
        <v>32</v>
      </c>
      <c r="C23" s="11">
        <f>IFERROR(42.9*(1-w),"")</f>
        <v>37.318709999999996</v>
      </c>
      <c r="D23" s="11">
        <v>42.9</v>
      </c>
      <c r="E23" s="11">
        <v>47.429519071310118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IFERROR(5.11*(1-w),"")</f>
        <v>4.445189</v>
      </c>
      <c r="D24" s="11">
        <v>5.11</v>
      </c>
      <c r="E24" s="11">
        <v>5.6495301271420679</v>
      </c>
      <c r="F24" s="11"/>
      <c r="G24" s="11"/>
      <c r="I24" s="13"/>
      <c r="J24" s="0" t="s">
        <v>39</v>
      </c>
    </row>
    <row r="25" outlineLevel="2">
      <c r="A25" s="10" t="s">
        <v>41</v>
      </c>
      <c r="B25" s="0" t="s">
        <v>32</v>
      </c>
      <c r="C25" s="11">
        <f>IFERROR(39.56*(1-w),"")</f>
        <v>34.413244</v>
      </c>
      <c r="D25" s="11">
        <v>39.56</v>
      </c>
      <c r="E25" s="11">
        <v>43.736871199557768</v>
      </c>
      <c r="F25" s="11"/>
      <c r="G25" s="11"/>
      <c r="I25" s="13"/>
      <c r="J25" s="0" t="s">
        <v>36</v>
      </c>
    </row>
    <row r="26" outlineLevel="2">
      <c r="A26" s="10" t="s">
        <v>42</v>
      </c>
      <c r="B26" s="0" t="s">
        <v>32</v>
      </c>
      <c r="C26" s="11">
        <f>IFERROR(0.53*(1-w),"")</f>
        <v>0.46104700000000004</v>
      </c>
      <c r="D26" s="11">
        <v>0.53</v>
      </c>
      <c r="E26" s="11">
        <v>0.58595909342178</v>
      </c>
      <c r="F26" s="11"/>
      <c r="G26" s="11"/>
      <c r="I26" s="13"/>
      <c r="J26" s="0" t="s">
        <v>39</v>
      </c>
    </row>
    <row r="27" outlineLevel="2">
      <c r="A27" s="10" t="s">
        <v>43</v>
      </c>
      <c r="B27" s="0" t="s">
        <v>32</v>
      </c>
      <c r="C27" s="11">
        <f>IFERROR(0.29*(1-w),"")</f>
        <v>0.25227099999999997</v>
      </c>
      <c r="D27" s="11">
        <v>0.29</v>
      </c>
      <c r="E27" s="11">
        <v>0.32061912658927583</v>
      </c>
      <c r="F27" s="11"/>
      <c r="G27" s="11"/>
      <c r="I27" s="13"/>
      <c r="J27" s="0" t="s">
        <v>39</v>
      </c>
    </row>
    <row r="28" outlineLevel="2">
      <c r="A28" s="10" t="s">
        <v>44</v>
      </c>
      <c r="B28" s="0" t="s">
        <v>32</v>
      </c>
      <c r="C28" s="11">
        <f>IFERROR(100*(1-w)+w*100,"")</f>
        <v>100</v>
      </c>
      <c r="D28" s="11">
        <v>100</v>
      </c>
      <c r="E28" s="11">
        <v>100</v>
      </c>
      <c r="F28" s="11"/>
      <c r="G28" s="11"/>
      <c r="I28" s="13"/>
      <c r="J28" s="0" t="s">
        <v>36</v>
      </c>
    </row>
    <row r="29" outlineLevel="1">
      <c r="A29" s="9" t="s">
        <v>45</v>
      </c>
      <c r="I29" s="13"/>
    </row>
    <row r="30" outlineLevel="2">
      <c r="A30" s="10" t="s">
        <v>46</v>
      </c>
      <c r="B30" s="0" t="s">
        <v>47</v>
      </c>
      <c r="C30" s="12">
        <f>IFERROR(20600*(1-w),"")</f>
        <v>17919.94</v>
      </c>
      <c r="D30" s="12">
        <v>20600</v>
      </c>
      <c r="E30" s="12">
        <v>22775.01381978994</v>
      </c>
      <c r="F30" s="12"/>
      <c r="G30" s="12"/>
      <c r="I30" s="13"/>
      <c r="J30" s="0" t="s">
        <v>39</v>
      </c>
    </row>
    <row r="31" outlineLevel="1">
      <c r="A31" s="9" t="s">
        <v>48</v>
      </c>
      <c r="I31" s="13"/>
    </row>
    <row r="32" outlineLevel="2">
      <c r="A32" s="10" t="s">
        <v>49</v>
      </c>
      <c r="B32" s="0" t="s">
        <v>50</v>
      </c>
      <c r="C32" s="11">
        <f>IFERROR(15.71491*(1-w)-w*2.443,"")</f>
        <v>13.352565909</v>
      </c>
      <c r="D32" s="11">
        <v>15.71491</v>
      </c>
      <c r="E32" s="11">
        <v>17.374140409065781</v>
      </c>
      <c r="F32" s="11"/>
      <c r="G32" s="11"/>
      <c r="I32" s="13"/>
    </row>
    <row r="33" outlineLevel="2">
      <c r="A33" s="10" t="s">
        <v>51</v>
      </c>
      <c r="B33" s="0" t="s">
        <v>50</v>
      </c>
      <c r="C33" s="11">
        <f>IFERROR(16.83*(1-w),"")</f>
        <v>14.640417</v>
      </c>
      <c r="D33" s="11">
        <v>16.83</v>
      </c>
      <c r="E33" s="11">
        <v>18.606965174129353</v>
      </c>
      <c r="F33" s="11"/>
      <c r="G33" s="11"/>
      <c r="I33" s="13"/>
    </row>
    <row r="34" outlineLevel="2">
      <c r="A34" s="10" t="s">
        <v>52</v>
      </c>
      <c r="B34" s="0" t="s">
        <v>50</v>
      </c>
      <c r="C34" s="11">
        <f>IFERROR(16.4612529825*(1-w),"")</f>
        <v>14.319643969476751</v>
      </c>
      <c r="D34" s="11">
        <v>16.4612529825</v>
      </c>
      <c r="E34" s="11">
        <v>18.199284668325042</v>
      </c>
      <c r="F34" s="11"/>
      <c r="G34" s="11"/>
      <c r="I34" s="13"/>
      <c r="J34" s="0" t="s">
        <v>36</v>
      </c>
    </row>
    <row r="35">
      <c r="A35" s="5" t="s">
        <v>53</v>
      </c>
      <c r="I35" s="13"/>
    </row>
    <row r="36" outlineLevel="1">
      <c r="A36" s="9" t="s">
        <v>54</v>
      </c>
      <c r="I36" s="13"/>
    </row>
    <row r="37" outlineLevel="2">
      <c r="A37" s="10" t="s">
        <v>55</v>
      </c>
      <c r="B37" s="0" t="s">
        <v>56</v>
      </c>
      <c r="C37" s="11">
        <v>4.44</v>
      </c>
      <c r="D37" s="11"/>
      <c r="E37" s="11"/>
      <c r="F37" s="11"/>
      <c r="G37" s="11"/>
      <c r="I37" s="13"/>
    </row>
    <row r="38" outlineLevel="2">
      <c r="A38" s="10" t="s">
        <v>57</v>
      </c>
      <c r="B38" s="0" t="s">
        <v>56</v>
      </c>
      <c r="C38" s="11">
        <v>2.04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56</v>
      </c>
      <c r="C39" s="11">
        <v>37.06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56</v>
      </c>
      <c r="C40" s="11">
        <v>0.84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56</v>
      </c>
      <c r="C41" s="11">
        <v>2.23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56</v>
      </c>
      <c r="C42" s="11">
        <v>4.91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56</v>
      </c>
      <c r="C43" s="11">
        <v>2.55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56</v>
      </c>
      <c r="C44" s="11">
        <v>9.74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56</v>
      </c>
      <c r="C45" s="11">
        <v>21.7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56</v>
      </c>
      <c r="C46" s="11">
        <v>0.17</v>
      </c>
      <c r="D46" s="11"/>
      <c r="E46" s="11"/>
      <c r="F46" s="11"/>
      <c r="G46" s="11"/>
      <c r="I46" s="13"/>
    </row>
    <row r="47">
      <c r="I47" s="13"/>
    </row>
    <row r="48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</mergeCells>
  <dataValidations count="1">
    <dataValidation type="decimal" sqref="C18" errorStyle="stop" promptTitle="Enter moisture content" errorTitle="Invalid moisture content" prompt="Value should be between 0 and 100.&#10;Original value: 13.0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https://phyllis.nl/Biomass/View/476</dc:description>
  <dcterms:created xsi:type="dcterms:W3CDTF">2026-03-17T06:15:17Z</dcterms:created>
  <dc:title>Phyllis2 #476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