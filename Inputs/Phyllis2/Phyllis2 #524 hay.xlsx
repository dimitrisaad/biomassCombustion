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24 hay" sheetId="1" r:id="rId1"/>
  </sheets>
  <definedNames>
    <definedName name="w" localSheetId="0">IF(ISBLANK('Phyllis2 #524 hay'!$C$17),#N/A,'Phyllis2 #524 hay'!$C$17/100)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<sst xmlns="http://schemas.openxmlformats.org/spreadsheetml/2006/main" count="57" uniqueCount="57">
  <si>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</si>
  <si>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https://phyllis.nl/Biomass/View/524</t>
  </si>
  <si>
    <t>hay (#524)</t>
  </si>
  <si>
    <t>ID-number</t>
  </si>
  <si>
    <t>#524</t>
  </si>
  <si>
    <t>Material</t>
  </si>
  <si>
    <t>hay</t>
  </si>
  <si>
    <t>Classification</t>
  </si>
  <si>
    <t>ECN Phyllis classification &gt; grass/plant &gt; other grass &gt; hay</t>
  </si>
  <si>
    <t>NTA 8003 classification &gt; [200] biomassa uit land- en tuinbouw &gt; [210] gras &gt; [211] mengsel gras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</si>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</sst>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32</v>
      </c>
      <c r="C18" s="11">
        <f>IFERROR(5.7*(1-w),"")</f>
        <v/>
      </c>
      <c r="D18" s="11">
        <v>5.7</v>
      </c>
      <c r="E18" s="11">
        <v/>
      </c>
      <c r="F18" s="11"/>
      <c r="G18" s="11"/>
      <c r="I18" s="13"/>
    </row>
    <row r="19" outlineLevel="1">
      <c r="A19" s="9" t="s">
        <v>33</v>
      </c>
      <c r="I19" s="13"/>
    </row>
    <row r="20" outlineLevel="2">
      <c r="A20" s="10" t="s">
        <v>34</v>
      </c>
      <c r="B20" s="0" t="s">
        <v>32</v>
      </c>
      <c r="C20" s="11">
        <f>IFERROR(44.8*(1-w),"")</f>
        <v/>
      </c>
      <c r="D20" s="11">
        <v>44.8</v>
      </c>
      <c r="E20" s="11">
        <v>47.50795334040297</v>
      </c>
      <c r="F20" s="11"/>
      <c r="G20" s="11"/>
      <c r="I20" s="13"/>
      <c r="J20" s="0" t="s">
        <v>35</v>
      </c>
    </row>
    <row r="21" outlineLevel="2">
      <c r="A21" s="10" t="s">
        <v>36</v>
      </c>
      <c r="B21" s="0" t="s">
        <v>32</v>
      </c>
      <c r="C21" s="11">
        <f>IFERROR(5*(1-w),"")</f>
        <v/>
      </c>
      <c r="D21" s="11">
        <v>5</v>
      </c>
      <c r="E21" s="11">
        <v>5.3022269353128317</v>
      </c>
      <c r="F21" s="11"/>
      <c r="G21" s="11"/>
      <c r="I21" s="13"/>
      <c r="J21" s="0" t="s">
        <v>35</v>
      </c>
    </row>
    <row r="22" outlineLevel="2">
      <c r="A22" s="10" t="s">
        <v>37</v>
      </c>
      <c r="B22" s="0" t="s">
        <v>32</v>
      </c>
      <c r="C22" s="11">
        <f>IFERROR(42.53*(1-w),"")</f>
        <v/>
      </c>
      <c r="D22" s="11">
        <v>42.53</v>
      </c>
      <c r="E22" s="11">
        <v>45.100742311770951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32</v>
      </c>
      <c r="C23" s="11">
        <f>IFERROR(1.6*(1-w),"")</f>
        <v/>
      </c>
      <c r="D23" s="11">
        <v>1.6</v>
      </c>
      <c r="E23" s="11">
        <v>1.6967126193001063</v>
      </c>
      <c r="F23" s="11"/>
      <c r="G23" s="11"/>
      <c r="I23" s="13"/>
      <c r="J23" s="0" t="s">
        <v>35</v>
      </c>
    </row>
    <row r="24" outlineLevel="2">
      <c r="A24" s="10" t="s">
        <v>40</v>
      </c>
      <c r="B24" s="0" t="s">
        <v>32</v>
      </c>
      <c r="C24" s="11">
        <f>IFERROR(0.13*(1-w),"")</f>
        <v/>
      </c>
      <c r="D24" s="11">
        <v>0.13</v>
      </c>
      <c r="E24" s="11">
        <v>0.13785790031813364</v>
      </c>
      <c r="F24" s="11"/>
      <c r="G24" s="11"/>
      <c r="I24" s="13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99.999999999999986</v>
      </c>
      <c r="E25" s="11">
        <v>99.999999999999986</v>
      </c>
      <c r="F25" s="11"/>
      <c r="G25" s="11"/>
      <c r="I25" s="13"/>
      <c r="J25" s="0" t="s">
        <v>38</v>
      </c>
    </row>
    <row r="26" outlineLevel="1">
      <c r="A26" s="9" t="s">
        <v>42</v>
      </c>
      <c r="I26" s="13"/>
    </row>
    <row r="27" outlineLevel="2">
      <c r="A27" s="10" t="s">
        <v>43</v>
      </c>
      <c r="B27" s="0" t="s">
        <v>44</v>
      </c>
      <c r="C27" s="12">
        <f>IFERROR(2400*(1-w),"")</f>
        <v/>
      </c>
      <c r="D27" s="12">
        <v>2400</v>
      </c>
      <c r="E27" s="12">
        <v>2545.0689289501593</v>
      </c>
      <c r="F27" s="12"/>
      <c r="G27" s="12"/>
      <c r="I27" s="13"/>
      <c r="J27" s="0" t="s">
        <v>35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1">
        <f>IFERROR(16.25*(1-w)-w*2.443,"")</f>
        <v/>
      </c>
      <c r="D29" s="11">
        <v>16.25</v>
      </c>
      <c r="E29" s="11">
        <v>17.232237539766704</v>
      </c>
      <c r="F29" s="11"/>
      <c r="G29" s="11"/>
      <c r="I29" s="13"/>
    </row>
    <row r="30" outlineLevel="2">
      <c r="A30" s="10" t="s">
        <v>48</v>
      </c>
      <c r="B30" s="0" t="s">
        <v>47</v>
      </c>
      <c r="C30" s="11">
        <f>IFERROR(18.41*(1-w),"")</f>
        <v/>
      </c>
      <c r="D30" s="11">
        <v>18.41</v>
      </c>
      <c r="E30" s="11">
        <v>19.522799575821846</v>
      </c>
      <c r="F30" s="11"/>
      <c r="G30" s="11"/>
      <c r="I30" s="13"/>
    </row>
    <row r="31" outlineLevel="2">
      <c r="A31" s="10" t="s">
        <v>49</v>
      </c>
      <c r="B31" s="0" t="s">
        <v>47</v>
      </c>
      <c r="C31" s="11">
        <f>IFERROR(16.51787897*(1-w),"")</f>
        <v/>
      </c>
      <c r="D31" s="11">
        <v>16.51787897</v>
      </c>
      <c r="E31" s="11">
        <v>17.516308557794275</v>
      </c>
      <c r="F31" s="11"/>
      <c r="G31" s="11"/>
      <c r="I31" s="13"/>
      <c r="J31" s="0" t="s">
        <v>38</v>
      </c>
    </row>
    <row r="32">
      <c r="A32" s="5" t="s">
        <v>50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2">
        <v>0.26</v>
      </c>
      <c r="D34" s="12"/>
      <c r="E34" s="12"/>
      <c r="F34" s="12"/>
      <c r="G34" s="12"/>
      <c r="I34" s="13"/>
    </row>
    <row r="35" outlineLevel="2">
      <c r="A35" s="10" t="s">
        <v>54</v>
      </c>
      <c r="B35" s="0" t="s">
        <v>53</v>
      </c>
      <c r="C35" s="12">
        <v>0.08</v>
      </c>
      <c r="D35" s="12"/>
      <c r="E35" s="12"/>
      <c r="F35" s="12"/>
      <c r="G35" s="12"/>
      <c r="I35" s="13"/>
    </row>
    <row r="36" outlineLevel="2">
      <c r="A36" s="10" t="s">
        <v>55</v>
      </c>
      <c r="B36" s="0" t="s">
        <v>53</v>
      </c>
      <c r="C36" s="12">
        <v>4.1</v>
      </c>
      <c r="D36" s="12"/>
      <c r="E36" s="12"/>
      <c r="F36" s="12"/>
      <c r="G36" s="12"/>
      <c r="I36" s="13"/>
    </row>
    <row r="37" outlineLevel="2">
      <c r="A37" s="10" t="s">
        <v>56</v>
      </c>
      <c r="B37" s="0" t="s">
        <v>53</v>
      </c>
      <c r="C37" s="12">
        <v>0.01</v>
      </c>
      <c r="D37" s="12"/>
      <c r="E37" s="12"/>
      <c r="F37" s="12"/>
      <c r="G37" s="12"/>
      <c r="I37" s="13"/>
    </row>
    <row r="38">
      <c r="I38" s="13"/>
    </row>
    <row r="3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4:E34"/>
    <mergeCell ref="C35:E35"/>
    <mergeCell ref="C36:E36"/>
    <mergeCell ref="C37:E37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https://phyllis.nl/Biomass/View/524</dc:description>
  <dcterms:created xsi:type="dcterms:W3CDTF">2026-03-04T04:25:33Z</dcterms:created>
  <dc:title>Phyllis2 #524 hay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