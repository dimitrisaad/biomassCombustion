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3 bark, hardwood" sheetId="1" r:id="rId1"/>
  </sheets>
  <definedNames>
    <definedName name="w" localSheetId="0">IF(ISBLANK('Phyllis2 #53 bark, hardwood'!$C$17),#N/A,'Phyllis2 #53 bark, hardwood'!$C$17/100)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<sst xmlns="http://schemas.openxmlformats.org/spreadsheetml/2006/main" count="51" uniqueCount="51">
  <si>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</si>
  <si>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https://phyllis.nl/Biomass/View/53</t>
  </si>
  <si>
    <t>bark, hardwood (#53)</t>
  </si>
  <si>
    <t>ID-number</t>
  </si>
  <si>
    <t>#53</t>
  </si>
  <si>
    <t>Material</t>
  </si>
  <si>
    <t>bark, hardwood</t>
  </si>
  <si>
    <t>Classification</t>
  </si>
  <si>
    <t>ECN Phyllis classification &gt; untreated wood &gt; bark &gt; bark, hardwood</t>
  </si>
  <si>
    <t>NTA 8003 classification &gt; [100] hout &gt; [110] vers hout &gt; [112] schors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</si>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</sst>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12.3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IFERROR(3.99*(1-w),"")</f>
        <v>3.4992300000000003</v>
      </c>
      <c r="D18" s="11">
        <v>3.99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IFERROR(80.23*(1-w),"")</f>
        <v>70.36171</v>
      </c>
      <c r="D19" s="11">
        <v>80.23</v>
      </c>
      <c r="E19" s="11">
        <v>83.564212061243623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IFERROR(15.78*(1-w),"")</f>
        <v>13.839060000000002</v>
      </c>
      <c r="D20" s="11">
        <v>15.780000000000001</v>
      </c>
      <c r="E20" s="11">
        <v>16.435787938756381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IFERROR(50.35*(1-w),"")</f>
        <v>44.15695</v>
      </c>
      <c r="D22" s="11">
        <v>50.35</v>
      </c>
      <c r="E22" s="11">
        <v>52.442453911050933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IFERROR(5.83*(1-w),"")</f>
        <v>5.11291</v>
      </c>
      <c r="D23" s="11">
        <v>5.83</v>
      </c>
      <c r="E23" s="11">
        <v>6.0722841370690555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IFERROR(39.62*(1-w),"")</f>
        <v>34.746739999999996</v>
      </c>
      <c r="D24" s="11">
        <v>39.62</v>
      </c>
      <c r="E24" s="11">
        <v>41.266534735965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IFERROR(0.11*(1-w),"")</f>
        <v>0.09647</v>
      </c>
      <c r="D25" s="11">
        <v>0.11</v>
      </c>
      <c r="E25" s="11">
        <v>0.1145713988126237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IFERROR(0.07*(1-w),"")</f>
        <v>0.061390000000000007</v>
      </c>
      <c r="D26" s="11">
        <v>0.07</v>
      </c>
      <c r="E26" s="11">
        <v>0.072909071971669626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99.999999999999986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263.1</v>
      </c>
      <c r="D29" s="12">
        <v>300</v>
      </c>
      <c r="E29" s="12">
        <v>312.4674513071555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IFERROR(18.2839*(1-w)-w*2.443,"")</f>
        <v>15.7344913</v>
      </c>
      <c r="D31" s="11">
        <v>18.2839</v>
      </c>
      <c r="E31" s="11">
        <v>19.043745443183003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IFERROR(19.55611*(1-w),"")</f>
        <v>17.15070847</v>
      </c>
      <c r="D32" s="11">
        <v>19.55611</v>
      </c>
      <c r="E32" s="11">
        <v>20.368826163941257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IFERROR(20.0552007753*(1-w),"")</f>
        <v>17.5884110799381</v>
      </c>
      <c r="D33" s="11">
        <v>20.0552007753</v>
      </c>
      <c r="E33" s="11">
        <v>20.888658239037603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2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https://phyllis.nl/Biomass/View/53</dc:description>
  <dcterms:created xsi:type="dcterms:W3CDTF">2026-03-19T04:15:15Z</dcterms:created>
  <dc:title>Phyllis2 #53 bark, hardwood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