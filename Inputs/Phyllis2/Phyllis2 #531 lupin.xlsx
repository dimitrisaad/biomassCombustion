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31 lupin" sheetId="1" r:id="rId1"/>
  </sheets>
  <definedNames>
    <definedName name="w" localSheetId="0">IF(ISBLANK('Phyllis2 #531 lupin'!$C$18),#N/A,'Phyllis2 #531 lupin'!$C$18/100)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<sst xmlns="http://schemas.openxmlformats.org/spreadsheetml/2006/main" count="84" uniqueCount="84">
  <si>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</si>
  <si>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https://phyllis.nl/Biomass/View/531</t>
  </si>
  <si>
    <t>lupin (#531)</t>
  </si>
  <si>
    <t>ID-number</t>
  </si>
  <si>
    <t>#531</t>
  </si>
  <si>
    <t>Material</t>
  </si>
  <si>
    <t>lupin</t>
  </si>
  <si>
    <t>Classification</t>
  </si>
  <si>
    <t>ECN Phyllis classification &gt; grass/plant &gt; flower/garden plants &gt; lupin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</si>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</sst>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IFERROR(22.91*(1-w),"")</f>
        <v/>
      </c>
      <c r="D19" s="11">
        <v>22.91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IFERROR(34.41*(1-w),"")</f>
        <v/>
      </c>
      <c r="D21" s="11">
        <v>34.41</v>
      </c>
      <c r="E21" s="11">
        <v>44.636139577117646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IFERROR(3.76*(1-w),"")</f>
        <v/>
      </c>
      <c r="D22" s="11">
        <v>3.76</v>
      </c>
      <c r="E22" s="11">
        <v>4.8774160072642365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IFERROR(36.7*(1-w),"")</f>
        <v/>
      </c>
      <c r="D23" s="11">
        <v>36.7</v>
      </c>
      <c r="E23" s="11">
        <v>47.606693475158906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IFERROR(1.5*(1-w),"")</f>
        <v/>
      </c>
      <c r="D24" s="11">
        <v>1.5</v>
      </c>
      <c r="E24" s="11">
        <v>1.9457776624724348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IFERROR(0.18*(1-w),"")</f>
        <v/>
      </c>
      <c r="D25" s="11">
        <v>0.18</v>
      </c>
      <c r="E25" s="11">
        <v>0.23349331949669216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IFERROR(5400*(1-w),"")</f>
        <v/>
      </c>
      <c r="D28" s="12">
        <v>5400</v>
      </c>
      <c r="E28" s="12">
        <v>7004.7995849007648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IFERROR(14.892*(1-w)-w*2.443,"")</f>
        <v/>
      </c>
      <c r="D30" s="11">
        <v>14.892</v>
      </c>
      <c r="E30" s="11">
        <v>19.317680633026331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IFERROR(15.719*(1-w),"")</f>
        <v/>
      </c>
      <c r="D31" s="11">
        <v>15.719</v>
      </c>
      <c r="E31" s="11">
        <v>20.390452717602802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IFERROR(11.8626598193*(1-w),"")</f>
        <v/>
      </c>
      <c r="D32" s="11">
        <v>11.8626598193</v>
      </c>
      <c r="E32" s="11">
        <v>15.388065662602152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0.19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8.2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0.04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16.7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1170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1220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1260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6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2.43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2.77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1.97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53.6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2.28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5.8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10.7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0.97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10.4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38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https://phyllis.nl/Biomass/View/531</dc:description>
  <dcterms:created xsi:type="dcterms:W3CDTF">2026-03-04T04:03:30Z</dcterms:created>
  <dc:title>Phyllis2 #531 lupin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