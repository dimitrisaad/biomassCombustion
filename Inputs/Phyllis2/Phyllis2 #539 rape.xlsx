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39 rape" sheetId="1" r:id="rId1"/>
  </sheets>
  <definedNames>
    <definedName name="w" localSheetId="0">IF(ISBLANK('Phyllis2 #539 rape'!$C$19),#N/A,'Phyllis2 #539 rape'!$C$19/100)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<sst xmlns="http://schemas.openxmlformats.org/spreadsheetml/2006/main" count="73" uniqueCount="73">
  <si>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</si>
  <si>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https://phyllis.nl/Biomass/View/539</t>
  </si>
  <si>
    <t>rape (#539)</t>
  </si>
  <si>
    <t>ID-number</t>
  </si>
  <si>
    <t>#539</t>
  </si>
  <si>
    <t>Material</t>
  </si>
  <si>
    <t>rape</t>
  </si>
  <si>
    <t>Classification</t>
  </si>
  <si>
    <t>ECN Phyllis classification &gt; straw (stalk/cob/ear) &gt; rape &gt; rape</t>
  </si>
  <si>
    <t>NTA 8003 classification &gt; [200] biomassa uit land- en tuinbouw &gt; [220] stro &gt; [229] overig stro</t>
  </si>
  <si>
    <t>Ash type</t>
  </si>
  <si>
    <t>industrial</t>
  </si>
  <si>
    <t>Submitter organisation</t>
  </si>
  <si>
    <t>ECN (Netherlands)</t>
  </si>
  <si>
    <t>Remarks</t>
  </si>
  <si>
    <t>63% of Na2O in ash is acid extractible, 76% of K2O in ash is acid extractible</t>
  </si>
  <si>
    <t>Literature</t>
  </si>
  <si>
    <t>W. R. Livingston: Straw ash characteristics, Babcock Energy Limited, DE92 519748, 23 p. (1991).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</si>
  <si>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</si>
  <si>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</si>
  <si>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</si>
  <si>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</si>
  <si>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</si>
  <si>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</si>
  <si>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</si>
  <si>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</si>
  <si>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</si>
  <si>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</si>
  <si>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</si>
  <si>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</si>
  <si>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</si>
  <si>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</si>
  <si>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</si>
  <si>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</si>
  <si>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</si>
  <si>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</si>
  <si>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</si>
  <si>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</si>
  <si>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</si>
  <si>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</si>
  <si>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</si>
  <si>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</si>
  <si>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</si>
  <si>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</si>
  <si>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</si>
  <si>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</si>
  <si>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</si>
  <si>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</si>
  <si>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</si>
  <si>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</si>
  <si>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</si>
  <si>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</si>
  <si>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</si>
  <si>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</si>
  <si>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</si>
  <si>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</si>
  <si>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</si>
  <si>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</si>
  <si>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</si>
  <si>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American standard method, measured in reducing conditions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</si>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</sst>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9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IFERROR(3.85*(1-w),"")</f>
        <v>3.5035000000000003</v>
      </c>
      <c r="D20" s="11">
        <v>3.85</v>
      </c>
      <c r="E20" s="11">
        <v/>
      </c>
      <c r="F20" s="11"/>
      <c r="G20" s="11"/>
      <c r="I20" s="16"/>
    </row>
    <row r="21" outlineLevel="2">
      <c r="A21" s="10" t="s">
        <v>35</v>
      </c>
      <c r="B21" s="0" t="s">
        <v>33</v>
      </c>
      <c r="C21" s="11">
        <f>IFERROR(76.5*(1-w),"")</f>
        <v>69.615000000000009</v>
      </c>
      <c r="D21" s="11">
        <v>76.5</v>
      </c>
      <c r="E21" s="11">
        <v>79.5631825273011</v>
      </c>
      <c r="F21" s="11"/>
      <c r="G21" s="11"/>
      <c r="I21" s="16"/>
    </row>
    <row r="22" outlineLevel="2">
      <c r="A22" s="10" t="s">
        <v>36</v>
      </c>
      <c r="B22" s="0" t="s">
        <v>33</v>
      </c>
      <c r="C22" s="11">
        <f>IFERROR(19.65*(1-w),"")</f>
        <v>17.881500000000006</v>
      </c>
      <c r="D22" s="11">
        <v>19.650000000000006</v>
      </c>
      <c r="E22" s="11">
        <v>20.436817472698912</v>
      </c>
      <c r="F22" s="11"/>
      <c r="G22" s="11"/>
      <c r="I22" s="16"/>
      <c r="J22" s="0" t="s">
        <v>37</v>
      </c>
    </row>
    <row r="23" outlineLevel="1">
      <c r="A23" s="9" t="s">
        <v>38</v>
      </c>
      <c r="I23" s="16"/>
    </row>
    <row r="24" outlineLevel="2">
      <c r="A24" s="10" t="s">
        <v>39</v>
      </c>
      <c r="B24" s="0" t="s">
        <v>33</v>
      </c>
      <c r="C24" s="11">
        <f>IFERROR(41.56044*(1-w),"")</f>
        <v>37.8200004</v>
      </c>
      <c r="D24" s="11">
        <v>41.56044</v>
      </c>
      <c r="E24" s="11">
        <v>43.224586583463335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IFERROR(5.065934*(1-w),"")</f>
        <v>4.6099999400000007</v>
      </c>
      <c r="D25" s="11">
        <v>5.065934</v>
      </c>
      <c r="E25" s="11">
        <v>5.2687821112844517</v>
      </c>
      <c r="F25" s="11"/>
      <c r="G25" s="11"/>
      <c r="I25" s="16"/>
      <c r="J25" s="0" t="s">
        <v>40</v>
      </c>
    </row>
    <row r="26" outlineLevel="2">
      <c r="A26" s="10" t="s">
        <v>42</v>
      </c>
      <c r="B26" s="0" t="s">
        <v>33</v>
      </c>
      <c r="C26" s="11">
        <f>IFERROR(48.64*(1-w),"")</f>
        <v>44.2624</v>
      </c>
      <c r="D26" s="11">
        <v>48.64</v>
      </c>
      <c r="E26" s="11">
        <v>50.5876235049402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IFERROR(0.8351648*(1-w),"")</f>
        <v>0.759999968</v>
      </c>
      <c r="D27" s="11">
        <v>0.8351648</v>
      </c>
      <c r="E27" s="11">
        <v>0.8686061362454498</v>
      </c>
      <c r="F27" s="11"/>
      <c r="G27" s="11"/>
      <c r="I27" s="16"/>
      <c r="J27" s="0" t="s">
        <v>40</v>
      </c>
    </row>
    <row r="28" outlineLevel="2">
      <c r="A28" s="10" t="s">
        <v>44</v>
      </c>
      <c r="B28" s="0" t="s">
        <v>33</v>
      </c>
      <c r="C28" s="11">
        <f>IFERROR(99.99549484*(1-w)+w*100,"")</f>
        <v>99.9959003044</v>
      </c>
      <c r="D28" s="11">
        <v>99.995494839999992</v>
      </c>
      <c r="E28" s="11">
        <v>99.995314446177844</v>
      </c>
      <c r="F28" s="11"/>
      <c r="G28" s="11"/>
      <c r="I28" s="16"/>
      <c r="J28" s="0" t="s">
        <v>37</v>
      </c>
    </row>
    <row r="29" outlineLevel="1">
      <c r="A29" s="9" t="s">
        <v>45</v>
      </c>
      <c r="I29" s="16"/>
    </row>
    <row r="30" outlineLevel="2">
      <c r="A30" s="10" t="s">
        <v>46</v>
      </c>
      <c r="B30" s="0" t="s">
        <v>47</v>
      </c>
      <c r="C30" s="12">
        <f>IFERROR(439.5604*(1-w),"")</f>
        <v>399.99996400000003</v>
      </c>
      <c r="D30" s="12">
        <v>439.5604</v>
      </c>
      <c r="E30" s="12">
        <v>457.16110244409776</v>
      </c>
      <c r="F30" s="12"/>
      <c r="G30" s="12"/>
      <c r="I30" s="16"/>
      <c r="J30" s="0" t="s">
        <v>40</v>
      </c>
    </row>
    <row r="31" outlineLevel="1">
      <c r="A31" s="9" t="s">
        <v>48</v>
      </c>
      <c r="I31" s="16"/>
    </row>
    <row r="32" outlineLevel="2">
      <c r="A32" s="10" t="s">
        <v>49</v>
      </c>
      <c r="B32" s="0" t="s">
        <v>50</v>
      </c>
      <c r="C32" s="11">
        <f>IFERROR(17.53189*(1-w)-w*2.443,"")</f>
        <v>15.7341499</v>
      </c>
      <c r="D32" s="11">
        <v>17.53189</v>
      </c>
      <c r="E32" s="11">
        <v>18.233894955798231</v>
      </c>
      <c r="F32" s="11"/>
      <c r="G32" s="11"/>
      <c r="I32" s="16"/>
    </row>
    <row r="33" outlineLevel="2">
      <c r="A33" s="10" t="s">
        <v>51</v>
      </c>
      <c r="B33" s="0" t="s">
        <v>50</v>
      </c>
      <c r="C33" s="11">
        <f>IFERROR(18.63736*(1-w),"")</f>
        <v>16.9599976</v>
      </c>
      <c r="D33" s="11">
        <v>18.63736</v>
      </c>
      <c r="E33" s="11">
        <v>19.383629745189808</v>
      </c>
      <c r="F33" s="11"/>
      <c r="G33" s="11"/>
      <c r="I33" s="16"/>
    </row>
    <row r="34" outlineLevel="2">
      <c r="A34" s="10" t="s">
        <v>52</v>
      </c>
      <c r="B34" s="0" t="s">
        <v>50</v>
      </c>
      <c r="C34" s="11">
        <f>IFERROR(14.8756178545*(1-w),"")</f>
        <v>13.536812247595</v>
      </c>
      <c r="D34" s="11">
        <v>14.8756178545</v>
      </c>
      <c r="E34" s="11">
        <v>15.471261419136765</v>
      </c>
      <c r="F34" s="11"/>
      <c r="G34" s="11"/>
      <c r="I34" s="16"/>
      <c r="J34" s="0" t="s">
        <v>37</v>
      </c>
    </row>
    <row r="35" outlineLevel="1">
      <c r="A35" s="9" t="s">
        <v>53</v>
      </c>
      <c r="I35" s="16"/>
    </row>
    <row r="36" outlineLevel="2">
      <c r="A36" s="13" t="s">
        <v>54</v>
      </c>
      <c r="I36" s="16"/>
    </row>
    <row r="37" outlineLevel="3">
      <c r="A37" s="14" t="s">
        <v>55</v>
      </c>
      <c r="B37" s="0" t="s">
        <v>56</v>
      </c>
      <c r="C37" s="15">
        <v>1380</v>
      </c>
      <c r="D37" s="15"/>
      <c r="E37" s="15"/>
      <c r="F37" s="15"/>
      <c r="G37" s="15"/>
      <c r="I37" s="16"/>
    </row>
    <row r="38" outlineLevel="3">
      <c r="A38" s="14" t="s">
        <v>57</v>
      </c>
      <c r="B38" s="0" t="s">
        <v>56</v>
      </c>
      <c r="C38" s="15">
        <v>1400</v>
      </c>
      <c r="D38" s="15"/>
      <c r="E38" s="15"/>
      <c r="F38" s="15"/>
      <c r="G38" s="15"/>
      <c r="I38" s="16"/>
    </row>
    <row r="39" outlineLevel="3">
      <c r="A39" s="14" t="s">
        <v>58</v>
      </c>
      <c r="B39" s="0" t="s">
        <v>56</v>
      </c>
      <c r="C39" s="15">
        <v>1420</v>
      </c>
      <c r="D39" s="15"/>
      <c r="E39" s="15"/>
      <c r="F39" s="15"/>
      <c r="G39" s="15"/>
      <c r="I39" s="16"/>
    </row>
    <row r="40" outlineLevel="2">
      <c r="A40" s="13" t="s">
        <v>59</v>
      </c>
      <c r="I40" s="16"/>
    </row>
    <row r="41" outlineLevel="3">
      <c r="A41" s="14" t="s">
        <v>55</v>
      </c>
      <c r="B41" s="0" t="s">
        <v>56</v>
      </c>
      <c r="C41" s="15">
        <v>1320</v>
      </c>
      <c r="D41" s="15"/>
      <c r="E41" s="15"/>
      <c r="F41" s="15"/>
      <c r="G41" s="15"/>
      <c r="I41" s="16"/>
    </row>
    <row r="42" outlineLevel="3">
      <c r="A42" s="14" t="s">
        <v>57</v>
      </c>
      <c r="B42" s="0" t="s">
        <v>56</v>
      </c>
      <c r="C42" s="15">
        <v>1340</v>
      </c>
      <c r="D42" s="15"/>
      <c r="E42" s="15"/>
      <c r="F42" s="15"/>
      <c r="G42" s="15"/>
      <c r="I42" s="16"/>
    </row>
    <row r="43" outlineLevel="3">
      <c r="A43" s="14" t="s">
        <v>58</v>
      </c>
      <c r="B43" s="0" t="s">
        <v>56</v>
      </c>
      <c r="C43" s="15">
        <v>1360</v>
      </c>
      <c r="D43" s="15"/>
      <c r="E43" s="15"/>
      <c r="F43" s="15"/>
      <c r="G43" s="15"/>
      <c r="I43" s="16"/>
    </row>
    <row r="44">
      <c r="A44" s="5" t="s">
        <v>60</v>
      </c>
      <c r="I44" s="16"/>
    </row>
    <row r="45" outlineLevel="1">
      <c r="A45" s="9" t="s">
        <v>61</v>
      </c>
      <c r="I45" s="16"/>
    </row>
    <row r="46" outlineLevel="2">
      <c r="A46" s="10" t="s">
        <v>62</v>
      </c>
      <c r="B46" s="0" t="s">
        <v>63</v>
      </c>
      <c r="C46" s="11">
        <v>2.646692</v>
      </c>
      <c r="D46" s="11"/>
      <c r="E46" s="11"/>
      <c r="F46" s="11"/>
      <c r="G46" s="11"/>
      <c r="I46" s="16"/>
    </row>
    <row r="47" outlineLevel="2">
      <c r="A47" s="10" t="s">
        <v>64</v>
      </c>
      <c r="B47" s="0" t="s">
        <v>63</v>
      </c>
      <c r="C47" s="11">
        <v>3.75802</v>
      </c>
      <c r="D47" s="11"/>
      <c r="E47" s="11"/>
      <c r="F47" s="11"/>
      <c r="G47" s="11"/>
      <c r="I47" s="16"/>
    </row>
    <row r="48" outlineLevel="2">
      <c r="A48" s="10" t="s">
        <v>65</v>
      </c>
      <c r="B48" s="0" t="s">
        <v>63</v>
      </c>
      <c r="C48" s="11">
        <v>8.493795</v>
      </c>
      <c r="D48" s="11"/>
      <c r="E48" s="11"/>
      <c r="F48" s="11"/>
      <c r="G48" s="11"/>
      <c r="I48" s="16"/>
    </row>
    <row r="49" outlineLevel="2">
      <c r="A49" s="10" t="s">
        <v>66</v>
      </c>
      <c r="B49" s="0" t="s">
        <v>63</v>
      </c>
      <c r="C49" s="11">
        <v>0.5576208</v>
      </c>
      <c r="D49" s="11"/>
      <c r="E49" s="11"/>
      <c r="F49" s="11"/>
      <c r="G49" s="11"/>
      <c r="I49" s="16"/>
    </row>
    <row r="50" outlineLevel="2">
      <c r="A50" s="10" t="s">
        <v>67</v>
      </c>
      <c r="B50" s="0" t="s">
        <v>63</v>
      </c>
      <c r="C50" s="11">
        <v>0.09446438</v>
      </c>
      <c r="D50" s="11"/>
      <c r="E50" s="11"/>
      <c r="F50" s="11"/>
      <c r="G50" s="11"/>
      <c r="I50" s="16"/>
    </row>
    <row r="51" outlineLevel="2">
      <c r="A51" s="10" t="s">
        <v>68</v>
      </c>
      <c r="B51" s="0" t="s">
        <v>63</v>
      </c>
      <c r="C51" s="11">
        <v>39.97482</v>
      </c>
      <c r="D51" s="11"/>
      <c r="E51" s="11"/>
      <c r="F51" s="11"/>
      <c r="G51" s="11"/>
      <c r="I51" s="16"/>
    </row>
    <row r="52" outlineLevel="2">
      <c r="A52" s="10" t="s">
        <v>69</v>
      </c>
      <c r="B52" s="0" t="s">
        <v>63</v>
      </c>
      <c r="C52" s="11">
        <v>5.406302</v>
      </c>
      <c r="D52" s="11"/>
      <c r="E52" s="11"/>
      <c r="F52" s="11"/>
      <c r="G52" s="11"/>
      <c r="I52" s="16"/>
    </row>
    <row r="53" outlineLevel="2">
      <c r="A53" s="10" t="s">
        <v>70</v>
      </c>
      <c r="B53" s="0" t="s">
        <v>63</v>
      </c>
      <c r="C53" s="11">
        <v>2.695781</v>
      </c>
      <c r="D53" s="11"/>
      <c r="E53" s="11"/>
      <c r="F53" s="11"/>
      <c r="G53" s="11"/>
      <c r="I53" s="16"/>
    </row>
    <row r="54" outlineLevel="2">
      <c r="A54" s="10" t="s">
        <v>71</v>
      </c>
      <c r="B54" s="0" t="s">
        <v>63</v>
      </c>
      <c r="C54" s="11">
        <v>16.86341</v>
      </c>
      <c r="D54" s="11"/>
      <c r="E54" s="11"/>
      <c r="F54" s="11"/>
      <c r="G54" s="11"/>
      <c r="I54" s="16"/>
    </row>
    <row r="55" outlineLevel="2">
      <c r="A55" s="10" t="s">
        <v>72</v>
      </c>
      <c r="B55" s="0" t="s">
        <v>63</v>
      </c>
      <c r="C55" s="11">
        <v>0.1001001</v>
      </c>
      <c r="D55" s="11"/>
      <c r="E55" s="11"/>
      <c r="F55" s="11"/>
      <c r="G55" s="11"/>
      <c r="I55" s="16"/>
    </row>
    <row r="56">
      <c r="I56" s="16"/>
    </row>
    <row r="5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19" errorStyle="stop" promptTitle="Enter moisture content" errorTitle="Invalid moisture content" prompt="Value should be between 0 and 100.&#10;Original value: 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https://phyllis.nl/Biomass/View/539</dc:description>
  <dcterms:created xsi:type="dcterms:W3CDTF">2026-03-17T06:08:57Z</dcterms:created>
  <dc:title>Phyllis2 #539 rape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