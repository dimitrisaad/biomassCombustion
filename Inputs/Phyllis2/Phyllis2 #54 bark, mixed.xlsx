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4 bark, mixed" sheetId="1" r:id="rId1"/>
  </sheets>
  <definedNames>
    <definedName name="w" localSheetId="0">IF(ISBLANK('Phyllis2 #54 bark, mixed'!$C$18),#N/A,'Phyllis2 #54 bark, mixed'!$C$18/100)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<sst xmlns="http://schemas.openxmlformats.org/spreadsheetml/2006/main" count="78" uniqueCount="78">
  <si>
    <t>Phyllis2</t>
  </si>
  <si>
    <t>https://phyllis.nl/Biomass/View/54</t>
  </si>
  <si>
    <t>bark, mixed (#54)</t>
  </si>
  <si>
    <t>ID-number</t>
  </si>
  <si>
    <t>#54</t>
  </si>
  <si>
    <t>Material</t>
  </si>
  <si>
    <t>bark, mixed</t>
  </si>
  <si>
    <t>Classification</t>
  </si>
  <si>
    <t>ECN Phyllis classification &gt; untreated wood &gt; bark</t>
  </si>
  <si>
    <t>NTA 8003 classification &gt; [100] hout &gt; [110] vers hout &gt; [112] schors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</si>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</sst>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IFERROR(5.08*(1-w),"")</f>
        <v/>
      </c>
      <c r="D19" s="11">
        <v>5.08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IFERROR(48.83*(1-w),"")</f>
        <v/>
      </c>
      <c r="D21" s="11">
        <v>48.83</v>
      </c>
      <c r="E21" s="11">
        <v>51.4433206911083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IFERROR(4.6*(1-w),"")</f>
        <v/>
      </c>
      <c r="D22" s="11">
        <v>4.6</v>
      </c>
      <c r="E22" s="11">
        <v>4.8461862621154648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IFERROR(41.04*(1-w),"")</f>
        <v/>
      </c>
      <c r="D23" s="11">
        <v>41.04</v>
      </c>
      <c r="E23" s="11">
        <v>43.236409608091023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IFERROR(0.33*(1-w),"")</f>
        <v/>
      </c>
      <c r="D24" s="11">
        <v>0.33</v>
      </c>
      <c r="E24" s="11">
        <v>0.347661188369153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IFERROR(0.08*(1-w),"")</f>
        <v/>
      </c>
      <c r="D25" s="11">
        <v>0.08</v>
      </c>
      <c r="E25" s="11">
        <v>0.084281500210703755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IFERROR(400*(1-w),"")</f>
        <v/>
      </c>
      <c r="D28" s="12">
        <v>400</v>
      </c>
      <c r="E28" s="12">
        <v>421.40750105351873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IFERROR(19.023*(1-w)-w*2.443,"")</f>
        <v/>
      </c>
      <c r="D30" s="11">
        <v>19.023</v>
      </c>
      <c r="E30" s="11">
        <v>20.041087231352716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IFERROR(19.936*(1-w),"")</f>
        <v/>
      </c>
      <c r="D31" s="11">
        <v>19.936</v>
      </c>
      <c r="E31" s="11">
        <v>21.002949852507374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IFERROR(17.6995423792*(1-w),"")</f>
        <v/>
      </c>
      <c r="D32" s="11">
        <v>17.699542379199997</v>
      </c>
      <c r="E32" s="11">
        <v>18.646799809523806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1250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1320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1340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1410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5.4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1.67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0.02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2.18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26.3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2.6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3.59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35.8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62</v>
      </c>
      <c r="C49" s="11">
        <v>3.07</v>
      </c>
      <c r="D49" s="11"/>
      <c r="E49" s="11"/>
      <c r="F49" s="11"/>
      <c r="G49" s="11"/>
      <c r="I49" s="16"/>
    </row>
    <row r="50" outlineLevel="2">
      <c r="A50" s="10" t="s">
        <v>71</v>
      </c>
      <c r="B50" s="0" t="s">
        <v>62</v>
      </c>
      <c r="C50" s="11">
        <v>0.5</v>
      </c>
      <c r="D50" s="11"/>
      <c r="E50" s="11"/>
      <c r="F50" s="11"/>
      <c r="G50" s="11"/>
      <c r="I50" s="16"/>
    </row>
    <row r="51" outlineLevel="2">
      <c r="A51" s="10" t="s">
        <v>72</v>
      </c>
      <c r="B51" s="0" t="s">
        <v>62</v>
      </c>
      <c r="C51" s="11">
        <v>4.9</v>
      </c>
      <c r="D51" s="11"/>
      <c r="E51" s="11"/>
      <c r="F51" s="11"/>
      <c r="G51" s="11"/>
      <c r="I51" s="16"/>
    </row>
    <row r="52" outlineLevel="2">
      <c r="A52" s="10" t="s">
        <v>73</v>
      </c>
      <c r="B52" s="0" t="s">
        <v>74</v>
      </c>
      <c r="C52" s="12">
        <v>71</v>
      </c>
      <c r="D52" s="12"/>
      <c r="E52" s="12"/>
      <c r="F52" s="12"/>
      <c r="G52" s="12"/>
      <c r="I52" s="16"/>
    </row>
    <row r="53" outlineLevel="2">
      <c r="A53" s="10" t="s">
        <v>75</v>
      </c>
      <c r="B53" s="0" t="s">
        <v>74</v>
      </c>
      <c r="C53" s="12">
        <v>14.7</v>
      </c>
      <c r="D53" s="12"/>
      <c r="E53" s="12"/>
      <c r="F53" s="12"/>
      <c r="G53" s="12"/>
      <c r="I53" s="16"/>
    </row>
    <row r="54" outlineLevel="2">
      <c r="A54" s="10" t="s">
        <v>76</v>
      </c>
      <c r="B54" s="0" t="s">
        <v>74</v>
      </c>
      <c r="C54" s="12">
        <v>184</v>
      </c>
      <c r="D54" s="12"/>
      <c r="E54" s="12"/>
      <c r="F54" s="12"/>
      <c r="G54" s="12"/>
      <c r="I54" s="16"/>
    </row>
    <row r="55" outlineLevel="2">
      <c r="A55" s="10" t="s">
        <v>77</v>
      </c>
      <c r="B55" s="0" t="s">
        <v>74</v>
      </c>
      <c r="C55" s="12">
        <v>0.47</v>
      </c>
      <c r="D55" s="12"/>
      <c r="E55" s="12"/>
      <c r="F55" s="12"/>
      <c r="G55" s="12"/>
      <c r="I55" s="16"/>
    </row>
    <row r="56">
      <c r="I56" s="16"/>
    </row>
    <row r="5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https://phyllis.nl/Biomass/View/54</dc:description>
  <dcterms:created xsi:type="dcterms:W3CDTF">2026-03-19T04:17:58Z</dcterms:created>
  <dc:title>Phyllis2 #54 bark, mixed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