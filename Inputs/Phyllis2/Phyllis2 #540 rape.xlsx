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40 rape" sheetId="1" r:id="rId1"/>
  </sheets>
  <definedNames>
    <definedName name="w" localSheetId="0">IF(ISBLANK('Phyllis2 #540 rape'!$C$18),#N/A,'Phyllis2 #540 rape'!$C$18/100)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<sst xmlns="http://schemas.openxmlformats.org/spreadsheetml/2006/main" count="65" uniqueCount="65">
  <si>
    <t>Phyllis2</t>
  </si>
  <si>
    <t>https://phyllis.nl/Biomass/View/540</t>
  </si>
  <si>
    <t>rape (#540)</t>
  </si>
  <si>
    <t>ID-number</t>
  </si>
  <si>
    <t>#540</t>
  </si>
  <si>
    <t>Material</t>
  </si>
  <si>
    <t>rape</t>
  </si>
  <si>
    <t>Classification</t>
  </si>
  <si>
    <t>ECN Phyllis classification &gt; straw (stalk/cob/ear) &gt; rape &gt; rape</t>
  </si>
  <si>
    <t>NTA 8003 classification &gt; [200] biomassa uit land- en tuinbouw &gt; [220] stro &gt; [229] overig stro</t>
  </si>
  <si>
    <t>Ash type</t>
  </si>
  <si>
    <t>industrial</t>
  </si>
  <si>
    <t>Submitter organisation</t>
  </si>
  <si>
    <t>ECN (Netherlands)</t>
  </si>
  <si>
    <t>Literature</t>
  </si>
  <si>
    <t>W. R. Livingston: Straw ash characteristics, Babcock Energy Limited, DE92 519748, 23 p. (1991).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</si>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</sst>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4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>13.2</v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32</v>
      </c>
      <c r="C19" s="11">
        <f>IFERROR(3.8*(1-w),"")</f>
        <v>3.2984</v>
      </c>
      <c r="D19" s="11">
        <v>3.8</v>
      </c>
      <c r="E19" s="11">
        <v/>
      </c>
      <c r="F19" s="11"/>
      <c r="G19" s="11"/>
      <c r="I19" s="13"/>
    </row>
    <row r="20" outlineLevel="2">
      <c r="A20" s="10" t="s">
        <v>34</v>
      </c>
      <c r="B20" s="0" t="s">
        <v>32</v>
      </c>
      <c r="C20" s="11">
        <f>IFERROR(78.8*(1-w),"")</f>
        <v>68.3984</v>
      </c>
      <c r="D20" s="11">
        <v>78.8</v>
      </c>
      <c r="E20" s="11">
        <v>81.912681912681919</v>
      </c>
      <c r="F20" s="11"/>
      <c r="G20" s="11"/>
      <c r="I20" s="13"/>
    </row>
    <row r="21" outlineLevel="2">
      <c r="A21" s="10" t="s">
        <v>35</v>
      </c>
      <c r="B21" s="0" t="s">
        <v>32</v>
      </c>
      <c r="C21" s="11">
        <f>IFERROR(17.4*(1-w),"")</f>
        <v>15.103200000000005</v>
      </c>
      <c r="D21" s="11">
        <v>17.400000000000006</v>
      </c>
      <c r="E21" s="11">
        <v>18.087318087318092</v>
      </c>
      <c r="F21" s="11"/>
      <c r="G21" s="11"/>
      <c r="I21" s="13"/>
      <c r="J21" s="0" t="s">
        <v>36</v>
      </c>
    </row>
    <row r="22" outlineLevel="1">
      <c r="A22" s="9" t="s">
        <v>37</v>
      </c>
      <c r="I22" s="13"/>
    </row>
    <row r="23" outlineLevel="2">
      <c r="A23" s="10" t="s">
        <v>38</v>
      </c>
      <c r="B23" s="0" t="s">
        <v>32</v>
      </c>
      <c r="C23" s="11">
        <f>IFERROR(38.85945*(1-w),"")</f>
        <v>33.7300026</v>
      </c>
      <c r="D23" s="11">
        <v>38.85945</v>
      </c>
      <c r="E23" s="11">
        <v>40.394438669438671</v>
      </c>
      <c r="F23" s="11"/>
      <c r="G23" s="11"/>
      <c r="I23" s="13"/>
      <c r="J23" s="0" t="s">
        <v>39</v>
      </c>
    </row>
    <row r="24" outlineLevel="2">
      <c r="A24" s="10" t="s">
        <v>40</v>
      </c>
      <c r="B24" s="0" t="s">
        <v>32</v>
      </c>
      <c r="C24" s="11">
        <f>IFERROR(4.435484*(1-w),"")</f>
        <v>3.8500001119999996</v>
      </c>
      <c r="D24" s="11">
        <v>4.435484</v>
      </c>
      <c r="E24" s="11">
        <v>4.6106902286902285</v>
      </c>
      <c r="F24" s="11"/>
      <c r="G24" s="11"/>
      <c r="I24" s="13"/>
      <c r="J24" s="0" t="s">
        <v>39</v>
      </c>
    </row>
    <row r="25" outlineLevel="2">
      <c r="A25" s="10" t="s">
        <v>41</v>
      </c>
      <c r="B25" s="0" t="s">
        <v>32</v>
      </c>
      <c r="C25" s="11">
        <f>IFERROR(52.06221*(1-w),"")</f>
        <v>45.18999828</v>
      </c>
      <c r="D25" s="11">
        <v>52.06221</v>
      </c>
      <c r="E25" s="11">
        <v>54.118721413721417</v>
      </c>
      <c r="F25" s="11"/>
      <c r="G25" s="11"/>
      <c r="I25" s="13"/>
      <c r="J25" s="0" t="s">
        <v>36</v>
      </c>
    </row>
    <row r="26" outlineLevel="2">
      <c r="A26" s="10" t="s">
        <v>42</v>
      </c>
      <c r="B26" s="0" t="s">
        <v>32</v>
      </c>
      <c r="C26" s="11">
        <f>IFERROR(0.7718894*(1-w),"")</f>
        <v>0.6699999992</v>
      </c>
      <c r="D26" s="11">
        <v>0.7718894</v>
      </c>
      <c r="E26" s="11">
        <v>0.80237983367983368</v>
      </c>
      <c r="F26" s="11"/>
      <c r="G26" s="11"/>
      <c r="I26" s="13"/>
      <c r="J26" s="0" t="s">
        <v>39</v>
      </c>
    </row>
    <row r="27" outlineLevel="2">
      <c r="A27" s="10" t="s">
        <v>43</v>
      </c>
      <c r="B27" s="0" t="s">
        <v>32</v>
      </c>
      <c r="C27" s="11">
        <f>IFERROR(99.99815782*(1-w)+w*100,"")</f>
        <v>99.998400987760007</v>
      </c>
      <c r="D27" s="11">
        <v>99.99815782</v>
      </c>
      <c r="E27" s="11">
        <v>99.998085051975067</v>
      </c>
      <c r="F27" s="11"/>
      <c r="G27" s="11"/>
      <c r="I27" s="13"/>
      <c r="J27" s="0" t="s">
        <v>36</v>
      </c>
    </row>
    <row r="28" outlineLevel="1">
      <c r="A28" s="9" t="s">
        <v>44</v>
      </c>
      <c r="I28" s="13"/>
    </row>
    <row r="29" outlineLevel="2">
      <c r="A29" s="10" t="s">
        <v>45</v>
      </c>
      <c r="B29" s="0" t="s">
        <v>46</v>
      </c>
      <c r="C29" s="12">
        <f>IFERROR(691.2442*(1-w),"")</f>
        <v>599.9999656</v>
      </c>
      <c r="D29" s="12">
        <v>691.2442</v>
      </c>
      <c r="E29" s="12">
        <v>718.54906444906442</v>
      </c>
      <c r="F29" s="12"/>
      <c r="G29" s="12"/>
      <c r="I29" s="13"/>
      <c r="J29" s="0" t="s">
        <v>39</v>
      </c>
    </row>
    <row r="30" outlineLevel="1">
      <c r="A30" s="9" t="s">
        <v>47</v>
      </c>
      <c r="I30" s="13"/>
    </row>
    <row r="31" outlineLevel="2">
      <c r="A31" s="10" t="s">
        <v>48</v>
      </c>
      <c r="B31" s="0" t="s">
        <v>49</v>
      </c>
      <c r="C31" s="11">
        <f>IFERROR(18.0298*(1-w)-w*2.443,"")</f>
        <v>15.3273904</v>
      </c>
      <c r="D31" s="11">
        <v>18.0298</v>
      </c>
      <c r="E31" s="11">
        <v>18.741995841995845</v>
      </c>
      <c r="F31" s="11"/>
      <c r="G31" s="11"/>
      <c r="I31" s="13"/>
    </row>
    <row r="32" outlineLevel="2">
      <c r="A32" s="10" t="s">
        <v>50</v>
      </c>
      <c r="B32" s="0" t="s">
        <v>49</v>
      </c>
      <c r="C32" s="11">
        <f>IFERROR(18.9977*(1-w),"")</f>
        <v>16.490003599999998</v>
      </c>
      <c r="D32" s="11">
        <v>18.9977</v>
      </c>
      <c r="E32" s="11">
        <v>19.748128898128897</v>
      </c>
      <c r="F32" s="11"/>
      <c r="G32" s="11"/>
      <c r="I32" s="13"/>
    </row>
    <row r="33" outlineLevel="2">
      <c r="A33" s="10" t="s">
        <v>51</v>
      </c>
      <c r="B33" s="0" t="s">
        <v>49</v>
      </c>
      <c r="C33" s="11">
        <f>IFERROR(12.71875969*(1-w),"")</f>
        <v>11.039883410920002</v>
      </c>
      <c r="D33" s="11">
        <v>12.718759690000002</v>
      </c>
      <c r="E33" s="11">
        <v>13.221163918918922</v>
      </c>
      <c r="F33" s="11"/>
      <c r="G33" s="11"/>
      <c r="I33" s="13"/>
      <c r="J33" s="0" t="s">
        <v>36</v>
      </c>
    </row>
    <row r="34">
      <c r="A34" s="5" t="s">
        <v>52</v>
      </c>
      <c r="I34" s="13"/>
    </row>
    <row r="35" outlineLevel="1">
      <c r="A35" s="9" t="s">
        <v>53</v>
      </c>
      <c r="I35" s="13"/>
    </row>
    <row r="36" outlineLevel="2">
      <c r="A36" s="10" t="s">
        <v>54</v>
      </c>
      <c r="B36" s="0" t="s">
        <v>55</v>
      </c>
      <c r="C36" s="11">
        <v>3.370786</v>
      </c>
      <c r="D36" s="11"/>
      <c r="E36" s="11"/>
      <c r="F36" s="11"/>
      <c r="G36" s="11"/>
      <c r="I36" s="13"/>
    </row>
    <row r="37" outlineLevel="2">
      <c r="A37" s="10" t="s">
        <v>56</v>
      </c>
      <c r="B37" s="0" t="s">
        <v>55</v>
      </c>
      <c r="C37" s="11">
        <v>5.934922</v>
      </c>
      <c r="D37" s="11"/>
      <c r="E37" s="11"/>
      <c r="F37" s="11"/>
      <c r="G37" s="11"/>
      <c r="I37" s="13"/>
    </row>
    <row r="38" outlineLevel="2">
      <c r="A38" s="10" t="s">
        <v>57</v>
      </c>
      <c r="B38" s="0" t="s">
        <v>55</v>
      </c>
      <c r="C38" s="11">
        <v>12.49465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55</v>
      </c>
      <c r="C39" s="11">
        <v>4.432371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55</v>
      </c>
      <c r="C40" s="11">
        <v>2.796146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55</v>
      </c>
      <c r="C41" s="11">
        <v>46.63495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55</v>
      </c>
      <c r="C42" s="11">
        <v>4.510779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55</v>
      </c>
      <c r="C43" s="11">
        <v>0.9570023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55</v>
      </c>
      <c r="C44" s="11">
        <v>7.949892</v>
      </c>
      <c r="D44" s="11"/>
      <c r="E44" s="11"/>
      <c r="F44" s="11"/>
      <c r="G44" s="11"/>
      <c r="I44" s="13"/>
    </row>
    <row r="45" outlineLevel="2">
      <c r="A45" s="10" t="s">
        <v>64</v>
      </c>
      <c r="B45" s="0" t="s">
        <v>55</v>
      </c>
      <c r="C45" s="11">
        <v>0.6840174</v>
      </c>
      <c r="D45" s="11"/>
      <c r="E45" s="11"/>
      <c r="F45" s="11"/>
      <c r="G45" s="11"/>
      <c r="I45" s="13"/>
    </row>
    <row r="46">
      <c r="I46" s="13"/>
    </row>
    <row r="47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</mergeCells>
  <dataValidations count="1">
    <dataValidation type="decimal" sqref="C18" errorStyle="stop" promptTitle="Enter moisture content" errorTitle="Invalid moisture content" prompt="Value should be between 0 and 100.&#10;Original value: 13.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https://phyllis.nl/Biomass/View/540</dc:description>
  <dcterms:created xsi:type="dcterms:W3CDTF">2026-03-17T06:08:59Z</dcterms:created>
  <dc:title>Phyllis2 #540 rape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