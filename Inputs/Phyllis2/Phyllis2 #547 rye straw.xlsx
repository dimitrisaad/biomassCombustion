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47 rye straw" sheetId="1" r:id="rId1"/>
  </sheets>
  <definedNames>
    <definedName name="w" localSheetId="0">IF(ISBLANK('Phyllis2 #547 rye straw'!$C$18),#N/A,'Phyllis2 #547 rye straw'!$C$18/100)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<sst xmlns="http://schemas.openxmlformats.org/spreadsheetml/2006/main" count="84" uniqueCount="84">
  <si>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</si>
  <si>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https://phyllis.nl/Biomass/View/547</t>
  </si>
  <si>
    <t>rye straw (#547)</t>
  </si>
  <si>
    <t>ID-number</t>
  </si>
  <si>
    <t>#547</t>
  </si>
  <si>
    <t>Material</t>
  </si>
  <si>
    <t>rye straw</t>
  </si>
  <si>
    <t>Classification</t>
  </si>
  <si>
    <t>ECN Phyllis classification &gt; straw (stalk/cob/ear) &gt; rye &gt; rye straw</t>
  </si>
  <si>
    <t>NTA 8003 classification &gt; [200] biomassa uit land- en tuinbouw &gt; [220] stro &gt; [229] overig stro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</si>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</sst>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4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IFERROR(4.57*(1-w),"")</f>
        <v/>
      </c>
      <c r="D19" s="11">
        <v>4.57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IFERROR(47.49*(1-w),"")</f>
        <v/>
      </c>
      <c r="D21" s="11">
        <v>47.49</v>
      </c>
      <c r="E21" s="11">
        <v>49.7642250864508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IFERROR(5.29*(1-w),"")</f>
        <v/>
      </c>
      <c r="D22" s="11">
        <v>5.29</v>
      </c>
      <c r="E22" s="11">
        <v>5.5433301896678193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IFERROR(41.73*(1-w),"")</f>
        <v/>
      </c>
      <c r="D23" s="11">
        <v>41.73</v>
      </c>
      <c r="E23" s="11">
        <v>43.728387299591319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IFERROR(0.46*(1-w),"")</f>
        <v/>
      </c>
      <c r="D24" s="11">
        <v>0.46</v>
      </c>
      <c r="E24" s="11">
        <v>0.48202871214502779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IFERROR(0.06*(1-w),"")</f>
        <v/>
      </c>
      <c r="D25" s="11">
        <v>0.06</v>
      </c>
      <c r="E25" s="11">
        <v>0.062873310279786224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</v>
      </c>
      <c r="E26" s="11">
        <v>100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IFERROR(4000*(1-w),"")</f>
        <v/>
      </c>
      <c r="D28" s="12">
        <v>4000</v>
      </c>
      <c r="E28" s="12">
        <v>4191.5540186524149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IFERROR(17.628*(1-w)-w*2.443,"")</f>
        <v/>
      </c>
      <c r="D30" s="11">
        <v>17.628</v>
      </c>
      <c r="E30" s="11">
        <v>18.472178560201193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IFERROR(18.792*(1-w),"")</f>
        <v/>
      </c>
      <c r="D31" s="11">
        <v>18.792</v>
      </c>
      <c r="E31" s="11">
        <v>19.691920779629047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IFERROR(18.0620603897*(1-w),"")</f>
        <v/>
      </c>
      <c r="D32" s="11">
        <v>18.0620603897</v>
      </c>
      <c r="E32" s="11">
        <v>18.927025452897411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0" t="s">
        <v>53</v>
      </c>
      <c r="B34" s="0" t="s">
        <v>54</v>
      </c>
      <c r="C34" s="12">
        <v>0.03</v>
      </c>
      <c r="D34" s="12"/>
      <c r="E34" s="12"/>
      <c r="F34" s="12"/>
      <c r="G34" s="12"/>
      <c r="I34" s="16"/>
      <c r="J34" s="0" t="s">
        <v>37</v>
      </c>
    </row>
    <row r="35" outlineLevel="2">
      <c r="A35" s="10" t="s">
        <v>55</v>
      </c>
      <c r="B35" s="0" t="s">
        <v>54</v>
      </c>
      <c r="C35" s="12">
        <v>2.26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56</v>
      </c>
      <c r="B36" s="0" t="s">
        <v>54</v>
      </c>
      <c r="C36" s="12">
        <v>0.01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57</v>
      </c>
      <c r="B37" s="0" t="s">
        <v>54</v>
      </c>
      <c r="C37" s="12">
        <v>0.11</v>
      </c>
      <c r="D37" s="12"/>
      <c r="E37" s="12"/>
      <c r="F37" s="12"/>
      <c r="G37" s="12"/>
      <c r="I37" s="16"/>
      <c r="J37" s="0" t="s">
        <v>37</v>
      </c>
    </row>
    <row r="38" outlineLevel="1">
      <c r="A38" s="9" t="s">
        <v>58</v>
      </c>
      <c r="I38" s="16"/>
    </row>
    <row r="39" outlineLevel="2">
      <c r="A39" s="13" t="s">
        <v>59</v>
      </c>
      <c r="I39" s="16"/>
    </row>
    <row r="40" outlineLevel="3">
      <c r="A40" s="14" t="s">
        <v>60</v>
      </c>
      <c r="B40" s="0" t="s">
        <v>61</v>
      </c>
      <c r="C40" s="15">
        <v>840</v>
      </c>
      <c r="D40" s="15"/>
      <c r="E40" s="15"/>
      <c r="F40" s="15"/>
      <c r="G40" s="15"/>
      <c r="I40" s="16"/>
    </row>
    <row r="41" outlineLevel="3">
      <c r="A41" s="14" t="s">
        <v>62</v>
      </c>
      <c r="B41" s="0" t="s">
        <v>61</v>
      </c>
      <c r="C41" s="15">
        <v>850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61</v>
      </c>
      <c r="C42" s="15">
        <v>1030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61</v>
      </c>
      <c r="C43" s="15">
        <v>1100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7.1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4.19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7.15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4.85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23.2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0.22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0.23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9.7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1.87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0.12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28.9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80</v>
      </c>
      <c r="C57" s="12">
        <v>3</v>
      </c>
      <c r="D57" s="12"/>
      <c r="E57" s="12"/>
      <c r="F57" s="12"/>
      <c r="G57" s="12"/>
      <c r="I57" s="16"/>
    </row>
    <row r="58" outlineLevel="2">
      <c r="A58" s="10" t="s">
        <v>81</v>
      </c>
      <c r="B58" s="0" t="s">
        <v>80</v>
      </c>
      <c r="C58" s="12">
        <v>0.07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80</v>
      </c>
      <c r="C59" s="12">
        <v>34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80</v>
      </c>
      <c r="C60" s="12">
        <v>0.01</v>
      </c>
      <c r="D60" s="12"/>
      <c r="E60" s="12"/>
      <c r="F60" s="12"/>
      <c r="G60" s="12"/>
      <c r="I60" s="16"/>
    </row>
    <row r="61">
      <c r="I61" s="16"/>
    </row>
    <row r="6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https://phyllis.nl/Biomass/View/547</dc:description>
  <dcterms:created xsi:type="dcterms:W3CDTF">2026-03-17T06:10:58Z</dcterms:created>
  <dc:title>Phyllis2 #547 rye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