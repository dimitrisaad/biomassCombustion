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550 rye straw" sheetId="1" r:id="rId1"/>
  </sheets>
  <definedNames>
    <definedName name="w" localSheetId="0">IF(ISBLANK('Phyllis2 #550 rye straw'!$C$17),#N/A,'Phyllis2 #550 rye straw'!$C$17/100)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<sst xmlns="http://schemas.openxmlformats.org/spreadsheetml/2006/main" count="47" uniqueCount="47">
  <si>
    <t>Phyllis2</t>
  </si>
  <si>
    <t>https://phyllis.nl/Biomass/View/550</t>
  </si>
  <si>
    <t>rye straw (#550)</t>
  </si>
  <si>
    <t>ID-number</t>
  </si>
  <si>
    <t>#550</t>
  </si>
  <si>
    <t>Material</t>
  </si>
  <si>
    <t>rye straw</t>
  </si>
  <si>
    <t>Classification</t>
  </si>
  <si>
    <t>ECN Phyllis classification &gt; straw (stalk/cob/ear) &gt; rye &gt; rye straw</t>
  </si>
  <si>
    <t>NTA 8003 classification &gt; [200] biomassa uit land- en tuinbouw &gt; [220] stro &gt; [229] overig stro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</si>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</sst>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55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2"/>
    </row>
    <row r="16" outlineLevel="1">
      <c r="A16" s="9" t="s">
        <v>28</v>
      </c>
      <c r="I16" s="12"/>
    </row>
    <row r="17" outlineLevel="2">
      <c r="A17" s="10" t="s">
        <v>29</v>
      </c>
      <c r="B17" s="0" t="s">
        <v>30</v>
      </c>
      <c r="C17" s="11">
        <v/>
      </c>
      <c r="D17" s="11"/>
      <c r="E17" s="11"/>
      <c r="F17" s="11"/>
      <c r="G17" s="11"/>
      <c r="I17" s="12"/>
    </row>
    <row r="18" outlineLevel="2">
      <c r="A18" s="10" t="s">
        <v>31</v>
      </c>
      <c r="B18" s="0" t="s">
        <v>32</v>
      </c>
      <c r="C18" s="11">
        <f>IFERROR(2.72*(1-w),"")</f>
        <v/>
      </c>
      <c r="D18" s="11">
        <v>2.72</v>
      </c>
      <c r="E18" s="11">
        <v/>
      </c>
      <c r="F18" s="11"/>
      <c r="G18" s="11"/>
      <c r="I18" s="12"/>
    </row>
    <row r="19" outlineLevel="1">
      <c r="A19" s="9" t="s">
        <v>33</v>
      </c>
      <c r="I19" s="12"/>
    </row>
    <row r="20" outlineLevel="2">
      <c r="A20" s="10" t="s">
        <v>34</v>
      </c>
      <c r="B20" s="0" t="s">
        <v>32</v>
      </c>
      <c r="C20" s="11">
        <f>IFERROR(47.6*(1-w),"")</f>
        <v/>
      </c>
      <c r="D20" s="11">
        <v>47.6</v>
      </c>
      <c r="E20" s="11">
        <v>48.930921052631582</v>
      </c>
      <c r="F20" s="11"/>
      <c r="G20" s="11"/>
      <c r="I20" s="12"/>
      <c r="J20" s="0" t="s">
        <v>35</v>
      </c>
    </row>
    <row r="21" outlineLevel="2">
      <c r="A21" s="10" t="s">
        <v>36</v>
      </c>
      <c r="B21" s="0" t="s">
        <v>32</v>
      </c>
      <c r="C21" s="11">
        <f>IFERROR(6.1*(1-w),"")</f>
        <v/>
      </c>
      <c r="D21" s="11">
        <v>6.1</v>
      </c>
      <c r="E21" s="11">
        <v>6.270559210526315</v>
      </c>
      <c r="F21" s="11"/>
      <c r="G21" s="11"/>
      <c r="I21" s="12"/>
      <c r="J21" s="0" t="s">
        <v>35</v>
      </c>
    </row>
    <row r="22" outlineLevel="2">
      <c r="A22" s="10" t="s">
        <v>37</v>
      </c>
      <c r="B22" s="0" t="s">
        <v>32</v>
      </c>
      <c r="C22" s="11">
        <f>IFERROR(42.9*(1-w),"")</f>
        <v/>
      </c>
      <c r="D22" s="11">
        <v>42.9</v>
      </c>
      <c r="E22" s="11">
        <v>44.09950657894737</v>
      </c>
      <c r="F22" s="11"/>
      <c r="G22" s="11"/>
      <c r="I22" s="12"/>
      <c r="J22" s="0" t="s">
        <v>38</v>
      </c>
    </row>
    <row r="23" outlineLevel="2">
      <c r="A23" s="10" t="s">
        <v>39</v>
      </c>
      <c r="B23" s="0" t="s">
        <v>32</v>
      </c>
      <c r="C23" s="11">
        <f>IFERROR(0.56*(1-w),"")</f>
        <v/>
      </c>
      <c r="D23" s="11">
        <v>0.56</v>
      </c>
      <c r="E23" s="11">
        <v>0.57565789473684215</v>
      </c>
      <c r="F23" s="11"/>
      <c r="G23" s="11"/>
      <c r="I23" s="12"/>
      <c r="J23" s="0" t="s">
        <v>35</v>
      </c>
    </row>
    <row r="24" outlineLevel="2">
      <c r="A24" s="10" t="s">
        <v>40</v>
      </c>
      <c r="B24" s="0" t="s">
        <v>32</v>
      </c>
      <c r="C24" s="11">
        <f>IFERROR(0.12*(1-w),"")</f>
        <v/>
      </c>
      <c r="D24" s="11">
        <v>0.12</v>
      </c>
      <c r="E24" s="11">
        <v>0.12335526315789473</v>
      </c>
      <c r="F24" s="11"/>
      <c r="G24" s="11"/>
      <c r="I24" s="12"/>
      <c r="J24" s="0" t="s">
        <v>35</v>
      </c>
    </row>
    <row r="25" outlineLevel="2">
      <c r="A25" s="10" t="s">
        <v>41</v>
      </c>
      <c r="B25" s="0" t="s">
        <v>32</v>
      </c>
      <c r="C25" s="11">
        <f>IFERROR(100*(1-w)+w*100,"")</f>
        <v/>
      </c>
      <c r="D25" s="11">
        <v>100</v>
      </c>
      <c r="E25" s="11">
        <v>100</v>
      </c>
      <c r="F25" s="11"/>
      <c r="G25" s="11"/>
      <c r="I25" s="12"/>
      <c r="J25" s="0" t="s">
        <v>38</v>
      </c>
    </row>
    <row r="26" outlineLevel="1">
      <c r="A26" s="9" t="s">
        <v>42</v>
      </c>
      <c r="I26" s="12"/>
    </row>
    <row r="27" outlineLevel="2">
      <c r="A27" s="10" t="s">
        <v>43</v>
      </c>
      <c r="B27" s="0" t="s">
        <v>44</v>
      </c>
      <c r="C27" s="11">
        <f>IFERROR(14.972*(1-w)-w*2.443,"")</f>
        <v/>
      </c>
      <c r="D27" s="11">
        <v>14.972</v>
      </c>
      <c r="E27" s="11">
        <v>15.390625</v>
      </c>
      <c r="F27" s="11"/>
      <c r="G27" s="11"/>
      <c r="I27" s="12"/>
    </row>
    <row r="28" outlineLevel="2">
      <c r="A28" s="10" t="s">
        <v>45</v>
      </c>
      <c r="B28" s="0" t="s">
        <v>44</v>
      </c>
      <c r="C28" s="11">
        <f>IFERROR(16.385*(1-w),"")</f>
        <v/>
      </c>
      <c r="D28" s="11">
        <v>16.385</v>
      </c>
      <c r="E28" s="11">
        <v>16.843133223684212</v>
      </c>
      <c r="F28" s="11"/>
      <c r="G28" s="11"/>
      <c r="I28" s="12"/>
    </row>
    <row r="29" outlineLevel="2">
      <c r="A29" s="10" t="s">
        <v>46</v>
      </c>
      <c r="B29" s="0" t="s">
        <v>44</v>
      </c>
      <c r="C29" s="11">
        <f>IFERROR(19.0483479552*(1-w),"")</f>
        <v/>
      </c>
      <c r="D29" s="11">
        <v>19.048347955199997</v>
      </c>
      <c r="E29" s="11">
        <v>19.580949789473681</v>
      </c>
      <c r="F29" s="11"/>
      <c r="G29" s="11"/>
      <c r="I29" s="12"/>
      <c r="J29" s="0" t="s">
        <v>38</v>
      </c>
    </row>
    <row r="30">
      <c r="I30" s="12"/>
    </row>
    <row r="31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https://phyllis.nl/Biomass/View/550</dc:description>
  <dcterms:created xsi:type="dcterms:W3CDTF">2026-03-17T06:11:06Z</dcterms:created>
  <dc:title>Phyllis2 #550 rye straw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