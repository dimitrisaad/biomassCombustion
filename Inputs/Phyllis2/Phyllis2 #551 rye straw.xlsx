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551 rye straw" sheetId="1" r:id="rId1"/>
  </sheets>
  <definedNames>
    <definedName name="w" localSheetId="0">IF(ISBLANK('Phyllis2 #551 rye straw'!$C$17),#N/A,'Phyllis2 #551 rye straw'!$C$17/100)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<sst xmlns="http://schemas.openxmlformats.org/spreadsheetml/2006/main" count="47" uniqueCount="47">
  <si>
    <t>Phyllis2</t>
  </si>
  <si>
    <t>https://phyllis.nl/Biomass/View/551</t>
  </si>
  <si>
    <t>rye straw (#551)</t>
  </si>
  <si>
    <t>ID-number</t>
  </si>
  <si>
    <t>#551</t>
  </si>
  <si>
    <t>Material</t>
  </si>
  <si>
    <t>rye straw</t>
  </si>
  <si>
    <t>Classification</t>
  </si>
  <si>
    <t>ECN Phyllis classification &gt; straw (stalk/cob/ear) &gt; rye &gt; rye straw</t>
  </si>
  <si>
    <t>NTA 8003 classification &gt; [200] biomassa uit land- en tuinbouw &gt; [220] stro &gt; [229] overig stro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</si>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</sst>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#,0.00"/>
    <numFmt numFmtId="165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551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0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2"/>
    </row>
    <row r="16" outlineLevel="1">
      <c r="A16" s="9" t="s">
        <v>28</v>
      </c>
      <c r="I16" s="12"/>
    </row>
    <row r="17" outlineLevel="2">
      <c r="A17" s="10" t="s">
        <v>29</v>
      </c>
      <c r="B17" s="0" t="s">
        <v>30</v>
      </c>
      <c r="C17" s="11">
        <v/>
      </c>
      <c r="D17" s="11"/>
      <c r="E17" s="11"/>
      <c r="F17" s="11"/>
      <c r="G17" s="11"/>
      <c r="I17" s="12"/>
    </row>
    <row r="18" outlineLevel="2">
      <c r="A18" s="10" t="s">
        <v>31</v>
      </c>
      <c r="B18" s="0" t="s">
        <v>32</v>
      </c>
      <c r="C18" s="11">
        <f>IFERROR(3*(1-w),"")</f>
        <v/>
      </c>
      <c r="D18" s="11">
        <v>3</v>
      </c>
      <c r="E18" s="11">
        <v/>
      </c>
      <c r="F18" s="11"/>
      <c r="G18" s="11"/>
      <c r="I18" s="12"/>
    </row>
    <row r="19" outlineLevel="1">
      <c r="A19" s="9" t="s">
        <v>33</v>
      </c>
      <c r="I19" s="12"/>
    </row>
    <row r="20" outlineLevel="2">
      <c r="A20" s="10" t="s">
        <v>34</v>
      </c>
      <c r="B20" s="0" t="s">
        <v>32</v>
      </c>
      <c r="C20" s="11">
        <f>IFERROR(47.51*(1-w),"")</f>
        <v/>
      </c>
      <c r="D20" s="11">
        <v>47.51</v>
      </c>
      <c r="E20" s="11">
        <v>48.979381443298969</v>
      </c>
      <c r="F20" s="11"/>
      <c r="G20" s="11"/>
      <c r="I20" s="12"/>
      <c r="J20" s="0" t="s">
        <v>35</v>
      </c>
    </row>
    <row r="21" outlineLevel="2">
      <c r="A21" s="10" t="s">
        <v>36</v>
      </c>
      <c r="B21" s="0" t="s">
        <v>32</v>
      </c>
      <c r="C21" s="11">
        <f>IFERROR(6.04*(1-w),"")</f>
        <v/>
      </c>
      <c r="D21" s="11">
        <v>6.04</v>
      </c>
      <c r="E21" s="11">
        <v>6.22680412371134</v>
      </c>
      <c r="F21" s="11"/>
      <c r="G21" s="11"/>
      <c r="I21" s="12"/>
      <c r="J21" s="0" t="s">
        <v>35</v>
      </c>
    </row>
    <row r="22" outlineLevel="2">
      <c r="A22" s="10" t="s">
        <v>37</v>
      </c>
      <c r="B22" s="0" t="s">
        <v>32</v>
      </c>
      <c r="C22" s="11">
        <f>IFERROR(42.79*(1-w),"")</f>
        <v/>
      </c>
      <c r="D22" s="11">
        <v>42.79</v>
      </c>
      <c r="E22" s="11">
        <v>44.113402061855673</v>
      </c>
      <c r="F22" s="11"/>
      <c r="G22" s="11"/>
      <c r="I22" s="12"/>
      <c r="J22" s="0" t="s">
        <v>38</v>
      </c>
    </row>
    <row r="23" outlineLevel="2">
      <c r="A23" s="10" t="s">
        <v>39</v>
      </c>
      <c r="B23" s="0" t="s">
        <v>32</v>
      </c>
      <c r="C23" s="11">
        <f>IFERROR(0.55*(1-w),"")</f>
        <v/>
      </c>
      <c r="D23" s="11">
        <v>0.55</v>
      </c>
      <c r="E23" s="11">
        <v>0.56701030927835061</v>
      </c>
      <c r="F23" s="11"/>
      <c r="G23" s="11"/>
      <c r="I23" s="12"/>
      <c r="J23" s="0" t="s">
        <v>35</v>
      </c>
    </row>
    <row r="24" outlineLevel="2">
      <c r="A24" s="10" t="s">
        <v>40</v>
      </c>
      <c r="B24" s="0" t="s">
        <v>32</v>
      </c>
      <c r="C24" s="11">
        <f>IFERROR(0.11*(1-w),"")</f>
        <v/>
      </c>
      <c r="D24" s="11">
        <v>0.11</v>
      </c>
      <c r="E24" s="11">
        <v>0.1134020618556701</v>
      </c>
      <c r="F24" s="11"/>
      <c r="G24" s="11"/>
      <c r="I24" s="12"/>
      <c r="J24" s="0" t="s">
        <v>35</v>
      </c>
    </row>
    <row r="25" outlineLevel="2">
      <c r="A25" s="10" t="s">
        <v>41</v>
      </c>
      <c r="B25" s="0" t="s">
        <v>32</v>
      </c>
      <c r="C25" s="11">
        <f>IFERROR(100*(1-w)+w*100,"")</f>
        <v/>
      </c>
      <c r="D25" s="11">
        <v>100</v>
      </c>
      <c r="E25" s="11">
        <v>100</v>
      </c>
      <c r="F25" s="11"/>
      <c r="G25" s="11"/>
      <c r="I25" s="12"/>
      <c r="J25" s="0" t="s">
        <v>38</v>
      </c>
    </row>
    <row r="26" outlineLevel="1">
      <c r="A26" s="9" t="s">
        <v>42</v>
      </c>
      <c r="I26" s="12"/>
    </row>
    <row r="27" outlineLevel="2">
      <c r="A27" s="10" t="s">
        <v>43</v>
      </c>
      <c r="B27" s="0" t="s">
        <v>44</v>
      </c>
      <c r="C27" s="11">
        <f>IFERROR(14.778*(1-w)-w*2.443,"")</f>
        <v/>
      </c>
      <c r="D27" s="11">
        <v>14.778</v>
      </c>
      <c r="E27" s="11">
        <v>15.235051546391754</v>
      </c>
      <c r="F27" s="11"/>
      <c r="G27" s="11"/>
      <c r="I27" s="12"/>
    </row>
    <row r="28" outlineLevel="2">
      <c r="A28" s="10" t="s">
        <v>45</v>
      </c>
      <c r="B28" s="0" t="s">
        <v>44</v>
      </c>
      <c r="C28" s="11">
        <f>IFERROR(16.178*(1-w),"")</f>
        <v/>
      </c>
      <c r="D28" s="11">
        <v>16.178</v>
      </c>
      <c r="E28" s="11">
        <v>16.678350515463919</v>
      </c>
      <c r="F28" s="11"/>
      <c r="G28" s="11"/>
      <c r="I28" s="12"/>
    </row>
    <row r="29" outlineLevel="2">
      <c r="A29" s="10" t="s">
        <v>46</v>
      </c>
      <c r="B29" s="0" t="s">
        <v>44</v>
      </c>
      <c r="C29" s="11">
        <f>IFERROR(18.948013*(1-w),"")</f>
        <v/>
      </c>
      <c r="D29" s="11">
        <v>18.948013</v>
      </c>
      <c r="E29" s="11">
        <v>19.534034020618556</v>
      </c>
      <c r="F29" s="11"/>
      <c r="G29" s="11"/>
      <c r="I29" s="12"/>
      <c r="J29" s="0" t="s">
        <v>38</v>
      </c>
    </row>
    <row r="30">
      <c r="I30" s="12"/>
    </row>
    <row r="31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</mergeCells>
  <dataValidations count="1">
    <dataValidation type="decimal" sqref="C17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https://phyllis.nl/Biomass/View/551</dc:description>
  <dcterms:created xsi:type="dcterms:W3CDTF">2026-03-17T06:11:10Z</dcterms:created>
  <dc:title>Phyllis2 #551 rye straw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