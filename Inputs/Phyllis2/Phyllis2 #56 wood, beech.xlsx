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56 wood, beech" sheetId="1" r:id="rId1"/>
  </sheets>
  <definedNames>
    <definedName name="w" localSheetId="0">IF(ISBLANK('Phyllis2 #56 wood, beech'!$C$17),#N/A,'Phyllis2 #56 wood, beech'!$C$17/100)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<sst xmlns="http://schemas.openxmlformats.org/spreadsheetml/2006/main" count="45" uniqueCount="45">
  <si>
    <t>Phyllis2</t>
  </si>
  <si>
    <t>https://phyllis.nl/Biomass/View/56</t>
  </si>
  <si>
    <t>wood, beech (#56)</t>
  </si>
  <si>
    <t>ID-number</t>
  </si>
  <si>
    <t>#56</t>
  </si>
  <si>
    <t>Material</t>
  </si>
  <si>
    <t>wood, beech</t>
  </si>
  <si>
    <t>Classification</t>
  </si>
  <si>
    <t>ECN Phyllis classification &gt; untreated wood &gt; beech &gt; wood, beech</t>
  </si>
  <si>
    <t>NTA 8003 classification &gt; [100] hout &gt; [110] vers hout &gt; [120] loofhout &gt; [125] hard loofhout</t>
  </si>
  <si>
    <t>Submitter organisation</t>
  </si>
  <si>
    <t>ECN (Netherlands)</t>
  </si>
  <si>
    <t>Literature</t>
  </si>
  <si>
    <t>S. Gaur and T.B. Reed; An Atlas of Thermal Data For Biomass and Other Fuels. NREL/TP-433-7965, June 1995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</si>
  <si>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</si>
  <si>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</si>
  <si>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</si>
  <si>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</si>
  <si>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</si>
  <si>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</si>
  <si>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</si>
  <si>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</si>
  <si>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</si>
  <si>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</si>
  <si>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</si>
  <si>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</si>
  <si>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</si>
  <si>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</si>
  <si>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</si>
  <si>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</si>
  <si>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</si>
  <si>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</si>
  <si>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</si>
  <si>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</si>
  <si>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</si>
  <si>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Measured</t>
  </si>
  <si>
    <t>Hydrogen</t>
  </si>
  <si>
    <t>Oxygen</t>
  </si>
  <si>
    <t>Total (with halides)</t>
  </si>
  <si>
    <t>Calculated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</si>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</sst>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5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2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2"/>
    </row>
    <row r="16" outlineLevel="1">
      <c r="A16" s="9" t="s">
        <v>28</v>
      </c>
      <c r="I16" s="12"/>
    </row>
    <row r="17" outlineLevel="2">
      <c r="A17" s="10" t="s">
        <v>29</v>
      </c>
      <c r="B17" s="0" t="s">
        <v>30</v>
      </c>
      <c r="C17" s="11">
        <v/>
      </c>
      <c r="D17" s="11"/>
      <c r="E17" s="11"/>
      <c r="F17" s="11"/>
      <c r="G17" s="11"/>
      <c r="I17" s="12"/>
    </row>
    <row r="18" outlineLevel="2">
      <c r="A18" s="10" t="s">
        <v>31</v>
      </c>
      <c r="B18" s="0" t="s">
        <v>32</v>
      </c>
      <c r="C18" s="11">
        <f>IFERROR(0.65*(1-w),"")</f>
        <v/>
      </c>
      <c r="D18" s="11">
        <v>0.65</v>
      </c>
      <c r="E18" s="11">
        <v/>
      </c>
      <c r="F18" s="11"/>
      <c r="G18" s="11"/>
      <c r="I18" s="12"/>
    </row>
    <row r="19" outlineLevel="1">
      <c r="A19" s="9" t="s">
        <v>33</v>
      </c>
      <c r="I19" s="12"/>
    </row>
    <row r="20" outlineLevel="2">
      <c r="A20" s="10" t="s">
        <v>34</v>
      </c>
      <c r="B20" s="0" t="s">
        <v>32</v>
      </c>
      <c r="C20" s="11">
        <f>IFERROR(51.64*(1-w),"")</f>
        <v/>
      </c>
      <c r="D20" s="11">
        <v>51.64</v>
      </c>
      <c r="E20" s="11">
        <v>51.977856064418717</v>
      </c>
      <c r="F20" s="11"/>
      <c r="G20" s="11"/>
      <c r="I20" s="12"/>
      <c r="J20" s="0" t="s">
        <v>35</v>
      </c>
    </row>
    <row r="21" outlineLevel="2">
      <c r="A21" s="10" t="s">
        <v>36</v>
      </c>
      <c r="B21" s="0" t="s">
        <v>32</v>
      </c>
      <c r="C21" s="11">
        <f>IFERROR(6.26*(1-w),"")</f>
        <v/>
      </c>
      <c r="D21" s="11">
        <v>6.26</v>
      </c>
      <c r="E21" s="11">
        <v>6.3009562154001</v>
      </c>
      <c r="F21" s="11"/>
      <c r="G21" s="11"/>
      <c r="I21" s="12"/>
      <c r="J21" s="0" t="s">
        <v>35</v>
      </c>
    </row>
    <row r="22" outlineLevel="2">
      <c r="A22" s="10" t="s">
        <v>37</v>
      </c>
      <c r="B22" s="0" t="s">
        <v>32</v>
      </c>
      <c r="C22" s="11">
        <f>IFERROR(41.45*(1-w),"")</f>
        <v/>
      </c>
      <c r="D22" s="11">
        <v>41.45</v>
      </c>
      <c r="E22" s="11">
        <v>41.721187720181177</v>
      </c>
      <c r="F22" s="11"/>
      <c r="G22" s="11"/>
      <c r="I22" s="12"/>
      <c r="J22" s="0" t="s">
        <v>35</v>
      </c>
    </row>
    <row r="23" outlineLevel="2">
      <c r="A23" s="10" t="s">
        <v>38</v>
      </c>
      <c r="B23" s="0" t="s">
        <v>32</v>
      </c>
      <c r="C23" s="11">
        <f>IFERROR(100*(1-w)+w*100,"")</f>
        <v/>
      </c>
      <c r="D23" s="11">
        <v>100</v>
      </c>
      <c r="E23" s="11">
        <v>99.999999999999986</v>
      </c>
      <c r="F23" s="11"/>
      <c r="G23" s="11"/>
      <c r="I23" s="12"/>
      <c r="J23" s="0" t="s">
        <v>39</v>
      </c>
    </row>
    <row r="24" outlineLevel="1">
      <c r="A24" s="9" t="s">
        <v>40</v>
      </c>
      <c r="I24" s="12"/>
    </row>
    <row r="25" outlineLevel="2">
      <c r="A25" s="10" t="s">
        <v>41</v>
      </c>
      <c r="B25" s="0" t="s">
        <v>42</v>
      </c>
      <c r="C25" s="11">
        <f>IFERROR(19.01396*(1-w)-w*2.443,"")</f>
        <v/>
      </c>
      <c r="D25" s="11">
        <v>19.01396</v>
      </c>
      <c r="E25" s="11">
        <v>19.138359335681933</v>
      </c>
      <c r="F25" s="11"/>
      <c r="G25" s="11"/>
      <c r="I25" s="12"/>
    </row>
    <row r="26" outlineLevel="2">
      <c r="A26" s="10" t="s">
        <v>43</v>
      </c>
      <c r="B26" s="0" t="s">
        <v>42</v>
      </c>
      <c r="C26" s="11">
        <f>IFERROR(20.38*(1-w),"")</f>
        <v/>
      </c>
      <c r="D26" s="11">
        <v>20.38</v>
      </c>
      <c r="E26" s="11">
        <v>20.513336688475086</v>
      </c>
      <c r="F26" s="11"/>
      <c r="G26" s="11"/>
      <c r="I26" s="12"/>
    </row>
    <row r="27" outlineLevel="2">
      <c r="A27" s="10" t="s">
        <v>44</v>
      </c>
      <c r="B27" s="0" t="s">
        <v>42</v>
      </c>
      <c r="C27" s="11">
        <f>IFERROR(20.9010796425*(1-w),"")</f>
        <v/>
      </c>
      <c r="D27" s="11">
        <v>20.901079642500004</v>
      </c>
      <c r="E27" s="11">
        <v>21.037825508303978</v>
      </c>
      <c r="F27" s="11"/>
      <c r="G27" s="11"/>
      <c r="I27" s="12"/>
      <c r="J27" s="0" t="s">
        <v>39</v>
      </c>
    </row>
    <row r="28">
      <c r="I28" s="12"/>
    </row>
    <row r="29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https://phyllis.nl/Biomass/View/56</dc:description>
  <dcterms:created xsi:type="dcterms:W3CDTF">2026-03-19T04:19:10Z</dcterms:created>
  <dc:title>Phyllis2 #56 wood, beech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