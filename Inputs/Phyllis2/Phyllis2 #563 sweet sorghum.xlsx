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63 sweet sorghum" sheetId="1" r:id="rId1"/>
  </sheets>
  <definedNames>
    <definedName name="w" localSheetId="0">IF(ISBLANK('Phyllis2 #563 sweet sorghum'!$C$18),#N/A,'Phyllis2 #563 sweet sorghum'!$C$18/100)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<sst xmlns="http://schemas.openxmlformats.org/spreadsheetml/2006/main" count="84" uniqueCount="84">
  <si>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</si>
  <si>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https://phyllis.nl/Biomass/View/563</t>
  </si>
  <si>
    <t>sweet sorghum (#563)</t>
  </si>
  <si>
    <t>ID-number</t>
  </si>
  <si>
    <t>#563</t>
  </si>
  <si>
    <t>Material</t>
  </si>
  <si>
    <t>sweet sorghum</t>
  </si>
  <si>
    <t>Classification</t>
  </si>
  <si>
    <t>ECN Phyllis classification &gt; straw (stalk/cob/ear) &gt; sorghum &gt; sweet sorghum</t>
  </si>
  <si>
    <t>NTA 8003 classification &gt; [200] biomassa uit land- en tuinbouw &gt; [220] stro &gt; [229] overig stro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</si>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</sst>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IFERROR(7.44*(1-w),"")</f>
        <v/>
      </c>
      <c r="D19" s="11">
        <v>7.44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IFERROR(44.15*(1-w),"")</f>
        <v/>
      </c>
      <c r="D21" s="11">
        <v>44.15</v>
      </c>
      <c r="E21" s="11">
        <v>47.69878997407087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IFERROR(5.65*(1-w),"")</f>
        <v/>
      </c>
      <c r="D22" s="11">
        <v>5.65</v>
      </c>
      <c r="E22" s="11">
        <v>6.1041486603284358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IFERROR(41.07*(1-w),"")</f>
        <v/>
      </c>
      <c r="D23" s="11">
        <v>41.07</v>
      </c>
      <c r="E23" s="11">
        <v>44.37121866897148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IFERROR(1.24*(1-w),"")</f>
        <v/>
      </c>
      <c r="D24" s="11">
        <v>1.24</v>
      </c>
      <c r="E24" s="11">
        <v>1.3396715643906656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IFERROR(0.06*(1-w),"")</f>
        <v/>
      </c>
      <c r="D25" s="11">
        <v>0.06</v>
      </c>
      <c r="E25" s="11">
        <v>0.06482281763180639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IFERROR(3900*(1-w),"")</f>
        <v/>
      </c>
      <c r="D28" s="12">
        <v>3900</v>
      </c>
      <c r="E28" s="12">
        <v>4213.4831460674159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IFERROR(16.396*(1-w)-w*2.443,"")</f>
        <v/>
      </c>
      <c r="D30" s="11">
        <v>16.396</v>
      </c>
      <c r="E30" s="11">
        <v>17.713915298184961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IFERROR(17.639*(1-w),"")</f>
        <v/>
      </c>
      <c r="D31" s="11">
        <v>17.639</v>
      </c>
      <c r="E31" s="11">
        <v>19.056828003457216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IFERROR(17.3460031008*(1-w),"")</f>
        <v/>
      </c>
      <c r="D32" s="11">
        <v>17.3460031008</v>
      </c>
      <c r="E32" s="11">
        <v>18.740279927398447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0" t="s">
        <v>53</v>
      </c>
      <c r="B34" s="0" t="s">
        <v>54</v>
      </c>
      <c r="C34" s="12">
        <v>0.04</v>
      </c>
      <c r="D34" s="12"/>
      <c r="E34" s="12"/>
      <c r="F34" s="12"/>
      <c r="G34" s="12"/>
      <c r="I34" s="16"/>
      <c r="J34" s="0" t="s">
        <v>37</v>
      </c>
    </row>
    <row r="35" outlineLevel="2">
      <c r="A35" s="10" t="s">
        <v>55</v>
      </c>
      <c r="B35" s="0" t="s">
        <v>54</v>
      </c>
      <c r="C35" s="12">
        <v>8.35</v>
      </c>
      <c r="D35" s="12"/>
      <c r="E35" s="12"/>
      <c r="F35" s="12"/>
      <c r="G35" s="12"/>
      <c r="I35" s="16"/>
      <c r="J35" s="0" t="s">
        <v>37</v>
      </c>
    </row>
    <row r="36" outlineLevel="2">
      <c r="A36" s="10" t="s">
        <v>56</v>
      </c>
      <c r="B36" s="0" t="s">
        <v>54</v>
      </c>
      <c r="C36" s="12">
        <v>0.02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57</v>
      </c>
      <c r="B37" s="0" t="s">
        <v>54</v>
      </c>
      <c r="C37" s="12">
        <v>0.32</v>
      </c>
      <c r="D37" s="12"/>
      <c r="E37" s="12"/>
      <c r="F37" s="12"/>
      <c r="G37" s="12"/>
      <c r="I37" s="16"/>
      <c r="J37" s="0" t="s">
        <v>37</v>
      </c>
    </row>
    <row r="38" outlineLevel="1">
      <c r="A38" s="9" t="s">
        <v>58</v>
      </c>
      <c r="I38" s="16"/>
    </row>
    <row r="39" outlineLevel="2">
      <c r="A39" s="13" t="s">
        <v>59</v>
      </c>
      <c r="I39" s="16"/>
    </row>
    <row r="40" outlineLevel="3">
      <c r="A40" s="14" t="s">
        <v>60</v>
      </c>
      <c r="B40" s="0" t="s">
        <v>61</v>
      </c>
      <c r="C40" s="15">
        <v>1260</v>
      </c>
      <c r="D40" s="15"/>
      <c r="E40" s="15"/>
      <c r="F40" s="15"/>
      <c r="G40" s="15"/>
      <c r="I40" s="16"/>
    </row>
    <row r="41" outlineLevel="3">
      <c r="A41" s="14" t="s">
        <v>62</v>
      </c>
      <c r="B41" s="0" t="s">
        <v>61</v>
      </c>
      <c r="C41" s="15">
        <v>1350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61</v>
      </c>
      <c r="C42" s="15">
        <v>1440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61</v>
      </c>
      <c r="C43" s="15">
        <v>1490</v>
      </c>
      <c r="D43" s="15"/>
      <c r="E43" s="15"/>
      <c r="F43" s="15"/>
      <c r="G43" s="15"/>
      <c r="I43" s="16"/>
    </row>
    <row r="44">
      <c r="A44" s="5" t="s">
        <v>65</v>
      </c>
      <c r="I44" s="16"/>
    </row>
    <row r="45" outlineLevel="1">
      <c r="A45" s="9" t="s">
        <v>66</v>
      </c>
      <c r="I45" s="16"/>
    </row>
    <row r="46" outlineLevel="2">
      <c r="A46" s="10" t="s">
        <v>67</v>
      </c>
      <c r="B46" s="0" t="s">
        <v>68</v>
      </c>
      <c r="C46" s="11">
        <v>16.4</v>
      </c>
      <c r="D46" s="11"/>
      <c r="E46" s="11"/>
      <c r="F46" s="11"/>
      <c r="G46" s="11"/>
      <c r="I46" s="16"/>
    </row>
    <row r="47" outlineLevel="2">
      <c r="A47" s="10" t="s">
        <v>69</v>
      </c>
      <c r="B47" s="0" t="s">
        <v>68</v>
      </c>
      <c r="C47" s="11">
        <v>1.04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68</v>
      </c>
      <c r="C48" s="11">
        <v>4.01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68</v>
      </c>
      <c r="C49" s="11">
        <v>4.19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68</v>
      </c>
      <c r="C50" s="11">
        <v>16.2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68</v>
      </c>
      <c r="C51" s="11">
        <v>0.34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68</v>
      </c>
      <c r="C52" s="11">
        <v>0.52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68</v>
      </c>
      <c r="C53" s="11">
        <v>23.8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68</v>
      </c>
      <c r="C54" s="11">
        <v>4.43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68</v>
      </c>
      <c r="C55" s="11">
        <v>0.12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68</v>
      </c>
      <c r="C56" s="11">
        <v>20.4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80</v>
      </c>
      <c r="C57" s="12">
        <v>3</v>
      </c>
      <c r="D57" s="12"/>
      <c r="E57" s="12"/>
      <c r="F57" s="12"/>
      <c r="G57" s="12"/>
      <c r="I57" s="16"/>
    </row>
    <row r="58" outlineLevel="2">
      <c r="A58" s="10" t="s">
        <v>81</v>
      </c>
      <c r="B58" s="0" t="s">
        <v>80</v>
      </c>
      <c r="C58" s="12">
        <v>0.07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80</v>
      </c>
      <c r="C59" s="12">
        <v>83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80</v>
      </c>
      <c r="C60" s="12">
        <v>0.01</v>
      </c>
      <c r="D60" s="12"/>
      <c r="E60" s="12"/>
      <c r="F60" s="12"/>
      <c r="G60" s="12"/>
      <c r="I60" s="16"/>
    </row>
    <row r="61">
      <c r="I61" s="16"/>
    </row>
    <row r="6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40:E40"/>
    <mergeCell ref="C41:E41"/>
    <mergeCell ref="C42:E42"/>
    <mergeCell ref="C43:E43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https://phyllis.nl/Biomass/View/563</dc:description>
  <dcterms:created xsi:type="dcterms:W3CDTF">2026-03-17T06:11:52Z</dcterms:created>
  <dc:title>Phyllis2 #563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