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564 sweet sorghum" sheetId="1" r:id="rId1"/>
  </sheets>
  <definedNames>
    <definedName name="w" localSheetId="0">IF(ISBLANK('Phyllis2 #564 sweet sorghum'!$C$18),#N/A,'Phyllis2 #564 sweet sorghum'!$C$18/100)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<sst xmlns="http://schemas.openxmlformats.org/spreadsheetml/2006/main" count="84" uniqueCount="84">
  <si>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</si>
  <si>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https://phyllis.nl/Biomass/View/564</t>
  </si>
  <si>
    <t>sweet sorghum (#564)</t>
  </si>
  <si>
    <t>ID-number</t>
  </si>
  <si>
    <t>#564</t>
  </si>
  <si>
    <t>Material</t>
  </si>
  <si>
    <t>sweet sorghum</t>
  </si>
  <si>
    <t>Classification</t>
  </si>
  <si>
    <t>ECN Phyllis classification &gt; straw (stalk/cob/ear) &gt; sorghum &gt; sweet sorghum</t>
  </si>
  <si>
    <t>NTA 8003 classification &gt; [200] biomassa uit land- en tuinbouw &gt; [220] stro &gt; [229] overig stro</t>
  </si>
  <si>
    <t>Ash type</t>
  </si>
  <si>
    <t>laboratory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</si>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</sst>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56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6"/>
    </row>
    <row r="17" outlineLevel="1">
      <c r="A17" s="9" t="s">
        <v>30</v>
      </c>
      <c r="I17" s="16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6"/>
    </row>
    <row r="19" outlineLevel="2">
      <c r="A19" s="10" t="s">
        <v>33</v>
      </c>
      <c r="B19" s="0" t="s">
        <v>34</v>
      </c>
      <c r="C19" s="11">
        <f>IFERROR(10.18*(1-w),"")</f>
        <v/>
      </c>
      <c r="D19" s="11">
        <v>10.18</v>
      </c>
      <c r="E19" s="11">
        <v/>
      </c>
      <c r="F19" s="11"/>
      <c r="G19" s="11"/>
      <c r="I19" s="16"/>
    </row>
    <row r="20" outlineLevel="1">
      <c r="A20" s="9" t="s">
        <v>35</v>
      </c>
      <c r="I20" s="16"/>
    </row>
    <row r="21" outlineLevel="2">
      <c r="A21" s="10" t="s">
        <v>36</v>
      </c>
      <c r="B21" s="0" t="s">
        <v>34</v>
      </c>
      <c r="C21" s="11">
        <f>IFERROR(46.22*(1-w),"")</f>
        <v/>
      </c>
      <c r="D21" s="11">
        <v>46.22</v>
      </c>
      <c r="E21" s="11">
        <v>51.458472500556667</v>
      </c>
      <c r="F21" s="11"/>
      <c r="G21" s="11"/>
      <c r="I21" s="16"/>
      <c r="J21" s="0" t="s">
        <v>37</v>
      </c>
    </row>
    <row r="22" outlineLevel="2">
      <c r="A22" s="10" t="s">
        <v>38</v>
      </c>
      <c r="B22" s="0" t="s">
        <v>34</v>
      </c>
      <c r="C22" s="11">
        <f>IFERROR(5.13*(1-w),"")</f>
        <v/>
      </c>
      <c r="D22" s="11">
        <v>5.13</v>
      </c>
      <c r="E22" s="11">
        <v>5.7114228456913825</v>
      </c>
      <c r="F22" s="11"/>
      <c r="G22" s="11"/>
      <c r="I22" s="16"/>
      <c r="J22" s="0" t="s">
        <v>37</v>
      </c>
    </row>
    <row r="23" outlineLevel="2">
      <c r="A23" s="10" t="s">
        <v>39</v>
      </c>
      <c r="B23" s="0" t="s">
        <v>34</v>
      </c>
      <c r="C23" s="11">
        <f>IFERROR(37.2*(1-w),"")</f>
        <v/>
      </c>
      <c r="D23" s="11">
        <v>37.2</v>
      </c>
      <c r="E23" s="11">
        <v>41.416165664662664</v>
      </c>
      <c r="F23" s="11"/>
      <c r="G23" s="11"/>
      <c r="I23" s="16"/>
      <c r="J23" s="0" t="s">
        <v>40</v>
      </c>
    </row>
    <row r="24" outlineLevel="2">
      <c r="A24" s="10" t="s">
        <v>41</v>
      </c>
      <c r="B24" s="0" t="s">
        <v>34</v>
      </c>
      <c r="C24" s="11">
        <f>IFERROR(0.91*(1-w),"")</f>
        <v/>
      </c>
      <c r="D24" s="11">
        <v>0.91</v>
      </c>
      <c r="E24" s="11">
        <v>1.0131373858828769</v>
      </c>
      <c r="F24" s="11"/>
      <c r="G24" s="11"/>
      <c r="I24" s="16"/>
      <c r="J24" s="0" t="s">
        <v>37</v>
      </c>
    </row>
    <row r="25" outlineLevel="2">
      <c r="A25" s="10" t="s">
        <v>42</v>
      </c>
      <c r="B25" s="0" t="s">
        <v>34</v>
      </c>
      <c r="C25" s="11">
        <f>IFERROR(0.07*(1-w),"")</f>
        <v/>
      </c>
      <c r="D25" s="11">
        <v>0.07</v>
      </c>
      <c r="E25" s="11">
        <v>0.077933645067913615</v>
      </c>
      <c r="F25" s="11"/>
      <c r="G25" s="11"/>
      <c r="I25" s="16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</v>
      </c>
      <c r="E26" s="11">
        <v>99.999999999999986</v>
      </c>
      <c r="F26" s="11"/>
      <c r="G26" s="11"/>
      <c r="I26" s="16"/>
      <c r="J26" s="0" t="s">
        <v>40</v>
      </c>
    </row>
    <row r="27" outlineLevel="1">
      <c r="A27" s="9" t="s">
        <v>44</v>
      </c>
      <c r="I27" s="16"/>
    </row>
    <row r="28" outlineLevel="2">
      <c r="A28" s="10" t="s">
        <v>45</v>
      </c>
      <c r="B28" s="0" t="s">
        <v>46</v>
      </c>
      <c r="C28" s="12">
        <f>IFERROR(2900*(1-w),"")</f>
        <v/>
      </c>
      <c r="D28" s="12">
        <v>2900</v>
      </c>
      <c r="E28" s="12">
        <v>3228.6795813849922</v>
      </c>
      <c r="F28" s="12"/>
      <c r="G28" s="12"/>
      <c r="I28" s="16"/>
      <c r="J28" s="0" t="s">
        <v>37</v>
      </c>
    </row>
    <row r="29" outlineLevel="1">
      <c r="A29" s="9" t="s">
        <v>47</v>
      </c>
      <c r="I29" s="16"/>
    </row>
    <row r="30" outlineLevel="2">
      <c r="A30" s="10" t="s">
        <v>48</v>
      </c>
      <c r="B30" s="0" t="s">
        <v>49</v>
      </c>
      <c r="C30" s="11">
        <f>IFERROR(16.449*(1-w)-w*2.443,"")</f>
        <v/>
      </c>
      <c r="D30" s="11">
        <v>16.449</v>
      </c>
      <c r="E30" s="11">
        <v>18.313293253173015</v>
      </c>
      <c r="F30" s="11"/>
      <c r="G30" s="11"/>
      <c r="I30" s="16"/>
    </row>
    <row r="31" outlineLevel="2">
      <c r="A31" s="10" t="s">
        <v>50</v>
      </c>
      <c r="B31" s="0" t="s">
        <v>49</v>
      </c>
      <c r="C31" s="11">
        <f>IFERROR(17.604*(1-w),"")</f>
        <v/>
      </c>
      <c r="D31" s="11">
        <v>17.604</v>
      </c>
      <c r="E31" s="11">
        <v>19.599198396793586</v>
      </c>
      <c r="F31" s="11"/>
      <c r="G31" s="11"/>
      <c r="I31" s="16"/>
    </row>
    <row r="32" outlineLevel="2">
      <c r="A32" s="10" t="s">
        <v>51</v>
      </c>
      <c r="B32" s="0" t="s">
        <v>49</v>
      </c>
      <c r="C32" s="11">
        <f>IFERROR(17.8345837572*(1-w),"")</f>
        <v/>
      </c>
      <c r="D32" s="11">
        <v>17.8345837572</v>
      </c>
      <c r="E32" s="11">
        <v>19.855916006680026</v>
      </c>
      <c r="F32" s="11"/>
      <c r="G32" s="11"/>
      <c r="I32" s="16"/>
      <c r="J32" s="0" t="s">
        <v>40</v>
      </c>
    </row>
    <row r="33" outlineLevel="1">
      <c r="A33" s="9" t="s">
        <v>52</v>
      </c>
      <c r="I33" s="16"/>
    </row>
    <row r="34" outlineLevel="2">
      <c r="A34" s="10" t="s">
        <v>53</v>
      </c>
      <c r="B34" s="0" t="s">
        <v>54</v>
      </c>
      <c r="C34" s="12">
        <v>0.1</v>
      </c>
      <c r="D34" s="12"/>
      <c r="E34" s="12"/>
      <c r="F34" s="12"/>
      <c r="G34" s="12"/>
      <c r="I34" s="16"/>
      <c r="J34" s="0" t="s">
        <v>37</v>
      </c>
    </row>
    <row r="35" outlineLevel="2">
      <c r="A35" s="10" t="s">
        <v>55</v>
      </c>
      <c r="B35" s="0" t="s">
        <v>54</v>
      </c>
      <c r="C35" s="12">
        <v>7.78</v>
      </c>
      <c r="D35" s="12"/>
      <c r="E35" s="12"/>
      <c r="F35" s="12"/>
      <c r="G35" s="12"/>
      <c r="I35" s="16"/>
      <c r="J35" s="0" t="s">
        <v>37</v>
      </c>
    </row>
    <row r="36" outlineLevel="2">
      <c r="A36" s="10" t="s">
        <v>56</v>
      </c>
      <c r="B36" s="0" t="s">
        <v>54</v>
      </c>
      <c r="C36" s="12">
        <v>0.02</v>
      </c>
      <c r="D36" s="12"/>
      <c r="E36" s="12"/>
      <c r="F36" s="12"/>
      <c r="G36" s="12"/>
      <c r="I36" s="16"/>
      <c r="J36" s="0" t="s">
        <v>37</v>
      </c>
    </row>
    <row r="37" outlineLevel="2">
      <c r="A37" s="10" t="s">
        <v>57</v>
      </c>
      <c r="B37" s="0" t="s">
        <v>54</v>
      </c>
      <c r="C37" s="12">
        <v>7.11</v>
      </c>
      <c r="D37" s="12"/>
      <c r="E37" s="12"/>
      <c r="F37" s="12"/>
      <c r="G37" s="12"/>
      <c r="I37" s="16"/>
      <c r="J37" s="0" t="s">
        <v>37</v>
      </c>
    </row>
    <row r="38" outlineLevel="1">
      <c r="A38" s="9" t="s">
        <v>58</v>
      </c>
      <c r="I38" s="16"/>
    </row>
    <row r="39" outlineLevel="2">
      <c r="A39" s="13" t="s">
        <v>59</v>
      </c>
      <c r="I39" s="16"/>
    </row>
    <row r="40" outlineLevel="3">
      <c r="A40" s="14" t="s">
        <v>60</v>
      </c>
      <c r="B40" s="0" t="s">
        <v>61</v>
      </c>
      <c r="C40" s="15">
        <v>1120</v>
      </c>
      <c r="D40" s="15"/>
      <c r="E40" s="15"/>
      <c r="F40" s="15"/>
      <c r="G40" s="15"/>
      <c r="I40" s="16"/>
    </row>
    <row r="41" outlineLevel="3">
      <c r="A41" s="14" t="s">
        <v>62</v>
      </c>
      <c r="B41" s="0" t="s">
        <v>61</v>
      </c>
      <c r="C41" s="15">
        <v>1150</v>
      </c>
      <c r="D41" s="15"/>
      <c r="E41" s="15"/>
      <c r="F41" s="15"/>
      <c r="G41" s="15"/>
      <c r="I41" s="16"/>
    </row>
    <row r="42" outlineLevel="3">
      <c r="A42" s="14" t="s">
        <v>63</v>
      </c>
      <c r="B42" s="0" t="s">
        <v>61</v>
      </c>
      <c r="C42" s="15">
        <v>1200</v>
      </c>
      <c r="D42" s="15"/>
      <c r="E42" s="15"/>
      <c r="F42" s="15"/>
      <c r="G42" s="15"/>
      <c r="I42" s="16"/>
    </row>
    <row r="43" outlineLevel="3">
      <c r="A43" s="14" t="s">
        <v>64</v>
      </c>
      <c r="B43" s="0" t="s">
        <v>61</v>
      </c>
      <c r="C43" s="15">
        <v>1250</v>
      </c>
      <c r="D43" s="15"/>
      <c r="E43" s="15"/>
      <c r="F43" s="15"/>
      <c r="G43" s="15"/>
      <c r="I43" s="16"/>
    </row>
    <row r="44">
      <c r="A44" s="5" t="s">
        <v>65</v>
      </c>
      <c r="I44" s="16"/>
    </row>
    <row r="45" outlineLevel="1">
      <c r="A45" s="9" t="s">
        <v>66</v>
      </c>
      <c r="I45" s="16"/>
    </row>
    <row r="46" outlineLevel="2">
      <c r="A46" s="10" t="s">
        <v>67</v>
      </c>
      <c r="B46" s="0" t="s">
        <v>68</v>
      </c>
      <c r="C46" s="11">
        <v>4.5</v>
      </c>
      <c r="D46" s="11"/>
      <c r="E46" s="11"/>
      <c r="F46" s="11"/>
      <c r="G46" s="11"/>
      <c r="I46" s="16"/>
    </row>
    <row r="47" outlineLevel="2">
      <c r="A47" s="10" t="s">
        <v>69</v>
      </c>
      <c r="B47" s="0" t="s">
        <v>68</v>
      </c>
      <c r="C47" s="11">
        <v>4.29</v>
      </c>
      <c r="D47" s="11"/>
      <c r="E47" s="11"/>
      <c r="F47" s="11"/>
      <c r="G47" s="11"/>
      <c r="I47" s="16"/>
    </row>
    <row r="48" outlineLevel="2">
      <c r="A48" s="10" t="s">
        <v>70</v>
      </c>
      <c r="B48" s="0" t="s">
        <v>68</v>
      </c>
      <c r="C48" s="11">
        <v>1.67</v>
      </c>
      <c r="D48" s="11"/>
      <c r="E48" s="11"/>
      <c r="F48" s="11"/>
      <c r="G48" s="11"/>
      <c r="I48" s="16"/>
    </row>
    <row r="49" outlineLevel="2">
      <c r="A49" s="10" t="s">
        <v>71</v>
      </c>
      <c r="B49" s="0" t="s">
        <v>68</v>
      </c>
      <c r="C49" s="11">
        <v>4.59</v>
      </c>
      <c r="D49" s="11"/>
      <c r="E49" s="11"/>
      <c r="F49" s="11"/>
      <c r="G49" s="11"/>
      <c r="I49" s="16"/>
    </row>
    <row r="50" outlineLevel="2">
      <c r="A50" s="10" t="s">
        <v>72</v>
      </c>
      <c r="B50" s="0" t="s">
        <v>68</v>
      </c>
      <c r="C50" s="11">
        <v>52.7</v>
      </c>
      <c r="D50" s="11"/>
      <c r="E50" s="11"/>
      <c r="F50" s="11"/>
      <c r="G50" s="11"/>
      <c r="I50" s="16"/>
    </row>
    <row r="51" outlineLevel="2">
      <c r="A51" s="10" t="s">
        <v>73</v>
      </c>
      <c r="B51" s="0" t="s">
        <v>68</v>
      </c>
      <c r="C51" s="11">
        <v>1.82</v>
      </c>
      <c r="D51" s="11"/>
      <c r="E51" s="11"/>
      <c r="F51" s="11"/>
      <c r="G51" s="11"/>
      <c r="I51" s="16"/>
    </row>
    <row r="52" outlineLevel="2">
      <c r="A52" s="10" t="s">
        <v>74</v>
      </c>
      <c r="B52" s="0" t="s">
        <v>68</v>
      </c>
      <c r="C52" s="11">
        <v>3.51</v>
      </c>
      <c r="D52" s="11"/>
      <c r="E52" s="11"/>
      <c r="F52" s="11"/>
      <c r="G52" s="11"/>
      <c r="I52" s="16"/>
    </row>
    <row r="53" outlineLevel="2">
      <c r="A53" s="10" t="s">
        <v>75</v>
      </c>
      <c r="B53" s="0" t="s">
        <v>68</v>
      </c>
      <c r="C53" s="11">
        <v>8</v>
      </c>
      <c r="D53" s="11"/>
      <c r="E53" s="11"/>
      <c r="F53" s="11"/>
      <c r="G53" s="11"/>
      <c r="I53" s="16"/>
    </row>
    <row r="54" outlineLevel="2">
      <c r="A54" s="10" t="s">
        <v>76</v>
      </c>
      <c r="B54" s="0" t="s">
        <v>68</v>
      </c>
      <c r="C54" s="11">
        <v>2.87</v>
      </c>
      <c r="D54" s="11"/>
      <c r="E54" s="11"/>
      <c r="F54" s="11"/>
      <c r="G54" s="11"/>
      <c r="I54" s="16"/>
    </row>
    <row r="55" outlineLevel="2">
      <c r="A55" s="10" t="s">
        <v>77</v>
      </c>
      <c r="B55" s="0" t="s">
        <v>68</v>
      </c>
      <c r="C55" s="11">
        <v>0.32</v>
      </c>
      <c r="D55" s="11"/>
      <c r="E55" s="11"/>
      <c r="F55" s="11"/>
      <c r="G55" s="11"/>
      <c r="I55" s="16"/>
    </row>
    <row r="56" outlineLevel="2">
      <c r="A56" s="10" t="s">
        <v>78</v>
      </c>
      <c r="B56" s="0" t="s">
        <v>68</v>
      </c>
      <c r="C56" s="11">
        <v>13.5</v>
      </c>
      <c r="D56" s="11"/>
      <c r="E56" s="11"/>
      <c r="F56" s="11"/>
      <c r="G56" s="11"/>
      <c r="I56" s="16"/>
    </row>
    <row r="57" outlineLevel="2">
      <c r="A57" s="10" t="s">
        <v>79</v>
      </c>
      <c r="B57" s="0" t="s">
        <v>80</v>
      </c>
      <c r="C57" s="12">
        <v>40</v>
      </c>
      <c r="D57" s="12"/>
      <c r="E57" s="12"/>
      <c r="F57" s="12"/>
      <c r="G57" s="12"/>
      <c r="I57" s="16"/>
    </row>
    <row r="58" outlineLevel="2">
      <c r="A58" s="10" t="s">
        <v>81</v>
      </c>
      <c r="B58" s="0" t="s">
        <v>80</v>
      </c>
      <c r="C58" s="12">
        <v>0.08</v>
      </c>
      <c r="D58" s="12"/>
      <c r="E58" s="12"/>
      <c r="F58" s="12"/>
      <c r="G58" s="12"/>
      <c r="I58" s="16"/>
    </row>
    <row r="59" outlineLevel="2">
      <c r="A59" s="10" t="s">
        <v>82</v>
      </c>
      <c r="B59" s="0" t="s">
        <v>80</v>
      </c>
      <c r="C59" s="12">
        <v>57</v>
      </c>
      <c r="D59" s="12"/>
      <c r="E59" s="12"/>
      <c r="F59" s="12"/>
      <c r="G59" s="12"/>
      <c r="I59" s="16"/>
    </row>
    <row r="60" outlineLevel="2">
      <c r="A60" s="10" t="s">
        <v>83</v>
      </c>
      <c r="B60" s="0" t="s">
        <v>80</v>
      </c>
      <c r="C60" s="12">
        <v>0.01</v>
      </c>
      <c r="D60" s="12"/>
      <c r="E60" s="12"/>
      <c r="F60" s="12"/>
      <c r="G60" s="12"/>
      <c r="I60" s="16"/>
    </row>
    <row r="61">
      <c r="I61" s="16"/>
    </row>
    <row r="6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4:E34"/>
    <mergeCell ref="C35:E35"/>
    <mergeCell ref="C36:E36"/>
    <mergeCell ref="C37:E37"/>
    <mergeCell ref="C40:E40"/>
    <mergeCell ref="C41:E41"/>
    <mergeCell ref="C42:E42"/>
    <mergeCell ref="C43:E43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https://phyllis.nl/Biomass/View/564</dc:description>
  <dcterms:created xsi:type="dcterms:W3CDTF">2026-03-17T06:11:54Z</dcterms:created>
  <dc:title>Phyllis2 #564 sweet sorghum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