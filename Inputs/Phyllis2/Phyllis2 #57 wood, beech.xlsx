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57 wood, beech" sheetId="1" r:id="rId1"/>
  </sheets>
  <definedNames>
    <definedName name="w" localSheetId="0">IF(ISBLANK('Phyllis2 #57 wood, beech'!$C$18),#N/A,'Phyllis2 #57 wood, beech'!$C$18/100)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<sst xmlns="http://schemas.openxmlformats.org/spreadsheetml/2006/main" count="47" uniqueCount="47">
  <si>
    <t>Phyllis2</t>
  </si>
  <si>
    <t>https://phyllis.nl/Biomass/View/57</t>
  </si>
  <si>
    <t>wood, beech (#57)</t>
  </si>
  <si>
    <t>ID-number</t>
  </si>
  <si>
    <t>#57</t>
  </si>
  <si>
    <t>Material</t>
  </si>
  <si>
    <t>wood, beech</t>
  </si>
  <si>
    <t>Classification</t>
  </si>
  <si>
    <t>ECN Phyllis classification &gt; untreated wood &gt; beech &gt; wood, beech</t>
  </si>
  <si>
    <t>NTA 8003 classification &gt; [100] hout &gt; [110] vers hout &gt; [120] loofhout &gt; [125] hard loofhout</t>
  </si>
  <si>
    <t>Submitter organisation</t>
  </si>
  <si>
    <t>ECN (Netherlands)</t>
  </si>
  <si>
    <t>Remarks</t>
  </si>
  <si>
    <t>wood chips</t>
  </si>
  <si>
    <t>Literature</t>
  </si>
  <si>
    <t>http://edv1.vt.tuwien.ac.at/AG_HOFBA/BIOBIB/Biobib.htm (1997).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</si>
  <si>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</si>
  <si>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</si>
  <si>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</si>
  <si>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</si>
  <si>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</si>
  <si>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</si>
  <si>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</si>
  <si>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</si>
  <si>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</si>
  <si>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</si>
  <si>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</si>
  <si>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</si>
  <si>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</si>
  <si>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</si>
  <si>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</si>
  <si>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</si>
  <si>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</si>
  <si>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</si>
  <si>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</si>
  <si>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</si>
  <si>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Unknown</t>
  </si>
  <si>
    <t>Hydrogen</t>
  </si>
  <si>
    <t>Oxygen</t>
  </si>
  <si>
    <t>Calculated</t>
  </si>
  <si>
    <t>Nitrogen</t>
  </si>
  <si>
    <t>Total (with halides)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</si>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</sst>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2">
    <numFmt numFmtId="164" formatCode="#,0.00"/>
    <numFmt numFmtId="165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3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57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0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>
      <c r="A12" s="5"/>
    </row>
    <row r="13" s="1" customFormat="1">
      <c r="A13" s="7" t="s">
        <v>16</v>
      </c>
    </row>
    <row r="14" s="1" customFormat="1">
      <c r="A14" s="8" t="s">
        <v>17</v>
      </c>
      <c r="B14" s="8" t="s">
        <v>18</v>
      </c>
      <c r="C14" s="8" t="s">
        <v>19</v>
      </c>
      <c r="D14" s="8"/>
      <c r="E14" s="8"/>
      <c r="F14" s="8" t="s">
        <v>20</v>
      </c>
      <c r="G14" s="8" t="s">
        <v>21</v>
      </c>
      <c r="H14" s="8" t="s">
        <v>22</v>
      </c>
      <c r="I14" s="8" t="s">
        <v>23</v>
      </c>
      <c r="J14" s="8" t="s">
        <v>24</v>
      </c>
      <c r="K14" s="8" t="s">
        <v>12</v>
      </c>
      <c r="L14" s="8"/>
    </row>
    <row r="15" s="1" customFormat="1">
      <c r="A15" s="8"/>
      <c r="B15" s="8"/>
      <c r="C15" s="8" t="s">
        <v>25</v>
      </c>
      <c r="D15" s="8" t="s">
        <v>26</v>
      </c>
      <c r="E15" s="8" t="s">
        <v>27</v>
      </c>
      <c r="F15" s="8"/>
      <c r="G15" s="8"/>
      <c r="H15" s="8"/>
      <c r="I15" s="8"/>
      <c r="J15" s="8"/>
      <c r="K15" s="8"/>
      <c r="L15" s="8"/>
    </row>
    <row r="16">
      <c r="A16" s="5" t="s">
        <v>28</v>
      </c>
      <c r="I16" s="12"/>
    </row>
    <row r="17" outlineLevel="1">
      <c r="A17" s="9" t="s">
        <v>29</v>
      </c>
      <c r="I17" s="12"/>
    </row>
    <row r="18" outlineLevel="2">
      <c r="A18" s="10" t="s">
        <v>30</v>
      </c>
      <c r="B18" s="0" t="s">
        <v>31</v>
      </c>
      <c r="C18" s="11">
        <v/>
      </c>
      <c r="D18" s="11"/>
      <c r="E18" s="11"/>
      <c r="F18" s="11"/>
      <c r="G18" s="11"/>
      <c r="I18" s="12"/>
    </row>
    <row r="19" outlineLevel="2">
      <c r="A19" s="10" t="s">
        <v>32</v>
      </c>
      <c r="B19" s="0" t="s">
        <v>33</v>
      </c>
      <c r="C19" s="11">
        <f>IFERROR(0.77*(1-w),"")</f>
        <v/>
      </c>
      <c r="D19" s="11">
        <v>0.77</v>
      </c>
      <c r="E19" s="11">
        <v/>
      </c>
      <c r="F19" s="11"/>
      <c r="G19" s="11"/>
      <c r="I19" s="12"/>
    </row>
    <row r="20" outlineLevel="1">
      <c r="A20" s="9" t="s">
        <v>34</v>
      </c>
      <c r="I20" s="12"/>
    </row>
    <row r="21" outlineLevel="2">
      <c r="A21" s="10" t="s">
        <v>35</v>
      </c>
      <c r="B21" s="0" t="s">
        <v>33</v>
      </c>
      <c r="C21" s="11">
        <f>IFERROR(48.22478*(1-w),"")</f>
        <v/>
      </c>
      <c r="D21" s="11">
        <v>48.22478</v>
      </c>
      <c r="E21" s="11">
        <v>48.598992240249927</v>
      </c>
      <c r="F21" s="11"/>
      <c r="G21" s="11"/>
      <c r="I21" s="12"/>
      <c r="J21" s="0" t="s">
        <v>36</v>
      </c>
    </row>
    <row r="22" outlineLevel="2">
      <c r="A22" s="10" t="s">
        <v>37</v>
      </c>
      <c r="B22" s="0" t="s">
        <v>33</v>
      </c>
      <c r="C22" s="11">
        <f>IFERROR(5.78544*(1-w),"")</f>
        <v/>
      </c>
      <c r="D22" s="11">
        <v>5.78544</v>
      </c>
      <c r="E22" s="11">
        <v>5.8303335684772755</v>
      </c>
      <c r="F22" s="11"/>
      <c r="G22" s="11"/>
      <c r="I22" s="12"/>
      <c r="J22" s="0" t="s">
        <v>36</v>
      </c>
    </row>
    <row r="23" outlineLevel="2">
      <c r="A23" s="10" t="s">
        <v>38</v>
      </c>
      <c r="B23" s="0" t="s">
        <v>33</v>
      </c>
      <c r="C23" s="11">
        <f>IFERROR(44.91327*(1-w),"")</f>
        <v/>
      </c>
      <c r="D23" s="11">
        <v>44.91327</v>
      </c>
      <c r="E23" s="11">
        <v>45.261785750277134</v>
      </c>
      <c r="F23" s="11"/>
      <c r="G23" s="11"/>
      <c r="I23" s="12"/>
      <c r="J23" s="0" t="s">
        <v>39</v>
      </c>
    </row>
    <row r="24" outlineLevel="2">
      <c r="A24" s="10" t="s">
        <v>40</v>
      </c>
      <c r="B24" s="0" t="s">
        <v>33</v>
      </c>
      <c r="C24" s="11">
        <f>IFERROR(0.3065134*(1-w),"")</f>
        <v/>
      </c>
      <c r="D24" s="11">
        <v>0.3065134</v>
      </c>
      <c r="E24" s="11">
        <v>0.30889186737881691</v>
      </c>
      <c r="F24" s="11"/>
      <c r="G24" s="11"/>
      <c r="I24" s="12"/>
      <c r="J24" s="0" t="s">
        <v>36</v>
      </c>
    </row>
    <row r="25" outlineLevel="2">
      <c r="A25" s="10" t="s">
        <v>41</v>
      </c>
      <c r="B25" s="0" t="s">
        <v>33</v>
      </c>
      <c r="C25" s="11">
        <f>IFERROR(100.0000034*(1-w)+w*100,"")</f>
        <v/>
      </c>
      <c r="D25" s="11">
        <v>100.0000034</v>
      </c>
      <c r="E25" s="11">
        <v>100.00000342638316</v>
      </c>
      <c r="F25" s="11"/>
      <c r="G25" s="11"/>
      <c r="I25" s="12"/>
      <c r="J25" s="0" t="s">
        <v>39</v>
      </c>
    </row>
    <row r="26" outlineLevel="1">
      <c r="A26" s="9" t="s">
        <v>42</v>
      </c>
      <c r="I26" s="12"/>
    </row>
    <row r="27" outlineLevel="2">
      <c r="A27" s="10" t="s">
        <v>43</v>
      </c>
      <c r="B27" s="0" t="s">
        <v>44</v>
      </c>
      <c r="C27" s="11">
        <f>IFERROR(17.38375*(1-w)-w*2.443,"")</f>
        <v/>
      </c>
      <c r="D27" s="11">
        <v>17.38375</v>
      </c>
      <c r="E27" s="11">
        <v>17.518643555376396</v>
      </c>
      <c r="F27" s="11"/>
      <c r="G27" s="11"/>
      <c r="I27" s="12"/>
    </row>
    <row r="28" outlineLevel="2">
      <c r="A28" s="10" t="s">
        <v>45</v>
      </c>
      <c r="B28" s="0" t="s">
        <v>44</v>
      </c>
      <c r="C28" s="11">
        <f>IFERROR(18.648*(1-w),"")</f>
        <v/>
      </c>
      <c r="D28" s="11">
        <v>18.648</v>
      </c>
      <c r="E28" s="11">
        <v>18.792703819409454</v>
      </c>
      <c r="F28" s="11"/>
      <c r="G28" s="11"/>
      <c r="I28" s="12"/>
    </row>
    <row r="29" outlineLevel="2">
      <c r="A29" s="10" t="s">
        <v>46</v>
      </c>
      <c r="B29" s="0" t="s">
        <v>44</v>
      </c>
      <c r="C29" s="11">
        <f>IFERROR(18.6549373657*(1-w),"")</f>
        <v/>
      </c>
      <c r="D29" s="11">
        <v>18.6549373657</v>
      </c>
      <c r="E29" s="11">
        <v>18.79969501733347</v>
      </c>
      <c r="F29" s="11"/>
      <c r="G29" s="11"/>
      <c r="I29" s="12"/>
      <c r="J29" s="0" t="s">
        <v>39</v>
      </c>
    </row>
    <row r="30">
      <c r="I30" s="12"/>
    </row>
    <row r="31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</mergeCells>
  <dataValidations count="1">
    <dataValidation type="decimal" sqref="C18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https://phyllis.nl/Biomass/View/57</dc:description>
  <dcterms:created xsi:type="dcterms:W3CDTF">2026-03-19T04:19:12Z</dcterms:created>
  <dc:title>Phyllis2 #57 wood, beech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