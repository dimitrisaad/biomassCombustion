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71 miscanthus" sheetId="1" r:id="rId1"/>
  </sheets>
  <definedNames>
    <definedName name="w" localSheetId="0">IF(ISBLANK('Phyllis2 #571 miscanthus'!$C$19),#N/A,'Phyllis2 #571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<sst xmlns="http://schemas.openxmlformats.org/spreadsheetml/2006/main" count="84" uniqueCount="84">
  <si>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</si>
  <si>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https://phyllis.nl/Biomass/View/571</t>
  </si>
  <si>
    <t>miscanthus (#571)</t>
  </si>
  <si>
    <t>ID-number</t>
  </si>
  <si>
    <t>#571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</si>
  <si>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</si>
  <si>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</si>
  <si>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</si>
  <si>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</si>
  <si>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</si>
  <si>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</si>
  <si>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</si>
  <si>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</si>
  <si>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</si>
  <si>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</si>
  <si>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moisture content average of harvest jan.1992,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</si>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</sst>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7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42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IFERROR(5.51*(1-w),"")</f>
        <v>3.1958</v>
      </c>
      <c r="D20" s="11">
        <v>5.51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IFERROR(49.11*(1-w),"")</f>
        <v>28.483800000000002</v>
      </c>
      <c r="D22" s="11">
        <v>49.11</v>
      </c>
      <c r="E22" s="11">
        <v>51.9737538363848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IFERROR(5.21*(1-w),"")</f>
        <v>3.0218000000000003</v>
      </c>
      <c r="D23" s="11">
        <v>5.21</v>
      </c>
      <c r="E23" s="11">
        <v>5.5138109852894486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IFERROR(38.63*(1-w),"")</f>
        <v>22.405400000000004</v>
      </c>
      <c r="D24" s="11">
        <v>38.63</v>
      </c>
      <c r="E24" s="11">
        <v>40.882633082865915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IFERROR(1.31*(1-w),"")</f>
        <v>0.75980000000000014</v>
      </c>
      <c r="D25" s="11">
        <v>1.31</v>
      </c>
      <c r="E25" s="11">
        <v>1.3863900941898615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IFERROR(0.12*(1-w),"")</f>
        <v>0.069600000000000009</v>
      </c>
      <c r="D26" s="11">
        <v>0.12</v>
      </c>
      <c r="E26" s="11">
        <v>0.12699756587998731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100.00000000000001</v>
      </c>
      <c r="D27" s="11">
        <v>100.00000000000001</v>
      </c>
      <c r="E27" s="11">
        <v>100.00000000000001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IFERROR(1100*(1-w),"")</f>
        <v>638.00000000000011</v>
      </c>
      <c r="D29" s="12">
        <v>1100</v>
      </c>
      <c r="E29" s="12">
        <v>1164.1443538998835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IFERROR(17.978*(1-w)-w*2.443,"")</f>
        <v>9.4011800000000036</v>
      </c>
      <c r="D31" s="11">
        <v>17.978</v>
      </c>
      <c r="E31" s="11">
        <v>19.0263519949201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IFERROR(19.153*(1-w),"")</f>
        <v>11.108740000000001</v>
      </c>
      <c r="D32" s="11">
        <v>19.153</v>
      </c>
      <c r="E32" s="11">
        <v>20.269869827494972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IFERROR(18.7699040953*(1-w),"")</f>
        <v>10.886544375274001</v>
      </c>
      <c r="D33" s="11">
        <v>18.7699040953</v>
      </c>
      <c r="E33" s="11">
        <v>19.864434432532544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0.17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54</v>
      </c>
      <c r="C36" s="12">
        <v>5.78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54</v>
      </c>
      <c r="C37" s="12">
        <v>0.03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54</v>
      </c>
      <c r="C38" s="12">
        <v>1.89</v>
      </c>
      <c r="D38" s="12"/>
      <c r="E38" s="12"/>
      <c r="F38" s="12"/>
      <c r="G38" s="12"/>
      <c r="I38" s="16"/>
      <c r="J38" s="0" t="s">
        <v>37</v>
      </c>
    </row>
    <row r="39" outlineLevel="1">
      <c r="A39" s="9" t="s">
        <v>58</v>
      </c>
      <c r="I39" s="16"/>
    </row>
    <row r="40" outlineLevel="2">
      <c r="A40" s="13" t="s">
        <v>59</v>
      </c>
      <c r="I40" s="16"/>
    </row>
    <row r="41" outlineLevel="3">
      <c r="A41" s="14" t="s">
        <v>60</v>
      </c>
      <c r="B41" s="0" t="s">
        <v>61</v>
      </c>
      <c r="C41" s="15">
        <v>970</v>
      </c>
      <c r="D41" s="15"/>
      <c r="E41" s="15"/>
      <c r="F41" s="15"/>
      <c r="G41" s="15"/>
      <c r="I41" s="16"/>
    </row>
    <row r="42" outlineLevel="3">
      <c r="A42" s="14" t="s">
        <v>62</v>
      </c>
      <c r="B42" s="0" t="s">
        <v>61</v>
      </c>
      <c r="C42" s="15">
        <v>1040</v>
      </c>
      <c r="D42" s="15"/>
      <c r="E42" s="15"/>
      <c r="F42" s="15"/>
      <c r="G42" s="15"/>
      <c r="I42" s="16"/>
    </row>
    <row r="43" outlineLevel="3">
      <c r="A43" s="14" t="s">
        <v>63</v>
      </c>
      <c r="B43" s="0" t="s">
        <v>61</v>
      </c>
      <c r="C43" s="15">
        <v>1230</v>
      </c>
      <c r="D43" s="15"/>
      <c r="E43" s="15"/>
      <c r="F43" s="15"/>
      <c r="G43" s="15"/>
      <c r="I43" s="16"/>
    </row>
    <row r="44" outlineLevel="3">
      <c r="A44" s="14" t="s">
        <v>64</v>
      </c>
      <c r="B44" s="0" t="s">
        <v>61</v>
      </c>
      <c r="C44" s="15">
        <v>1480</v>
      </c>
      <c r="D44" s="15"/>
      <c r="E44" s="15"/>
      <c r="F44" s="15"/>
      <c r="G44" s="15"/>
      <c r="I44" s="16"/>
    </row>
    <row r="45">
      <c r="A45" s="5" t="s">
        <v>65</v>
      </c>
      <c r="I45" s="16"/>
    </row>
    <row r="46" outlineLevel="1">
      <c r="A46" s="9" t="s">
        <v>66</v>
      </c>
      <c r="I46" s="16"/>
    </row>
    <row r="47" outlineLevel="2">
      <c r="A47" s="10" t="s">
        <v>67</v>
      </c>
      <c r="B47" s="0" t="s">
        <v>68</v>
      </c>
      <c r="C47" s="11">
        <v>4.1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68</v>
      </c>
      <c r="C48" s="11">
        <v>2.26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68</v>
      </c>
      <c r="C49" s="11">
        <v>1.33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68</v>
      </c>
      <c r="C50" s="11">
        <v>2.44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68</v>
      </c>
      <c r="C51" s="11">
        <v>57.7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68</v>
      </c>
      <c r="C52" s="11">
        <v>0.82</v>
      </c>
      <c r="D52" s="11"/>
      <c r="E52" s="11"/>
      <c r="F52" s="11"/>
      <c r="G52" s="11"/>
      <c r="I52" s="16"/>
    </row>
    <row r="53" outlineLevel="2">
      <c r="A53" s="10" t="s">
        <v>74</v>
      </c>
      <c r="B53" s="0" t="s">
        <v>68</v>
      </c>
      <c r="C53" s="11">
        <v>1.01</v>
      </c>
      <c r="D53" s="11"/>
      <c r="E53" s="11"/>
      <c r="F53" s="11"/>
      <c r="G53" s="11"/>
      <c r="I53" s="16"/>
    </row>
    <row r="54" outlineLevel="2">
      <c r="A54" s="10" t="s">
        <v>75</v>
      </c>
      <c r="B54" s="0" t="s">
        <v>68</v>
      </c>
      <c r="C54" s="11">
        <v>7.9</v>
      </c>
      <c r="D54" s="11"/>
      <c r="E54" s="11"/>
      <c r="F54" s="11"/>
      <c r="G54" s="11"/>
      <c r="I54" s="16"/>
    </row>
    <row r="55" outlineLevel="2">
      <c r="A55" s="10" t="s">
        <v>76</v>
      </c>
      <c r="B55" s="0" t="s">
        <v>68</v>
      </c>
      <c r="C55" s="11">
        <v>2.82</v>
      </c>
      <c r="D55" s="11"/>
      <c r="E55" s="11"/>
      <c r="F55" s="11"/>
      <c r="G55" s="11"/>
      <c r="I55" s="16"/>
    </row>
    <row r="56" outlineLevel="2">
      <c r="A56" s="10" t="s">
        <v>77</v>
      </c>
      <c r="B56" s="0" t="s">
        <v>68</v>
      </c>
      <c r="C56" s="11">
        <v>0.1</v>
      </c>
      <c r="D56" s="11"/>
      <c r="E56" s="11"/>
      <c r="F56" s="11"/>
      <c r="G56" s="11"/>
      <c r="I56" s="16"/>
    </row>
    <row r="57" outlineLevel="2">
      <c r="A57" s="10" t="s">
        <v>78</v>
      </c>
      <c r="B57" s="0" t="s">
        <v>68</v>
      </c>
      <c r="C57" s="11">
        <v>7.5</v>
      </c>
      <c r="D57" s="11"/>
      <c r="E57" s="11"/>
      <c r="F57" s="11"/>
      <c r="G57" s="11"/>
      <c r="I57" s="16"/>
    </row>
    <row r="58" outlineLevel="2">
      <c r="A58" s="10" t="s">
        <v>79</v>
      </c>
      <c r="B58" s="0" t="s">
        <v>80</v>
      </c>
      <c r="C58" s="12">
        <v>13</v>
      </c>
      <c r="D58" s="12"/>
      <c r="E58" s="12"/>
      <c r="F58" s="12"/>
      <c r="G58" s="12"/>
      <c r="I58" s="16"/>
    </row>
    <row r="59" outlineLevel="2">
      <c r="A59" s="10" t="s">
        <v>81</v>
      </c>
      <c r="B59" s="0" t="s">
        <v>80</v>
      </c>
      <c r="C59" s="12">
        <v>0.07</v>
      </c>
      <c r="D59" s="12"/>
      <c r="E59" s="12"/>
      <c r="F59" s="12"/>
      <c r="G59" s="12"/>
      <c r="I59" s="16"/>
    </row>
    <row r="60" outlineLevel="2">
      <c r="A60" s="10" t="s">
        <v>82</v>
      </c>
      <c r="B60" s="0" t="s">
        <v>80</v>
      </c>
      <c r="C60" s="12">
        <v>54</v>
      </c>
      <c r="D60" s="12"/>
      <c r="E60" s="12"/>
      <c r="F60" s="12"/>
      <c r="G60" s="12"/>
      <c r="I60" s="16"/>
    </row>
    <row r="61" outlineLevel="2">
      <c r="A61" s="10" t="s">
        <v>83</v>
      </c>
      <c r="B61" s="0" t="s">
        <v>80</v>
      </c>
      <c r="C61" s="12">
        <v>0.01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https://phyllis.nl/Biomass/View/571</dc:description>
  <dcterms:created xsi:type="dcterms:W3CDTF">2026-03-04T04:10:44Z</dcterms:created>
  <dc:title>Phyllis2 #571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