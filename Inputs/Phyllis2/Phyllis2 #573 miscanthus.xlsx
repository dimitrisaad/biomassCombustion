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73 miscanthus" sheetId="1" r:id="rId1"/>
  </sheets>
  <definedNames>
    <definedName name="w" localSheetId="0">IF(ISBLANK('Phyllis2 #573 miscanthus'!$C$19),#N/A,'Phyllis2 #573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<sst xmlns="http://schemas.openxmlformats.org/spreadsheetml/2006/main" count="85" uniqueCount="85">
  <si>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</si>
  <si>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https://phyllis.nl/Biomass/View/573</t>
  </si>
  <si>
    <t>miscanthus (#573)</t>
  </si>
  <si>
    <t>ID-number</t>
  </si>
  <si>
    <t>#573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</si>
  <si>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</si>
  <si>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</si>
  <si>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</si>
  <si>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</si>
  <si>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</si>
  <si>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</si>
  <si>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</si>
  <si>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</si>
  <si>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</si>
  <si>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</si>
  <si>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2 year, harvest feb.1991 Ilz,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</si>
  <si>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</si>
  <si>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</si>
  <si>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</si>
  <si>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</si>
  <si>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</si>
  <si>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</si>
  <si>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</si>
  <si>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</si>
  <si>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</si>
  <si>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</si>
  <si>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</si>
  <si>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</si>
  <si>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</si>
  <si>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</si>
  <si>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</si>
  <si>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</si>
  <si>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</si>
  <si>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</si>
  <si>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</si>
  <si>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</si>
  <si>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</si>
  <si>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</si>
  <si>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</si>
  <si>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</si>
  <si>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</si>
  <si>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</si>
  <si>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</si>
  <si>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</si>
  <si>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</si>
  <si>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</si>
  <si>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</si>
  <si>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</si>
  <si>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</si>
  <si>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</si>
  <si>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</si>
  <si>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</si>
  <si>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</si>
  <si>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</si>
  <si>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</si>
  <si>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Unknown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</si>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</sst>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7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38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IFERROR(5.28*(1-w),"")</f>
        <v>3.2736</v>
      </c>
      <c r="D20" s="11">
        <v>5.28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IFERROR(47.8*(1-w),"")</f>
        <v>29.636</v>
      </c>
      <c r="D22" s="11">
        <v>47.8</v>
      </c>
      <c r="E22" s="11">
        <v>50.464527027027025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IFERROR(5.4*(1-w),"")</f>
        <v>3.3480000000000003</v>
      </c>
      <c r="D23" s="11">
        <v>5.4</v>
      </c>
      <c r="E23" s="11">
        <v>5.701013513513514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IFERROR(40.94*(1-w),"")</f>
        <v>25.3828</v>
      </c>
      <c r="D24" s="11">
        <v>40.94</v>
      </c>
      <c r="E24" s="11">
        <v>43.222128378378372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IFERROR(0.37*(1-w),"")</f>
        <v>0.2294</v>
      </c>
      <c r="D25" s="11">
        <v>0.37</v>
      </c>
      <c r="E25" s="11">
        <v>0.390625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IFERROR(0.05*(1-w),"")</f>
        <v>0.031</v>
      </c>
      <c r="D26" s="11">
        <v>0.05</v>
      </c>
      <c r="E26" s="11">
        <v>0.052787162162162164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99.999999999999986</v>
      </c>
      <c r="E27" s="11">
        <v>99.999999999999986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IFERROR(1600*(1-w),"")</f>
        <v>992</v>
      </c>
      <c r="D29" s="12">
        <v>1600</v>
      </c>
      <c r="E29" s="12">
        <v>1689.1891891891892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IFERROR(17.822*(1-w)-w*2.443,"")</f>
        <v>10.1213</v>
      </c>
      <c r="D31" s="11">
        <v>17.822</v>
      </c>
      <c r="E31" s="11">
        <v>18.815456081081081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IFERROR(19.01*(1-w),"")</f>
        <v>11.786200000000001</v>
      </c>
      <c r="D32" s="11">
        <v>19.01</v>
      </c>
      <c r="E32" s="11">
        <v>20.069679054054056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IFERROR(18.4083113952*(1-w),"")</f>
        <v>11.413153065024003</v>
      </c>
      <c r="D33" s="11">
        <v>18.408311395200005</v>
      </c>
      <c r="E33" s="11">
        <v>19.434450375000004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0.11</v>
      </c>
      <c r="D35" s="12"/>
      <c r="E35" s="12"/>
      <c r="F35" s="12"/>
      <c r="G35" s="12"/>
      <c r="I35" s="16"/>
      <c r="J35" s="0" t="s">
        <v>55</v>
      </c>
    </row>
    <row r="36" outlineLevel="2">
      <c r="A36" s="10" t="s">
        <v>56</v>
      </c>
      <c r="B36" s="0" t="s">
        <v>54</v>
      </c>
      <c r="C36" s="12">
        <v>1.8</v>
      </c>
      <c r="D36" s="12"/>
      <c r="E36" s="12"/>
      <c r="F36" s="12"/>
      <c r="G36" s="12"/>
      <c r="I36" s="16"/>
      <c r="J36" s="0" t="s">
        <v>55</v>
      </c>
    </row>
    <row r="37" outlineLevel="2">
      <c r="A37" s="10" t="s">
        <v>57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55</v>
      </c>
    </row>
    <row r="38" outlineLevel="2">
      <c r="A38" s="10" t="s">
        <v>58</v>
      </c>
      <c r="B38" s="0" t="s">
        <v>54</v>
      </c>
      <c r="C38" s="12">
        <v>3.2</v>
      </c>
      <c r="D38" s="12"/>
      <c r="E38" s="12"/>
      <c r="F38" s="12"/>
      <c r="G38" s="12"/>
      <c r="I38" s="16"/>
      <c r="J38" s="0" t="s">
        <v>55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800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1100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1290</v>
      </c>
      <c r="D43" s="15"/>
      <c r="E43" s="15"/>
      <c r="F43" s="15"/>
      <c r="G43" s="15"/>
      <c r="I43" s="16"/>
    </row>
    <row r="44" outlineLevel="3">
      <c r="A44" s="14" t="s">
        <v>65</v>
      </c>
      <c r="B44" s="0" t="s">
        <v>62</v>
      </c>
      <c r="C44" s="15">
        <v>1350</v>
      </c>
      <c r="D44" s="15"/>
      <c r="E44" s="15"/>
      <c r="F44" s="15"/>
      <c r="G44" s="15"/>
      <c r="I44" s="16"/>
    </row>
    <row r="45">
      <c r="A45" s="5" t="s">
        <v>66</v>
      </c>
      <c r="I45" s="16"/>
    </row>
    <row r="46" outlineLevel="1">
      <c r="A46" s="9" t="s">
        <v>67</v>
      </c>
      <c r="I46" s="16"/>
    </row>
    <row r="47" outlineLevel="2">
      <c r="A47" s="10" t="s">
        <v>68</v>
      </c>
      <c r="B47" s="0" t="s">
        <v>69</v>
      </c>
      <c r="C47" s="11">
        <v>0.3666667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69</v>
      </c>
      <c r="C48" s="11">
        <v>1.2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69</v>
      </c>
      <c r="C49" s="11">
        <v>0.03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69</v>
      </c>
      <c r="C50" s="11">
        <v>2.81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69</v>
      </c>
      <c r="C51" s="11">
        <v>85.4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69</v>
      </c>
      <c r="C52" s="11">
        <v>0.11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69</v>
      </c>
      <c r="C53" s="11">
        <v>0.21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69</v>
      </c>
      <c r="C54" s="11">
        <v>3.7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69</v>
      </c>
      <c r="C55" s="11">
        <v>0.88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69</v>
      </c>
      <c r="C56" s="11">
        <v>0.14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69</v>
      </c>
      <c r="C57" s="11">
        <v>5</v>
      </c>
      <c r="D57" s="11"/>
      <c r="E57" s="11"/>
      <c r="F57" s="11"/>
      <c r="G57" s="11"/>
      <c r="I57" s="16"/>
    </row>
    <row r="58" outlineLevel="2">
      <c r="A58" s="10" t="s">
        <v>80</v>
      </c>
      <c r="B58" s="0" t="s">
        <v>81</v>
      </c>
      <c r="C58" s="12">
        <v>8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81</v>
      </c>
      <c r="C59" s="12">
        <v>0.33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81</v>
      </c>
      <c r="C60" s="12">
        <v>18</v>
      </c>
      <c r="D60" s="12"/>
      <c r="E60" s="12"/>
      <c r="F60" s="12"/>
      <c r="G60" s="12"/>
      <c r="I60" s="16"/>
    </row>
    <row r="61" outlineLevel="2">
      <c r="A61" s="10" t="s">
        <v>84</v>
      </c>
      <c r="B61" s="0" t="s">
        <v>81</v>
      </c>
      <c r="C61" s="12">
        <v>0.02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3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https://phyllis.nl/Biomass/View/573</dc:description>
  <dcterms:created xsi:type="dcterms:W3CDTF">2026-03-04T04:10:51Z</dcterms:created>
  <dc:title>Phyllis2 #573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