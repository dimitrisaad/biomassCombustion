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7 miscanthus" sheetId="1" r:id="rId1"/>
  </sheets>
  <definedNames>
    <definedName name="w" localSheetId="0">IF(ISBLANK('Phyllis2 #577 miscanthus'!$C$19),#N/A,'Phyllis2 #577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<sst xmlns="http://schemas.openxmlformats.org/spreadsheetml/2006/main" count="84" uniqueCount="84">
  <si>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</si>
  <si>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https://phyllis.nl/Biomass/View/577</t>
  </si>
  <si>
    <t>miscanthus (#577)</t>
  </si>
  <si>
    <t>ID-number</t>
  </si>
  <si>
    <t>#577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</si>
  <si>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</si>
  <si>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</si>
  <si>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</si>
  <si>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</si>
  <si>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</si>
  <si>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</si>
  <si>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</si>
  <si>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</si>
  <si>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</si>
  <si>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</si>
  <si>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moisture content average of harvest jan.1991,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</si>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</sst>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45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IFERROR(4.13*(1-w),"")</f>
        <v>2.2715</v>
      </c>
      <c r="D20" s="11">
        <v>4.13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IFERROR(47.67*(1-w),"")</f>
        <v>26.218500000000002</v>
      </c>
      <c r="D22" s="11">
        <v>47.67</v>
      </c>
      <c r="E22" s="11">
        <v>49.723584020027126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IFERROR(5.6*(1-w),"")</f>
        <v>3.08</v>
      </c>
      <c r="D23" s="11">
        <v>5.6</v>
      </c>
      <c r="E23" s="11">
        <v>5.8412433503702932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IFERROR(41.7*(1-w),"")</f>
        <v>22.935000000000002</v>
      </c>
      <c r="D24" s="11">
        <v>41.7</v>
      </c>
      <c r="E24" s="11">
        <v>43.496401376864505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IFERROR(0.49*(1-w),"")</f>
        <v>0.2695</v>
      </c>
      <c r="D25" s="11">
        <v>0.49</v>
      </c>
      <c r="E25" s="11">
        <v>0.51110879315740065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IFERROR(0.06*(1-w),"")</f>
        <v>0.033</v>
      </c>
      <c r="D26" s="11">
        <v>0.06</v>
      </c>
      <c r="E26" s="11">
        <v>0.062584750182538854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99.999999999999986</v>
      </c>
      <c r="E27" s="11">
        <v>99.999999999999986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IFERROR(3500*(1-w),"")</f>
        <v>1925.0000000000002</v>
      </c>
      <c r="D29" s="12">
        <v>3500</v>
      </c>
      <c r="E29" s="12">
        <v>3650.7770939814332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IFERROR(17.878*(1-w)-w*2.443,"")</f>
        <v>8.733550000000001</v>
      </c>
      <c r="D31" s="11">
        <v>17.878</v>
      </c>
      <c r="E31" s="11">
        <v>18.64816939605716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IFERROR(19.11*(1-w),"")</f>
        <v>10.5105</v>
      </c>
      <c r="D32" s="11">
        <v>19.11</v>
      </c>
      <c r="E32" s="11">
        <v>19.933242933138626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IFERROR(18.5394067057*(1-w),"")</f>
        <v>10.196673688135002</v>
      </c>
      <c r="D33" s="11">
        <v>18.539406705700003</v>
      </c>
      <c r="E33" s="11">
        <v>19.338068953478672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0.11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2.7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0.02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5.4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850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1020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1090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1220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0.3666667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2.6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0.54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2.19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77.2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0.8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0.32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6.4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2.12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0.07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9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22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0.6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518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0.07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https://phyllis.nl/Biomass/View/577</dc:description>
  <dcterms:created xsi:type="dcterms:W3CDTF">2026-03-04T04:11:08Z</dcterms:created>
  <dc:title>Phyllis2 #577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