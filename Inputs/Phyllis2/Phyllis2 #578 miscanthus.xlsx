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78 miscanthus" sheetId="1" r:id="rId1"/>
  </sheets>
  <definedNames>
    <definedName name="w" localSheetId="0">IF(ISBLANK('Phyllis2 #578 miscanthus'!$C$19),#N/A,'Phyllis2 #578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<sst xmlns="http://schemas.openxmlformats.org/spreadsheetml/2006/main" count="73" uniqueCount="73">
  <si>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</si>
  <si>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https://phyllis.nl/Biomass/View/578</t>
  </si>
  <si>
    <t>miscanthus (#578)</t>
  </si>
  <si>
    <t>ID-number</t>
  </si>
  <si>
    <t>#578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</si>
  <si>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</si>
  <si>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</si>
  <si>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</si>
  <si>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</si>
  <si>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</si>
  <si>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</si>
  <si>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</si>
  <si>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</si>
  <si>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</si>
  <si>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</si>
  <si>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harvest feb.1991 Atzenbrugg,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</si>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</sst>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41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IFERROR(4.34*(1-w),"")</f>
        <v>2.5606000000000004</v>
      </c>
      <c r="D20" s="11">
        <v>4.34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IFERROR(47.64*(1-w),"")</f>
        <v>28.107600000000005</v>
      </c>
      <c r="D22" s="11">
        <v>47.64</v>
      </c>
      <c r="E22" s="11">
        <v>49.801379887100147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IFERROR(5.47*(1-w),"")</f>
        <v>3.2273000000000005</v>
      </c>
      <c r="D23" s="11">
        <v>5.47</v>
      </c>
      <c r="E23" s="11">
        <v>5.71816851348526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IFERROR(41.69*(1-w),"")</f>
        <v>24.5971</v>
      </c>
      <c r="D24" s="11">
        <v>41.69</v>
      </c>
      <c r="E24" s="11">
        <v>43.581434246288936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IFERROR(0.49*(1-w),"")</f>
        <v>0.2891</v>
      </c>
      <c r="D25" s="11">
        <v>0.49</v>
      </c>
      <c r="E25" s="11">
        <v>0.51223081747856991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IFERROR(0.06*(1-w),"")</f>
        <v>0.0354</v>
      </c>
      <c r="D26" s="11">
        <v>0.06</v>
      </c>
      <c r="E26" s="11">
        <v>0.062722140915743255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IFERROR(3100*(1-w),"")</f>
        <v>1829.0000000000002</v>
      </c>
      <c r="D29" s="12">
        <v>3100</v>
      </c>
      <c r="E29" s="12">
        <v>3240.6439473134014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IFERROR(17.677*(1-w)-w*2.443,"")</f>
        <v>9.4278000000000013</v>
      </c>
      <c r="D31" s="11">
        <v>17.677</v>
      </c>
      <c r="E31" s="11">
        <v>18.478988082793226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IFERROR(18.88*(1-w),"")</f>
        <v>11.1392</v>
      </c>
      <c r="D32" s="11">
        <v>18.88</v>
      </c>
      <c r="E32" s="11">
        <v>19.736567008153877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IFERROR(18.3555758468*(1-w),"")</f>
        <v>10.829789749612003</v>
      </c>
      <c r="D33" s="11">
        <v>18.3555758468</v>
      </c>
      <c r="E33" s="11">
        <v>19.188350247543383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3" t="s">
        <v>53</v>
      </c>
      <c r="I35" s="16"/>
    </row>
    <row r="36" outlineLevel="3">
      <c r="A36" s="14" t="s">
        <v>54</v>
      </c>
      <c r="B36" s="0" t="s">
        <v>55</v>
      </c>
      <c r="C36" s="15">
        <v>870</v>
      </c>
      <c r="D36" s="15"/>
      <c r="E36" s="15"/>
      <c r="F36" s="15"/>
      <c r="G36" s="15"/>
      <c r="I36" s="16"/>
    </row>
    <row r="37" outlineLevel="3">
      <c r="A37" s="14" t="s">
        <v>56</v>
      </c>
      <c r="B37" s="0" t="s">
        <v>55</v>
      </c>
      <c r="C37" s="15">
        <v>1030</v>
      </c>
      <c r="D37" s="15"/>
      <c r="E37" s="15"/>
      <c r="F37" s="15"/>
      <c r="G37" s="15"/>
      <c r="I37" s="16"/>
    </row>
    <row r="38" outlineLevel="3">
      <c r="A38" s="14" t="s">
        <v>57</v>
      </c>
      <c r="B38" s="0" t="s">
        <v>55</v>
      </c>
      <c r="C38" s="15">
        <v>1130</v>
      </c>
      <c r="D38" s="15"/>
      <c r="E38" s="15"/>
      <c r="F38" s="15"/>
      <c r="G38" s="15"/>
      <c r="I38" s="16"/>
    </row>
    <row r="39" outlineLevel="3">
      <c r="A39" s="14" t="s">
        <v>58</v>
      </c>
      <c r="B39" s="0" t="s">
        <v>55</v>
      </c>
      <c r="C39" s="15">
        <v>1200</v>
      </c>
      <c r="D39" s="15"/>
      <c r="E39" s="15"/>
      <c r="F39" s="15"/>
      <c r="G39" s="15"/>
      <c r="I39" s="16"/>
    </row>
    <row r="40">
      <c r="A40" s="5" t="s">
        <v>59</v>
      </c>
      <c r="I40" s="16"/>
    </row>
    <row r="41" outlineLevel="1">
      <c r="A41" s="9" t="s">
        <v>60</v>
      </c>
      <c r="I41" s="16"/>
    </row>
    <row r="42" outlineLevel="2">
      <c r="A42" s="10" t="s">
        <v>61</v>
      </c>
      <c r="B42" s="0" t="s">
        <v>62</v>
      </c>
      <c r="C42" s="11">
        <v>0.3666667</v>
      </c>
      <c r="D42" s="11"/>
      <c r="E42" s="11"/>
      <c r="F42" s="11"/>
      <c r="G42" s="11"/>
      <c r="I42" s="16"/>
    </row>
    <row r="43" outlineLevel="2">
      <c r="A43" s="10" t="s">
        <v>63</v>
      </c>
      <c r="B43" s="0" t="s">
        <v>62</v>
      </c>
      <c r="C43" s="11">
        <v>2.1</v>
      </c>
      <c r="D43" s="11"/>
      <c r="E43" s="11"/>
      <c r="F43" s="11"/>
      <c r="G43" s="11"/>
      <c r="I43" s="16"/>
    </row>
    <row r="44" outlineLevel="2">
      <c r="A44" s="10" t="s">
        <v>64</v>
      </c>
      <c r="B44" s="0" t="s">
        <v>62</v>
      </c>
      <c r="C44" s="11">
        <v>0.74</v>
      </c>
      <c r="D44" s="11"/>
      <c r="E44" s="11"/>
      <c r="F44" s="11"/>
      <c r="G44" s="11"/>
      <c r="I44" s="16"/>
    </row>
    <row r="45" outlineLevel="2">
      <c r="A45" s="10" t="s">
        <v>65</v>
      </c>
      <c r="B45" s="0" t="s">
        <v>62</v>
      </c>
      <c r="C45" s="11">
        <v>1.81</v>
      </c>
      <c r="D45" s="11"/>
      <c r="E45" s="11"/>
      <c r="F45" s="11"/>
      <c r="G45" s="11"/>
      <c r="I45" s="16"/>
    </row>
    <row r="46" outlineLevel="2">
      <c r="A46" s="10" t="s">
        <v>66</v>
      </c>
      <c r="B46" s="0" t="s">
        <v>62</v>
      </c>
      <c r="C46" s="11">
        <v>74.3</v>
      </c>
      <c r="D46" s="11"/>
      <c r="E46" s="11"/>
      <c r="F46" s="11"/>
      <c r="G46" s="11"/>
      <c r="I46" s="16"/>
    </row>
    <row r="47" outlineLevel="2">
      <c r="A47" s="10" t="s">
        <v>67</v>
      </c>
      <c r="B47" s="0" t="s">
        <v>62</v>
      </c>
      <c r="C47" s="11">
        <v>0.22</v>
      </c>
      <c r="D47" s="11"/>
      <c r="E47" s="11"/>
      <c r="F47" s="11"/>
      <c r="G47" s="11"/>
      <c r="I47" s="16"/>
    </row>
    <row r="48" outlineLevel="2">
      <c r="A48" s="10" t="s">
        <v>68</v>
      </c>
      <c r="B48" s="0" t="s">
        <v>62</v>
      </c>
      <c r="C48" s="11">
        <v>0.27</v>
      </c>
      <c r="D48" s="11"/>
      <c r="E48" s="11"/>
      <c r="F48" s="11"/>
      <c r="G48" s="11"/>
      <c r="I48" s="16"/>
    </row>
    <row r="49" outlineLevel="2">
      <c r="A49" s="10" t="s">
        <v>69</v>
      </c>
      <c r="B49" s="0" t="s">
        <v>62</v>
      </c>
      <c r="C49" s="11">
        <v>6.4</v>
      </c>
      <c r="D49" s="11"/>
      <c r="E49" s="11"/>
      <c r="F49" s="11"/>
      <c r="G49" s="11"/>
      <c r="I49" s="16"/>
    </row>
    <row r="50" outlineLevel="2">
      <c r="A50" s="10" t="s">
        <v>70</v>
      </c>
      <c r="B50" s="0" t="s">
        <v>62</v>
      </c>
      <c r="C50" s="11">
        <v>2.8</v>
      </c>
      <c r="D50" s="11"/>
      <c r="E50" s="11"/>
      <c r="F50" s="11"/>
      <c r="G50" s="11"/>
      <c r="I50" s="16"/>
    </row>
    <row r="51" outlineLevel="2">
      <c r="A51" s="10" t="s">
        <v>71</v>
      </c>
      <c r="B51" s="0" t="s">
        <v>62</v>
      </c>
      <c r="C51" s="11">
        <v>0.26</v>
      </c>
      <c r="D51" s="11"/>
      <c r="E51" s="11"/>
      <c r="F51" s="11"/>
      <c r="G51" s="11"/>
      <c r="I51" s="16"/>
    </row>
    <row r="52" outlineLevel="2">
      <c r="A52" s="10" t="s">
        <v>72</v>
      </c>
      <c r="B52" s="0" t="s">
        <v>62</v>
      </c>
      <c r="C52" s="11">
        <v>9.9</v>
      </c>
      <c r="D52" s="11"/>
      <c r="E52" s="11"/>
      <c r="F52" s="11"/>
      <c r="G52" s="11"/>
      <c r="I52" s="16"/>
    </row>
    <row r="53">
      <c r="I53" s="16"/>
    </row>
    <row r="5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9" errorStyle="stop" promptTitle="Enter moisture content" errorTitle="Invalid moisture content" prompt="Value should be between 0 and 100.&#10;Original value: 4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https://phyllis.nl/Biomass/View/578</dc:description>
  <dcterms:created xsi:type="dcterms:W3CDTF">2026-03-04T04:11:13Z</dcterms:created>
  <dc:title>Phyllis2 #578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