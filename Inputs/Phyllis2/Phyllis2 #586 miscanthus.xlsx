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86 miscanthus" sheetId="1" r:id="rId1"/>
  </sheets>
  <definedNames>
    <definedName name="w" localSheetId="0">IF(ISBLANK('Phyllis2 #586 miscanthus'!$C$19),#N/A,'Phyllis2 #586 miscanthus'!$C$19/100)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<sst xmlns="http://schemas.openxmlformats.org/spreadsheetml/2006/main" count="84" uniqueCount="84">
  <si>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</si>
  <si>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https://phyllis.nl/Biomass/View/586</t>
  </si>
  <si>
    <t>miscanthus (#586)</t>
  </si>
  <si>
    <t>ID-number</t>
  </si>
  <si>
    <t>#586</t>
  </si>
  <si>
    <t>Material</t>
  </si>
  <si>
    <t>miscanthus</t>
  </si>
  <si>
    <t>Classification</t>
  </si>
  <si>
    <t>ECN Phyllis classification &gt; grass/plant &gt; miscanthus &gt; miscanthus</t>
  </si>
  <si>
    <t>NTA 8003 classification &gt; [200] biomassa uit land- en tuinbouw &gt; [210] gras &gt; [212] olifantsgras/miscanthus</t>
  </si>
  <si>
    <t>Ash type</t>
  </si>
  <si>
    <t>laboratory</t>
  </si>
  <si>
    <t>Submitter organisation</t>
  </si>
  <si>
    <t>ECN (Netherlands)</t>
  </si>
  <si>
    <t>Remarks</t>
  </si>
  <si>
    <t>3 year, moisture content average of harvest jan.1992, 6 sites in Austria cf. Biomass &amp; Bioenergy 5 (1993) 413-419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</si>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</sst>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8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6"/>
    </row>
    <row r="18" outlineLevel="1">
      <c r="A18" s="9" t="s">
        <v>31</v>
      </c>
      <c r="I18" s="16"/>
    </row>
    <row r="19" outlineLevel="2">
      <c r="A19" s="10" t="s">
        <v>32</v>
      </c>
      <c r="B19" s="0" t="s">
        <v>33</v>
      </c>
      <c r="C19" s="11">
        <v>42</v>
      </c>
      <c r="D19" s="11"/>
      <c r="E19" s="11"/>
      <c r="F19" s="11"/>
      <c r="G19" s="11"/>
      <c r="I19" s="16"/>
    </row>
    <row r="20" outlineLevel="2">
      <c r="A20" s="10" t="s">
        <v>34</v>
      </c>
      <c r="B20" s="0" t="s">
        <v>33</v>
      </c>
      <c r="C20" s="11">
        <f>IFERROR(2.92*(1-w),"")</f>
        <v>1.6936000000000002</v>
      </c>
      <c r="D20" s="11">
        <v>2.92</v>
      </c>
      <c r="E20" s="11">
        <v/>
      </c>
      <c r="F20" s="11"/>
      <c r="G20" s="11"/>
      <c r="I20" s="16"/>
    </row>
    <row r="21" outlineLevel="1">
      <c r="A21" s="9" t="s">
        <v>35</v>
      </c>
      <c r="I21" s="16"/>
    </row>
    <row r="22" outlineLevel="2">
      <c r="A22" s="10" t="s">
        <v>36</v>
      </c>
      <c r="B22" s="0" t="s">
        <v>33</v>
      </c>
      <c r="C22" s="11">
        <f>IFERROR(48.14*(1-w),"")</f>
        <v>27.921200000000002</v>
      </c>
      <c r="D22" s="11">
        <v>48.14</v>
      </c>
      <c r="E22" s="11">
        <v>49.587968685620105</v>
      </c>
      <c r="F22" s="11"/>
      <c r="G22" s="11"/>
      <c r="I22" s="16"/>
      <c r="J22" s="0" t="s">
        <v>37</v>
      </c>
    </row>
    <row r="23" outlineLevel="2">
      <c r="A23" s="10" t="s">
        <v>38</v>
      </c>
      <c r="B23" s="0" t="s">
        <v>33</v>
      </c>
      <c r="C23" s="11">
        <f>IFERROR(5.47*(1-w),"")</f>
        <v>3.1726</v>
      </c>
      <c r="D23" s="11">
        <v>5.47</v>
      </c>
      <c r="E23" s="11">
        <v>5.6345282241450345</v>
      </c>
      <c r="F23" s="11"/>
      <c r="G23" s="11"/>
      <c r="I23" s="16"/>
      <c r="J23" s="0" t="s">
        <v>37</v>
      </c>
    </row>
    <row r="24" outlineLevel="2">
      <c r="A24" s="10" t="s">
        <v>39</v>
      </c>
      <c r="B24" s="0" t="s">
        <v>33</v>
      </c>
      <c r="C24" s="11">
        <f>IFERROR(42.53*(1-w),"")</f>
        <v>24.667400000000004</v>
      </c>
      <c r="D24" s="11">
        <v>42.53</v>
      </c>
      <c r="E24" s="11">
        <v>43.809229501442111</v>
      </c>
      <c r="F24" s="11"/>
      <c r="G24" s="11"/>
      <c r="I24" s="16"/>
      <c r="J24" s="0" t="s">
        <v>40</v>
      </c>
    </row>
    <row r="25" outlineLevel="2">
      <c r="A25" s="10" t="s">
        <v>41</v>
      </c>
      <c r="B25" s="0" t="s">
        <v>33</v>
      </c>
      <c r="C25" s="11">
        <f>IFERROR(0.53*(1-w),"")</f>
        <v>0.30740000000000006</v>
      </c>
      <c r="D25" s="11">
        <v>0.53</v>
      </c>
      <c r="E25" s="11">
        <v>0.54594149155335814</v>
      </c>
      <c r="F25" s="11"/>
      <c r="G25" s="11"/>
      <c r="I25" s="16"/>
      <c r="J25" s="0" t="s">
        <v>37</v>
      </c>
    </row>
    <row r="26" outlineLevel="2">
      <c r="A26" s="10" t="s">
        <v>42</v>
      </c>
      <c r="B26" s="0" t="s">
        <v>33</v>
      </c>
      <c r="C26" s="11">
        <f>IFERROR(0.03*(1-w),"")</f>
        <v>0.017400000000000002</v>
      </c>
      <c r="D26" s="11">
        <v>0.03</v>
      </c>
      <c r="E26" s="11">
        <v>0.030902348578491966</v>
      </c>
      <c r="F26" s="11"/>
      <c r="G26" s="11"/>
      <c r="I26" s="16"/>
      <c r="J26" s="0" t="s">
        <v>37</v>
      </c>
    </row>
    <row r="27" outlineLevel="2">
      <c r="A27" s="10" t="s">
        <v>43</v>
      </c>
      <c r="B27" s="0" t="s">
        <v>33</v>
      </c>
      <c r="C27" s="11">
        <f>IFERROR(100*(1-w)+w*100,"")</f>
        <v>100</v>
      </c>
      <c r="D27" s="11">
        <v>100</v>
      </c>
      <c r="E27" s="11">
        <v>100</v>
      </c>
      <c r="F27" s="11"/>
      <c r="G27" s="11"/>
      <c r="I27" s="16"/>
      <c r="J27" s="0" t="s">
        <v>40</v>
      </c>
    </row>
    <row r="28" outlineLevel="1">
      <c r="A28" s="9" t="s">
        <v>44</v>
      </c>
      <c r="I28" s="16"/>
    </row>
    <row r="29" outlineLevel="2">
      <c r="A29" s="10" t="s">
        <v>45</v>
      </c>
      <c r="B29" s="0" t="s">
        <v>46</v>
      </c>
      <c r="C29" s="12">
        <f>IFERROR(3800*(1-w),"")</f>
        <v>2204.0000000000005</v>
      </c>
      <c r="D29" s="12">
        <v>3800</v>
      </c>
      <c r="E29" s="12">
        <v>3914.2974866089821</v>
      </c>
      <c r="F29" s="12"/>
      <c r="G29" s="12"/>
      <c r="I29" s="16"/>
      <c r="J29" s="0" t="s">
        <v>37</v>
      </c>
    </row>
    <row r="30" outlineLevel="1">
      <c r="A30" s="9" t="s">
        <v>47</v>
      </c>
      <c r="I30" s="16"/>
    </row>
    <row r="31" outlineLevel="2">
      <c r="A31" s="10" t="s">
        <v>48</v>
      </c>
      <c r="B31" s="0" t="s">
        <v>49</v>
      </c>
      <c r="C31" s="11">
        <f>IFERROR(17.908*(1-w)-w*2.443,"")</f>
        <v>9.3605800000000023</v>
      </c>
      <c r="D31" s="11">
        <v>17.908</v>
      </c>
      <c r="E31" s="11">
        <v>18.446641944787807</v>
      </c>
      <c r="F31" s="11"/>
      <c r="G31" s="11"/>
      <c r="I31" s="16"/>
    </row>
    <row r="32" outlineLevel="2">
      <c r="A32" s="10" t="s">
        <v>50</v>
      </c>
      <c r="B32" s="0" t="s">
        <v>49</v>
      </c>
      <c r="C32" s="11">
        <f>IFERROR(19.111*(1-w),"")</f>
        <v>11.084380000000001</v>
      </c>
      <c r="D32" s="11">
        <v>19.111</v>
      </c>
      <c r="E32" s="11">
        <v>19.685826122785333</v>
      </c>
      <c r="F32" s="11"/>
      <c r="G32" s="11"/>
      <c r="I32" s="16"/>
    </row>
    <row r="33" outlineLevel="2">
      <c r="A33" s="10" t="s">
        <v>51</v>
      </c>
      <c r="B33" s="0" t="s">
        <v>49</v>
      </c>
      <c r="C33" s="11">
        <f>IFERROR(18.4385665392*(1-w),"")</f>
        <v>10.694368592736003</v>
      </c>
      <c r="D33" s="11">
        <v>18.438566539200004</v>
      </c>
      <c r="E33" s="11">
        <v>18.993167016069226</v>
      </c>
      <c r="F33" s="11"/>
      <c r="G33" s="11"/>
      <c r="I33" s="16"/>
      <c r="J33" s="0" t="s">
        <v>40</v>
      </c>
    </row>
    <row r="34" outlineLevel="1">
      <c r="A34" s="9" t="s">
        <v>52</v>
      </c>
      <c r="I34" s="16"/>
    </row>
    <row r="35" outlineLevel="2">
      <c r="A35" s="10" t="s">
        <v>53</v>
      </c>
      <c r="B35" s="0" t="s">
        <v>54</v>
      </c>
      <c r="C35" s="12">
        <v>0.08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55</v>
      </c>
      <c r="B36" s="0" t="s">
        <v>54</v>
      </c>
      <c r="C36" s="12">
        <v>1.29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56</v>
      </c>
      <c r="B37" s="0" t="s">
        <v>54</v>
      </c>
      <c r="C37" s="12">
        <v>0.01</v>
      </c>
      <c r="D37" s="12"/>
      <c r="E37" s="12"/>
      <c r="F37" s="12"/>
      <c r="G37" s="12"/>
      <c r="I37" s="16"/>
      <c r="J37" s="0" t="s">
        <v>37</v>
      </c>
    </row>
    <row r="38" outlineLevel="2">
      <c r="A38" s="10" t="s">
        <v>57</v>
      </c>
      <c r="B38" s="0" t="s">
        <v>54</v>
      </c>
      <c r="C38" s="12">
        <v>0.54</v>
      </c>
      <c r="D38" s="12"/>
      <c r="E38" s="12"/>
      <c r="F38" s="12"/>
      <c r="G38" s="12"/>
      <c r="I38" s="16"/>
      <c r="J38" s="0" t="s">
        <v>37</v>
      </c>
    </row>
    <row r="39" outlineLevel="1">
      <c r="A39" s="9" t="s">
        <v>58</v>
      </c>
      <c r="I39" s="16"/>
    </row>
    <row r="40" outlineLevel="2">
      <c r="A40" s="13" t="s">
        <v>59</v>
      </c>
      <c r="I40" s="16"/>
    </row>
    <row r="41" outlineLevel="3">
      <c r="A41" s="14" t="s">
        <v>60</v>
      </c>
      <c r="B41" s="0" t="s">
        <v>61</v>
      </c>
      <c r="C41" s="15">
        <v>800</v>
      </c>
      <c r="D41" s="15"/>
      <c r="E41" s="15"/>
      <c r="F41" s="15"/>
      <c r="G41" s="15"/>
      <c r="I41" s="16"/>
    </row>
    <row r="42" outlineLevel="3">
      <c r="A42" s="14" t="s">
        <v>62</v>
      </c>
      <c r="B42" s="0" t="s">
        <v>61</v>
      </c>
      <c r="C42" s="15">
        <v>830</v>
      </c>
      <c r="D42" s="15"/>
      <c r="E42" s="15"/>
      <c r="F42" s="15"/>
      <c r="G42" s="15"/>
      <c r="I42" s="16"/>
    </row>
    <row r="43" outlineLevel="3">
      <c r="A43" s="14" t="s">
        <v>63</v>
      </c>
      <c r="B43" s="0" t="s">
        <v>61</v>
      </c>
      <c r="C43" s="15">
        <v>1000</v>
      </c>
      <c r="D43" s="15"/>
      <c r="E43" s="15"/>
      <c r="F43" s="15"/>
      <c r="G43" s="15"/>
      <c r="I43" s="16"/>
    </row>
    <row r="44" outlineLevel="3">
      <c r="A44" s="14" t="s">
        <v>64</v>
      </c>
      <c r="B44" s="0" t="s">
        <v>61</v>
      </c>
      <c r="C44" s="15">
        <v>1100</v>
      </c>
      <c r="D44" s="15"/>
      <c r="E44" s="15"/>
      <c r="F44" s="15"/>
      <c r="G44" s="15"/>
      <c r="I44" s="16"/>
    </row>
    <row r="45">
      <c r="A45" s="5" t="s">
        <v>65</v>
      </c>
      <c r="I45" s="16"/>
    </row>
    <row r="46" outlineLevel="1">
      <c r="A46" s="9" t="s">
        <v>66</v>
      </c>
      <c r="I46" s="16"/>
    </row>
    <row r="47" outlineLevel="2">
      <c r="A47" s="10" t="s">
        <v>67</v>
      </c>
      <c r="B47" s="0" t="s">
        <v>68</v>
      </c>
      <c r="C47" s="11">
        <v>5.1</v>
      </c>
      <c r="D47" s="11"/>
      <c r="E47" s="11"/>
      <c r="F47" s="11"/>
      <c r="G47" s="11"/>
      <c r="I47" s="16"/>
    </row>
    <row r="48" outlineLevel="2">
      <c r="A48" s="10" t="s">
        <v>69</v>
      </c>
      <c r="B48" s="0" t="s">
        <v>68</v>
      </c>
      <c r="C48" s="11">
        <v>2.01</v>
      </c>
      <c r="D48" s="11"/>
      <c r="E48" s="11"/>
      <c r="F48" s="11"/>
      <c r="G48" s="11"/>
      <c r="I48" s="16"/>
    </row>
    <row r="49" outlineLevel="2">
      <c r="A49" s="10" t="s">
        <v>70</v>
      </c>
      <c r="B49" s="0" t="s">
        <v>68</v>
      </c>
      <c r="C49" s="11">
        <v>3.99</v>
      </c>
      <c r="D49" s="11"/>
      <c r="E49" s="11"/>
      <c r="F49" s="11"/>
      <c r="G49" s="11"/>
      <c r="I49" s="16"/>
    </row>
    <row r="50" outlineLevel="2">
      <c r="A50" s="10" t="s">
        <v>71</v>
      </c>
      <c r="B50" s="0" t="s">
        <v>68</v>
      </c>
      <c r="C50" s="11">
        <v>2.06</v>
      </c>
      <c r="D50" s="11"/>
      <c r="E50" s="11"/>
      <c r="F50" s="11"/>
      <c r="G50" s="11"/>
      <c r="I50" s="16"/>
    </row>
    <row r="51" outlineLevel="2">
      <c r="A51" s="10" t="s">
        <v>72</v>
      </c>
      <c r="B51" s="0" t="s">
        <v>68</v>
      </c>
      <c r="C51" s="11">
        <v>55.3</v>
      </c>
      <c r="D51" s="11"/>
      <c r="E51" s="11"/>
      <c r="F51" s="11"/>
      <c r="G51" s="11"/>
      <c r="I51" s="16"/>
    </row>
    <row r="52" outlineLevel="2">
      <c r="A52" s="10" t="s">
        <v>73</v>
      </c>
      <c r="B52" s="0" t="s">
        <v>68</v>
      </c>
      <c r="C52" s="11">
        <v>0.16</v>
      </c>
      <c r="D52" s="11"/>
      <c r="E52" s="11"/>
      <c r="F52" s="11"/>
      <c r="G52" s="11"/>
      <c r="I52" s="16"/>
    </row>
    <row r="53" outlineLevel="2">
      <c r="A53" s="10" t="s">
        <v>74</v>
      </c>
      <c r="B53" s="0" t="s">
        <v>68</v>
      </c>
      <c r="C53" s="11">
        <v>0.15</v>
      </c>
      <c r="D53" s="11"/>
      <c r="E53" s="11"/>
      <c r="F53" s="11"/>
      <c r="G53" s="11"/>
      <c r="I53" s="16"/>
    </row>
    <row r="54" outlineLevel="2">
      <c r="A54" s="10" t="s">
        <v>75</v>
      </c>
      <c r="B54" s="0" t="s">
        <v>68</v>
      </c>
      <c r="C54" s="11">
        <v>3.3</v>
      </c>
      <c r="D54" s="11"/>
      <c r="E54" s="11"/>
      <c r="F54" s="11"/>
      <c r="G54" s="11"/>
      <c r="I54" s="16"/>
    </row>
    <row r="55" outlineLevel="2">
      <c r="A55" s="10" t="s">
        <v>76</v>
      </c>
      <c r="B55" s="0" t="s">
        <v>68</v>
      </c>
      <c r="C55" s="11">
        <v>2.57</v>
      </c>
      <c r="D55" s="11"/>
      <c r="E55" s="11"/>
      <c r="F55" s="11"/>
      <c r="G55" s="11"/>
      <c r="I55" s="16"/>
    </row>
    <row r="56" outlineLevel="2">
      <c r="A56" s="10" t="s">
        <v>77</v>
      </c>
      <c r="B56" s="0" t="s">
        <v>68</v>
      </c>
      <c r="C56" s="11">
        <v>0.07</v>
      </c>
      <c r="D56" s="11"/>
      <c r="E56" s="11"/>
      <c r="F56" s="11"/>
      <c r="G56" s="11"/>
      <c r="I56" s="16"/>
    </row>
    <row r="57" outlineLevel="2">
      <c r="A57" s="10" t="s">
        <v>78</v>
      </c>
      <c r="B57" s="0" t="s">
        <v>68</v>
      </c>
      <c r="C57" s="11">
        <v>17.9</v>
      </c>
      <c r="D57" s="11"/>
      <c r="E57" s="11"/>
      <c r="F57" s="11"/>
      <c r="G57" s="11"/>
      <c r="I57" s="16"/>
    </row>
    <row r="58" outlineLevel="2">
      <c r="A58" s="10" t="s">
        <v>79</v>
      </c>
      <c r="B58" s="0" t="s">
        <v>80</v>
      </c>
      <c r="C58" s="12">
        <v>17</v>
      </c>
      <c r="D58" s="12"/>
      <c r="E58" s="12"/>
      <c r="F58" s="12"/>
      <c r="G58" s="12"/>
      <c r="I58" s="16"/>
    </row>
    <row r="59" outlineLevel="2">
      <c r="A59" s="10" t="s">
        <v>81</v>
      </c>
      <c r="B59" s="0" t="s">
        <v>80</v>
      </c>
      <c r="C59" s="12">
        <v>0.38</v>
      </c>
      <c r="D59" s="12"/>
      <c r="E59" s="12"/>
      <c r="F59" s="12"/>
      <c r="G59" s="12"/>
      <c r="I59" s="16"/>
    </row>
    <row r="60" outlineLevel="2">
      <c r="A60" s="10" t="s">
        <v>82</v>
      </c>
      <c r="B60" s="0" t="s">
        <v>80</v>
      </c>
      <c r="C60" s="12">
        <v>33</v>
      </c>
      <c r="D60" s="12"/>
      <c r="E60" s="12"/>
      <c r="F60" s="12"/>
      <c r="G60" s="12"/>
      <c r="I60" s="16"/>
    </row>
    <row r="61" outlineLevel="2">
      <c r="A61" s="10" t="s">
        <v>83</v>
      </c>
      <c r="B61" s="0" t="s">
        <v>80</v>
      </c>
      <c r="C61" s="12">
        <v>0.03</v>
      </c>
      <c r="D61" s="12"/>
      <c r="E61" s="12"/>
      <c r="F61" s="12"/>
      <c r="G61" s="12"/>
      <c r="I61" s="16"/>
    </row>
    <row r="62">
      <c r="I62" s="16"/>
    </row>
    <row r="63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5:E35"/>
    <mergeCell ref="C36:E36"/>
    <mergeCell ref="C37:E37"/>
    <mergeCell ref="C38:E38"/>
    <mergeCell ref="C41:E41"/>
    <mergeCell ref="C42:E42"/>
    <mergeCell ref="C43:E43"/>
    <mergeCell ref="C44:E44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</mergeCells>
  <dataValidations count="1">
    <dataValidation type="decimal" sqref="C19" errorStyle="stop" promptTitle="Enter moisture content" errorTitle="Invalid moisture content" prompt="Value should be between 0 and 100.&#10;Original value: 4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https://phyllis.nl/Biomass/View/586</dc:description>
  <dcterms:created xsi:type="dcterms:W3CDTF">2026-03-04T04:11:56Z</dcterms:created>
  <dc:title>Phyllis2 #586 miscanthus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