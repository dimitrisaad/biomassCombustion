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drawing+xml" PartName="/xl/drawings/drawing1.xml"/>
  <Override ContentType="image/png" PartName="/xl/media/1ECN-TNO.png"/>
  <Override ContentType="application/vnd.openxmlformats-officedocument.spreadsheetml.comments+xml" PartName="/xl/comments1.xml"/>
  <Override ContentType="application/vnd.openxmlformats-officedocument.vmlDrawing" PartName="/xl/drawings/vmlDrawing1.v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Phyllis2 #589 miscanthus" sheetId="1" r:id="rId1"/>
  </sheets>
  <definedNames>
    <definedName name="w" localSheetId="0">IF(ISBLANK('Phyllis2 #589 miscanthus'!$C$19),#N/A,'Phyllis2 #589 miscanthus'!$C$19/100)</definedName>
  </definedNames>
  <calcPr fullCalcOnLoad="1"/>
</workbook>
</file>

<file path=xl/comments1.xml><?xml version="1.0" encoding="utf-8"?>
<comments xmlns="http://schemas.openxmlformats.org/spreadsheetml/2006/main">
  <authors>
    <d:author xmlns:d="http://schemas.openxmlformats.org/spreadsheetml/2006/main">Phyllis2</d:author>
  </authors>
  <commentList>
    <comment ref="C16" authorId="0">
      <text>
        <d:r xmlns:d="http://schemas.openxmlformats.org/spreadsheetml/2006/main">
          <rPr>
            <sz val="11"/>
            <rFont val="Calibri"/>
          </rPr>
          <t xml:space="preserve">ar: as received, the material in its original form (including ash and moisture)</t>
        </d:r>
      </text>
    </comment>
    <comment ref="E16" authorId="0">
      <text>
        <d:r xmlns:d="http://schemas.openxmlformats.org/spreadsheetml/2006/main">
          <rPr>
            <sz val="11"/>
            <rFont val="Calibri"/>
          </rPr>
          <t xml:space="preserve">daf: the dry and ash free material</t>
        </d:r>
      </text>
    </comment>
    <comment ref="D16" authorId="0">
      <text>
        <d:r xmlns:d="http://schemas.openxmlformats.org/spreadsheetml/2006/main">
          <rPr>
            <sz val="11"/>
            <rFont val="Calibri"/>
          </rPr>
          <t xml:space="preserve">dry: the dry material (including ash)</t>
        </d:r>
      </text>
    </comment>
  </commentList>
</comments>
</file>

<file path=xl/sharedStrings.xml><?xml version="1.0" encoding="utf-8"?>
<sst xmlns="http://schemas.openxmlformats.org/spreadsheetml/2006/main" count="85" uniqueCount="85">
  <si>
    <t>Phyllis2</t>
  </si>
  <si>
    <t>https://phyllis.nl/Biomass/View/589</t>
  </si>
  <si>
    <t>miscanthus (#589)</t>
  </si>
  <si>
    <t>ID-number</t>
  </si>
  <si>
    <t>#589</t>
  </si>
  <si>
    <t>Material</t>
  </si>
  <si>
    <t>miscanthus</t>
  </si>
  <si>
    <t>Classification</t>
  </si>
  <si>
    <t>ECN Phyllis classification &gt; grass/plant &gt; miscanthus &gt; miscanthus</t>
  </si>
  <si>
    <t>NTA 8003 classification &gt; [200] biomassa uit land- en tuinbouw &gt; [210] gras &gt; [212] olifantsgras/miscanthus</t>
  </si>
  <si>
    <t>Ash type</t>
  </si>
  <si>
    <t>laboratory</t>
  </si>
  <si>
    <t>Submitter organisation</t>
  </si>
  <si>
    <t>ECN (Netherlands)</t>
  </si>
  <si>
    <t>Remarks</t>
  </si>
  <si>
    <t>3 year, harvest feb.1992 Atzenbrugg, Austria cf. Biomass &amp; Bioenergy 5 (1993) 413-419</t>
  </si>
  <si>
    <t>Literature</t>
  </si>
  <si>
    <t>http://edv1.vt.tuwien.ac.at/AG_HOFBA/BIOBIB/Biobib.htm (1997).</t>
  </si>
  <si>
    <t>Values</t>
  </si>
  <si>
    <t>Property</t>
  </si>
  <si>
    <t>Unit</t>
  </si>
  <si>
    <t>Value</t>
  </si>
  <si>
    <t>Std dev</t>
  </si>
  <si>
    <t>Det lim</t>
  </si>
  <si>
    <t>Lab</t>
  </si>
  <si>
    <t>Date</t>
  </si>
  <si>
    <t>Method</t>
  </si>
  <si>
    <t>ar</t>
  </si>
  <si>
    <t>dry</t>
  </si>
  <si>
    <t>daf</t>
  </si>
  <si>
    <t>Main biomass properties</t>
  </si>
  <si>
    <t>Proximate analysis</t>
  </si>
  <si>
    <t>Moisture content</t>
  </si>
  <si>
    <t>wt%</t>
  </si>
  <si>
    <t>Ash content</t>
  </si>
  <si>
    <t>Ultimate analysis (macroelements)</t>
  </si>
  <si>
    <t>Carbon</t>
  </si>
  <si>
    <t>Measured</t>
  </si>
  <si>
    <t>Hydrogen</t>
  </si>
  <si>
    <t>Oxygen</t>
  </si>
  <si>
    <t>Calculated</t>
  </si>
  <si>
    <t>Nitrogen</t>
  </si>
  <si>
    <t>Sulphur</t>
  </si>
  <si>
    <t>Total (with halides)</t>
  </si>
  <si>
    <t>Halides</t>
  </si>
  <si>
    <t>Chlorine (Cl)</t>
  </si>
  <si>
    <t>mg/kg</t>
  </si>
  <si>
    <t>Heating value</t>
  </si>
  <si>
    <t>Net calorific value (LHV)</t>
  </si>
  <si>
    <t>MJ/kg</t>
  </si>
  <si>
    <t>Gross calorific value (HHV)</t>
  </si>
  <si>
    <t>HHVMilne</t>
  </si>
  <si>
    <t>Trace elements composition</t>
  </si>
  <si>
    <t>Cadmium (Cd)</t>
  </si>
  <si>
    <t>mg/kg (dry)</t>
  </si>
  <si>
    <t>Unknown</t>
  </si>
  <si>
    <t>Copper (Cu)</t>
  </si>
  <si>
    <t>Mercury (Hg)</t>
  </si>
  <si>
    <t>Lead (Pb)</t>
  </si>
  <si>
    <t>Ash melting behaviour</t>
  </si>
  <si>
    <t>American standard method, measured in oxidizing conditions</t>
  </si>
  <si>
    <t>IDT (initial deformation temperature)</t>
  </si>
  <si>
    <t>°C</t>
  </si>
  <si>
    <t>SOT (softening or spherical temperature)</t>
  </si>
  <si>
    <t>HT (hemispherical temperature)</t>
  </si>
  <si>
    <t>FT (fluid temperature)</t>
  </si>
  <si>
    <t>Ash Properties</t>
  </si>
  <si>
    <t>Ash composition</t>
  </si>
  <si>
    <t>CO2</t>
  </si>
  <si>
    <t>wt% (ash)</t>
  </si>
  <si>
    <t>SO3</t>
  </si>
  <si>
    <t>Cl</t>
  </si>
  <si>
    <t>P2O5</t>
  </si>
  <si>
    <t>SiO2</t>
  </si>
  <si>
    <t>Fe2O3</t>
  </si>
  <si>
    <t>Al2O3</t>
  </si>
  <si>
    <t>CaO</t>
  </si>
  <si>
    <t>MgO</t>
  </si>
  <si>
    <t>Na2O</t>
  </si>
  <si>
    <t>K2O</t>
  </si>
  <si>
    <t>Pb</t>
  </si>
  <si>
    <t>mg/kg (ash)</t>
  </si>
  <si>
    <t>Cd</t>
  </si>
  <si>
    <t>Cu</t>
  </si>
  <si>
    <t>Hg</t>
  </si>
</sst>
</file>

<file path=xl/styles.xml><?xml version="1.0" encoding="utf-8"?>
<styleSheet xmlns="http://schemas.openxmlformats.org/spreadsheetml/2006/main">
  <numFmts count="4">
    <numFmt numFmtId="164" formatCode="#,0.00"/>
    <numFmt numFmtId="165" formatCode="#,0.0"/>
    <numFmt numFmtId="166" formatCode="#,0"/>
    <numFmt numFmtId="167" formatCode="yyyy-mm-dd"/>
  </numFmts>
  <fonts count="6">
    <font>
      <sz val="11"/>
      <name val="Calibri"/>
    </font>
    <font>
      <b/>
      <sz val="22"/>
      <name val="Calibri"/>
    </font>
    <font>
      <u/>
      <sz val="11"/>
      <color rgb="000000FF" tint="0"/>
      <name val="Calibri"/>
    </font>
    <font>
      <b/>
      <sz val="16.5"/>
      <name val="Calibri"/>
    </font>
    <font>
      <b/>
      <sz val="11"/>
      <name val="Calibri"/>
    </font>
    <font>
      <b/>
      <sz val="14.3"/>
      <name val="Calibri"/>
    </font>
  </fonts>
  <fills count="3">
    <fill>
      <patternFill patternType="none"/>
    </fill>
    <fill>
      <patternFill patternType="gray125"/>
    </fill>
    <fill>
      <patternFill patternType="solid">
        <fgColor rgb="00EEFFDD" tint="0"/>
      </patternFill>
    </fill>
  </fills>
  <borders count="1">
    <border>
      <left/>
      <right/>
      <top/>
      <bottom/>
      <diagonal/>
    </border>
  </borders>
  <cellStyleXfs count="1">
    <xf numFmtId="0" fontId="0"/>
  </cellStyleXfs>
  <cellXfs count="17">
    <xf numFmtId="0" applyNumberFormat="1" fontId="0" applyFont="1" xfId="0"/>
    <xf numFmtId="0" applyNumberFormat="1" fontId="0" applyFont="1" fillId="2" applyFill="1" xfId="0"/>
    <xf numFmtId="0" applyNumberFormat="1" fontId="1" applyFont="1" fillId="2" applyFill="1" xfId="0"/>
    <xf numFmtId="0" applyNumberFormat="1" fontId="2" applyFont="1" fillId="2" applyFill="1" xfId="0"/>
    <xf numFmtId="0" applyNumberFormat="1" fontId="3" applyFont="1" fillId="2" applyFill="1" xfId="0"/>
    <xf numFmtId="0" applyNumberFormat="1" fontId="4" applyFont="1" xfId="0"/>
    <xf numFmtId="0" applyNumberFormat="1" fontId="4" applyFont="1" xfId="0">
      <alignment vertical="top"/>
    </xf>
    <xf numFmtId="0" applyNumberFormat="1" fontId="5" applyFont="1" fillId="2" applyFill="1" xfId="0"/>
    <xf numFmtId="0" applyNumberFormat="1" fontId="4" applyFont="1" fillId="2" applyFill="1" xfId="0">
      <alignment vertical="center"/>
    </xf>
    <xf numFmtId="0" applyNumberFormat="1" fontId="4" applyFont="1" xfId="0">
      <alignment indent="1"/>
    </xf>
    <xf numFmtId="0" applyNumberFormat="1" fontId="0" applyFont="1" xfId="0">
      <alignment indent="2"/>
    </xf>
    <xf numFmtId="164" applyNumberFormat="1" fontId="0" applyFont="1" xfId="0"/>
    <xf numFmtId="165" applyNumberFormat="1" fontId="0" applyFont="1" xfId="0"/>
    <xf numFmtId="0" applyNumberFormat="1" fontId="4" applyFont="1" xfId="0">
      <alignment indent="2"/>
    </xf>
    <xf numFmtId="0" applyNumberFormat="1" fontId="0" applyFont="1" xfId="0">
      <alignment indent="3"/>
    </xf>
    <xf numFmtId="166" applyNumberFormat="1" fontId="0" applyFont="1" xfId="0"/>
    <xf numFmtId="167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1ECN-TNO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0</xdr:colOff>
      <xdr:row>0</xdr:row>
      <xdr:rowOff>47625</xdr:rowOff>
    </xdr:from>
    <xdr:to>
      <xdr:col>7</xdr:col>
      <xdr:colOff>590550</xdr:colOff>
      <xdr:row>1</xdr:row>
      <xdr:rowOff>104775</xdr:rowOff>
    </xdr:to>
    <xdr:pic>
      <xdr:nvPicPr>
        <xdr:cNvPr id="0" descr="" name="TNO logo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comments" Target="../comments1.xml"/><Relationship Id="rId3" Type="http://schemas.openxmlformats.org/officeDocument/2006/relationships/vmlDrawing" Target="../drawings/vmlDrawing1.vml"/><Relationship Id="rId4" Type="http://schemas.openxmlformats.org/officeDocument/2006/relationships/hyperlink" Target="https://phyllis.nl/Biomass/View/589" TargetMode="External"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dimension ref="A1:L62"/>
  <sheetViews>
    <sheetView workbookViewId="0">
      <pane xSplit="1" topLeftCell="B1" state="frozen" activePane="topRight"/>
      <selection pane="topRight" activeCell="A1" sqref="A1"/>
    </sheetView>
  </sheetViews>
  <sheetFormatPr defaultRowHeight="15"/>
  <cols>
    <col min="1" max="1" width="58.5999984741211" customWidth="1"/>
    <col min="2" max="2" width="12" customWidth="1"/>
    <col min="3" max="3" width="9.140625" customWidth="1"/>
    <col min="4" max="4" width="9.140625" customWidth="1"/>
    <col min="5" max="5" width="9.140625" customWidth="1"/>
    <col min="6" max="6" width="9.140625" customWidth="1"/>
    <col min="7" max="7" width="9.140625" customWidth="1"/>
    <col min="8" max="8" width="9.140625" customWidth="1"/>
    <col min="9" max="9" width="9.140625" customWidth="1"/>
    <col min="10" max="10" width="10.5977783203125" customWidth="1"/>
    <col min="11" max="11" width="9.140625" customWidth="1"/>
  </cols>
  <sheetData>
    <row r="1" s="1" customFormat="1">
      <c r="A1" s="2" t="s">
        <v>0</v>
      </c>
    </row>
    <row r="2" s="1" customFormat="1">
      <c r="A2" s="3" t="s">
        <v>1</v>
      </c>
    </row>
    <row r="4" s="1" customFormat="1">
      <c r="A4" s="4" t="s">
        <v>2</v>
      </c>
    </row>
    <row r="5" outlineLevel="1">
      <c r="A5" s="5" t="s">
        <v>3</v>
      </c>
      <c r="B5" s="0" t="s">
        <v>4</v>
      </c>
    </row>
    <row r="6" outlineLevel="1">
      <c r="A6" s="5" t="s">
        <v>5</v>
      </c>
      <c r="B6" s="0" t="s">
        <v>6</v>
      </c>
    </row>
    <row r="7" outlineLevel="1">
      <c r="A7" s="6" t="s">
        <v>7</v>
      </c>
      <c r="B7" s="0" t="s">
        <v>8</v>
      </c>
    </row>
    <row r="8" outlineLevel="1">
      <c r="A8" s="6"/>
      <c r="B8" s="0" t="s">
        <v>9</v>
      </c>
    </row>
    <row r="9" outlineLevel="1">
      <c r="A9" s="5" t="s">
        <v>10</v>
      </c>
      <c r="B9" s="0" t="s">
        <v>11</v>
      </c>
    </row>
    <row r="10" outlineLevel="1">
      <c r="A10" s="5" t="s">
        <v>12</v>
      </c>
      <c r="B10" s="0" t="s">
        <v>13</v>
      </c>
    </row>
    <row r="11" outlineLevel="1">
      <c r="A11" s="5" t="s">
        <v>14</v>
      </c>
      <c r="B11" s="0" t="s">
        <v>15</v>
      </c>
    </row>
    <row r="12" outlineLevel="1">
      <c r="A12" s="5" t="s">
        <v>16</v>
      </c>
      <c r="B12" s="0" t="s">
        <v>17</v>
      </c>
    </row>
    <row r="13">
      <c r="A13" s="5"/>
    </row>
    <row r="14" s="1" customFormat="1">
      <c r="A14" s="7" t="s">
        <v>18</v>
      </c>
    </row>
    <row r="15" s="1" customFormat="1">
      <c r="A15" s="8" t="s">
        <v>19</v>
      </c>
      <c r="B15" s="8" t="s">
        <v>20</v>
      </c>
      <c r="C15" s="8" t="s">
        <v>21</v>
      </c>
      <c r="D15" s="8"/>
      <c r="E15" s="8"/>
      <c r="F15" s="8" t="s">
        <v>22</v>
      </c>
      <c r="G15" s="8" t="s">
        <v>23</v>
      </c>
      <c r="H15" s="8" t="s">
        <v>24</v>
      </c>
      <c r="I15" s="8" t="s">
        <v>25</v>
      </c>
      <c r="J15" s="8" t="s">
        <v>26</v>
      </c>
      <c r="K15" s="8" t="s">
        <v>14</v>
      </c>
      <c r="L15" s="8"/>
    </row>
    <row r="16" s="1" customFormat="1">
      <c r="A16" s="8"/>
      <c r="B16" s="8"/>
      <c r="C16" s="8" t="s">
        <v>27</v>
      </c>
      <c r="D16" s="8" t="s">
        <v>28</v>
      </c>
      <c r="E16" s="8" t="s">
        <v>29</v>
      </c>
      <c r="F16" s="8"/>
      <c r="G16" s="8"/>
      <c r="H16" s="8"/>
      <c r="I16" s="8"/>
      <c r="J16" s="8"/>
      <c r="K16" s="8"/>
      <c r="L16" s="8"/>
    </row>
    <row r="17">
      <c r="A17" s="5" t="s">
        <v>30</v>
      </c>
      <c r="I17" s="16"/>
    </row>
    <row r="18" outlineLevel="1">
      <c r="A18" s="9" t="s">
        <v>31</v>
      </c>
      <c r="I18" s="16"/>
    </row>
    <row r="19" outlineLevel="2">
      <c r="A19" s="10" t="s">
        <v>32</v>
      </c>
      <c r="B19" s="0" t="s">
        <v>33</v>
      </c>
      <c r="C19" s="11">
        <v>30</v>
      </c>
      <c r="D19" s="11"/>
      <c r="E19" s="11"/>
      <c r="F19" s="11"/>
      <c r="G19" s="11"/>
      <c r="I19" s="16"/>
    </row>
    <row r="20" outlineLevel="2">
      <c r="A20" s="10" t="s">
        <v>34</v>
      </c>
      <c r="B20" s="0" t="s">
        <v>33</v>
      </c>
      <c r="C20" s="11">
        <f>IFERROR(2.73*(1-w),"")</f>
        <v>1.9109999999999998</v>
      </c>
      <c r="D20" s="11">
        <v>2.73</v>
      </c>
      <c r="E20" s="11">
        <v/>
      </c>
      <c r="F20" s="11"/>
      <c r="G20" s="11"/>
      <c r="I20" s="16"/>
    </row>
    <row r="21" outlineLevel="1">
      <c r="A21" s="9" t="s">
        <v>35</v>
      </c>
      <c r="I21" s="16"/>
    </row>
    <row r="22" outlineLevel="2">
      <c r="A22" s="10" t="s">
        <v>36</v>
      </c>
      <c r="B22" s="0" t="s">
        <v>33</v>
      </c>
      <c r="C22" s="11">
        <f>IFERROR(48.44*(1-w),"")</f>
        <v>33.907999999999994</v>
      </c>
      <c r="D22" s="11">
        <v>48.44</v>
      </c>
      <c r="E22" s="11">
        <v>49.799527089544561</v>
      </c>
      <c r="F22" s="11"/>
      <c r="G22" s="11"/>
      <c r="I22" s="16"/>
      <c r="J22" s="0" t="s">
        <v>37</v>
      </c>
    </row>
    <row r="23" outlineLevel="2">
      <c r="A23" s="10" t="s">
        <v>38</v>
      </c>
      <c r="B23" s="0" t="s">
        <v>33</v>
      </c>
      <c r="C23" s="11">
        <f>IFERROR(5.45*(1-w),"")</f>
        <v>3.815</v>
      </c>
      <c r="D23" s="11">
        <v>5.45</v>
      </c>
      <c r="E23" s="11">
        <v>5.6029608306774961</v>
      </c>
      <c r="F23" s="11"/>
      <c r="G23" s="11"/>
      <c r="I23" s="16"/>
      <c r="J23" s="0" t="s">
        <v>37</v>
      </c>
    </row>
    <row r="24" outlineLevel="2">
      <c r="A24" s="10" t="s">
        <v>39</v>
      </c>
      <c r="B24" s="0" t="s">
        <v>33</v>
      </c>
      <c r="C24" s="11">
        <f>IFERROR(42.71*(1-w),"")</f>
        <v>29.897</v>
      </c>
      <c r="D24" s="11">
        <v>42.71</v>
      </c>
      <c r="E24" s="11">
        <v>43.908707720777215</v>
      </c>
      <c r="F24" s="11"/>
      <c r="G24" s="11"/>
      <c r="I24" s="16"/>
      <c r="J24" s="0" t="s">
        <v>40</v>
      </c>
    </row>
    <row r="25" outlineLevel="2">
      <c r="A25" s="10" t="s">
        <v>41</v>
      </c>
      <c r="B25" s="0" t="s">
        <v>33</v>
      </c>
      <c r="C25" s="11">
        <f>IFERROR(0.45*(1-w),"")</f>
        <v>0.315</v>
      </c>
      <c r="D25" s="11">
        <v>0.45</v>
      </c>
      <c r="E25" s="11">
        <v>0.46262979335869231</v>
      </c>
      <c r="F25" s="11"/>
      <c r="G25" s="11"/>
      <c r="I25" s="16"/>
      <c r="J25" s="0" t="s">
        <v>37</v>
      </c>
    </row>
    <row r="26" outlineLevel="2">
      <c r="A26" s="10" t="s">
        <v>42</v>
      </c>
      <c r="B26" s="0" t="s">
        <v>33</v>
      </c>
      <c r="C26" s="11">
        <f>IFERROR(0.04*(1-w),"")</f>
        <v>0.027999999999999997</v>
      </c>
      <c r="D26" s="11">
        <v>0.04</v>
      </c>
      <c r="E26" s="11">
        <v>0.041122648298550425</v>
      </c>
      <c r="F26" s="11"/>
      <c r="G26" s="11"/>
      <c r="I26" s="16"/>
      <c r="J26" s="0" t="s">
        <v>37</v>
      </c>
    </row>
    <row r="27" outlineLevel="2">
      <c r="A27" s="10" t="s">
        <v>43</v>
      </c>
      <c r="B27" s="0" t="s">
        <v>33</v>
      </c>
      <c r="C27" s="11">
        <f>IFERROR(100*(1-w)+w*100,"")</f>
        <v>100</v>
      </c>
      <c r="D27" s="11">
        <v>100.00000000000001</v>
      </c>
      <c r="E27" s="11">
        <v>100.00000000000001</v>
      </c>
      <c r="F27" s="11"/>
      <c r="G27" s="11"/>
      <c r="I27" s="16"/>
      <c r="J27" s="0" t="s">
        <v>40</v>
      </c>
    </row>
    <row r="28" outlineLevel="1">
      <c r="A28" s="9" t="s">
        <v>44</v>
      </c>
      <c r="I28" s="16"/>
    </row>
    <row r="29" outlineLevel="2">
      <c r="A29" s="10" t="s">
        <v>45</v>
      </c>
      <c r="B29" s="0" t="s">
        <v>46</v>
      </c>
      <c r="C29" s="12">
        <f>IFERROR(1800*(1-w),"")</f>
        <v>1260</v>
      </c>
      <c r="D29" s="12">
        <v>1800</v>
      </c>
      <c r="E29" s="12">
        <v>1850.5191734347691</v>
      </c>
      <c r="F29" s="12"/>
      <c r="G29" s="12"/>
      <c r="I29" s="16"/>
      <c r="J29" s="0" t="s">
        <v>37</v>
      </c>
    </row>
    <row r="30" outlineLevel="1">
      <c r="A30" s="9" t="s">
        <v>47</v>
      </c>
      <c r="I30" s="16"/>
    </row>
    <row r="31" outlineLevel="2">
      <c r="A31" s="10" t="s">
        <v>48</v>
      </c>
      <c r="B31" s="0" t="s">
        <v>49</v>
      </c>
      <c r="C31" s="11">
        <f>IFERROR(17.994*(1-w)-w*2.443,"")</f>
        <v>11.862899999999998</v>
      </c>
      <c r="D31" s="11">
        <v>17.994</v>
      </c>
      <c r="E31" s="11">
        <v>18.499023337102908</v>
      </c>
      <c r="F31" s="11"/>
      <c r="G31" s="11"/>
      <c r="I31" s="16"/>
    </row>
    <row r="32" outlineLevel="2">
      <c r="A32" s="10" t="s">
        <v>50</v>
      </c>
      <c r="B32" s="0" t="s">
        <v>49</v>
      </c>
      <c r="C32" s="11">
        <f>IFERROR(19.194*(1-w),"")</f>
        <v>13.435799999999999</v>
      </c>
      <c r="D32" s="11">
        <v>19.194</v>
      </c>
      <c r="E32" s="11">
        <v>19.73270278605942</v>
      </c>
      <c r="F32" s="11"/>
      <c r="G32" s="11"/>
      <c r="I32" s="16"/>
    </row>
    <row r="33" outlineLevel="2">
      <c r="A33" s="10" t="s">
        <v>51</v>
      </c>
      <c r="B33" s="0" t="s">
        <v>49</v>
      </c>
      <c r="C33" s="11">
        <f>IFERROR(18.5058552937*(1-w),"")</f>
        <v>12.954098705590003</v>
      </c>
      <c r="D33" s="11">
        <v>18.505855293700005</v>
      </c>
      <c r="E33" s="11">
        <v>19.025244467667324</v>
      </c>
      <c r="F33" s="11"/>
      <c r="G33" s="11"/>
      <c r="I33" s="16"/>
      <c r="J33" s="0" t="s">
        <v>40</v>
      </c>
    </row>
    <row r="34" outlineLevel="1">
      <c r="A34" s="9" t="s">
        <v>52</v>
      </c>
      <c r="I34" s="16"/>
    </row>
    <row r="35" outlineLevel="2">
      <c r="A35" s="10" t="s">
        <v>53</v>
      </c>
      <c r="B35" s="0" t="s">
        <v>54</v>
      </c>
      <c r="C35" s="12">
        <v>0.05</v>
      </c>
      <c r="D35" s="12"/>
      <c r="E35" s="12"/>
      <c r="F35" s="12"/>
      <c r="G35" s="12"/>
      <c r="I35" s="16"/>
      <c r="J35" s="0" t="s">
        <v>55</v>
      </c>
    </row>
    <row r="36" outlineLevel="2">
      <c r="A36" s="10" t="s">
        <v>56</v>
      </c>
      <c r="B36" s="0" t="s">
        <v>54</v>
      </c>
      <c r="C36" s="12">
        <v>1.3</v>
      </c>
      <c r="D36" s="12"/>
      <c r="E36" s="12"/>
      <c r="F36" s="12"/>
      <c r="G36" s="12"/>
      <c r="I36" s="16"/>
      <c r="J36" s="0" t="s">
        <v>55</v>
      </c>
    </row>
    <row r="37" outlineLevel="2">
      <c r="A37" s="10" t="s">
        <v>57</v>
      </c>
      <c r="B37" s="0" t="s">
        <v>54</v>
      </c>
      <c r="C37" s="12">
        <v>0.01</v>
      </c>
      <c r="D37" s="12"/>
      <c r="E37" s="12"/>
      <c r="F37" s="12"/>
      <c r="G37" s="12"/>
      <c r="I37" s="16"/>
      <c r="J37" s="0" t="s">
        <v>55</v>
      </c>
    </row>
    <row r="38" outlineLevel="2">
      <c r="A38" s="10" t="s">
        <v>58</v>
      </c>
      <c r="B38" s="0" t="s">
        <v>54</v>
      </c>
      <c r="C38" s="12">
        <v>0.97</v>
      </c>
      <c r="D38" s="12"/>
      <c r="E38" s="12"/>
      <c r="F38" s="12"/>
      <c r="G38" s="12"/>
      <c r="I38" s="16"/>
      <c r="J38" s="0" t="s">
        <v>55</v>
      </c>
    </row>
    <row r="39" outlineLevel="1">
      <c r="A39" s="9" t="s">
        <v>59</v>
      </c>
      <c r="I39" s="16"/>
    </row>
    <row r="40" outlineLevel="2">
      <c r="A40" s="13" t="s">
        <v>60</v>
      </c>
      <c r="I40" s="16"/>
    </row>
    <row r="41" outlineLevel="3">
      <c r="A41" s="14" t="s">
        <v>61</v>
      </c>
      <c r="B41" s="0" t="s">
        <v>62</v>
      </c>
      <c r="C41" s="15">
        <v>860</v>
      </c>
      <c r="D41" s="15"/>
      <c r="E41" s="15"/>
      <c r="F41" s="15"/>
      <c r="G41" s="15"/>
      <c r="I41" s="16"/>
    </row>
    <row r="42" outlineLevel="3">
      <c r="A42" s="14" t="s">
        <v>63</v>
      </c>
      <c r="B42" s="0" t="s">
        <v>62</v>
      </c>
      <c r="C42" s="15">
        <v>940</v>
      </c>
      <c r="D42" s="15"/>
      <c r="E42" s="15"/>
      <c r="F42" s="15"/>
      <c r="G42" s="15"/>
      <c r="I42" s="16"/>
    </row>
    <row r="43" outlineLevel="3">
      <c r="A43" s="14" t="s">
        <v>64</v>
      </c>
      <c r="B43" s="0" t="s">
        <v>62</v>
      </c>
      <c r="C43" s="15">
        <v>1110</v>
      </c>
      <c r="D43" s="15"/>
      <c r="E43" s="15"/>
      <c r="F43" s="15"/>
      <c r="G43" s="15"/>
      <c r="I43" s="16"/>
    </row>
    <row r="44" outlineLevel="3">
      <c r="A44" s="14" t="s">
        <v>65</v>
      </c>
      <c r="B44" s="0" t="s">
        <v>62</v>
      </c>
      <c r="C44" s="15">
        <v>1170</v>
      </c>
      <c r="D44" s="15"/>
      <c r="E44" s="15"/>
      <c r="F44" s="15"/>
      <c r="G44" s="15"/>
      <c r="I44" s="16"/>
    </row>
    <row r="45">
      <c r="A45" s="5" t="s">
        <v>66</v>
      </c>
      <c r="I45" s="16"/>
    </row>
    <row r="46" outlineLevel="1">
      <c r="A46" s="9" t="s">
        <v>67</v>
      </c>
      <c r="I46" s="16"/>
    </row>
    <row r="47" outlineLevel="2">
      <c r="A47" s="10" t="s">
        <v>68</v>
      </c>
      <c r="B47" s="0" t="s">
        <v>69</v>
      </c>
      <c r="C47" s="11">
        <v>3.6</v>
      </c>
      <c r="D47" s="11"/>
      <c r="E47" s="11"/>
      <c r="F47" s="11"/>
      <c r="G47" s="11"/>
      <c r="I47" s="16"/>
    </row>
    <row r="48" outlineLevel="2">
      <c r="A48" s="10" t="s">
        <v>70</v>
      </c>
      <c r="B48" s="0" t="s">
        <v>69</v>
      </c>
      <c r="C48" s="11">
        <v>4.44</v>
      </c>
      <c r="D48" s="11"/>
      <c r="E48" s="11"/>
      <c r="F48" s="11"/>
      <c r="G48" s="11"/>
      <c r="I48" s="16"/>
    </row>
    <row r="49" outlineLevel="2">
      <c r="A49" s="10" t="s">
        <v>71</v>
      </c>
      <c r="B49" s="0" t="s">
        <v>69</v>
      </c>
      <c r="C49" s="11">
        <v>1.7</v>
      </c>
      <c r="D49" s="11"/>
      <c r="E49" s="11"/>
      <c r="F49" s="11"/>
      <c r="G49" s="11"/>
      <c r="I49" s="16"/>
    </row>
    <row r="50" outlineLevel="2">
      <c r="A50" s="10" t="s">
        <v>72</v>
      </c>
      <c r="B50" s="0" t="s">
        <v>69</v>
      </c>
      <c r="C50" s="11">
        <v>3.21</v>
      </c>
      <c r="D50" s="11"/>
      <c r="E50" s="11"/>
      <c r="F50" s="11"/>
      <c r="G50" s="11"/>
      <c r="I50" s="16"/>
    </row>
    <row r="51" outlineLevel="2">
      <c r="A51" s="10" t="s">
        <v>73</v>
      </c>
      <c r="B51" s="0" t="s">
        <v>69</v>
      </c>
      <c r="C51" s="11">
        <v>45.9</v>
      </c>
      <c r="D51" s="11"/>
      <c r="E51" s="11"/>
      <c r="F51" s="11"/>
      <c r="G51" s="11"/>
      <c r="I51" s="16"/>
    </row>
    <row r="52" outlineLevel="2">
      <c r="A52" s="10" t="s">
        <v>74</v>
      </c>
      <c r="B52" s="0" t="s">
        <v>69</v>
      </c>
      <c r="C52" s="11">
        <v>0.26</v>
      </c>
      <c r="D52" s="11"/>
      <c r="E52" s="11"/>
      <c r="F52" s="11"/>
      <c r="G52" s="11"/>
      <c r="I52" s="16"/>
    </row>
    <row r="53" outlineLevel="2">
      <c r="A53" s="10" t="s">
        <v>75</v>
      </c>
      <c r="B53" s="0" t="s">
        <v>69</v>
      </c>
      <c r="C53" s="11">
        <v>0.23</v>
      </c>
      <c r="D53" s="11"/>
      <c r="E53" s="11"/>
      <c r="F53" s="11"/>
      <c r="G53" s="11"/>
      <c r="I53" s="16"/>
    </row>
    <row r="54" outlineLevel="2">
      <c r="A54" s="10" t="s">
        <v>76</v>
      </c>
      <c r="B54" s="0" t="s">
        <v>69</v>
      </c>
      <c r="C54" s="11">
        <v>5.6</v>
      </c>
      <c r="D54" s="11"/>
      <c r="E54" s="11"/>
      <c r="F54" s="11"/>
      <c r="G54" s="11"/>
      <c r="I54" s="16"/>
    </row>
    <row r="55" outlineLevel="2">
      <c r="A55" s="10" t="s">
        <v>77</v>
      </c>
      <c r="B55" s="0" t="s">
        <v>69</v>
      </c>
      <c r="C55" s="11">
        <v>4.18</v>
      </c>
      <c r="D55" s="11"/>
      <c r="E55" s="11"/>
      <c r="F55" s="11"/>
      <c r="G55" s="11"/>
      <c r="I55" s="16"/>
    </row>
    <row r="56" outlineLevel="2">
      <c r="A56" s="10" t="s">
        <v>78</v>
      </c>
      <c r="B56" s="0" t="s">
        <v>69</v>
      </c>
      <c r="C56" s="11">
        <v>0.27</v>
      </c>
      <c r="D56" s="11"/>
      <c r="E56" s="11"/>
      <c r="F56" s="11"/>
      <c r="G56" s="11"/>
      <c r="I56" s="16"/>
    </row>
    <row r="57" outlineLevel="2">
      <c r="A57" s="10" t="s">
        <v>79</v>
      </c>
      <c r="B57" s="0" t="s">
        <v>69</v>
      </c>
      <c r="C57" s="11">
        <v>29.4</v>
      </c>
      <c r="D57" s="11"/>
      <c r="E57" s="11"/>
      <c r="F57" s="11"/>
      <c r="G57" s="11"/>
      <c r="I57" s="16"/>
    </row>
    <row r="58" outlineLevel="2">
      <c r="A58" s="10" t="s">
        <v>80</v>
      </c>
      <c r="B58" s="0" t="s">
        <v>81</v>
      </c>
      <c r="C58" s="12">
        <v>34</v>
      </c>
      <c r="D58" s="12"/>
      <c r="E58" s="12"/>
      <c r="F58" s="12"/>
      <c r="G58" s="12"/>
      <c r="I58" s="16"/>
    </row>
    <row r="59" outlineLevel="2">
      <c r="A59" s="10" t="s">
        <v>82</v>
      </c>
      <c r="B59" s="0" t="s">
        <v>81</v>
      </c>
      <c r="C59" s="12">
        <v>0.21</v>
      </c>
      <c r="D59" s="12"/>
      <c r="E59" s="12"/>
      <c r="F59" s="12"/>
      <c r="G59" s="12"/>
      <c r="I59" s="16"/>
    </row>
    <row r="60" outlineLevel="2">
      <c r="A60" s="10" t="s">
        <v>83</v>
      </c>
      <c r="B60" s="0" t="s">
        <v>81</v>
      </c>
      <c r="C60" s="12">
        <v>88</v>
      </c>
      <c r="D60" s="12"/>
      <c r="E60" s="12"/>
      <c r="F60" s="12"/>
      <c r="G60" s="12"/>
      <c r="I60" s="16"/>
    </row>
    <row r="61" outlineLevel="2">
      <c r="A61" s="10" t="s">
        <v>84</v>
      </c>
      <c r="B61" s="0" t="s">
        <v>81</v>
      </c>
      <c r="C61" s="12">
        <v>0.01</v>
      </c>
      <c r="D61" s="12"/>
      <c r="E61" s="12"/>
      <c r="F61" s="12"/>
      <c r="G61" s="12"/>
      <c r="I61" s="16"/>
    </row>
    <row r="62">
      <c r="I62" s="16"/>
    </row>
    <row r="63" s="1" customFormat="1"/>
  </sheetData>
  <mergeCells>
    <mergeCell ref="A7:A8"/>
    <mergeCell ref="C15:E15"/>
    <mergeCell ref="A15:A16"/>
    <mergeCell ref="B15:B16"/>
    <mergeCell ref="F15:F16"/>
    <mergeCell ref="G15:G16"/>
    <mergeCell ref="H15:H16"/>
    <mergeCell ref="I15:I16"/>
    <mergeCell ref="J15:J16"/>
    <mergeCell ref="K15:K16"/>
    <mergeCell ref="C35:E35"/>
    <mergeCell ref="C36:E36"/>
    <mergeCell ref="C37:E37"/>
    <mergeCell ref="C38:E38"/>
    <mergeCell ref="C41:E41"/>
    <mergeCell ref="C42:E42"/>
    <mergeCell ref="C43:E43"/>
    <mergeCell ref="C44:E44"/>
    <mergeCell ref="C47:E47"/>
    <mergeCell ref="C48:E48"/>
    <mergeCell ref="C49:E49"/>
    <mergeCell ref="C50:E50"/>
    <mergeCell ref="C51:E51"/>
    <mergeCell ref="C52:E52"/>
    <mergeCell ref="C53:E53"/>
    <mergeCell ref="C54:E54"/>
    <mergeCell ref="C55:E55"/>
    <mergeCell ref="C56:E56"/>
    <mergeCell ref="C57:E57"/>
    <mergeCell ref="C58:E58"/>
    <mergeCell ref="C59:E59"/>
    <mergeCell ref="C60:E60"/>
    <mergeCell ref="C61:E61"/>
  </mergeCells>
  <dataValidations count="1">
    <dataValidation type="decimal" sqref="C19" errorStyle="stop" promptTitle="Enter moisture content" errorTitle="Invalid moisture content" prompt="Value should be between 0 and 100.&#10;Original value: 30" error="Value should be between 0 and 100." showInputMessage="1" showErrorMessage="1" allowBlank="0" operator="between">
      <formula1>0</formula1>
      <formula2>100</formula2>
    </dataValidation>
  </dataValidations>
  <hyperlinks>
    <hyperlink ref="A2" r:id="rId4"/>
  </hyperlinks>
  <headerFooter/>
  <drawing r:id="rId1"/>
  <legacyDrawing r:id="rId3"/>
</worksheet>
</file>

<file path=docProps/app.xml><?xml version="1.0" encoding="utf-8"?>
<Properties xmlns:vt="http://schemas.openxmlformats.org/officeDocument/2006/docPropsVTypes" xmlns="http://schemas.openxmlformats.org/officeDocument/2006/extended-properties">
  <Application>Phyllis2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description>https://phyllis.nl/Biomass/View/589</dc:description>
  <dcterms:created xsi:type="dcterms:W3CDTF">2026-03-04T04:12:09Z</dcterms:created>
  <dc:title>Phyllis2 #589 miscanthus</dc:title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