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93 miscanthus" sheetId="1" r:id="rId1"/>
  </sheets>
  <definedNames>
    <definedName name="w" localSheetId="0">IF(ISBLANK('Phyllis2 #593 miscanthus'!$C$19),#N/A,'Phyllis2 #593 miscanthus'!$C$19/100)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<sst xmlns="http://schemas.openxmlformats.org/spreadsheetml/2006/main" count="85" uniqueCount="85">
  <si>
    <t>Phyllis2</t>
  </si>
  <si>
    <t>https://phyllis.nl/Biomass/View/593</t>
  </si>
  <si>
    <t>miscanthus (#593)</t>
  </si>
  <si>
    <t>ID-number</t>
  </si>
  <si>
    <t>#593</t>
  </si>
  <si>
    <t>Material</t>
  </si>
  <si>
    <t>miscanthus</t>
  </si>
  <si>
    <t>Classification</t>
  </si>
  <si>
    <t>ECN Phyllis classification &gt; grass/plant &gt; miscanthus &gt; miscanthus</t>
  </si>
  <si>
    <t>NTA 8003 classification &gt; [200] biomassa uit land- en tuinbouw &gt; [210] gras &gt; [212] olifantsgras/miscanthus</t>
  </si>
  <si>
    <t>Ash type</t>
  </si>
  <si>
    <t>laboratory</t>
  </si>
  <si>
    <t>Submitter organisation</t>
  </si>
  <si>
    <t>ECN (Netherlands)</t>
  </si>
  <si>
    <t>Remarks</t>
  </si>
  <si>
    <t>3 year, harvest feb.1992 Markgrafneusiedl, Austria cf. Biomass &amp; Bioenergy 5 (1993) 413-419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</si>
  <si>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</si>
  <si>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</si>
  <si>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</si>
  <si>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</si>
  <si>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</si>
  <si>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</si>
  <si>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</si>
  <si>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</si>
  <si>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</si>
  <si>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</si>
  <si>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</si>
  <si>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</si>
  <si>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</si>
  <si>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</si>
  <si>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</si>
  <si>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</si>
  <si>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</si>
  <si>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</si>
  <si>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</si>
  <si>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</si>
  <si>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</si>
  <si>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</si>
  <si>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</si>
  <si>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</si>
  <si>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</si>
  <si>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</si>
  <si>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</si>
  <si>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</si>
  <si>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</si>
  <si>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</si>
  <si>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</si>
  <si>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</si>
  <si>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</si>
  <si>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</si>
  <si>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</si>
  <si>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</si>
  <si>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</si>
  <si>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</si>
  <si>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</si>
  <si>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Unknown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</si>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</sst>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9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6"/>
    </row>
    <row r="18" outlineLevel="1">
      <c r="A18" s="9" t="s">
        <v>31</v>
      </c>
      <c r="I18" s="16"/>
    </row>
    <row r="19" outlineLevel="2">
      <c r="A19" s="10" t="s">
        <v>32</v>
      </c>
      <c r="B19" s="0" t="s">
        <v>33</v>
      </c>
      <c r="C19" s="11">
        <v>28</v>
      </c>
      <c r="D19" s="11"/>
      <c r="E19" s="11"/>
      <c r="F19" s="11"/>
      <c r="G19" s="11"/>
      <c r="I19" s="16"/>
    </row>
    <row r="20" outlineLevel="2">
      <c r="A20" s="10" t="s">
        <v>34</v>
      </c>
      <c r="B20" s="0" t="s">
        <v>33</v>
      </c>
      <c r="C20" s="11">
        <f>IFERROR(2.52*(1-w),"")</f>
        <v>1.8144</v>
      </c>
      <c r="D20" s="11">
        <v>2.52</v>
      </c>
      <c r="E20" s="11">
        <v/>
      </c>
      <c r="F20" s="11"/>
      <c r="G20" s="11"/>
      <c r="I20" s="16"/>
    </row>
    <row r="21" outlineLevel="1">
      <c r="A21" s="9" t="s">
        <v>35</v>
      </c>
      <c r="I21" s="16"/>
    </row>
    <row r="22" outlineLevel="2">
      <c r="A22" s="10" t="s">
        <v>36</v>
      </c>
      <c r="B22" s="0" t="s">
        <v>33</v>
      </c>
      <c r="C22" s="11">
        <f>IFERROR(48.92*(1-w),"")</f>
        <v>35.2224</v>
      </c>
      <c r="D22" s="11">
        <v>48.92</v>
      </c>
      <c r="E22" s="11">
        <v>50.184653262207632</v>
      </c>
      <c r="F22" s="11"/>
      <c r="G22" s="11"/>
      <c r="I22" s="16"/>
      <c r="J22" s="0" t="s">
        <v>37</v>
      </c>
    </row>
    <row r="23" outlineLevel="2">
      <c r="A23" s="10" t="s">
        <v>38</v>
      </c>
      <c r="B23" s="0" t="s">
        <v>33</v>
      </c>
      <c r="C23" s="11">
        <f>IFERROR(5.56*(1-w),"")</f>
        <v>4.0032</v>
      </c>
      <c r="D23" s="11">
        <v>5.56</v>
      </c>
      <c r="E23" s="11">
        <v>5.70373409930242</v>
      </c>
      <c r="F23" s="11"/>
      <c r="G23" s="11"/>
      <c r="I23" s="16"/>
      <c r="J23" s="0" t="s">
        <v>37</v>
      </c>
    </row>
    <row r="24" outlineLevel="2">
      <c r="A24" s="10" t="s">
        <v>39</v>
      </c>
      <c r="B24" s="0" t="s">
        <v>33</v>
      </c>
      <c r="C24" s="11">
        <f>IFERROR(41.93*(1-w),"")</f>
        <v>30.1896</v>
      </c>
      <c r="D24" s="11">
        <v>41.93</v>
      </c>
      <c r="E24" s="11">
        <v>43.013951579811241</v>
      </c>
      <c r="F24" s="11"/>
      <c r="G24" s="11"/>
      <c r="I24" s="16"/>
      <c r="J24" s="0" t="s">
        <v>40</v>
      </c>
    </row>
    <row r="25" outlineLevel="2">
      <c r="A25" s="10" t="s">
        <v>41</v>
      </c>
      <c r="B25" s="0" t="s">
        <v>33</v>
      </c>
      <c r="C25" s="11">
        <f>IFERROR(0.67*(1-w),"")</f>
        <v>0.4824</v>
      </c>
      <c r="D25" s="11">
        <v>0.67</v>
      </c>
      <c r="E25" s="11">
        <v>0.687320475995076</v>
      </c>
      <c r="F25" s="11"/>
      <c r="G25" s="11"/>
      <c r="I25" s="16"/>
      <c r="J25" s="0" t="s">
        <v>37</v>
      </c>
    </row>
    <row r="26" outlineLevel="2">
      <c r="A26" s="10" t="s">
        <v>42</v>
      </c>
      <c r="B26" s="0" t="s">
        <v>33</v>
      </c>
      <c r="C26" s="11">
        <f>IFERROR(0.04*(1-w),"")</f>
        <v>0.0288</v>
      </c>
      <c r="D26" s="11">
        <v>0.04</v>
      </c>
      <c r="E26" s="11">
        <v>0.04103405826836274</v>
      </c>
      <c r="F26" s="11"/>
      <c r="G26" s="11"/>
      <c r="I26" s="16"/>
      <c r="J26" s="0" t="s">
        <v>37</v>
      </c>
    </row>
    <row r="27" outlineLevel="2">
      <c r="A27" s="10" t="s">
        <v>43</v>
      </c>
      <c r="B27" s="0" t="s">
        <v>33</v>
      </c>
      <c r="C27" s="11">
        <f>IFERROR(100*(1-w)+w*100,"")</f>
        <v>100</v>
      </c>
      <c r="D27" s="11">
        <v>100</v>
      </c>
      <c r="E27" s="11">
        <v>100</v>
      </c>
      <c r="F27" s="11"/>
      <c r="G27" s="11"/>
      <c r="I27" s="16"/>
      <c r="J27" s="0" t="s">
        <v>40</v>
      </c>
    </row>
    <row r="28" outlineLevel="1">
      <c r="A28" s="9" t="s">
        <v>44</v>
      </c>
      <c r="I28" s="16"/>
    </row>
    <row r="29" outlineLevel="2">
      <c r="A29" s="10" t="s">
        <v>45</v>
      </c>
      <c r="B29" s="0" t="s">
        <v>46</v>
      </c>
      <c r="C29" s="12">
        <f>IFERROR(3600*(1-w),"")</f>
        <v>2592</v>
      </c>
      <c r="D29" s="12">
        <v>3600</v>
      </c>
      <c r="E29" s="12">
        <v>3693.0652441526468</v>
      </c>
      <c r="F29" s="12"/>
      <c r="G29" s="12"/>
      <c r="I29" s="16"/>
      <c r="J29" s="0" t="s">
        <v>37</v>
      </c>
    </row>
    <row r="30" outlineLevel="1">
      <c r="A30" s="9" t="s">
        <v>47</v>
      </c>
      <c r="I30" s="16"/>
    </row>
    <row r="31" outlineLevel="2">
      <c r="A31" s="10" t="s">
        <v>48</v>
      </c>
      <c r="B31" s="0" t="s">
        <v>49</v>
      </c>
      <c r="C31" s="11">
        <f>IFERROR(18.058*(1-w)-w*2.443,"")</f>
        <v>12.31772</v>
      </c>
      <c r="D31" s="11">
        <v>18.058</v>
      </c>
      <c r="E31" s="11">
        <v>18.52482560525236</v>
      </c>
      <c r="F31" s="11"/>
      <c r="G31" s="11"/>
      <c r="I31" s="16"/>
    </row>
    <row r="32" outlineLevel="2">
      <c r="A32" s="10" t="s">
        <v>50</v>
      </c>
      <c r="B32" s="0" t="s">
        <v>49</v>
      </c>
      <c r="C32" s="11">
        <f>IFERROR(19.281*(1-w),"")</f>
        <v>13.882319999999998</v>
      </c>
      <c r="D32" s="11">
        <v>19.281</v>
      </c>
      <c r="E32" s="11">
        <v>19.779441936807547</v>
      </c>
      <c r="F32" s="11"/>
      <c r="G32" s="11"/>
      <c r="I32" s="16"/>
    </row>
    <row r="33" outlineLevel="2">
      <c r="A33" s="10" t="s">
        <v>51</v>
      </c>
      <c r="B33" s="0" t="s">
        <v>49</v>
      </c>
      <c r="C33" s="11">
        <f>IFERROR(18.8851996112*(1-w),"")</f>
        <v>13.597343720064</v>
      </c>
      <c r="D33" s="11">
        <v>18.8851996112</v>
      </c>
      <c r="E33" s="11">
        <v>19.373409531391054</v>
      </c>
      <c r="F33" s="11"/>
      <c r="G33" s="11"/>
      <c r="I33" s="16"/>
      <c r="J33" s="0" t="s">
        <v>40</v>
      </c>
    </row>
    <row r="34" outlineLevel="1">
      <c r="A34" s="9" t="s">
        <v>52</v>
      </c>
      <c r="I34" s="16"/>
    </row>
    <row r="35" outlineLevel="2">
      <c r="A35" s="10" t="s">
        <v>53</v>
      </c>
      <c r="B35" s="0" t="s">
        <v>54</v>
      </c>
      <c r="C35" s="12">
        <v>0.04</v>
      </c>
      <c r="D35" s="12"/>
      <c r="E35" s="12"/>
      <c r="F35" s="12"/>
      <c r="G35" s="12"/>
      <c r="I35" s="16"/>
      <c r="J35" s="0" t="s">
        <v>55</v>
      </c>
    </row>
    <row r="36" outlineLevel="2">
      <c r="A36" s="10" t="s">
        <v>56</v>
      </c>
      <c r="B36" s="0" t="s">
        <v>54</v>
      </c>
      <c r="C36" s="12">
        <v>1.5</v>
      </c>
      <c r="D36" s="12"/>
      <c r="E36" s="12"/>
      <c r="F36" s="12"/>
      <c r="G36" s="12"/>
      <c r="I36" s="16"/>
      <c r="J36" s="0" t="s">
        <v>55</v>
      </c>
    </row>
    <row r="37" outlineLevel="2">
      <c r="A37" s="10" t="s">
        <v>57</v>
      </c>
      <c r="B37" s="0" t="s">
        <v>54</v>
      </c>
      <c r="C37" s="12">
        <v>0.01</v>
      </c>
      <c r="D37" s="12"/>
      <c r="E37" s="12"/>
      <c r="F37" s="12"/>
      <c r="G37" s="12"/>
      <c r="I37" s="16"/>
      <c r="J37" s="0" t="s">
        <v>55</v>
      </c>
    </row>
    <row r="38" outlineLevel="2">
      <c r="A38" s="10" t="s">
        <v>58</v>
      </c>
      <c r="B38" s="0" t="s">
        <v>54</v>
      </c>
      <c r="C38" s="12">
        <v>1.29</v>
      </c>
      <c r="D38" s="12"/>
      <c r="E38" s="12"/>
      <c r="F38" s="12"/>
      <c r="G38" s="12"/>
      <c r="I38" s="16"/>
      <c r="J38" s="0" t="s">
        <v>55</v>
      </c>
    </row>
    <row r="39" outlineLevel="1">
      <c r="A39" s="9" t="s">
        <v>59</v>
      </c>
      <c r="I39" s="16"/>
    </row>
    <row r="40" outlineLevel="2">
      <c r="A40" s="13" t="s">
        <v>60</v>
      </c>
      <c r="I40" s="16"/>
    </row>
    <row r="41" outlineLevel="3">
      <c r="A41" s="14" t="s">
        <v>61</v>
      </c>
      <c r="B41" s="0" t="s">
        <v>62</v>
      </c>
      <c r="C41" s="15">
        <v>810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62</v>
      </c>
      <c r="C42" s="15">
        <v>860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62</v>
      </c>
      <c r="C43" s="15">
        <v>1000</v>
      </c>
      <c r="D43" s="15"/>
      <c r="E43" s="15"/>
      <c r="F43" s="15"/>
      <c r="G43" s="15"/>
      <c r="I43" s="16"/>
    </row>
    <row r="44" outlineLevel="3">
      <c r="A44" s="14" t="s">
        <v>65</v>
      </c>
      <c r="B44" s="0" t="s">
        <v>62</v>
      </c>
      <c r="C44" s="15">
        <v>1040</v>
      </c>
      <c r="D44" s="15"/>
      <c r="E44" s="15"/>
      <c r="F44" s="15"/>
      <c r="G44" s="15"/>
      <c r="I44" s="16"/>
    </row>
    <row r="45">
      <c r="A45" s="5" t="s">
        <v>66</v>
      </c>
      <c r="I45" s="16"/>
    </row>
    <row r="46" outlineLevel="1">
      <c r="A46" s="9" t="s">
        <v>67</v>
      </c>
      <c r="I46" s="16"/>
    </row>
    <row r="47" outlineLevel="2">
      <c r="A47" s="10" t="s">
        <v>68</v>
      </c>
      <c r="B47" s="0" t="s">
        <v>69</v>
      </c>
      <c r="C47" s="11">
        <v>5.4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69</v>
      </c>
      <c r="C48" s="11">
        <v>3.31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69</v>
      </c>
      <c r="C49" s="11">
        <v>5.05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69</v>
      </c>
      <c r="C50" s="11">
        <v>2.69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69</v>
      </c>
      <c r="C51" s="11">
        <v>40.4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69</v>
      </c>
      <c r="C52" s="11">
        <v>0.36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69</v>
      </c>
      <c r="C53" s="11">
        <v>0.5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69</v>
      </c>
      <c r="C54" s="11">
        <v>7.2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69</v>
      </c>
      <c r="C55" s="11">
        <v>3.6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69</v>
      </c>
      <c r="C56" s="11">
        <v>0.18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69</v>
      </c>
      <c r="C57" s="11">
        <v>24.7</v>
      </c>
      <c r="D57" s="11"/>
      <c r="E57" s="11"/>
      <c r="F57" s="11"/>
      <c r="G57" s="11"/>
      <c r="I57" s="16"/>
    </row>
    <row r="58" outlineLevel="2">
      <c r="A58" s="10" t="s">
        <v>80</v>
      </c>
      <c r="B58" s="0" t="s">
        <v>81</v>
      </c>
      <c r="C58" s="12">
        <v>23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81</v>
      </c>
      <c r="C59" s="12">
        <v>0.021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81</v>
      </c>
      <c r="C60" s="12">
        <v>52</v>
      </c>
      <c r="D60" s="12"/>
      <c r="E60" s="12"/>
      <c r="F60" s="12"/>
      <c r="G60" s="12"/>
      <c r="I60" s="16"/>
    </row>
    <row r="61" outlineLevel="2">
      <c r="A61" s="10" t="s">
        <v>84</v>
      </c>
      <c r="B61" s="0" t="s">
        <v>81</v>
      </c>
      <c r="C61" s="12">
        <v>0.04</v>
      </c>
      <c r="D61" s="12"/>
      <c r="E61" s="12"/>
      <c r="F61" s="12"/>
      <c r="G61" s="12"/>
      <c r="I61" s="16"/>
    </row>
    <row r="62">
      <c r="I62" s="16"/>
    </row>
    <row r="63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5:E35"/>
    <mergeCell ref="C36:E36"/>
    <mergeCell ref="C37:E37"/>
    <mergeCell ref="C38:E38"/>
    <mergeCell ref="C41:E41"/>
    <mergeCell ref="C42:E42"/>
    <mergeCell ref="C43:E43"/>
    <mergeCell ref="C44:E44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</mergeCells>
  <dataValidations count="1">
    <dataValidation type="decimal" sqref="C19" errorStyle="stop" promptTitle="Enter moisture content" errorTitle="Invalid moisture content" prompt="Value should be between 0 and 100.&#10;Original value: 2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https://phyllis.nl/Biomass/View/593</dc:description>
  <dcterms:created xsi:type="dcterms:W3CDTF">2026-03-04T04:12:27Z</dcterms:created>
  <dc:title>Phyllis2 #593 miscanthus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