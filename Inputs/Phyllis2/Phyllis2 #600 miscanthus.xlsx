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00 miscanthus" sheetId="1" r:id="rId1"/>
  </sheets>
  <definedNames>
    <definedName name="w" localSheetId="0">IF(ISBLANK('Phyllis2 #600 miscanthus'!$C$17),#N/A,'Phyllis2 #600 miscanthus'!$C$17/100)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<sst xmlns="http://schemas.openxmlformats.org/spreadsheetml/2006/main" count="57" uniqueCount="57">
  <si>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</si>
  <si>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https://phyllis.nl/Biomass/View/600</t>
  </si>
  <si>
    <t>miscanthus (#600)</t>
  </si>
  <si>
    <t>ID-number</t>
  </si>
  <si>
    <t>#600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</si>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</sst>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IFERROR(2.8*(1-w),"")</f>
        <v/>
      </c>
      <c r="D18" s="11">
        <v>2.8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IFERROR(47.9*(1-w),"")</f>
        <v/>
      </c>
      <c r="D20" s="11">
        <v>47.9</v>
      </c>
      <c r="E20" s="11">
        <v>49.2798353909465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IFERROR(5.6*(1-w),"")</f>
        <v/>
      </c>
      <c r="D21" s="11">
        <v>5.6</v>
      </c>
      <c r="E21" s="11">
        <v>5.7613168724279831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IFERROR(42.69*(1-w),"")</f>
        <v/>
      </c>
      <c r="D22" s="11">
        <v>42.69</v>
      </c>
      <c r="E22" s="11">
        <v>43.919753086419753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IFERROR(0.6*(1-w),"")</f>
        <v/>
      </c>
      <c r="D23" s="11">
        <v>0.6</v>
      </c>
      <c r="E23" s="11">
        <v>0.61728395061728392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IFERROR(0.04*(1-w),"")</f>
        <v/>
      </c>
      <c r="D24" s="11">
        <v>0.04</v>
      </c>
      <c r="E24" s="11">
        <v>0.0411522633744856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IFERROR(3700*(1-w),"")</f>
        <v/>
      </c>
      <c r="D27" s="12">
        <v>3700</v>
      </c>
      <c r="E27" s="12">
        <v>3806.5843621399176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IFERROR(18.12*(1-w)-w*2.443,"")</f>
        <v/>
      </c>
      <c r="D29" s="11">
        <v>18.12</v>
      </c>
      <c r="E29" s="11">
        <v>18.641975308641978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IFERROR(19.19*(1-w),"")</f>
        <v/>
      </c>
      <c r="D30" s="11">
        <v>19.19</v>
      </c>
      <c r="E30" s="11">
        <v>19.742798353909468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IFERROR(18.50340352*(1-w),"")</f>
        <v/>
      </c>
      <c r="D31" s="11">
        <v>18.503403519999996</v>
      </c>
      <c r="E31" s="11">
        <v>19.036423374485594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1.1</v>
      </c>
      <c r="D34" s="12"/>
      <c r="E34" s="12"/>
      <c r="F34" s="12"/>
      <c r="G34" s="12"/>
      <c r="I34" s="13"/>
    </row>
    <row r="35" outlineLevel="2">
      <c r="A35" s="10" t="s">
        <v>54</v>
      </c>
      <c r="B35" s="0" t="s">
        <v>53</v>
      </c>
      <c r="C35" s="12">
        <v>0.06</v>
      </c>
      <c r="D35" s="12"/>
      <c r="E35" s="12"/>
      <c r="F35" s="12"/>
      <c r="G35" s="12"/>
      <c r="I35" s="13"/>
    </row>
    <row r="36" outlineLevel="2">
      <c r="A36" s="10" t="s">
        <v>55</v>
      </c>
      <c r="B36" s="0" t="s">
        <v>53</v>
      </c>
      <c r="C36" s="12">
        <v>1.6</v>
      </c>
      <c r="D36" s="12"/>
      <c r="E36" s="12"/>
      <c r="F36" s="12"/>
      <c r="G36" s="12"/>
      <c r="I36" s="13"/>
    </row>
    <row r="37" outlineLevel="2">
      <c r="A37" s="10" t="s">
        <v>56</v>
      </c>
      <c r="B37" s="0" t="s">
        <v>53</v>
      </c>
      <c r="C37" s="12">
        <v>0.01</v>
      </c>
      <c r="D37" s="12"/>
      <c r="E37" s="12"/>
      <c r="F37" s="12"/>
      <c r="G37" s="12"/>
      <c r="I37" s="13"/>
    </row>
    <row r="38">
      <c r="I38" s="13"/>
    </row>
    <row r="3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https://phyllis.nl/Biomass/View/600</dc:description>
  <dcterms:created xsi:type="dcterms:W3CDTF">2026-03-04T04:12:58Z</dcterms:created>
  <dc:title>Phyllis2 #600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