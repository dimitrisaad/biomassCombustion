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16 grass" sheetId="1" r:id="rId1"/>
  </sheets>
  <definedNames>
    <definedName name="w" localSheetId="0">IF(ISBLANK('Phyllis2 #616 grass'!$C$18),#N/A,'Phyllis2 #616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<sst xmlns="http://schemas.openxmlformats.org/spreadsheetml/2006/main" count="84" uniqueCount="84">
  <si>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</si>
  <si>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https://phyllis.nl/Biomass/View/616</t>
  </si>
  <si>
    <t>grass (#616)</t>
  </si>
  <si>
    <t>ID-number</t>
  </si>
  <si>
    <t>#616</t>
  </si>
  <si>
    <t>Material</t>
  </si>
  <si>
    <t>grass</t>
  </si>
  <si>
    <t>Classification</t>
  </si>
  <si>
    <t>ECN Phyllis classification &gt; grass/plant &gt; other grass &gt; grass</t>
  </si>
  <si>
    <t>NTA 8003 classification &gt; [200] biomassa uit land- en tuinbouw &gt; [210] gras &gt; [211] mengsel gras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</si>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</sst>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IFERROR(9.52*(1-w),"")</f>
        <v/>
      </c>
      <c r="D19" s="11">
        <v>9.52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IFERROR(46.76*(1-w),"")</f>
        <v/>
      </c>
      <c r="D21" s="11">
        <v>46.76</v>
      </c>
      <c r="E21" s="11">
        <v>51.679929266136156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IFERROR(5.3*(1-w),"")</f>
        <v/>
      </c>
      <c r="D22" s="11">
        <v>5.3</v>
      </c>
      <c r="E22" s="11">
        <v>5.8576480990274087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IFERROR(34*(1-w),"")</f>
        <v/>
      </c>
      <c r="D23" s="11">
        <v>34</v>
      </c>
      <c r="E23" s="11">
        <v>37.577365163572061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IFERROR(3.59*(1-w),"")</f>
        <v/>
      </c>
      <c r="D24" s="11">
        <v>3.59</v>
      </c>
      <c r="E24" s="11">
        <v>3.9677276746242258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IFERROR(0.32*(1-w),"")</f>
        <v/>
      </c>
      <c r="D25" s="11">
        <v>0.32</v>
      </c>
      <c r="E25" s="11">
        <v>0.35366931918656053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IFERROR(5100*(1-w),"")</f>
        <v/>
      </c>
      <c r="D28" s="12">
        <v>5100</v>
      </c>
      <c r="E28" s="12">
        <v>5636.6047745358092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IFERROR(17.75*(1-w)-w*2.443,"")</f>
        <v/>
      </c>
      <c r="D30" s="11">
        <v>17.75</v>
      </c>
      <c r="E30" s="11">
        <v>19.617595048629532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IFERROR(18.929*(1-w),"")</f>
        <v/>
      </c>
      <c r="D31" s="11">
        <v>18.929</v>
      </c>
      <c r="E31" s="11">
        <v>20.920645446507514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IFERROR(18.3311224512*(1-w),"")</f>
        <v/>
      </c>
      <c r="D32" s="11">
        <v>18.3311224512</v>
      </c>
      <c r="E32" s="11">
        <v>20.259861241379308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10.44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0.03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0.78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890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1090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1170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1.3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3.95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3.82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7.17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30.7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0.63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0.94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12.1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3.05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0.29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27.8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7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0.07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69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https://phyllis.nl/Biomass/View/616</dc:description>
  <dcterms:created xsi:type="dcterms:W3CDTF">2026-03-04T04:19:02Z</dcterms:created>
  <dc:title>Phyllis2 #616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