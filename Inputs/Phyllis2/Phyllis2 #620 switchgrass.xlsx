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0 switchgrass" sheetId="1" r:id="rId1"/>
  </sheets>
  <definedNames>
    <definedName name="w" localSheetId="0">IF(ISBLANK('Phyllis2 #620 switchgrass'!$C$19),#N/A,'Phyllis2 #620 switchgrass'!$C$19/100)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<sst xmlns="http://schemas.openxmlformats.org/spreadsheetml/2006/main" count="63" uniqueCount="63">
  <si>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</si>
  <si>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https://phyllis.nl/Biomass/View/620</t>
  </si>
  <si>
    <t>switchgrass (#620)</t>
  </si>
  <si>
    <t>ID-number</t>
  </si>
  <si>
    <t>#620</t>
  </si>
  <si>
    <t>Material</t>
  </si>
  <si>
    <t>switchgrass</t>
  </si>
  <si>
    <t>Classification</t>
  </si>
  <si>
    <t>ECN Phyllis classification &gt; grass/plant &gt; switch grass &gt; switchgrass</t>
  </si>
  <si>
    <t>NTA 8003 classification &gt; [200] biomassa uit land- en tuinbouw &gt; [210] gras &gt; [219] overig gras</t>
  </si>
  <si>
    <t>Ash type</t>
  </si>
  <si>
    <t>laboratory</t>
  </si>
  <si>
    <t>Submitter organisation</t>
  </si>
  <si>
    <t>ECN (Netherlands)</t>
  </si>
  <si>
    <t>Remarks</t>
  </si>
  <si>
    <t>used in Batelle-concept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</si>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</sst>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2"/>
    </row>
    <row r="18" outlineLevel="1">
      <c r="A18" s="9" t="s">
        <v>31</v>
      </c>
      <c r="I18" s="12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2"/>
    </row>
    <row r="20" outlineLevel="2">
      <c r="A20" s="10" t="s">
        <v>34</v>
      </c>
      <c r="B20" s="0" t="s">
        <v>35</v>
      </c>
      <c r="C20" s="11">
        <f>IFERROR(10.11*(1-w),"")</f>
        <v/>
      </c>
      <c r="D20" s="11">
        <v>10.11</v>
      </c>
      <c r="E20" s="11">
        <v/>
      </c>
      <c r="F20" s="11"/>
      <c r="G20" s="11"/>
      <c r="I20" s="12"/>
    </row>
    <row r="21" outlineLevel="1">
      <c r="A21" s="9" t="s">
        <v>36</v>
      </c>
      <c r="I21" s="12"/>
    </row>
    <row r="22" outlineLevel="2">
      <c r="A22" s="10" t="s">
        <v>37</v>
      </c>
      <c r="B22" s="0" t="s">
        <v>35</v>
      </c>
      <c r="C22" s="11">
        <f>IFERROR(47.79*(1-w),"")</f>
        <v/>
      </c>
      <c r="D22" s="11">
        <v>47.79</v>
      </c>
      <c r="E22" s="11">
        <v>53.164979419290241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35</v>
      </c>
      <c r="C23" s="11">
        <f>IFERROR(5.76*(1-w),"")</f>
        <v/>
      </c>
      <c r="D23" s="11">
        <v>5.76</v>
      </c>
      <c r="E23" s="11">
        <v>6.4078317944153964</v>
      </c>
      <c r="F23" s="11"/>
      <c r="G23" s="11"/>
      <c r="I23" s="12"/>
      <c r="J23" s="0" t="s">
        <v>38</v>
      </c>
    </row>
    <row r="24" outlineLevel="2">
      <c r="A24" s="10" t="s">
        <v>40</v>
      </c>
      <c r="B24" s="0" t="s">
        <v>35</v>
      </c>
      <c r="C24" s="11">
        <f>IFERROR(35.07*(1-w),"")</f>
        <v/>
      </c>
      <c r="D24" s="11">
        <v>35.07</v>
      </c>
      <c r="E24" s="11">
        <v>39.014350873289573</v>
      </c>
      <c r="F24" s="11"/>
      <c r="G24" s="11"/>
      <c r="I24" s="12"/>
      <c r="J24" s="0" t="s">
        <v>41</v>
      </c>
    </row>
    <row r="25" outlineLevel="2">
      <c r="A25" s="10" t="s">
        <v>42</v>
      </c>
      <c r="B25" s="0" t="s">
        <v>35</v>
      </c>
      <c r="C25" s="11">
        <f>IFERROR(1.17*(1-w),"")</f>
        <v/>
      </c>
      <c r="D25" s="11">
        <v>1.17</v>
      </c>
      <c r="E25" s="11">
        <v>1.3015908332406274</v>
      </c>
      <c r="F25" s="11"/>
      <c r="G25" s="11"/>
      <c r="I25" s="12"/>
      <c r="J25" s="0" t="s">
        <v>38</v>
      </c>
    </row>
    <row r="26" outlineLevel="2">
      <c r="A26" s="10" t="s">
        <v>43</v>
      </c>
      <c r="B26" s="0" t="s">
        <v>35</v>
      </c>
      <c r="C26" s="11">
        <f>IFERROR(0.1*(1-w),"")</f>
        <v/>
      </c>
      <c r="D26" s="11">
        <v>0.1</v>
      </c>
      <c r="E26" s="11">
        <v>0.1112470797641562</v>
      </c>
      <c r="F26" s="11"/>
      <c r="G26" s="11"/>
      <c r="I26" s="12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100</v>
      </c>
      <c r="F27" s="11"/>
      <c r="G27" s="11"/>
      <c r="I27" s="12"/>
      <c r="J27" s="0" t="s">
        <v>41</v>
      </c>
    </row>
    <row r="28" outlineLevel="1">
      <c r="A28" s="9" t="s">
        <v>45</v>
      </c>
      <c r="I28" s="12"/>
    </row>
    <row r="29" outlineLevel="2">
      <c r="A29" s="10" t="s">
        <v>46</v>
      </c>
      <c r="B29" s="0" t="s">
        <v>47</v>
      </c>
      <c r="C29" s="11">
        <f>IFERROR(16.76707*(1-w)-w*2.443,"")</f>
        <v/>
      </c>
      <c r="D29" s="11">
        <v>16.76707</v>
      </c>
      <c r="E29" s="11">
        <v>18.652875737011904</v>
      </c>
      <c r="F29" s="11"/>
      <c r="G29" s="11"/>
      <c r="I29" s="12"/>
    </row>
    <row r="30" outlineLevel="2">
      <c r="A30" s="10" t="s">
        <v>48</v>
      </c>
      <c r="B30" s="0" t="s">
        <v>47</v>
      </c>
      <c r="C30" s="11">
        <f>IFERROR(18.024*(1-w),"")</f>
        <v/>
      </c>
      <c r="D30" s="11">
        <v>18.024</v>
      </c>
      <c r="E30" s="11">
        <v>20.05117365669151</v>
      </c>
      <c r="F30" s="11"/>
      <c r="G30" s="11"/>
      <c r="I30" s="12"/>
    </row>
    <row r="31" outlineLevel="2">
      <c r="A31" s="10" t="s">
        <v>49</v>
      </c>
      <c r="B31" s="0" t="s">
        <v>47</v>
      </c>
      <c r="C31" s="11">
        <f>IFERROR(19.4301254513*(1-w),"")</f>
        <v/>
      </c>
      <c r="D31" s="11">
        <v>19.4301254513</v>
      </c>
      <c r="E31" s="11">
        <v>21.615447159083324</v>
      </c>
      <c r="F31" s="11"/>
      <c r="G31" s="11"/>
      <c r="I31" s="12"/>
      <c r="J31" s="0" t="s">
        <v>41</v>
      </c>
    </row>
    <row r="32">
      <c r="A32" s="5" t="s">
        <v>50</v>
      </c>
      <c r="I32" s="12"/>
    </row>
    <row r="33" outlineLevel="1">
      <c r="A33" s="9" t="s">
        <v>51</v>
      </c>
      <c r="I33" s="12"/>
    </row>
    <row r="34" outlineLevel="2">
      <c r="A34" s="10" t="s">
        <v>52</v>
      </c>
      <c r="B34" s="0" t="s">
        <v>53</v>
      </c>
      <c r="C34" s="11">
        <v>1.9</v>
      </c>
      <c r="D34" s="11"/>
      <c r="E34" s="11"/>
      <c r="F34" s="11"/>
      <c r="G34" s="11"/>
      <c r="I34" s="12"/>
    </row>
    <row r="35" outlineLevel="2">
      <c r="A35" s="10" t="s">
        <v>54</v>
      </c>
      <c r="B35" s="0" t="s">
        <v>53</v>
      </c>
      <c r="C35" s="11">
        <v>2.6</v>
      </c>
      <c r="D35" s="11"/>
      <c r="E35" s="11"/>
      <c r="F35" s="11"/>
      <c r="G35" s="11"/>
      <c r="I35" s="12"/>
    </row>
    <row r="36" outlineLevel="2">
      <c r="A36" s="10" t="s">
        <v>55</v>
      </c>
      <c r="B36" s="0" t="s">
        <v>53</v>
      </c>
      <c r="C36" s="11">
        <v>69.92</v>
      </c>
      <c r="D36" s="11"/>
      <c r="E36" s="11"/>
      <c r="F36" s="11"/>
      <c r="G36" s="11"/>
      <c r="I36" s="12"/>
    </row>
    <row r="37" outlineLevel="2">
      <c r="A37" s="10" t="s">
        <v>56</v>
      </c>
      <c r="B37" s="0" t="s">
        <v>53</v>
      </c>
      <c r="C37" s="11">
        <v>0.45</v>
      </c>
      <c r="D37" s="11"/>
      <c r="E37" s="11"/>
      <c r="F37" s="11"/>
      <c r="G37" s="11"/>
      <c r="I37" s="12"/>
    </row>
    <row r="38" outlineLevel="2">
      <c r="A38" s="10" t="s">
        <v>57</v>
      </c>
      <c r="B38" s="0" t="s">
        <v>53</v>
      </c>
      <c r="C38" s="11">
        <v>0.45</v>
      </c>
      <c r="D38" s="11"/>
      <c r="E38" s="11"/>
      <c r="F38" s="11"/>
      <c r="G38" s="11"/>
      <c r="I38" s="12"/>
    </row>
    <row r="39" outlineLevel="2">
      <c r="A39" s="10" t="s">
        <v>58</v>
      </c>
      <c r="B39" s="0" t="s">
        <v>53</v>
      </c>
      <c r="C39" s="11">
        <v>4.8</v>
      </c>
      <c r="D39" s="11"/>
      <c r="E39" s="11"/>
      <c r="F39" s="11"/>
      <c r="G39" s="11"/>
      <c r="I39" s="12"/>
    </row>
    <row r="40" outlineLevel="2">
      <c r="A40" s="10" t="s">
        <v>59</v>
      </c>
      <c r="B40" s="0" t="s">
        <v>53</v>
      </c>
      <c r="C40" s="11">
        <v>2.6</v>
      </c>
      <c r="D40" s="11"/>
      <c r="E40" s="11"/>
      <c r="F40" s="11"/>
      <c r="G40" s="11"/>
      <c r="I40" s="12"/>
    </row>
    <row r="41" outlineLevel="2">
      <c r="A41" s="10" t="s">
        <v>60</v>
      </c>
      <c r="B41" s="0" t="s">
        <v>53</v>
      </c>
      <c r="C41" s="11">
        <v>0.1</v>
      </c>
      <c r="D41" s="11"/>
      <c r="E41" s="11"/>
      <c r="F41" s="11"/>
      <c r="G41" s="11"/>
      <c r="I41" s="12"/>
    </row>
    <row r="42" outlineLevel="2">
      <c r="A42" s="10" t="s">
        <v>61</v>
      </c>
      <c r="B42" s="0" t="s">
        <v>53</v>
      </c>
      <c r="C42" s="11">
        <v>15</v>
      </c>
      <c r="D42" s="11"/>
      <c r="E42" s="11"/>
      <c r="F42" s="11"/>
      <c r="G42" s="11"/>
      <c r="I42" s="12"/>
    </row>
    <row r="43" outlineLevel="2">
      <c r="A43" s="10" t="s">
        <v>62</v>
      </c>
      <c r="B43" s="0" t="s">
        <v>53</v>
      </c>
      <c r="C43" s="11">
        <v>0.12</v>
      </c>
      <c r="D43" s="11"/>
      <c r="E43" s="11"/>
      <c r="F43" s="11"/>
      <c r="G43" s="11"/>
      <c r="I43" s="12"/>
    </row>
    <row r="44">
      <c r="I44" s="12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https://phyllis.nl/Biomass/View/620</dc:description>
  <dcterms:created xsi:type="dcterms:W3CDTF">2026-03-04T04:39:07Z</dcterms:created>
  <dc:title>Phyllis2 #620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