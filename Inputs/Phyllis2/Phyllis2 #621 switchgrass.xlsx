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1 switchgrass" sheetId="1" r:id="rId1"/>
  </sheets>
  <definedNames>
    <definedName name="w" localSheetId="0">IF(ISBLANK('Phyllis2 #621 switchgrass'!$C$18),#N/A,'Phyllis2 #621 switchgrass'!$C$18/100)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<sst xmlns="http://schemas.openxmlformats.org/spreadsheetml/2006/main" count="52" uniqueCount="52">
  <si>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</si>
  <si>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https://phyllis.nl/Biomass/View/621</t>
  </si>
  <si>
    <t>switchgrass (#621)</t>
  </si>
  <si>
    <t>ID-number</t>
  </si>
  <si>
    <t>#621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</si>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</sst>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IFERROR(5.9*(1-w),"")</f>
        <v/>
      </c>
      <c r="D19" s="11">
        <v>5.9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IFERROR(47.73*(1-w),"")</f>
        <v/>
      </c>
      <c r="D21" s="11">
        <v>47.73</v>
      </c>
      <c r="E21" s="11">
        <v>50.722635494155156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IFERROR(5.74*(1-w),"")</f>
        <v/>
      </c>
      <c r="D22" s="11">
        <v>5.74</v>
      </c>
      <c r="E22" s="11">
        <v>6.0998937300743892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IFERROR(40.04*(1-w),"")</f>
        <v/>
      </c>
      <c r="D23" s="11">
        <v>40.04</v>
      </c>
      <c r="E23" s="11">
        <v>42.550478214665254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IFERROR(0.38*(1-w),"")</f>
        <v/>
      </c>
      <c r="D24" s="11">
        <v>0.38</v>
      </c>
      <c r="E24" s="11">
        <v>0.4038257173219979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IFERROR(0.11*(1-w),"")</f>
        <v/>
      </c>
      <c r="D25" s="11">
        <v>0.11</v>
      </c>
      <c r="E25" s="11">
        <v>0.11689691817215729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IFERROR(1000*(1-w),"")</f>
        <v/>
      </c>
      <c r="D28" s="12">
        <v>1000</v>
      </c>
      <c r="E28" s="12">
        <v>1062.6992561105208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IFERROR(16.85543*(1-w)-w*2.443,"")</f>
        <v/>
      </c>
      <c r="D30" s="11">
        <v>16.85543</v>
      </c>
      <c r="E30" s="11">
        <v>17.912252922422955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IFERROR(18.108*(1-w),"")</f>
        <v/>
      </c>
      <c r="D31" s="11">
        <v>18.108</v>
      </c>
      <c r="E31" s="11">
        <v>19.243358129649312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IFERROR(18.93641193*(1-w),"")</f>
        <v/>
      </c>
      <c r="D32" s="11">
        <v>18.93641193</v>
      </c>
      <c r="E32" s="11">
        <v>20.12371087141339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https://phyllis.nl/Biomass/View/621</dc:description>
  <dcterms:created xsi:type="dcterms:W3CDTF">2026-03-04T04:39:12Z</dcterms:created>
  <dc:title>Phyllis2 #621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