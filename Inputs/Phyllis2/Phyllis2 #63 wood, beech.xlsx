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3 wood, beech" sheetId="1" r:id="rId1"/>
  </sheets>
  <definedNames>
    <definedName name="w" localSheetId="0">IF(ISBLANK('Phyllis2 #63 wood, beech'!$C$18),#N/A,'Phyllis2 #63 wood, beech'!$C$18/100)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<sst xmlns="http://schemas.openxmlformats.org/spreadsheetml/2006/main" count="48" uniqueCount="48">
  <si>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</si>
  <si>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https://phyllis.nl/Biomass/View/63</t>
  </si>
  <si>
    <t>wood, beech (#63)</t>
  </si>
  <si>
    <t>ID-number</t>
  </si>
  <si>
    <t>#63</t>
  </si>
  <si>
    <t>Material</t>
  </si>
  <si>
    <t>wood, beech</t>
  </si>
  <si>
    <t>Classification</t>
  </si>
  <si>
    <t>ECN Phyllis classification &gt; untreated wood &gt; beech &gt; wood, beech</t>
  </si>
  <si>
    <t>NTA 8003 classification &gt; [100] hout &gt; [110] vers hout &gt; [120] loofhout &gt; [125] hard loofhout</t>
  </si>
  <si>
    <t>Submitter organisation</t>
  </si>
  <si>
    <t>ECN (Netherlands)</t>
  </si>
  <si>
    <t>Remarks</t>
  </si>
  <si>
    <t>wood chips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</si>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</sst>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IFERROR(0.61*(1-w),"")</f>
        <v/>
      </c>
      <c r="D19" s="11">
        <v>0.61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IFERROR(48.56624*(1-w),"")</f>
        <v/>
      </c>
      <c r="D21" s="11">
        <v>48.56624</v>
      </c>
      <c r="E21" s="11">
        <v>48.864312305060871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IFERROR(5.795523*(1-w),"")</f>
        <v/>
      </c>
      <c r="D22" s="11">
        <v>5.795523</v>
      </c>
      <c r="E22" s="11">
        <v>5.8310926652580743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IFERROR(44.79835*(1-w),"")</f>
        <v/>
      </c>
      <c r="D23" s="11">
        <v>44.79835</v>
      </c>
      <c r="E23" s="11">
        <v>45.073297112385553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IFERROR(0.1935874*(1-w),"")</f>
        <v/>
      </c>
      <c r="D24" s="11">
        <v>0.1935874</v>
      </c>
      <c r="E24" s="11">
        <v>0.19477553073749873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IFERROR(0.03629764*(1-w),"")</f>
        <v/>
      </c>
      <c r="D25" s="11">
        <v>0.03629764</v>
      </c>
      <c r="E25" s="11">
        <v>0.03652041452862461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33</v>
      </c>
      <c r="C26" s="11">
        <f>IFERROR(99.99999804*(1-w)+w*100,"")</f>
        <v/>
      </c>
      <c r="D26" s="11">
        <v>99.99999804</v>
      </c>
      <c r="E26" s="11">
        <v>99.999998027970619</v>
      </c>
      <c r="F26" s="11"/>
      <c r="G26" s="11"/>
      <c r="I26" s="12"/>
      <c r="J26" s="0" t="s">
        <v>39</v>
      </c>
    </row>
    <row r="27" outlineLevel="1">
      <c r="A27" s="9" t="s">
        <v>43</v>
      </c>
      <c r="I27" s="12"/>
    </row>
    <row r="28" outlineLevel="2">
      <c r="A28" s="10" t="s">
        <v>44</v>
      </c>
      <c r="B28" s="0" t="s">
        <v>45</v>
      </c>
      <c r="C28" s="11">
        <f>IFERROR(17.51644*(1-w)-w*2.443,"")</f>
        <v/>
      </c>
      <c r="D28" s="11">
        <v>17.51644</v>
      </c>
      <c r="E28" s="11">
        <v>17.623946071033302</v>
      </c>
      <c r="F28" s="11"/>
      <c r="G28" s="11"/>
      <c r="I28" s="12"/>
    </row>
    <row r="29" outlineLevel="2">
      <c r="A29" s="10" t="s">
        <v>46</v>
      </c>
      <c r="B29" s="0" t="s">
        <v>45</v>
      </c>
      <c r="C29" s="11">
        <f>IFERROR(18.781*(1-w),"")</f>
        <v/>
      </c>
      <c r="D29" s="11">
        <v>18.781</v>
      </c>
      <c r="E29" s="11">
        <v>18.896267230103632</v>
      </c>
      <c r="F29" s="11"/>
      <c r="G29" s="11"/>
      <c r="I29" s="12"/>
    </row>
    <row r="30" outlineLevel="2">
      <c r="A30" s="10" t="s">
        <v>47</v>
      </c>
      <c r="B30" s="0" t="s">
        <v>45</v>
      </c>
      <c r="C30" s="11">
        <f>IFERROR(18.816950707404*(1-w),"")</f>
        <v/>
      </c>
      <c r="D30" s="11">
        <v>18.816950707404</v>
      </c>
      <c r="E30" s="11">
        <v>18.932438582758831</v>
      </c>
      <c r="F30" s="11"/>
      <c r="G30" s="11"/>
      <c r="I30" s="12"/>
      <c r="J30" s="0" t="s">
        <v>39</v>
      </c>
    </row>
    <row r="31">
      <c r="I31" s="12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https://phyllis.nl/Biomass/View/63</dc:description>
  <dcterms:created xsi:type="dcterms:W3CDTF">2026-03-19T04:19:27Z</dcterms:created>
  <dc:title>Phyllis2 #63 wood,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