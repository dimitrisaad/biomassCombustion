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image/png" PartName="/xl/media/1ECN-TNO.png"/>
  <Override ContentType="application/vnd.openxmlformats-officedocument.spreadsheetml.comments+xml" PartName="/xl/comments1.xml"/>
  <Override ContentType="application/vnd.openxmlformats-officedocument.vmlDrawing" PartName="/xl/drawings/vmlDrawing1.v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hyllis2 #657 wood, industrial " sheetId="1" r:id="rId1"/>
  </sheets>
  <definedNames>
    <definedName name="w" localSheetId="0">IF(ISBLANK('Phyllis2 #657 wood, industrial '!$C$19),#N/A,'Phyllis2 #657 wood, industrial '!$C$19/100)</definedName>
  </definedName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Phyllis2</d:author>
  </authors>
  <commentList>
    <comment ref="C16" authorId="0">
      <text>
        <d:r xmlns:d="http://schemas.openxmlformats.org/spreadsheetml/2006/main">
          <rPr>
            <sz val="11"/>
            <rFont val="Calibri"/>
          </rPr>
          <t xml:space="preserve">ar: as received, the material in its original form (including ash and moisture)</t>
        </d:r>
      </text>
    </comment>
    <comment ref="E16" authorId="0">
      <text>
        <d:r xmlns:d="http://schemas.openxmlformats.org/spreadsheetml/2006/main">
          <rPr>
            <sz val="11"/>
            <rFont val="Calibri"/>
          </rPr>
          <t xml:space="preserve">daf: the dry and ash free material</t>
        </d:r>
      </text>
    </comment>
    <comment ref="D16" authorId="0">
      <text>
        <d:r xmlns:d="http://schemas.openxmlformats.org/spreadsheetml/2006/main">
          <rPr>
            <sz val="11"/>
            <rFont val="Calibri"/>
          </rPr>
          <t xml:space="preserve">dry: the dry material (including ash)</t>
        </d:r>
      </text>
    </comment>
  </commentList>
</comments>
</file>

<file path=xl/sharedStrings.xml><?xml version="1.0" encoding="utf-8"?>
<sst xmlns="http://schemas.openxmlformats.org/spreadsheetml/2006/main" count="61" uniqueCount="61">
  <si>
    <t>Phyllis2</t>
  </si>
  <si>
    <t>https://phyllis.nl/Biomass/View/657</t>
  </si>
  <si>
    <t>wood, industrial wood waste, dust (#657)</t>
  </si>
  <si>
    <t>ID-number</t>
  </si>
  <si>
    <t>#657</t>
  </si>
  <si>
    <t>Material</t>
  </si>
  <si>
    <t>wood, industrial wood waste, dust</t>
  </si>
  <si>
    <t>Classification</t>
  </si>
  <si>
    <t>ECN Phyllis classification &gt; treated wood &gt; others</t>
  </si>
  <si>
    <t>NTA 8003 classification &gt; [100] hout &gt; [150] verwerkt hout</t>
  </si>
  <si>
    <t>Sample lot size</t>
  </si>
  <si>
    <t>5-25 mm</t>
  </si>
  <si>
    <t>Ash type</t>
  </si>
  <si>
    <t>ISO 1171 (815 degC)</t>
  </si>
  <si>
    <t>Submitter organisation</t>
  </si>
  <si>
    <t>ECN (Netherlands)</t>
  </si>
  <si>
    <t>Literature</t>
  </si>
  <si>
    <t>ECN laboratories.</t>
  </si>
  <si>
    <t>Values</t>
  </si>
  <si>
    <t>Property</t>
  </si>
  <si>
    <t>Unit</t>
  </si>
  <si>
    <t>Value</t>
  </si>
  <si>
    <t>Std dev</t>
  </si>
  <si>
    <t>Det lim</t>
  </si>
  <si>
    <t>Lab</t>
  </si>
  <si>
    <t>Date</t>
  </si>
  <si>
    <t>Method</t>
  </si>
  <si>
    <t>Remarks</t>
  </si>
  <si>
    <t>ar</t>
  </si>
  <si>
    <t>dry</t>
  </si>
  <si>
    <t>daf</t>
  </si>
  <si>
    <t>Main biomass properties</t>
  </si>
  <si>
    <t>Proximate analysis</t>
  </si>
  <si>
    <t>Moisture content</t>
  </si>
  <si>
    <t>wt%</t>
  </si>
  <si>
    <t>Ash content</t>
  </si>
  <si>
    <t>Volatile matter</t>
  </si>
  <si>
    <t>Fixed carbon</t>
  </si>
  <si>
    <t>Calculated</t>
  </si>
  <si>
    <t>Ultimate analysis (macroelements)</t>
  </si>
  <si>
    <t>Carbon</t>
  </si>
  <si>
    <t>Measured</t>
  </si>
  <si>
    <t>Hydrogen</t>
  </si>
  <si>
    <t>Oxygen</t>
  </si>
  <si>
    <t>Nitrogen</t>
  </si>
  <si>
    <t>Sulphur</t>
  </si>
  <si>
    <t>Total (with halides)</t>
  </si>
  <si>
    <t>Halides</t>
  </si>
  <si>
    <t>Chlorine (Cl)</t>
  </si>
  <si>
    <t>mg/kg</t>
  </si>
  <si>
    <t>Fluorine (F)</t>
  </si>
  <si>
    <t>mg/kg (dry)</t>
  </si>
  <si>
    <t>Heating value</t>
  </si>
  <si>
    <t>Net calorific value (LHV)</t>
  </si>
  <si>
    <t>MJ/kg</t>
  </si>
  <si>
    <t>Gross calorific value (HHV)</t>
  </si>
  <si>
    <t>HHVMilne</t>
  </si>
  <si>
    <t>Physical Properties</t>
  </si>
  <si>
    <t>Commonly used properties</t>
  </si>
  <si>
    <t>Bulk density (ar)</t>
  </si>
  <si>
    <t>kg/m³ (ar)</t>
  </si>
</sst>
</file>

<file path=xl/styles.xml><?xml version="1.0" encoding="utf-8"?>
<styleSheet xmlns="http://schemas.openxmlformats.org/spreadsheetml/2006/main">
  <numFmts count="4">
    <numFmt numFmtId="164" formatCode="#,0.00"/>
    <numFmt numFmtId="165" formatCode="#,0.0"/>
    <numFmt numFmtId="166" formatCode="#,0"/>
    <numFmt numFmtId="167" formatCode="yyyy-mm-dd"/>
  </numFmts>
  <fonts count="6">
    <font>
      <sz val="11"/>
      <name val="Calibri"/>
    </font>
    <font>
      <b/>
      <sz val="22"/>
      <name val="Calibri"/>
    </font>
    <font>
      <u/>
      <sz val="11"/>
      <color rgb="000000FF" tint="0"/>
      <name val="Calibri"/>
    </font>
    <font>
      <b/>
      <sz val="16.5"/>
      <name val="Calibri"/>
    </font>
    <font>
      <b/>
      <sz val="11"/>
      <name val="Calibri"/>
    </font>
    <font>
      <b/>
      <sz val="14.3"/>
      <name val="Calibri"/>
    </font>
  </fonts>
  <fills count="3">
    <fill>
      <patternFill patternType="none"/>
    </fill>
    <fill>
      <patternFill patternType="gray125"/>
    </fill>
    <fill>
      <patternFill patternType="solid">
        <fgColor rgb="00EEFFDD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15">
    <xf numFmtId="0" applyNumberFormat="1" fontId="0" applyFont="1" xfId="0"/>
    <xf numFmtId="0" applyNumberFormat="1" fontId="0" applyFont="1" fillId="2" applyFill="1" xfId="0"/>
    <xf numFmtId="0" applyNumberFormat="1" fontId="1" applyFont="1" fillId="2" applyFill="1" xfId="0"/>
    <xf numFmtId="0" applyNumberFormat="1" fontId="2" applyFont="1" fillId="2" applyFill="1" xfId="0"/>
    <xf numFmtId="0" applyNumberFormat="1" fontId="3" applyFont="1" fillId="2" applyFill="1" xfId="0"/>
    <xf numFmtId="0" applyNumberFormat="1" fontId="4" applyFont="1" xfId="0"/>
    <xf numFmtId="0" applyNumberFormat="1" fontId="4" applyFont="1" xfId="0">
      <alignment vertical="top"/>
    </xf>
    <xf numFmtId="0" applyNumberFormat="1" fontId="5" applyFont="1" fillId="2" applyFill="1" xfId="0"/>
    <xf numFmtId="0" applyNumberFormat="1" fontId="4" applyFont="1" fillId="2" applyFill="1" xfId="0">
      <alignment vertical="center"/>
    </xf>
    <xf numFmtId="0" applyNumberFormat="1" fontId="4" applyFont="1" xfId="0">
      <alignment indent="1"/>
    </xf>
    <xf numFmtId="0" applyNumberFormat="1" fontId="0" applyFont="1" xfId="0">
      <alignment indent="2"/>
    </xf>
    <xf numFmtId="164" applyNumberFormat="1" fontId="0" applyFont="1" xfId="0"/>
    <xf numFmtId="165" applyNumberFormat="1" fontId="0" applyFont="1" xfId="0"/>
    <xf numFmtId="166" applyNumberFormat="1" fontId="0" applyFont="1" xfId="0"/>
    <xf numFmtId="167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1ECN-TNO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0</xdr:row>
      <xdr:rowOff>47625</xdr:rowOff>
    </xdr:from>
    <xdr:to>
      <xdr:col>7</xdr:col>
      <xdr:colOff>590550</xdr:colOff>
      <xdr:row>1</xdr:row>
      <xdr:rowOff>104775</xdr:rowOff>
    </xdr:to>
    <xdr:pic>
      <xdr:nvPicPr>
        <xdr:cNvPr id="0" descr="" name="TNO 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comments" Target="../comments1.xml"/><Relationship Id="rId3" Type="http://schemas.openxmlformats.org/officeDocument/2006/relationships/vmlDrawing" Target="../drawings/vmlDrawing1.vml"/><Relationship Id="rId4" Type="http://schemas.openxmlformats.org/officeDocument/2006/relationships/hyperlink" Target="https://phyllis.nl/Biomass/View/657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dimension ref="A1:L40"/>
  <sheetViews>
    <sheetView workbookViewId="0">
      <pane xSplit="1" topLeftCell="B1" state="frozen" activePane="topRight"/>
      <selection pane="topRight" activeCell="A1" sqref="A1"/>
    </sheetView>
  </sheetViews>
  <sheetFormatPr defaultRowHeight="15"/>
  <cols>
    <col min="1" max="1" width="33.7364463806152" customWidth="1"/>
    <col min="2" max="2" width="12" customWidth="1"/>
    <col min="3" max="3" width="9.140625" customWidth="1"/>
    <col min="4" max="4" width="9.140625" customWidth="1"/>
    <col min="5" max="5" width="9.140625" customWidth="1"/>
    <col min="6" max="6" width="9.140625" customWidth="1"/>
    <col min="7" max="7" width="9.140625" customWidth="1"/>
    <col min="8" max="8" width="9.140625" customWidth="1"/>
    <col min="9" max="9" width="9.140625" customWidth="1"/>
    <col min="10" max="10" width="10.5977783203125" customWidth="1"/>
    <col min="11" max="11" width="9.140625" customWidth="1"/>
  </cols>
  <sheetData>
    <row r="1" s="1" customFormat="1">
      <c r="A1" s="2" t="s">
        <v>0</v>
      </c>
    </row>
    <row r="2" s="1" customFormat="1">
      <c r="A2" s="3" t="s">
        <v>1</v>
      </c>
    </row>
    <row r="4" s="1" customFormat="1">
      <c r="A4" s="4" t="s">
        <v>2</v>
      </c>
    </row>
    <row r="5" outlineLevel="1">
      <c r="A5" s="5" t="s">
        <v>3</v>
      </c>
      <c r="B5" s="0" t="s">
        <v>4</v>
      </c>
    </row>
    <row r="6" outlineLevel="1">
      <c r="A6" s="5" t="s">
        <v>5</v>
      </c>
      <c r="B6" s="0" t="s">
        <v>6</v>
      </c>
    </row>
    <row r="7" outlineLevel="1">
      <c r="A7" s="6" t="s">
        <v>7</v>
      </c>
      <c r="B7" s="0" t="s">
        <v>8</v>
      </c>
    </row>
    <row r="8" outlineLevel="1">
      <c r="A8" s="6"/>
      <c r="B8" s="0" t="s">
        <v>9</v>
      </c>
    </row>
    <row r="9" outlineLevel="1">
      <c r="A9" s="5" t="s">
        <v>10</v>
      </c>
      <c r="B9" s="0" t="s">
        <v>11</v>
      </c>
    </row>
    <row r="10" outlineLevel="1">
      <c r="A10" s="5" t="s">
        <v>12</v>
      </c>
      <c r="B10" s="0" t="s">
        <v>13</v>
      </c>
    </row>
    <row r="11" outlineLevel="1">
      <c r="A11" s="5" t="s">
        <v>14</v>
      </c>
      <c r="B11" s="0" t="s">
        <v>15</v>
      </c>
    </row>
    <row r="12" outlineLevel="1">
      <c r="A12" s="5" t="s">
        <v>16</v>
      </c>
      <c r="B12" s="0" t="s">
        <v>17</v>
      </c>
    </row>
    <row r="13">
      <c r="A13" s="5"/>
    </row>
    <row r="14" s="1" customFormat="1">
      <c r="A14" s="7" t="s">
        <v>18</v>
      </c>
    </row>
    <row r="15" s="1" customFormat="1">
      <c r="A15" s="8" t="s">
        <v>19</v>
      </c>
      <c r="B15" s="8" t="s">
        <v>20</v>
      </c>
      <c r="C15" s="8" t="s">
        <v>21</v>
      </c>
      <c r="D15" s="8"/>
      <c r="E15" s="8"/>
      <c r="F15" s="8" t="s">
        <v>22</v>
      </c>
      <c r="G15" s="8" t="s">
        <v>23</v>
      </c>
      <c r="H15" s="8" t="s">
        <v>24</v>
      </c>
      <c r="I15" s="8" t="s">
        <v>25</v>
      </c>
      <c r="J15" s="8" t="s">
        <v>26</v>
      </c>
      <c r="K15" s="8" t="s">
        <v>27</v>
      </c>
      <c r="L15" s="8"/>
    </row>
    <row r="16" s="1" customFormat="1">
      <c r="A16" s="8"/>
      <c r="B16" s="8"/>
      <c r="C16" s="8" t="s">
        <v>28</v>
      </c>
      <c r="D16" s="8" t="s">
        <v>29</v>
      </c>
      <c r="E16" s="8" t="s">
        <v>30</v>
      </c>
      <c r="F16" s="8"/>
      <c r="G16" s="8"/>
      <c r="H16" s="8"/>
      <c r="I16" s="8"/>
      <c r="J16" s="8"/>
      <c r="K16" s="8"/>
      <c r="L16" s="8"/>
    </row>
    <row r="17">
      <c r="A17" s="5" t="s">
        <v>31</v>
      </c>
      <c r="I17" s="14"/>
    </row>
    <row r="18" outlineLevel="1">
      <c r="A18" s="9" t="s">
        <v>32</v>
      </c>
      <c r="I18" s="14"/>
    </row>
    <row r="19" outlineLevel="2">
      <c r="A19" s="10" t="s">
        <v>33</v>
      </c>
      <c r="B19" s="0" t="s">
        <v>34</v>
      </c>
      <c r="C19" s="11">
        <v>11.3</v>
      </c>
      <c r="D19" s="11"/>
      <c r="E19" s="11"/>
      <c r="F19" s="11"/>
      <c r="G19" s="11"/>
      <c r="I19" s="14"/>
    </row>
    <row r="20" outlineLevel="2">
      <c r="A20" s="10" t="s">
        <v>35</v>
      </c>
      <c r="B20" s="0" t="s">
        <v>34</v>
      </c>
      <c r="C20" s="11">
        <f>IFERROR(0.4*(1-w),"")</f>
        <v>0.3548</v>
      </c>
      <c r="D20" s="11">
        <v>0.4</v>
      </c>
      <c r="E20" s="11">
        <v/>
      </c>
      <c r="F20" s="11"/>
      <c r="G20" s="11"/>
      <c r="I20" s="14"/>
    </row>
    <row r="21" outlineLevel="2">
      <c r="A21" s="10" t="s">
        <v>36</v>
      </c>
      <c r="B21" s="0" t="s">
        <v>34</v>
      </c>
      <c r="C21" s="11">
        <f>IFERROR(81*(1-w),"")</f>
        <v>71.847</v>
      </c>
      <c r="D21" s="11">
        <v>81</v>
      </c>
      <c r="E21" s="11">
        <v>81.325301204819283</v>
      </c>
      <c r="F21" s="11"/>
      <c r="G21" s="11"/>
      <c r="I21" s="14"/>
    </row>
    <row r="22" outlineLevel="2">
      <c r="A22" s="10" t="s">
        <v>37</v>
      </c>
      <c r="B22" s="0" t="s">
        <v>34</v>
      </c>
      <c r="C22" s="11">
        <f>IFERROR(18.6*(1-w),"")</f>
        <v>16.498199999999994</v>
      </c>
      <c r="D22" s="11">
        <v>18.599999999999994</v>
      </c>
      <c r="E22" s="11">
        <v>18.674698795180717</v>
      </c>
      <c r="F22" s="11"/>
      <c r="G22" s="11"/>
      <c r="I22" s="14"/>
      <c r="J22" s="0" t="s">
        <v>38</v>
      </c>
    </row>
    <row r="23" outlineLevel="1">
      <c r="A23" s="9" t="s">
        <v>39</v>
      </c>
      <c r="I23" s="14"/>
    </row>
    <row r="24" outlineLevel="2">
      <c r="A24" s="10" t="s">
        <v>40</v>
      </c>
      <c r="B24" s="0" t="s">
        <v>34</v>
      </c>
      <c r="C24" s="11">
        <f>IFERROR(50.5*(1-w),"")</f>
        <v>44.7935</v>
      </c>
      <c r="D24" s="11">
        <v>50.5</v>
      </c>
      <c r="E24" s="11">
        <v>50.70281124497992</v>
      </c>
      <c r="F24" s="11"/>
      <c r="G24" s="11"/>
      <c r="I24" s="14"/>
      <c r="J24" s="0" t="s">
        <v>41</v>
      </c>
    </row>
    <row r="25" outlineLevel="2">
      <c r="A25" s="10" t="s">
        <v>42</v>
      </c>
      <c r="B25" s="0" t="s">
        <v>34</v>
      </c>
      <c r="C25" s="11">
        <f>IFERROR(6*(1-w),"")</f>
        <v>5.322</v>
      </c>
      <c r="D25" s="11">
        <v>6</v>
      </c>
      <c r="E25" s="11">
        <v>6.024096385542169</v>
      </c>
      <c r="F25" s="11"/>
      <c r="G25" s="11"/>
      <c r="I25" s="14"/>
      <c r="J25" s="0" t="s">
        <v>41</v>
      </c>
    </row>
    <row r="26" outlineLevel="2">
      <c r="A26" s="10" t="s">
        <v>43</v>
      </c>
      <c r="B26" s="0" t="s">
        <v>34</v>
      </c>
      <c r="C26" s="11">
        <f>IFERROR(42.876*(1-w),"")</f>
        <v>38.031012</v>
      </c>
      <c r="D26" s="11">
        <v>42.876</v>
      </c>
      <c r="E26" s="11">
        <v>43.048192771084338</v>
      </c>
      <c r="F26" s="11"/>
      <c r="G26" s="11"/>
      <c r="I26" s="14"/>
      <c r="J26" s="0" t="s">
        <v>38</v>
      </c>
    </row>
    <row r="27" outlineLevel="2">
      <c r="A27" s="10" t="s">
        <v>44</v>
      </c>
      <c r="B27" s="0" t="s">
        <v>34</v>
      </c>
      <c r="C27" s="11">
        <f>IFERROR(0.2*(1-w),"")</f>
        <v>0.1774</v>
      </c>
      <c r="D27" s="11">
        <v>0.2</v>
      </c>
      <c r="E27" s="11">
        <v>0.20080321285140562</v>
      </c>
      <c r="F27" s="11"/>
      <c r="G27" s="11"/>
      <c r="I27" s="14"/>
      <c r="J27" s="0" t="s">
        <v>41</v>
      </c>
    </row>
    <row r="28" outlineLevel="2">
      <c r="A28" s="10" t="s">
        <v>45</v>
      </c>
      <c r="B28" s="0" t="s">
        <v>34</v>
      </c>
      <c r="C28" s="11">
        <f>IFERROR(0.003*(1-w),"")</f>
        <v>0.002661</v>
      </c>
      <c r="D28" s="11">
        <v>0.003</v>
      </c>
      <c r="E28" s="11">
        <v>0.0030120481927710845</v>
      </c>
      <c r="F28" s="11"/>
      <c r="G28" s="11"/>
      <c r="I28" s="14"/>
      <c r="J28" s="0" t="s">
        <v>41</v>
      </c>
    </row>
    <row r="29" outlineLevel="2">
      <c r="A29" s="10" t="s">
        <v>46</v>
      </c>
      <c r="B29" s="0" t="s">
        <v>34</v>
      </c>
      <c r="C29" s="11">
        <f>IFERROR(99.999*(1-w)+w*100,"")</f>
        <v>99.999113000000008</v>
      </c>
      <c r="D29" s="11">
        <v>99.999000000000009</v>
      </c>
      <c r="E29" s="11">
        <v>99.998995983935743</v>
      </c>
      <c r="F29" s="11"/>
      <c r="G29" s="11"/>
      <c r="I29" s="14"/>
      <c r="J29" s="0" t="s">
        <v>38</v>
      </c>
    </row>
    <row r="30" outlineLevel="1">
      <c r="A30" s="9" t="s">
        <v>47</v>
      </c>
      <c r="I30" s="14"/>
    </row>
    <row r="31" outlineLevel="2">
      <c r="A31" s="10" t="s">
        <v>48</v>
      </c>
      <c r="B31" s="0" t="s">
        <v>49</v>
      </c>
      <c r="C31" s="12">
        <f>IFERROR(200*(1-w),"")</f>
        <v>177.4</v>
      </c>
      <c r="D31" s="12">
        <v>200</v>
      </c>
      <c r="E31" s="12">
        <v>200.80321285140562</v>
      </c>
      <c r="F31" s="12"/>
      <c r="G31" s="12"/>
      <c r="I31" s="14"/>
      <c r="J31" s="0" t="s">
        <v>41</v>
      </c>
    </row>
    <row r="32" outlineLevel="2">
      <c r="A32" s="10" t="s">
        <v>50</v>
      </c>
      <c r="B32" s="0" t="s">
        <v>51</v>
      </c>
      <c r="C32" s="12"/>
      <c r="D32" s="12"/>
      <c r="E32" s="12"/>
      <c r="F32" s="12"/>
      <c r="G32" s="12">
        <v>10</v>
      </c>
      <c r="I32" s="14"/>
    </row>
    <row r="33" outlineLevel="1">
      <c r="A33" s="9" t="s">
        <v>52</v>
      </c>
      <c r="I33" s="14"/>
    </row>
    <row r="34" outlineLevel="2">
      <c r="A34" s="10" t="s">
        <v>53</v>
      </c>
      <c r="B34" s="0" t="s">
        <v>54</v>
      </c>
      <c r="C34" s="11">
        <f>IFERROR(18.3907*(1-w)-w*2.443,"")</f>
        <v>16.036491899999998</v>
      </c>
      <c r="D34" s="11">
        <v>18.3907</v>
      </c>
      <c r="E34" s="11">
        <v>18.464558232931726</v>
      </c>
      <c r="F34" s="11"/>
      <c r="G34" s="11"/>
      <c r="I34" s="14"/>
    </row>
    <row r="35" outlineLevel="2">
      <c r="A35" s="10" t="s">
        <v>55</v>
      </c>
      <c r="B35" s="0" t="s">
        <v>54</v>
      </c>
      <c r="C35" s="11">
        <f>IFERROR(19.7*(1-w),"")</f>
        <v>17.4739</v>
      </c>
      <c r="D35" s="11">
        <v>19.7</v>
      </c>
      <c r="E35" s="11">
        <v>19.779116465863453</v>
      </c>
      <c r="F35" s="11"/>
      <c r="G35" s="11"/>
      <c r="I35" s="14"/>
    </row>
    <row r="36" outlineLevel="2">
      <c r="A36" s="10" t="s">
        <v>56</v>
      </c>
      <c r="B36" s="0" t="s">
        <v>54</v>
      </c>
      <c r="C36" s="11">
        <f>IFERROR(19.97749028*(1-w),"")</f>
        <v>17.720033878360002</v>
      </c>
      <c r="D36" s="11">
        <v>19.97749028</v>
      </c>
      <c r="E36" s="11">
        <v>20.057721164658638</v>
      </c>
      <c r="F36" s="11"/>
      <c r="G36" s="11"/>
      <c r="I36" s="14"/>
      <c r="J36" s="0" t="s">
        <v>38</v>
      </c>
    </row>
    <row r="37">
      <c r="A37" s="5" t="s">
        <v>57</v>
      </c>
      <c r="I37" s="14"/>
    </row>
    <row r="38" outlineLevel="1">
      <c r="A38" s="9" t="s">
        <v>58</v>
      </c>
      <c r="I38" s="14"/>
    </row>
    <row r="39" outlineLevel="2">
      <c r="A39" s="10" t="s">
        <v>59</v>
      </c>
      <c r="B39" s="0" t="s">
        <v>60</v>
      </c>
      <c r="C39" s="13">
        <v>400</v>
      </c>
      <c r="D39" s="13"/>
      <c r="E39" s="13"/>
      <c r="F39" s="13"/>
      <c r="G39" s="13"/>
      <c r="I39" s="14"/>
    </row>
    <row r="40">
      <c r="I40" s="14"/>
    </row>
    <row r="41" s="1" customFormat="1"/>
  </sheetData>
  <mergeCells>
    <mergeCell ref="A7:A8"/>
    <mergeCell ref="C15:E15"/>
    <mergeCell ref="A15:A16"/>
    <mergeCell ref="B15:B16"/>
    <mergeCell ref="F15:F16"/>
    <mergeCell ref="G15:G16"/>
    <mergeCell ref="H15:H16"/>
    <mergeCell ref="I15:I16"/>
    <mergeCell ref="J15:J16"/>
    <mergeCell ref="K15:K16"/>
    <mergeCell ref="C32:E32"/>
    <mergeCell ref="C39:E39"/>
  </mergeCells>
  <dataValidations count="1">
    <dataValidation type="decimal" sqref="C19" errorStyle="stop" promptTitle="Enter moisture content" errorTitle="Invalid moisture content" prompt="Value should be between 0 and 100.&#10;Original value: 11.3" error="Value should be between 0 and 100." showInputMessage="1" showErrorMessage="1" allowBlank="0" operator="between">
      <formula1>0</formula1>
      <formula2>100</formula2>
    </dataValidation>
  </dataValidations>
  <hyperlinks>
    <hyperlink ref="A2" r:id="rId4"/>
  </hyperlinks>
  <headerFooter/>
  <drawing r:id="rId1"/>
  <legacyDrawing r:id="rId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Phyllis2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description>https://phyllis.nl/Biomass/View/657</dc:description>
  <dcterms:created xsi:type="dcterms:W3CDTF">2026-03-19T04:07:57Z</dcterms:created>
  <dc:title>Phyllis2 #657 wood, industrial wood waste, dust</dc:title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