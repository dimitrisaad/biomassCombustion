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665 wood, park wood" sheetId="1" r:id="rId1"/>
  </sheets>
  <definedNames>
    <definedName name="w" localSheetId="0">IF(ISBLANK('Phyllis2 #665 wood, park wood'!$C$19),#N/A,'Phyllis2 #665 wood, park wood'!$C$19/100)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<sst xmlns="http://schemas.openxmlformats.org/spreadsheetml/2006/main" count="60" uniqueCount="60">
  <si>
    <t>Phyllis2</t>
  </si>
  <si>
    <t>https://phyllis.nl/Biomass/View/665</t>
  </si>
  <si>
    <t>wood, park wood (#665)</t>
  </si>
  <si>
    <t>ID-number</t>
  </si>
  <si>
    <t>#665</t>
  </si>
  <si>
    <t>Material</t>
  </si>
  <si>
    <t>wood, park wood</t>
  </si>
  <si>
    <t>Classification</t>
  </si>
  <si>
    <t>ECN Phyllis classification &gt; untreated wood &gt; park waste wood</t>
  </si>
  <si>
    <t>NTA 8003 classification &gt; [100] hout &gt; [110] vers hout &gt; [113] snoeihout (park en plantsoen)</t>
  </si>
  <si>
    <t>Sample lot size</t>
  </si>
  <si>
    <t>30-150</t>
  </si>
  <si>
    <t>Ash type</t>
  </si>
  <si>
    <t>ISO 1171 (815 degC)</t>
  </si>
  <si>
    <t>Submitter organisation</t>
  </si>
  <si>
    <t>ECN (Netherlands)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</si>
  <si>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</si>
  <si>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</si>
  <si>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</si>
  <si>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</si>
  <si>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</si>
  <si>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</si>
  <si>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</si>
  <si>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</si>
  <si>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</si>
  <si>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</si>
  <si>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</si>
  <si>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</si>
  <si>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</si>
  <si>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</si>
  <si>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</si>
  <si>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</si>
  <si>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</si>
  <si>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</si>
  <si>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</si>
  <si>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</si>
  <si>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</si>
  <si>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</si>
  <si>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</si>
  <si>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</si>
  <si>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</si>
  <si>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</si>
  <si>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</si>
  <si>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</si>
  <si>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</si>
  <si>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</si>
  <si>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</si>
  <si>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</si>
  <si>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</si>
  <si>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</si>
  <si>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Fluorine (F)</t>
  </si>
  <si>
    <t>Heating value</t>
  </si>
  <si>
    <t>Net calorific value (LHV)</t>
  </si>
  <si>
    <t>MJ/kg</t>
  </si>
  <si>
    <t>Gross calorific value (HHV)</t>
  </si>
  <si>
    <t>HHVMilne</t>
  </si>
  <si>
    <t>Physical Properties</t>
  </si>
  <si>
    <t>Commonly used properties</t>
  </si>
  <si>
    <t>Bulk density (ar)</t>
  </si>
  <si>
    <t>kg/m³ (ar)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</si>
</sst>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66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27</v>
      </c>
      <c r="L15" s="8"/>
    </row>
    <row r="16" s="1" customFormat="1">
      <c r="A16" s="8"/>
      <c r="B16" s="8"/>
      <c r="C16" s="8" t="s">
        <v>28</v>
      </c>
      <c r="D16" s="8" t="s">
        <v>29</v>
      </c>
      <c r="E16" s="8" t="s">
        <v>30</v>
      </c>
      <c r="F16" s="8"/>
      <c r="G16" s="8"/>
      <c r="H16" s="8"/>
      <c r="I16" s="8"/>
      <c r="J16" s="8"/>
      <c r="K16" s="8"/>
      <c r="L16" s="8"/>
    </row>
    <row r="17">
      <c r="A17" s="5" t="s">
        <v>31</v>
      </c>
      <c r="I17" s="14"/>
    </row>
    <row r="18" outlineLevel="1">
      <c r="A18" s="9" t="s">
        <v>32</v>
      </c>
      <c r="I18" s="14"/>
    </row>
    <row r="19" outlineLevel="2">
      <c r="A19" s="10" t="s">
        <v>33</v>
      </c>
      <c r="B19" s="0" t="s">
        <v>34</v>
      </c>
      <c r="C19" s="11">
        <v>47.1</v>
      </c>
      <c r="D19" s="11"/>
      <c r="E19" s="11"/>
      <c r="F19" s="11"/>
      <c r="G19" s="11"/>
      <c r="I19" s="14"/>
    </row>
    <row r="20" outlineLevel="2">
      <c r="A20" s="10" t="s">
        <v>35</v>
      </c>
      <c r="B20" s="0" t="s">
        <v>34</v>
      </c>
      <c r="C20" s="11">
        <f>IFERROR(35*(1-w),"")</f>
        <v>18.514999999999997</v>
      </c>
      <c r="D20" s="11">
        <v>35</v>
      </c>
      <c r="E20" s="11">
        <v/>
      </c>
      <c r="F20" s="11"/>
      <c r="G20" s="11"/>
      <c r="I20" s="14"/>
    </row>
    <row r="21" outlineLevel="2">
      <c r="A21" s="10" t="s">
        <v>36</v>
      </c>
      <c r="B21" s="0" t="s">
        <v>34</v>
      </c>
      <c r="C21" s="11">
        <f>IFERROR(50.6*(1-w),"")</f>
        <v>26.767399999999995</v>
      </c>
      <c r="D21" s="11">
        <v>50.6</v>
      </c>
      <c r="E21" s="11">
        <v>77.84615384615384</v>
      </c>
      <c r="F21" s="11"/>
      <c r="G21" s="11"/>
      <c r="I21" s="14"/>
    </row>
    <row r="22" outlineLevel="2">
      <c r="A22" s="10" t="s">
        <v>37</v>
      </c>
      <c r="B22" s="0" t="s">
        <v>34</v>
      </c>
      <c r="C22" s="11">
        <f>IFERROR(14.4*(1-w),"")</f>
        <v>7.6175999999999977</v>
      </c>
      <c r="D22" s="11">
        <v>14.399999999999999</v>
      </c>
      <c r="E22" s="11">
        <v>22.15384615384615</v>
      </c>
      <c r="F22" s="11"/>
      <c r="G22" s="11"/>
      <c r="I22" s="14"/>
      <c r="J22" s="0" t="s">
        <v>38</v>
      </c>
    </row>
    <row r="23" outlineLevel="1">
      <c r="A23" s="9" t="s">
        <v>39</v>
      </c>
      <c r="I23" s="14"/>
    </row>
    <row r="24" outlineLevel="2">
      <c r="A24" s="10" t="s">
        <v>40</v>
      </c>
      <c r="B24" s="0" t="s">
        <v>34</v>
      </c>
      <c r="C24" s="11">
        <f>IFERROR(35.18*(1-w),"")</f>
        <v>18.610219999999998</v>
      </c>
      <c r="D24" s="11">
        <v>35.18</v>
      </c>
      <c r="E24" s="11">
        <v>54.123076923076923</v>
      </c>
      <c r="F24" s="11"/>
      <c r="G24" s="11"/>
      <c r="I24" s="14"/>
      <c r="J24" s="0" t="s">
        <v>41</v>
      </c>
    </row>
    <row r="25" outlineLevel="2">
      <c r="A25" s="10" t="s">
        <v>42</v>
      </c>
      <c r="B25" s="0" t="s">
        <v>34</v>
      </c>
      <c r="C25" s="11">
        <f>IFERROR(3.77*(1-w),"")</f>
        <v>1.9943299999999997</v>
      </c>
      <c r="D25" s="11">
        <v>3.77</v>
      </c>
      <c r="E25" s="11">
        <v>5.8</v>
      </c>
      <c r="F25" s="11"/>
      <c r="G25" s="11"/>
      <c r="I25" s="14"/>
      <c r="J25" s="0" t="s">
        <v>41</v>
      </c>
    </row>
    <row r="26" outlineLevel="2">
      <c r="A26" s="10" t="s">
        <v>43</v>
      </c>
      <c r="B26" s="0" t="s">
        <v>34</v>
      </c>
      <c r="C26" s="11">
        <f>IFERROR(25.0813*(1-w),"")</f>
        <v>13.268007699999997</v>
      </c>
      <c r="D26" s="11">
        <v>25.0813</v>
      </c>
      <c r="E26" s="11">
        <v>38.586615384615385</v>
      </c>
      <c r="F26" s="11"/>
      <c r="G26" s="11"/>
      <c r="I26" s="14"/>
      <c r="J26" s="0" t="s">
        <v>38</v>
      </c>
    </row>
    <row r="27" outlineLevel="2">
      <c r="A27" s="10" t="s">
        <v>44</v>
      </c>
      <c r="B27" s="0" t="s">
        <v>34</v>
      </c>
      <c r="C27" s="11">
        <f>IFERROR(0.86*(1-w),"")</f>
        <v>0.4549399999999999</v>
      </c>
      <c r="D27" s="11">
        <v>0.86</v>
      </c>
      <c r="E27" s="11">
        <v>1.323076923076923</v>
      </c>
      <c r="F27" s="11"/>
      <c r="G27" s="11"/>
      <c r="I27" s="14"/>
      <c r="J27" s="0" t="s">
        <v>41</v>
      </c>
    </row>
    <row r="28" outlineLevel="2">
      <c r="A28" s="10" t="s">
        <v>45</v>
      </c>
      <c r="B28" s="0" t="s">
        <v>34</v>
      </c>
      <c r="C28" s="11">
        <f>IFERROR(0.0807*(1-w),"")</f>
        <v>0.042690299999999987</v>
      </c>
      <c r="D28" s="11">
        <v>0.0807</v>
      </c>
      <c r="E28" s="11">
        <v>0.12415384615384614</v>
      </c>
      <c r="F28" s="11"/>
      <c r="G28" s="11"/>
      <c r="I28" s="14"/>
      <c r="J28" s="0" t="s">
        <v>41</v>
      </c>
    </row>
    <row r="29" outlineLevel="2">
      <c r="A29" s="10" t="s">
        <v>46</v>
      </c>
      <c r="B29" s="0" t="s">
        <v>34</v>
      </c>
      <c r="C29" s="11">
        <f>IFERROR(100*(1-w)+w*100,"")</f>
        <v>100</v>
      </c>
      <c r="D29" s="11">
        <v>100</v>
      </c>
      <c r="E29" s="11">
        <v>100</v>
      </c>
      <c r="F29" s="11"/>
      <c r="G29" s="11"/>
      <c r="I29" s="14"/>
      <c r="J29" s="0" t="s">
        <v>38</v>
      </c>
    </row>
    <row r="30" outlineLevel="1">
      <c r="A30" s="9" t="s">
        <v>47</v>
      </c>
      <c r="I30" s="14"/>
    </row>
    <row r="31" outlineLevel="2">
      <c r="A31" s="10" t="s">
        <v>48</v>
      </c>
      <c r="B31" s="0" t="s">
        <v>49</v>
      </c>
      <c r="C31" s="12">
        <f>IFERROR(240*(1-w),"")</f>
        <v>126.95999999999998</v>
      </c>
      <c r="D31" s="12">
        <v>240</v>
      </c>
      <c r="E31" s="12">
        <v>369.23076923076923</v>
      </c>
      <c r="F31" s="12"/>
      <c r="G31" s="12"/>
      <c r="I31" s="14"/>
      <c r="J31" s="0" t="s">
        <v>41</v>
      </c>
    </row>
    <row r="32" outlineLevel="2">
      <c r="A32" s="10" t="s">
        <v>50</v>
      </c>
      <c r="B32" s="0" t="s">
        <v>49</v>
      </c>
      <c r="C32" s="12">
        <f>IFERROR(40*(1-w),"")</f>
        <v>21.159999999999997</v>
      </c>
      <c r="D32" s="12">
        <v>40</v>
      </c>
      <c r="E32" s="12">
        <v>61.538461538461533</v>
      </c>
      <c r="F32" s="12"/>
      <c r="G32" s="12"/>
      <c r="I32" s="14"/>
      <c r="J32" s="0" t="s">
        <v>41</v>
      </c>
    </row>
    <row r="33" outlineLevel="1">
      <c r="A33" s="9" t="s">
        <v>51</v>
      </c>
      <c r="I33" s="14"/>
    </row>
    <row r="34" outlineLevel="2">
      <c r="A34" s="10" t="s">
        <v>52</v>
      </c>
      <c r="B34" s="0" t="s">
        <v>53</v>
      </c>
      <c r="C34" s="11">
        <f>IFERROR(12.37732*(1-w)-w*2.443,"")</f>
        <v>5.3969492799999985</v>
      </c>
      <c r="D34" s="11">
        <v>12.37732</v>
      </c>
      <c r="E34" s="11">
        <v>19.042030769230767</v>
      </c>
      <c r="F34" s="11"/>
      <c r="G34" s="11"/>
      <c r="I34" s="14"/>
    </row>
    <row r="35" outlineLevel="2">
      <c r="A35" s="10" t="s">
        <v>54</v>
      </c>
      <c r="B35" s="0" t="s">
        <v>53</v>
      </c>
      <c r="C35" s="11">
        <f>IFERROR(13.2*(1-w),"")</f>
        <v>6.9827999999999983</v>
      </c>
      <c r="D35" s="11">
        <v>13.2</v>
      </c>
      <c r="E35" s="11">
        <v>20.307692307692307</v>
      </c>
      <c r="F35" s="11"/>
      <c r="G35" s="11"/>
      <c r="I35" s="14"/>
    </row>
    <row r="36" outlineLevel="2">
      <c r="A36" s="10" t="s">
        <v>55</v>
      </c>
      <c r="B36" s="0" t="s">
        <v>53</v>
      </c>
      <c r="C36" s="11">
        <f>IFERROR(13.52482502*(1-w),"")</f>
        <v>7.15463243558</v>
      </c>
      <c r="D36" s="11">
        <v>13.524825020000002</v>
      </c>
      <c r="E36" s="11">
        <v>20.807423107692308</v>
      </c>
      <c r="F36" s="11"/>
      <c r="G36" s="11"/>
      <c r="I36" s="14"/>
      <c r="J36" s="0" t="s">
        <v>38</v>
      </c>
    </row>
    <row r="37">
      <c r="A37" s="5" t="s">
        <v>56</v>
      </c>
      <c r="I37" s="14"/>
    </row>
    <row r="38" outlineLevel="1">
      <c r="A38" s="9" t="s">
        <v>57</v>
      </c>
      <c r="I38" s="14"/>
    </row>
    <row r="39" outlineLevel="2">
      <c r="A39" s="10" t="s">
        <v>58</v>
      </c>
      <c r="B39" s="0" t="s">
        <v>59</v>
      </c>
      <c r="C39" s="13">
        <v>250</v>
      </c>
      <c r="D39" s="13"/>
      <c r="E39" s="13"/>
      <c r="F39" s="13"/>
      <c r="G39" s="13"/>
      <c r="I39" s="14"/>
    </row>
    <row r="40">
      <c r="I40" s="14"/>
    </row>
    <row r="41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9:E39"/>
  </mergeCells>
  <dataValidations count="1">
    <dataValidation type="decimal" sqref="C19" errorStyle="stop" promptTitle="Enter moisture content" errorTitle="Invalid moisture content" prompt="Value should be between 0 and 100.&#10;Original value: 47.1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https://phyllis.nl/Biomass/View/665</dc:description>
  <dcterms:created xsi:type="dcterms:W3CDTF">2026-03-19T07:24:11Z</dcterms:created>
  <dc:title>Phyllis2 #665 wood, park wood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