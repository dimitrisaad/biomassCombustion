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68 wood, park wood, " sheetId="1" r:id="rId1"/>
  </sheets>
  <definedNames>
    <definedName name="w" localSheetId="0">IF(ISBLANK('Phyllis2 #668 wood, park wood, '!$C$19),#N/A,'Phyllis2 #668 wood, park wood,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<sst xmlns="http://schemas.openxmlformats.org/spreadsheetml/2006/main" count="60" uniqueCount="60">
  <si>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</si>
  <si>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https://phyllis.nl/Biomass/View/668</t>
  </si>
  <si>
    <t>wood, park wood, stems (#668)</t>
  </si>
  <si>
    <t>ID-number</t>
  </si>
  <si>
    <t>#668</t>
  </si>
  <si>
    <t>Material</t>
  </si>
  <si>
    <t>wood, park wood, stems</t>
  </si>
  <si>
    <t>Classification</t>
  </si>
  <si>
    <t>ECN Phyllis classification &gt; untreated wood &gt; park waste wood</t>
  </si>
  <si>
    <t>NTA 8003 classification &gt; [100] hout &gt; [110] vers hout &gt; [113] snoeihout (park en plantsoen)</t>
  </si>
  <si>
    <t>Sample lot size</t>
  </si>
  <si>
    <t>50-250 mm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</si>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</sst>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39.6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IFERROR(23.13*(1-w),"")</f>
        <v>13.970519999999999</v>
      </c>
      <c r="D20" s="11">
        <v>23.13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IFERROR(60.5*(1-w),"")</f>
        <v>36.542</v>
      </c>
      <c r="D21" s="11">
        <v>60.5</v>
      </c>
      <c r="E21" s="11">
        <v>78.704305971120064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IFERROR(16.37*(1-w),"")</f>
        <v>9.8874800000000018</v>
      </c>
      <c r="D22" s="11">
        <v>16.370000000000005</v>
      </c>
      <c r="E22" s="11">
        <v>21.295694028879932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IFERROR(40.01*(1-w),"")</f>
        <v>24.16604</v>
      </c>
      <c r="D24" s="11">
        <v>40.01</v>
      </c>
      <c r="E24" s="11">
        <v>52.048913750487827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IFERROR(4.76*(1-w),"")</f>
        <v>2.87504</v>
      </c>
      <c r="D25" s="11">
        <v>4.76</v>
      </c>
      <c r="E25" s="11">
        <v>6.1922726681410163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IFERROR(31.485*(1-w),"")</f>
        <v>19.016939999999998</v>
      </c>
      <c r="D26" s="11">
        <v>31.485</v>
      </c>
      <c r="E26" s="11">
        <v>40.958761545466366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IFERROR(0.45*(1-w),"")</f>
        <v>0.2718</v>
      </c>
      <c r="D27" s="11">
        <v>0.45</v>
      </c>
      <c r="E27" s="11">
        <v>0.58540392871081048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IFERROR(0.11*(1-w),"")</f>
        <v>0.06644</v>
      </c>
      <c r="D28" s="11">
        <v>0.11</v>
      </c>
      <c r="E28" s="11">
        <v>0.14309873812930921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IFERROR(500*(1-w),"")</f>
        <v>302</v>
      </c>
      <c r="D31" s="12">
        <v>500</v>
      </c>
      <c r="E31" s="12">
        <v>650.44880967867823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IFERROR(50*(1-w),"")</f>
        <v>30.2</v>
      </c>
      <c r="D32" s="12">
        <v>50</v>
      </c>
      <c r="E32" s="12">
        <v>65.044880967867826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IFERROR(14.00129*(1-w)-w*2.443,"")</f>
        <v>7.48935116</v>
      </c>
      <c r="D34" s="11">
        <v>14.00129</v>
      </c>
      <c r="E34" s="11">
        <v>18.21424482893196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IFERROR(15.04*(1-w),"")</f>
        <v>9.0841599999999989</v>
      </c>
      <c r="D35" s="11">
        <v>15.04</v>
      </c>
      <c r="E35" s="11">
        <v>19.565500195134639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IFERROR(15.8394415257*(1-w),"")</f>
        <v>9.5670226815227988</v>
      </c>
      <c r="D36" s="11">
        <v>15.8394415257</v>
      </c>
      <c r="E36" s="11">
        <v>20.605491772733185</v>
      </c>
      <c r="F36" s="11"/>
      <c r="G36" s="11"/>
      <c r="I36" s="14"/>
      <c r="J36" s="0" t="s">
        <v>38</v>
      </c>
    </row>
    <row r="37">
      <c r="A37" s="5" t="s">
        <v>56</v>
      </c>
      <c r="I37" s="14"/>
    </row>
    <row r="38" outlineLevel="1">
      <c r="A38" s="9" t="s">
        <v>57</v>
      </c>
      <c r="I38" s="14"/>
    </row>
    <row r="39" outlineLevel="2">
      <c r="A39" s="10" t="s">
        <v>58</v>
      </c>
      <c r="B39" s="0" t="s">
        <v>59</v>
      </c>
      <c r="C39" s="13">
        <v>220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39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https://phyllis.nl/Biomass/View/668</dc:description>
  <dcterms:created xsi:type="dcterms:W3CDTF">2026-03-19T07:24:15Z</dcterms:created>
  <dc:title>Phyllis2 #668 wood, park wood, stems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