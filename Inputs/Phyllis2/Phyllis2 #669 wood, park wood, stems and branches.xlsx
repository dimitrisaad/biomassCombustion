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69 wood, park wood, " sheetId="1" r:id="rId1"/>
  </sheets>
  <definedNames>
    <definedName name="w" localSheetId="0">IF(ISBLANK('Phyllis2 #669 wood, park wood, '!$C$19),#N/A,'Phyllis2 #669 wood, park wood,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<sst xmlns="http://schemas.openxmlformats.org/spreadsheetml/2006/main" count="60" uniqueCount="60">
  <si>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</si>
  <si>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https://phyllis.nl/Biomass/View/669</t>
  </si>
  <si>
    <t>wood, park wood, stems and branches (#669)</t>
  </si>
  <si>
    <t>ID-number</t>
  </si>
  <si>
    <t>#669</t>
  </si>
  <si>
    <t>Material</t>
  </si>
  <si>
    <t>wood, park wood, stems and branches</t>
  </si>
  <si>
    <t>Classification</t>
  </si>
  <si>
    <t>ECN Phyllis classification &gt; untreated wood &gt; park waste wood</t>
  </si>
  <si>
    <t>NTA 8003 classification &gt; [100] hout &gt; [110] vers hout &gt; [113] snoeihout (park en plantsoen)</t>
  </si>
  <si>
    <t>Sample lot size</t>
  </si>
  <si>
    <t>50-200 mm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</si>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</sst>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6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35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IFERROR(39.37*(1-w),"")</f>
        <v>25.5905</v>
      </c>
      <c r="D20" s="11">
        <v>39.37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IFERROR(46.5*(1-w),"")</f>
        <v>30.225</v>
      </c>
      <c r="D21" s="11">
        <v>46.5</v>
      </c>
      <c r="E21" s="11">
        <v>76.694705591291438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IFERROR(14.13*(1-w),"")</f>
        <v>9.1845000000000017</v>
      </c>
      <c r="D22" s="11">
        <v>14.130000000000003</v>
      </c>
      <c r="E22" s="11">
        <v>23.305294408708562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IFERROR(32.69*(1-w),"")</f>
        <v>21.2485</v>
      </c>
      <c r="D24" s="11">
        <v>32.69</v>
      </c>
      <c r="E24" s="11">
        <v>53.91720270493154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IFERROR(3.38*(1-w),"")</f>
        <v>2.197</v>
      </c>
      <c r="D25" s="11">
        <v>3.38</v>
      </c>
      <c r="E25" s="11">
        <v>5.57479795480785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IFERROR(23.689*(1-w),"")</f>
        <v>15.39785</v>
      </c>
      <c r="D26" s="11">
        <v>23.689</v>
      </c>
      <c r="E26" s="11">
        <v>39.0714167903678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IFERROR(0.63*(1-w),"")</f>
        <v>0.40950000000000003</v>
      </c>
      <c r="D27" s="11">
        <v>0.63</v>
      </c>
      <c r="E27" s="11">
        <v>1.0390895596239484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IFERROR(0.12*(1-w),"")</f>
        <v>0.078</v>
      </c>
      <c r="D28" s="11">
        <v>0.12</v>
      </c>
      <c r="E28" s="11">
        <v>0.19792182088075208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IFERROR(910*(1-w),"")</f>
        <v>591.5</v>
      </c>
      <c r="D31" s="12">
        <v>910</v>
      </c>
      <c r="E31" s="12">
        <v>1500.9071416790366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IFERROR(300*(1-w),"")</f>
        <v>195</v>
      </c>
      <c r="D32" s="12">
        <v>300</v>
      </c>
      <c r="E32" s="12">
        <v>494.8045522018802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IFERROR(11.93243*(1-w)-w*2.443,"")</f>
        <v>6.9010295</v>
      </c>
      <c r="D34" s="11">
        <v>11.93243</v>
      </c>
      <c r="E34" s="11">
        <v>19.680735609434272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IFERROR(12.67*(1-w),"")</f>
        <v>8.2355</v>
      </c>
      <c r="D35" s="11">
        <v>12.67</v>
      </c>
      <c r="E35" s="11">
        <v>20.897245587992742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IFERROR(12.3403905257*(1-w),"")</f>
        <v>8.0212538417050023</v>
      </c>
      <c r="D36" s="11">
        <v>12.340390525700002</v>
      </c>
      <c r="E36" s="11">
        <v>20.353604693551048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220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3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https://phyllis.nl/Biomass/View/669</dc:description>
  <dcterms:created xsi:type="dcterms:W3CDTF">2026-03-19T07:24:17Z</dcterms:created>
  <dc:title>Phyllis2 #669 wood, park wood, stems and branches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