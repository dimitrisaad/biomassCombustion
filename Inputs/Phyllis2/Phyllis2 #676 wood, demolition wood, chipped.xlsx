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676 wood, demolition " sheetId="1" r:id="rId1"/>
  </sheets>
  <definedNames>
    <definedName name="w" localSheetId="0">IF(ISBLANK('Phyllis2 #676 wood, demolition '!$C$19),#N/A,'Phyllis2 #676 wood, demolition 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<sst xmlns="http://schemas.openxmlformats.org/spreadsheetml/2006/main" count="60" uniqueCount="60">
  <si>
    <t>Phyllis2</t>
  </si>
  <si>
    <t>https://phyllis.nl/Biomass/View/676</t>
  </si>
  <si>
    <t>wood, demolition wood, chipped (#676)</t>
  </si>
  <si>
    <t>ID-number</t>
  </si>
  <si>
    <t>#676</t>
  </si>
  <si>
    <t>Material</t>
  </si>
  <si>
    <t>wood, demolition wood, chipped</t>
  </si>
  <si>
    <t>Classification</t>
  </si>
  <si>
    <t>ECN Phyllis classification &gt; treated wood &gt; demolition wood &gt; wood, demolition wood, chipped</t>
  </si>
  <si>
    <t>NTA 8003 classification &gt; [100] hout &gt; [150] verwerkt hout</t>
  </si>
  <si>
    <t>Sample lot size</t>
  </si>
  <si>
    <t>50-70 mm</t>
  </si>
  <si>
    <t>Ash type</t>
  </si>
  <si>
    <t>ISO 1171 (815 degC)</t>
  </si>
  <si>
    <t>Submitter organisation</t>
  </si>
  <si>
    <t>ECN (Netherlands)</t>
  </si>
  <si>
    <t>Literature</t>
  </si>
  <si>
    <t>ECN laboratories.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</si>
  <si>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</si>
  <si>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</si>
  <si>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</si>
  <si>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</si>
  <si>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</si>
  <si>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</si>
  <si>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</si>
  <si>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</si>
  <si>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</si>
  <si>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</si>
  <si>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</si>
  <si>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</si>
  <si>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</si>
  <si>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</si>
  <si>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</si>
  <si>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</si>
  <si>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</si>
  <si>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</si>
  <si>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</si>
  <si>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</si>
  <si>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</si>
  <si>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</si>
  <si>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</si>
  <si>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</si>
  <si>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</si>
  <si>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</si>
  <si>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</si>
  <si>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</si>
  <si>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</si>
  <si>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</si>
  <si>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</si>
  <si>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</si>
  <si>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Fluorine (F)</t>
  </si>
  <si>
    <t>Heating value</t>
  </si>
  <si>
    <t>Net calorific value (LHV)</t>
  </si>
  <si>
    <t>MJ/kg</t>
  </si>
  <si>
    <t>Gross calorific value (HHV)</t>
  </si>
  <si>
    <t>HHVMilne</t>
  </si>
  <si>
    <t>Physical Properties</t>
  </si>
  <si>
    <t>Commonly used properties</t>
  </si>
  <si>
    <t>Bulk density (ar)</t>
  </si>
  <si>
    <t>kg/m³ (ar)</t>
  </si>
</sst>
</file>

<file path=xl/styles.xml><?xml version="1.0" encoding="utf-8"?>
<styleSheet xmlns="http://schemas.openxmlformats.org/spreadsheetml/2006/main">
  <numFmts count="4">
    <numFmt numFmtId="164" formatCode="#,0.00"/>
    <numFmt numFmtId="165" formatCode="#,0.0"/>
    <numFmt numFmtId="166" formatCode="#,0"/>
    <numFmt numFmtId="167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676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0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 outlineLevel="1">
      <c r="A12" s="5" t="s">
        <v>16</v>
      </c>
      <c r="B12" s="0" t="s">
        <v>17</v>
      </c>
    </row>
    <row r="13">
      <c r="A13" s="5"/>
    </row>
    <row r="14" s="1" customFormat="1">
      <c r="A14" s="7" t="s">
        <v>18</v>
      </c>
    </row>
    <row r="15" s="1" customFormat="1">
      <c r="A15" s="8" t="s">
        <v>19</v>
      </c>
      <c r="B15" s="8" t="s">
        <v>20</v>
      </c>
      <c r="C15" s="8" t="s">
        <v>21</v>
      </c>
      <c r="D15" s="8"/>
      <c r="E15" s="8"/>
      <c r="F15" s="8" t="s">
        <v>22</v>
      </c>
      <c r="G15" s="8" t="s">
        <v>23</v>
      </c>
      <c r="H15" s="8" t="s">
        <v>24</v>
      </c>
      <c r="I15" s="8" t="s">
        <v>25</v>
      </c>
      <c r="J15" s="8" t="s">
        <v>26</v>
      </c>
      <c r="K15" s="8" t="s">
        <v>27</v>
      </c>
      <c r="L15" s="8"/>
    </row>
    <row r="16" s="1" customFormat="1">
      <c r="A16" s="8"/>
      <c r="B16" s="8"/>
      <c r="C16" s="8" t="s">
        <v>28</v>
      </c>
      <c r="D16" s="8" t="s">
        <v>29</v>
      </c>
      <c r="E16" s="8" t="s">
        <v>30</v>
      </c>
      <c r="F16" s="8"/>
      <c r="G16" s="8"/>
      <c r="H16" s="8"/>
      <c r="I16" s="8"/>
      <c r="J16" s="8"/>
      <c r="K16" s="8"/>
      <c r="L16" s="8"/>
    </row>
    <row r="17">
      <c r="A17" s="5" t="s">
        <v>31</v>
      </c>
      <c r="I17" s="14"/>
    </row>
    <row r="18" outlineLevel="1">
      <c r="A18" s="9" t="s">
        <v>32</v>
      </c>
      <c r="I18" s="14"/>
    </row>
    <row r="19" outlineLevel="2">
      <c r="A19" s="10" t="s">
        <v>33</v>
      </c>
      <c r="B19" s="0" t="s">
        <v>34</v>
      </c>
      <c r="C19" s="11">
        <v>42.9</v>
      </c>
      <c r="D19" s="11"/>
      <c r="E19" s="11"/>
      <c r="F19" s="11"/>
      <c r="G19" s="11"/>
      <c r="I19" s="14"/>
    </row>
    <row r="20" outlineLevel="2">
      <c r="A20" s="10" t="s">
        <v>35</v>
      </c>
      <c r="B20" s="0" t="s">
        <v>34</v>
      </c>
      <c r="C20" s="11">
        <f>IFERROR(7.22*(1-w),"")</f>
        <v>4.1226199999999995</v>
      </c>
      <c r="D20" s="11">
        <v>7.22</v>
      </c>
      <c r="E20" s="11">
        <v/>
      </c>
      <c r="F20" s="11"/>
      <c r="G20" s="11"/>
      <c r="I20" s="14"/>
    </row>
    <row r="21" outlineLevel="2">
      <c r="A21" s="10" t="s">
        <v>36</v>
      </c>
      <c r="B21" s="0" t="s">
        <v>34</v>
      </c>
      <c r="C21" s="11">
        <f>IFERROR(74.2*(1-w),"")</f>
        <v>42.368199999999995</v>
      </c>
      <c r="D21" s="11">
        <v>74.2</v>
      </c>
      <c r="E21" s="11">
        <v>79.974132356111241</v>
      </c>
      <c r="F21" s="11"/>
      <c r="G21" s="11"/>
      <c r="I21" s="14"/>
    </row>
    <row r="22" outlineLevel="2">
      <c r="A22" s="10" t="s">
        <v>37</v>
      </c>
      <c r="B22" s="0" t="s">
        <v>34</v>
      </c>
      <c r="C22" s="11">
        <f>IFERROR(18.58*(1-w),"")</f>
        <v>10.609179999999999</v>
      </c>
      <c r="D22" s="11">
        <v>18.58</v>
      </c>
      <c r="E22" s="11">
        <v>20.02586764388877</v>
      </c>
      <c r="F22" s="11"/>
      <c r="G22" s="11"/>
      <c r="I22" s="14"/>
      <c r="J22" s="0" t="s">
        <v>38</v>
      </c>
    </row>
    <row r="23" outlineLevel="1">
      <c r="A23" s="9" t="s">
        <v>39</v>
      </c>
      <c r="I23" s="14"/>
    </row>
    <row r="24" outlineLevel="2">
      <c r="A24" s="10" t="s">
        <v>40</v>
      </c>
      <c r="B24" s="0" t="s">
        <v>34</v>
      </c>
      <c r="C24" s="11">
        <f>IFERROR(47.22*(1-w),"")</f>
        <v>26.962619999999998</v>
      </c>
      <c r="D24" s="11">
        <v>47.22</v>
      </c>
      <c r="E24" s="11">
        <v>50.894589351153265</v>
      </c>
      <c r="F24" s="11"/>
      <c r="G24" s="11"/>
      <c r="I24" s="14"/>
      <c r="J24" s="0" t="s">
        <v>41</v>
      </c>
    </row>
    <row r="25" outlineLevel="2">
      <c r="A25" s="10" t="s">
        <v>42</v>
      </c>
      <c r="B25" s="0" t="s">
        <v>34</v>
      </c>
      <c r="C25" s="11">
        <f>IFERROR(5.26*(1-w),"")</f>
        <v>3.0034599999999996</v>
      </c>
      <c r="D25" s="11">
        <v>5.26</v>
      </c>
      <c r="E25" s="11">
        <v>5.669325285621901</v>
      </c>
      <c r="F25" s="11"/>
      <c r="G25" s="11"/>
      <c r="I25" s="14"/>
      <c r="J25" s="0" t="s">
        <v>41</v>
      </c>
    </row>
    <row r="26" outlineLevel="2">
      <c r="A26" s="10" t="s">
        <v>43</v>
      </c>
      <c r="B26" s="0" t="s">
        <v>34</v>
      </c>
      <c r="C26" s="11">
        <f>IFERROR(39.7008*(1-w),"")</f>
        <v>22.6691568</v>
      </c>
      <c r="D26" s="11">
        <v>39.7008</v>
      </c>
      <c r="E26" s="11">
        <v>42.7902565208019</v>
      </c>
      <c r="F26" s="11"/>
      <c r="G26" s="11"/>
      <c r="I26" s="14"/>
      <c r="J26" s="0" t="s">
        <v>38</v>
      </c>
    </row>
    <row r="27" outlineLevel="2">
      <c r="A27" s="10" t="s">
        <v>44</v>
      </c>
      <c r="B27" s="0" t="s">
        <v>34</v>
      </c>
      <c r="C27" s="11">
        <f>IFERROR(0.42*(1-w),"")</f>
        <v>0.23981999999999998</v>
      </c>
      <c r="D27" s="11">
        <v>0.42</v>
      </c>
      <c r="E27" s="11">
        <v>0.45268376805345978</v>
      </c>
      <c r="F27" s="11"/>
      <c r="G27" s="11"/>
      <c r="I27" s="14"/>
      <c r="J27" s="0" t="s">
        <v>41</v>
      </c>
    </row>
    <row r="28" outlineLevel="2">
      <c r="A28" s="10" t="s">
        <v>45</v>
      </c>
      <c r="B28" s="0" t="s">
        <v>34</v>
      </c>
      <c r="C28" s="11">
        <f>IFERROR(0.115*(1-w),"")</f>
        <v>0.065665</v>
      </c>
      <c r="D28" s="11">
        <v>0.115</v>
      </c>
      <c r="E28" s="11">
        <v>0.12394912696701876</v>
      </c>
      <c r="F28" s="11"/>
      <c r="G28" s="11"/>
      <c r="I28" s="14"/>
      <c r="J28" s="0" t="s">
        <v>41</v>
      </c>
    </row>
    <row r="29" outlineLevel="2">
      <c r="A29" s="10" t="s">
        <v>46</v>
      </c>
      <c r="B29" s="0" t="s">
        <v>34</v>
      </c>
      <c r="C29" s="11">
        <f>IFERROR(100*(1-w)+w*100,"")</f>
        <v>100</v>
      </c>
      <c r="D29" s="11">
        <v>100</v>
      </c>
      <c r="E29" s="11">
        <v>100</v>
      </c>
      <c r="F29" s="11"/>
      <c r="G29" s="11"/>
      <c r="I29" s="14"/>
      <c r="J29" s="0" t="s">
        <v>38</v>
      </c>
    </row>
    <row r="30" outlineLevel="1">
      <c r="A30" s="9" t="s">
        <v>47</v>
      </c>
      <c r="I30" s="14"/>
    </row>
    <row r="31" outlineLevel="2">
      <c r="A31" s="10" t="s">
        <v>48</v>
      </c>
      <c r="B31" s="0" t="s">
        <v>49</v>
      </c>
      <c r="C31" s="12">
        <f>IFERROR(600*(1-w),"")</f>
        <v>342.59999999999997</v>
      </c>
      <c r="D31" s="12">
        <v>600</v>
      </c>
      <c r="E31" s="12">
        <v>646.69109721922837</v>
      </c>
      <c r="F31" s="12"/>
      <c r="G31" s="12"/>
      <c r="I31" s="14"/>
      <c r="J31" s="0" t="s">
        <v>41</v>
      </c>
    </row>
    <row r="32" outlineLevel="2">
      <c r="A32" s="10" t="s">
        <v>50</v>
      </c>
      <c r="B32" s="0" t="s">
        <v>49</v>
      </c>
      <c r="C32" s="12">
        <f>IFERROR(42*(1-w),"")</f>
        <v>23.982</v>
      </c>
      <c r="D32" s="12">
        <v>42</v>
      </c>
      <c r="E32" s="12">
        <v>45.26837680534598</v>
      </c>
      <c r="F32" s="12"/>
      <c r="G32" s="12"/>
      <c r="I32" s="14"/>
      <c r="J32" s="0" t="s">
        <v>41</v>
      </c>
    </row>
    <row r="33" outlineLevel="1">
      <c r="A33" s="9" t="s">
        <v>51</v>
      </c>
      <c r="I33" s="14"/>
    </row>
    <row r="34" outlineLevel="2">
      <c r="A34" s="10" t="s">
        <v>52</v>
      </c>
      <c r="B34" s="0" t="s">
        <v>53</v>
      </c>
      <c r="C34" s="11">
        <f>IFERROR(17.79218*(1-w)-w*2.443,"")</f>
        <v>9.1112877799999978</v>
      </c>
      <c r="D34" s="11">
        <v>17.79218</v>
      </c>
      <c r="E34" s="11">
        <v>19.176740676870015</v>
      </c>
      <c r="F34" s="11"/>
      <c r="G34" s="11"/>
      <c r="I34" s="14"/>
    </row>
    <row r="35" outlineLevel="2">
      <c r="A35" s="10" t="s">
        <v>54</v>
      </c>
      <c r="B35" s="0" t="s">
        <v>53</v>
      </c>
      <c r="C35" s="11">
        <f>IFERROR(18.94*(1-w),"")</f>
        <v>10.81474</v>
      </c>
      <c r="D35" s="11">
        <v>18.94</v>
      </c>
      <c r="E35" s="11">
        <v>20.413882302220308</v>
      </c>
      <c r="F35" s="11"/>
      <c r="G35" s="11"/>
      <c r="I35" s="14"/>
    </row>
    <row r="36" outlineLevel="2">
      <c r="A36" s="10" t="s">
        <v>55</v>
      </c>
      <c r="B36" s="0" t="s">
        <v>53</v>
      </c>
      <c r="C36" s="11">
        <f>IFERROR(18.1466426452*(1-w),"")</f>
        <v>10.361732950409197</v>
      </c>
      <c r="D36" s="11">
        <v>18.146642645199996</v>
      </c>
      <c r="E36" s="11">
        <v>19.55878707178271</v>
      </c>
      <c r="F36" s="11"/>
      <c r="G36" s="11"/>
      <c r="I36" s="14"/>
      <c r="J36" s="0" t="s">
        <v>38</v>
      </c>
    </row>
    <row r="37">
      <c r="A37" s="5" t="s">
        <v>56</v>
      </c>
      <c r="I37" s="14"/>
    </row>
    <row r="38" outlineLevel="1">
      <c r="A38" s="9" t="s">
        <v>57</v>
      </c>
      <c r="I38" s="14"/>
    </row>
    <row r="39" outlineLevel="2">
      <c r="A39" s="10" t="s">
        <v>58</v>
      </c>
      <c r="B39" s="0" t="s">
        <v>59</v>
      </c>
      <c r="C39" s="13">
        <v>180</v>
      </c>
      <c r="D39" s="13"/>
      <c r="E39" s="13"/>
      <c r="F39" s="13"/>
      <c r="G39" s="13"/>
      <c r="I39" s="14"/>
    </row>
    <row r="40">
      <c r="I40" s="14"/>
    </row>
    <row r="41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9:E39"/>
  </mergeCells>
  <dataValidations count="1">
    <dataValidation type="decimal" sqref="C19" errorStyle="stop" promptTitle="Enter moisture content" errorTitle="Invalid moisture content" prompt="Value should be between 0 and 100.&#10;Original value: 42.9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https://phyllis.nl/Biomass/View/676</dc:description>
  <dcterms:created xsi:type="dcterms:W3CDTF">2026-03-19T04:02:48Z</dcterms:created>
  <dc:title>Phyllis2 #676 wood, demolition wood, chipped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