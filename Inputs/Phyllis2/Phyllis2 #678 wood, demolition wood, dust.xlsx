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78 wood, demolition " sheetId="1" r:id="rId1"/>
  </sheets>
  <definedNames>
    <definedName name="w" localSheetId="0">IF(ISBLANK('Phyllis2 #678 wood, demolition '!$C$19),#N/A,'Phyllis2 #678 wood, demolition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<sst xmlns="http://schemas.openxmlformats.org/spreadsheetml/2006/main" count="60" uniqueCount="60">
  <si>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</si>
  <si>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https://phyllis.nl/Biomass/View/678</t>
  </si>
  <si>
    <t>wood, demolition wood, dust (#678)</t>
  </si>
  <si>
    <t>ID-number</t>
  </si>
  <si>
    <t>#678</t>
  </si>
  <si>
    <t>Material</t>
  </si>
  <si>
    <t>wood, demolition wood, dust</t>
  </si>
  <si>
    <t>Classification</t>
  </si>
  <si>
    <t>ECN Phyllis classification &gt; treated wood &gt; demolition wood</t>
  </si>
  <si>
    <t>NTA 8003 classification &gt; [100] hout &gt; [150] verwerkt hout</t>
  </si>
  <si>
    <t>Sample lot size</t>
  </si>
  <si>
    <t>&lt; 1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</si>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</sst>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11.5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IFERROR(18.37*(1-w),"")</f>
        <v>16.257450000000002</v>
      </c>
      <c r="D20" s="11">
        <v>18.37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IFERROR(63.9*(1-w),"")</f>
        <v>56.5515</v>
      </c>
      <c r="D21" s="11">
        <v>63.9</v>
      </c>
      <c r="E21" s="11">
        <v>78.28004410143329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IFERROR(17.73*(1-w),"")</f>
        <v>15.691049999999997</v>
      </c>
      <c r="D22" s="11">
        <v>17.729999999999997</v>
      </c>
      <c r="E22" s="11">
        <v>21.7199558985667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IFERROR(43.14*(1-w),"")</f>
        <v>38.1789</v>
      </c>
      <c r="D24" s="11">
        <v>43.14</v>
      </c>
      <c r="E24" s="11">
        <v>52.848217567070925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IFERROR(4.84*(1-w),"")</f>
        <v>4.2834</v>
      </c>
      <c r="D25" s="11">
        <v>4.84</v>
      </c>
      <c r="E25" s="11">
        <v>5.9291926987627095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IFERROR(32.345*(1-w),"")</f>
        <v>28.625325</v>
      </c>
      <c r="D26" s="11">
        <v>32.345</v>
      </c>
      <c r="E26" s="11">
        <v>39.623912777165252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IFERROR(0.65*(1-w),"")</f>
        <v>0.57525</v>
      </c>
      <c r="D27" s="11">
        <v>0.65</v>
      </c>
      <c r="E27" s="11">
        <v>0.79627587896606644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IFERROR(0.514*(1-w),"")</f>
        <v>0.45489</v>
      </c>
      <c r="D28" s="11">
        <v>0.514</v>
      </c>
      <c r="E28" s="11">
        <v>0.62967046429008944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100.00000000000001</v>
      </c>
      <c r="D29" s="11">
        <v>100.00000000000001</v>
      </c>
      <c r="E29" s="11">
        <v>100.00000000000001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IFERROR(1220*(1-w),"")</f>
        <v>1079.7</v>
      </c>
      <c r="D31" s="12">
        <v>1220</v>
      </c>
      <c r="E31" s="12">
        <v>1494.5485728286169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IFERROR(190*(1-w),"")</f>
        <v>168.15</v>
      </c>
      <c r="D32" s="12">
        <v>190</v>
      </c>
      <c r="E32" s="12">
        <v>232.75756462085016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IFERROR(16.32383*(1-w)-w*2.443,"")</f>
        <v>14.16564455</v>
      </c>
      <c r="D34" s="11">
        <v>16.32383</v>
      </c>
      <c r="E34" s="11">
        <v>19.997341663604068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IFERROR(17.38*(1-w),"")</f>
        <v>15.3813</v>
      </c>
      <c r="D35" s="11">
        <v>17.38</v>
      </c>
      <c r="E35" s="11">
        <v>21.291191963738818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IFERROR(16.9556503057*(1-w),"")</f>
        <v>15.005750520544497</v>
      </c>
      <c r="D36" s="11">
        <v>16.955650305699997</v>
      </c>
      <c r="E36" s="11">
        <v>20.771346693250027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250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11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https://phyllis.nl/Biomass/View/678</dc:description>
  <dcterms:created xsi:type="dcterms:W3CDTF">2026-03-19T04:03:25Z</dcterms:created>
  <dc:title>Phyllis2 #678 wood, demolition wood, 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