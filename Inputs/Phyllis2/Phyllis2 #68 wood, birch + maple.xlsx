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8 wood, birch + mapl" sheetId="1" r:id="rId1"/>
  </sheets>
  <definedNames>
    <definedName name="w" localSheetId="0">IF(ISBLANK('Phyllis2 #68 wood, birch + mapl'!$C$17),#N/A,'Phyllis2 #68 wood, birch + mapl'!$C$17/100)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<sst xmlns="http://schemas.openxmlformats.org/spreadsheetml/2006/main" count="51" uniqueCount="51">
  <si>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</si>
  <si>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https://phyllis.nl/Biomass/View/68</t>
  </si>
  <si>
    <t>wood, birch + maple (#68)</t>
  </si>
  <si>
    <t>ID-number</t>
  </si>
  <si>
    <t>#68</t>
  </si>
  <si>
    <t>Material</t>
  </si>
  <si>
    <t>wood, birch + maple</t>
  </si>
  <si>
    <t>Classification</t>
  </si>
  <si>
    <t>ECN Phyllis classification &gt; untreated wood &gt; other hard wood &gt; wood, birch +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</si>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</sst>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IFERROR(0.36*(1-w),"")</f>
        <v>0.324</v>
      </c>
      <c r="D18" s="11">
        <v>0.36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IFERROR(83.99*(1-w),"")</f>
        <v>75.591</v>
      </c>
      <c r="D19" s="11">
        <v>83.99</v>
      </c>
      <c r="E19" s="11">
        <v>84.29345644319551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IFERROR(15.65*(1-w),"")</f>
        <v>14.085000000000006</v>
      </c>
      <c r="D20" s="11">
        <v>15.650000000000006</v>
      </c>
      <c r="E20" s="11">
        <v>15.706543556804503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IFERROR(49.85*(1-w),"")</f>
        <v>44.865</v>
      </c>
      <c r="D22" s="11">
        <v>49.85</v>
      </c>
      <c r="E22" s="11">
        <v>50.030108390204738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IFERROR(6.12*(1-w),"")</f>
        <v>5.508</v>
      </c>
      <c r="D23" s="11">
        <v>6.12</v>
      </c>
      <c r="E23" s="11">
        <v>6.1421116017663593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IFERROR(43.45*(1-w),"")</f>
        <v>39.105000000000004</v>
      </c>
      <c r="D24" s="11">
        <v>43.45</v>
      </c>
      <c r="E24" s="11">
        <v>43.606985146527506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IFERROR(0.1*(1-w),"")</f>
        <v>0.090000000000000011</v>
      </c>
      <c r="D25" s="11">
        <v>0.1</v>
      </c>
      <c r="E25" s="11">
        <v>0.10036130068245686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IFERROR(0.09*(1-w),"")</f>
        <v>0.081</v>
      </c>
      <c r="D26" s="11">
        <v>0.09</v>
      </c>
      <c r="E26" s="11">
        <v>0.090325170614211164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270</v>
      </c>
      <c r="D29" s="12">
        <v>300</v>
      </c>
      <c r="E29" s="12">
        <v>301.08390204737054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IFERROR(18.33464*(1-w)-w*2.443,"")</f>
        <v>16.256876000000002</v>
      </c>
      <c r="D31" s="11">
        <v>18.33464</v>
      </c>
      <c r="E31" s="11">
        <v>18.400883179446005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IFERROR(19.67013*(1-w),"")</f>
        <v>17.703117000000002</v>
      </c>
      <c r="D32" s="11">
        <v>19.67013</v>
      </c>
      <c r="E32" s="11">
        <v>19.741198313930148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IFERROR(19.8641758288*(1-w),"")</f>
        <v>17.877758245920003</v>
      </c>
      <c r="D33" s="11">
        <v>19.8641758288</v>
      </c>
      <c r="E33" s="11">
        <v>19.935945231633884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https://phyllis.nl/Biomass/View/68</dc:description>
  <dcterms:created xsi:type="dcterms:W3CDTF">2026-03-19T07:12:50Z</dcterms:created>
  <dc:title>Phyllis2 #68 wood, birch +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