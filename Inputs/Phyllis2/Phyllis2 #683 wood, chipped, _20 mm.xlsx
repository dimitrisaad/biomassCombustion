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83 wood, chipped, &gt;2" sheetId="1" r:id="rId1"/>
  </sheets>
  <definedNames>
    <definedName name="w" localSheetId="0">IF(ISBLANK('Phyllis2 #683 wood, chipped, &gt;2'!$C$18),#N/A,'Phyllis2 #683 wood, chipped, &gt;2'!$C$18/100)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<sst xmlns="http://schemas.openxmlformats.org/spreadsheetml/2006/main" count="53" uniqueCount="53">
  <si>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</si>
  <si>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https://phyllis.nl/Biomass/View/683</t>
  </si>
  <si>
    <t>wood, chipped, &gt;20 mm (#683)</t>
  </si>
  <si>
    <t>ID-number</t>
  </si>
  <si>
    <t>#683</t>
  </si>
  <si>
    <t>Material</t>
  </si>
  <si>
    <t>wood, chipped, &gt;20 mm</t>
  </si>
  <si>
    <t>Classification</t>
  </si>
  <si>
    <t>ECN Phyllis classification &gt; treated wood &gt; particle board</t>
  </si>
  <si>
    <t>NTA 8003 classification &gt; [100] hout &gt; [150] verwerkt hout &gt; [170] geverfd/verlijmd hout (B-hout) &gt; [172] plaatmateriaal/verlijmd hout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</si>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</sst>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8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12.4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IFERROR(2.9*(1-w),"")</f>
        <v>2.5404</v>
      </c>
      <c r="D19" s="11">
        <v>2.9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IFERROR(76.7*(1-w),"")</f>
        <v>67.1892</v>
      </c>
      <c r="D20" s="11">
        <v>76.7</v>
      </c>
      <c r="E20" s="11">
        <v>78.990731204943359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IFERROR(20.4*(1-w),"")</f>
        <v>17.870399999999993</v>
      </c>
      <c r="D21" s="11">
        <v>20.399999999999991</v>
      </c>
      <c r="E21" s="11">
        <v>21.009268795056634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IFERROR(50.6*(1-w),"")</f>
        <v>44.3256</v>
      </c>
      <c r="D23" s="11">
        <v>50.6</v>
      </c>
      <c r="E23" s="11">
        <v>52.111225540679712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IFERROR(5.9*(1-w),"")</f>
        <v>5.1684</v>
      </c>
      <c r="D24" s="11">
        <v>5.9</v>
      </c>
      <c r="E24" s="11">
        <v>6.0762100926879512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IFERROR(38.98*(1-w),"")</f>
        <v>34.14648</v>
      </c>
      <c r="D25" s="11">
        <v>38.98</v>
      </c>
      <c r="E25" s="11">
        <v>40.14418125643666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IFERROR(1.5*(1-w),"")</f>
        <v>1.314</v>
      </c>
      <c r="D26" s="11">
        <v>1.5</v>
      </c>
      <c r="E26" s="11">
        <v>1.544799176107106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IFERROR(0.05*(1-w),"")</f>
        <v>0.043800000000000006</v>
      </c>
      <c r="D27" s="11">
        <v>0.05</v>
      </c>
      <c r="E27" s="11">
        <v>0.051493305870236872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IFERROR(100*(1-w)+w*100,"")</f>
        <v>100</v>
      </c>
      <c r="D28" s="11">
        <v>99.999999999999986</v>
      </c>
      <c r="E28" s="11">
        <v>99.999999999999986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IFERROR(700*(1-w),"")</f>
        <v>613.2</v>
      </c>
      <c r="D30" s="12">
        <v>700</v>
      </c>
      <c r="E30" s="12">
        <v>720.90628218331619</v>
      </c>
      <c r="F30" s="12"/>
      <c r="G30" s="12"/>
      <c r="I30" s="13"/>
      <c r="J30" s="0" t="s">
        <v>39</v>
      </c>
    </row>
    <row r="31" outlineLevel="1">
      <c r="A31" s="9" t="s">
        <v>48</v>
      </c>
      <c r="I31" s="13"/>
    </row>
    <row r="32" outlineLevel="2">
      <c r="A32" s="10" t="s">
        <v>49</v>
      </c>
      <c r="B32" s="0" t="s">
        <v>50</v>
      </c>
      <c r="C32" s="11">
        <f>IFERROR(18.41252*(1-w)-w*2.443,"")</f>
        <v>15.826435519999999</v>
      </c>
      <c r="D32" s="11">
        <v>18.41252</v>
      </c>
      <c r="E32" s="11">
        <v>18.962430484037075</v>
      </c>
      <c r="F32" s="11"/>
      <c r="G32" s="11"/>
      <c r="I32" s="13"/>
    </row>
    <row r="33" outlineLevel="2">
      <c r="A33" s="10" t="s">
        <v>51</v>
      </c>
      <c r="B33" s="0" t="s">
        <v>50</v>
      </c>
      <c r="C33" s="11">
        <f>IFERROR(19.7*(1-w),"")</f>
        <v>17.2572</v>
      </c>
      <c r="D33" s="11">
        <v>19.7</v>
      </c>
      <c r="E33" s="11">
        <v>20.288362512873327</v>
      </c>
      <c r="F33" s="11"/>
      <c r="G33" s="11"/>
      <c r="I33" s="13"/>
    </row>
    <row r="34" outlineLevel="2">
      <c r="A34" s="10" t="s">
        <v>52</v>
      </c>
      <c r="B34" s="0" t="s">
        <v>50</v>
      </c>
      <c r="C34" s="11">
        <f>IFERROR(20.15714673*(1-w),"")</f>
        <v>17.65766053548</v>
      </c>
      <c r="D34" s="11">
        <v>20.15714673</v>
      </c>
      <c r="E34" s="11">
        <v>20.7591624407827</v>
      </c>
      <c r="F34" s="11"/>
      <c r="G34" s="11"/>
      <c r="I34" s="13"/>
      <c r="J34" s="0" t="s">
        <v>36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12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https://phyllis.nl/Biomass/View/683</dc:description>
  <dcterms:created xsi:type="dcterms:W3CDTF">2026-03-19T04:11:03Z</dcterms:created>
  <dc:title>Phyllis2 #683 wood, chipped, &gt;20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