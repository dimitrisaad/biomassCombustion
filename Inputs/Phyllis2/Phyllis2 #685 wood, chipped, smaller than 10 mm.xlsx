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85 wood, chipped, sm" sheetId="1" r:id="rId1"/>
  </sheets>
  <definedNames>
    <definedName name="w" localSheetId="0">IF(ISBLANK('Phyllis2 #685 wood, chipped, sm'!$C$18),#N/A,'Phyllis2 #685 wood, chipped, sm'!$C$18/100)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<sst xmlns="http://schemas.openxmlformats.org/spreadsheetml/2006/main" count="74" uniqueCount="74">
  <si>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</si>
  <si>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https://phyllis.nl/Biomass/View/685</t>
  </si>
  <si>
    <t>wood, chipped, smaller than 10 mm (#685)</t>
  </si>
  <si>
    <t>ID-number</t>
  </si>
  <si>
    <t>#685</t>
  </si>
  <si>
    <t>Material</t>
  </si>
  <si>
    <t>wood, chipped, smaller than 10 mm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</si>
  <si>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</si>
  <si>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</si>
  <si>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</si>
  <si>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</si>
  <si>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</si>
  <si>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</si>
  <si>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</si>
  <si>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</si>
  <si>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</si>
  <si>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</si>
  <si>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</si>
  <si>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</si>
  <si>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</si>
  <si>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</si>
  <si>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</si>
  <si>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</si>
  <si>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</si>
  <si>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</si>
  <si>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</si>
  <si>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</si>
  <si>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</si>
  <si>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</si>
  <si>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</si>
  <si>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</si>
  <si>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</si>
  <si>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</si>
  <si>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</si>
  <si>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</si>
  <si>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</si>
  <si>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</si>
  <si>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</si>
  <si>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</si>
  <si>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</si>
  <si>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</si>
  <si>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</si>
  <si>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</si>
  <si>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</si>
  <si>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</si>
  <si>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</si>
  <si>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</si>
  <si>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</si>
  <si>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</si>
  <si>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</si>
  <si>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</si>
  <si>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</si>
  <si>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</si>
  <si>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</si>
  <si>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</si>
  <si>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</si>
  <si>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</si>
  <si>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</si>
  <si>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</si>
  <si>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</si>
  <si>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</si>
  <si>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</si>
  <si>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</si>
  <si>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</si>
  <si>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</si>
  <si>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</si>
  <si>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</si>
  <si>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</si>
  <si>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</si>
  <si>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</si>
  <si>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Silicon (Si)</t>
  </si>
  <si>
    <t>Tin (Sn)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</si>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</sst>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13.7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IFERROR(8*(1-w),"")</f>
        <v>6.904</v>
      </c>
      <c r="D19" s="11">
        <v>8</v>
      </c>
      <c r="E19" s="11">
        <v/>
      </c>
      <c r="F19" s="11"/>
      <c r="G19" s="11"/>
      <c r="I19" s="13"/>
    </row>
    <row r="20" outlineLevel="1">
      <c r="A20" s="9" t="s">
        <v>34</v>
      </c>
      <c r="I20" s="13"/>
    </row>
    <row r="21" outlineLevel="2">
      <c r="A21" s="10" t="s">
        <v>35</v>
      </c>
      <c r="B21" s="0" t="s">
        <v>32</v>
      </c>
      <c r="C21" s="11">
        <f>IFERROR(46.8*(1-w),"")</f>
        <v>40.3884</v>
      </c>
      <c r="D21" s="11">
        <v>46.8</v>
      </c>
      <c r="E21" s="11">
        <v>50.8695652173913</v>
      </c>
      <c r="F21" s="11"/>
      <c r="G21" s="11"/>
      <c r="I21" s="13"/>
      <c r="J21" s="0" t="s">
        <v>36</v>
      </c>
    </row>
    <row r="22" outlineLevel="2">
      <c r="A22" s="10" t="s">
        <v>37</v>
      </c>
      <c r="B22" s="0" t="s">
        <v>32</v>
      </c>
      <c r="C22" s="11">
        <f>IFERROR(5*(1-w),"")</f>
        <v>4.3149999999999995</v>
      </c>
      <c r="D22" s="11">
        <v>5</v>
      </c>
      <c r="E22" s="11">
        <v>5.4347826086956523</v>
      </c>
      <c r="F22" s="11"/>
      <c r="G22" s="11"/>
      <c r="I22" s="13"/>
      <c r="J22" s="0" t="s">
        <v>36</v>
      </c>
    </row>
    <row r="23" outlineLevel="2">
      <c r="A23" s="10" t="s">
        <v>38</v>
      </c>
      <c r="B23" s="0" t="s">
        <v>32</v>
      </c>
      <c r="C23" s="11">
        <f>IFERROR(38.02*(1-w),"")</f>
        <v>32.811260000000004</v>
      </c>
      <c r="D23" s="11">
        <v>38.02</v>
      </c>
      <c r="E23" s="11">
        <v>41.326086956521742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IFERROR(2*(1-w),"")</f>
        <v>1.726</v>
      </c>
      <c r="D24" s="11">
        <v>2</v>
      </c>
      <c r="E24" s="11">
        <v>2.1739130434782608</v>
      </c>
      <c r="F24" s="11"/>
      <c r="G24" s="11"/>
      <c r="I24" s="13"/>
      <c r="J24" s="0" t="s">
        <v>36</v>
      </c>
    </row>
    <row r="25" outlineLevel="2">
      <c r="A25" s="10" t="s">
        <v>41</v>
      </c>
      <c r="B25" s="0" t="s">
        <v>32</v>
      </c>
      <c r="C25" s="11">
        <f>IFERROR(0.1*(1-w),"")</f>
        <v>0.0863</v>
      </c>
      <c r="D25" s="11">
        <v>0.1</v>
      </c>
      <c r="E25" s="11">
        <v>0.10869565217391304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IFERROR(100*(1-w)+w*100,"")</f>
        <v>99.999999999999986</v>
      </c>
      <c r="D26" s="11">
        <v>99.999999999999986</v>
      </c>
      <c r="E26" s="11">
        <v>99.999999999999986</v>
      </c>
      <c r="F26" s="11"/>
      <c r="G26" s="11"/>
      <c r="I26" s="13"/>
      <c r="J26" s="0" t="s">
        <v>39</v>
      </c>
    </row>
    <row r="27" outlineLevel="1">
      <c r="A27" s="9" t="s">
        <v>43</v>
      </c>
      <c r="I27" s="13"/>
    </row>
    <row r="28" outlineLevel="2">
      <c r="A28" s="10" t="s">
        <v>44</v>
      </c>
      <c r="B28" s="0" t="s">
        <v>45</v>
      </c>
      <c r="C28" s="12">
        <f>IFERROR(800*(1-w),"")</f>
        <v>690.4</v>
      </c>
      <c r="D28" s="12">
        <v>800</v>
      </c>
      <c r="E28" s="12">
        <v>869.56521739130426</v>
      </c>
      <c r="F28" s="12"/>
      <c r="G28" s="12"/>
      <c r="I28" s="13"/>
      <c r="J28" s="0" t="s">
        <v>36</v>
      </c>
    </row>
    <row r="29" outlineLevel="1">
      <c r="A29" s="9" t="s">
        <v>46</v>
      </c>
      <c r="I29" s="13"/>
    </row>
    <row r="30" outlineLevel="2">
      <c r="A30" s="10" t="s">
        <v>47</v>
      </c>
      <c r="B30" s="0" t="s">
        <v>48</v>
      </c>
      <c r="C30" s="11">
        <f>IFERROR(17.20891*(1-w)-w*2.443,"")</f>
        <v>14.51659833</v>
      </c>
      <c r="D30" s="11">
        <v>17.20891</v>
      </c>
      <c r="E30" s="11">
        <v>18.705336956521737</v>
      </c>
      <c r="F30" s="11"/>
      <c r="G30" s="11"/>
      <c r="I30" s="13"/>
    </row>
    <row r="31" outlineLevel="2">
      <c r="A31" s="10" t="s">
        <v>49</v>
      </c>
      <c r="B31" s="0" t="s">
        <v>48</v>
      </c>
      <c r="C31" s="11">
        <f>IFERROR(18.3*(1-w),"")</f>
        <v>15.792900000000001</v>
      </c>
      <c r="D31" s="11">
        <v>18.3</v>
      </c>
      <c r="E31" s="11">
        <v>19.891304347826086</v>
      </c>
      <c r="F31" s="11"/>
      <c r="G31" s="11"/>
      <c r="I31" s="13"/>
    </row>
    <row r="32" outlineLevel="2">
      <c r="A32" s="10" t="s">
        <v>50</v>
      </c>
      <c r="B32" s="0" t="s">
        <v>48</v>
      </c>
      <c r="C32" s="11">
        <f>IFERROR(17.660652*(1-w),"")</f>
        <v>15.241142676000003</v>
      </c>
      <c r="D32" s="11">
        <v>17.660652000000002</v>
      </c>
      <c r="E32" s="11">
        <v>19.196360869565218</v>
      </c>
      <c r="F32" s="11"/>
      <c r="G32" s="11"/>
      <c r="I32" s="13"/>
      <c r="J32" s="0" t="s">
        <v>39</v>
      </c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1500</v>
      </c>
      <c r="D34" s="12"/>
      <c r="E34" s="12"/>
      <c r="F34" s="12"/>
      <c r="G34" s="12"/>
      <c r="I34" s="13"/>
      <c r="J34" s="0" t="s">
        <v>36</v>
      </c>
    </row>
    <row r="35" outlineLevel="2">
      <c r="A35" s="10" t="s">
        <v>54</v>
      </c>
      <c r="B35" s="0" t="s">
        <v>53</v>
      </c>
      <c r="C35" s="12">
        <v>3.6</v>
      </c>
      <c r="D35" s="12"/>
      <c r="E35" s="12"/>
      <c r="F35" s="12"/>
      <c r="G35" s="12"/>
      <c r="I35" s="13"/>
      <c r="J35" s="0" t="s">
        <v>36</v>
      </c>
    </row>
    <row r="36" outlineLevel="2">
      <c r="A36" s="10" t="s">
        <v>55</v>
      </c>
      <c r="B36" s="0" t="s">
        <v>53</v>
      </c>
      <c r="C36" s="12">
        <v>12</v>
      </c>
      <c r="D36" s="12"/>
      <c r="E36" s="12"/>
      <c r="F36" s="12"/>
      <c r="G36" s="12"/>
      <c r="I36" s="13"/>
      <c r="J36" s="0" t="s">
        <v>36</v>
      </c>
    </row>
    <row r="37" outlineLevel="2">
      <c r="A37" s="10" t="s">
        <v>56</v>
      </c>
      <c r="B37" s="0" t="s">
        <v>53</v>
      </c>
      <c r="C37" s="12">
        <v>480</v>
      </c>
      <c r="D37" s="12"/>
      <c r="E37" s="12"/>
      <c r="F37" s="12"/>
      <c r="G37" s="12"/>
      <c r="I37" s="13"/>
      <c r="J37" s="0" t="s">
        <v>36</v>
      </c>
    </row>
    <row r="38" outlineLevel="2">
      <c r="A38" s="10" t="s">
        <v>57</v>
      </c>
      <c r="B38" s="0" t="s">
        <v>53</v>
      </c>
      <c r="C38" s="12">
        <v>8500</v>
      </c>
      <c r="D38" s="12"/>
      <c r="E38" s="12"/>
      <c r="F38" s="12"/>
      <c r="G38" s="12"/>
      <c r="I38" s="13"/>
      <c r="J38" s="0" t="s">
        <v>36</v>
      </c>
    </row>
    <row r="39" outlineLevel="2">
      <c r="A39" s="10" t="s">
        <v>58</v>
      </c>
      <c r="B39" s="0" t="s">
        <v>53</v>
      </c>
      <c r="C39" s="12">
        <v>2.9</v>
      </c>
      <c r="D39" s="12"/>
      <c r="E39" s="12"/>
      <c r="F39" s="12"/>
      <c r="G39" s="12"/>
      <c r="I39" s="13"/>
      <c r="J39" s="0" t="s">
        <v>36</v>
      </c>
    </row>
    <row r="40" outlineLevel="2">
      <c r="A40" s="10" t="s">
        <v>59</v>
      </c>
      <c r="B40" s="0" t="s">
        <v>53</v>
      </c>
      <c r="C40" s="12">
        <v>44</v>
      </c>
      <c r="D40" s="12"/>
      <c r="E40" s="12"/>
      <c r="F40" s="12"/>
      <c r="G40" s="12"/>
      <c r="I40" s="13"/>
      <c r="J40" s="0" t="s">
        <v>36</v>
      </c>
    </row>
    <row r="41" outlineLevel="2">
      <c r="A41" s="10" t="s">
        <v>60</v>
      </c>
      <c r="B41" s="0" t="s">
        <v>53</v>
      </c>
      <c r="C41" s="12">
        <v>9.2</v>
      </c>
      <c r="D41" s="12"/>
      <c r="E41" s="12"/>
      <c r="F41" s="12"/>
      <c r="G41" s="12"/>
      <c r="I41" s="13"/>
      <c r="J41" s="0" t="s">
        <v>36</v>
      </c>
    </row>
    <row r="42" outlineLevel="2">
      <c r="A42" s="10" t="s">
        <v>61</v>
      </c>
      <c r="B42" s="0" t="s">
        <v>53</v>
      </c>
      <c r="C42" s="12">
        <v>1390</v>
      </c>
      <c r="D42" s="12"/>
      <c r="E42" s="12"/>
      <c r="F42" s="12"/>
      <c r="G42" s="12"/>
      <c r="I42" s="13"/>
      <c r="J42" s="0" t="s">
        <v>36</v>
      </c>
    </row>
    <row r="43" outlineLevel="2">
      <c r="A43" s="10" t="s">
        <v>62</v>
      </c>
      <c r="B43" s="0" t="s">
        <v>53</v>
      </c>
      <c r="C43" s="12">
        <v>1130</v>
      </c>
      <c r="D43" s="12"/>
      <c r="E43" s="12"/>
      <c r="F43" s="12"/>
      <c r="G43" s="12"/>
      <c r="I43" s="13"/>
      <c r="J43" s="0" t="s">
        <v>36</v>
      </c>
    </row>
    <row r="44" outlineLevel="2">
      <c r="A44" s="10" t="s">
        <v>63</v>
      </c>
      <c r="B44" s="0" t="s">
        <v>53</v>
      </c>
      <c r="C44" s="12">
        <v>1310</v>
      </c>
      <c r="D44" s="12"/>
      <c r="E44" s="12"/>
      <c r="F44" s="12"/>
      <c r="G44" s="12"/>
      <c r="I44" s="13"/>
      <c r="J44" s="0" t="s">
        <v>36</v>
      </c>
    </row>
    <row r="45" outlineLevel="2">
      <c r="A45" s="10" t="s">
        <v>64</v>
      </c>
      <c r="B45" s="0" t="s">
        <v>53</v>
      </c>
      <c r="C45" s="12">
        <v>98</v>
      </c>
      <c r="D45" s="12"/>
      <c r="E45" s="12"/>
      <c r="F45" s="12"/>
      <c r="G45" s="12"/>
      <c r="I45" s="13"/>
      <c r="J45" s="0" t="s">
        <v>36</v>
      </c>
    </row>
    <row r="46" outlineLevel="2">
      <c r="A46" s="10" t="s">
        <v>65</v>
      </c>
      <c r="B46" s="0" t="s">
        <v>53</v>
      </c>
      <c r="C46" s="12">
        <v>1470</v>
      </c>
      <c r="D46" s="12"/>
      <c r="E46" s="12"/>
      <c r="F46" s="12"/>
      <c r="G46" s="12"/>
      <c r="I46" s="13"/>
      <c r="J46" s="0" t="s">
        <v>36</v>
      </c>
    </row>
    <row r="47" outlineLevel="2">
      <c r="A47" s="10" t="s">
        <v>66</v>
      </c>
      <c r="B47" s="0" t="s">
        <v>53</v>
      </c>
      <c r="C47" s="12">
        <v>10</v>
      </c>
      <c r="D47" s="12"/>
      <c r="E47" s="12"/>
      <c r="F47" s="12"/>
      <c r="G47" s="12"/>
      <c r="I47" s="13"/>
      <c r="J47" s="0" t="s">
        <v>36</v>
      </c>
    </row>
    <row r="48" outlineLevel="2">
      <c r="A48" s="10" t="s">
        <v>67</v>
      </c>
      <c r="B48" s="0" t="s">
        <v>53</v>
      </c>
      <c r="C48" s="12">
        <v>140</v>
      </c>
      <c r="D48" s="12"/>
      <c r="E48" s="12"/>
      <c r="F48" s="12"/>
      <c r="G48" s="12"/>
      <c r="I48" s="13"/>
      <c r="J48" s="0" t="s">
        <v>36</v>
      </c>
    </row>
    <row r="49" outlineLevel="2">
      <c r="A49" s="10" t="s">
        <v>68</v>
      </c>
      <c r="B49" s="0" t="s">
        <v>53</v>
      </c>
      <c r="C49" s="12">
        <v>240</v>
      </c>
      <c r="D49" s="12"/>
      <c r="E49" s="12"/>
      <c r="F49" s="12"/>
      <c r="G49" s="12"/>
      <c r="I49" s="13"/>
      <c r="J49" s="0" t="s">
        <v>36</v>
      </c>
    </row>
    <row r="50" outlineLevel="2">
      <c r="A50" s="10" t="s">
        <v>69</v>
      </c>
      <c r="B50" s="0" t="s">
        <v>53</v>
      </c>
      <c r="C50" s="12">
        <v>9.1</v>
      </c>
      <c r="D50" s="12"/>
      <c r="E50" s="12"/>
      <c r="F50" s="12"/>
      <c r="G50" s="12"/>
      <c r="I50" s="13"/>
      <c r="J50" s="0" t="s">
        <v>36</v>
      </c>
    </row>
    <row r="51" outlineLevel="2">
      <c r="A51" s="10" t="s">
        <v>70</v>
      </c>
      <c r="B51" s="0" t="s">
        <v>53</v>
      </c>
      <c r="C51" s="12">
        <v>22000</v>
      </c>
      <c r="D51" s="12"/>
      <c r="E51" s="12"/>
      <c r="F51" s="12"/>
      <c r="G51" s="12"/>
      <c r="I51" s="13"/>
      <c r="J51" s="0" t="s">
        <v>36</v>
      </c>
    </row>
    <row r="52" outlineLevel="2">
      <c r="A52" s="10" t="s">
        <v>71</v>
      </c>
      <c r="B52" s="0" t="s">
        <v>53</v>
      </c>
      <c r="C52" s="12">
        <v>1.2</v>
      </c>
      <c r="D52" s="12"/>
      <c r="E52" s="12"/>
      <c r="F52" s="12"/>
      <c r="G52" s="12"/>
      <c r="I52" s="13"/>
      <c r="J52" s="0" t="s">
        <v>36</v>
      </c>
    </row>
    <row r="53" outlineLevel="2">
      <c r="A53" s="10" t="s">
        <v>72</v>
      </c>
      <c r="B53" s="0" t="s">
        <v>53</v>
      </c>
      <c r="C53" s="12">
        <v>4.1</v>
      </c>
      <c r="D53" s="12"/>
      <c r="E53" s="12"/>
      <c r="F53" s="12"/>
      <c r="G53" s="12"/>
      <c r="I53" s="13"/>
      <c r="J53" s="0" t="s">
        <v>36</v>
      </c>
    </row>
    <row r="54" outlineLevel="2">
      <c r="A54" s="10" t="s">
        <v>73</v>
      </c>
      <c r="B54" s="0" t="s">
        <v>53</v>
      </c>
      <c r="C54" s="12">
        <v>450</v>
      </c>
      <c r="D54" s="12"/>
      <c r="E54" s="12"/>
      <c r="F54" s="12"/>
      <c r="G54" s="12"/>
      <c r="I54" s="13"/>
      <c r="J54" s="0" t="s">
        <v>36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1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https://phyllis.nl/Biomass/View/685</dc:description>
  <dcterms:created xsi:type="dcterms:W3CDTF">2026-03-19T04:11:10Z</dcterms:created>
  <dc:title>Phyllis2 #685 wood, chipped, smaller than 10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