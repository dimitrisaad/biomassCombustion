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69 wood, birch + mapl" sheetId="1" r:id="rId1"/>
  </sheets>
  <definedNames>
    <definedName name="w" localSheetId="0">IF(ISBLANK('Phyllis2 #69 wood, birch + mapl'!$C$17),#N/A,'Phyllis2 #69 wood, birch + mapl'!$C$17/100)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<sst xmlns="http://schemas.openxmlformats.org/spreadsheetml/2006/main" count="51" uniqueCount="51">
  <si>
    <t>Phyllis2</t>
  </si>
  <si>
    <t>https://phyllis.nl/Biomass/View/69</t>
  </si>
  <si>
    <t>wood, birch + maple (#69)</t>
  </si>
  <si>
    <t>ID-number</t>
  </si>
  <si>
    <t>#69</t>
  </si>
  <si>
    <t>Material</t>
  </si>
  <si>
    <t>wood, birch + maple</t>
  </si>
  <si>
    <t>Classification</t>
  </si>
  <si>
    <t>ECN Phyllis classification &gt; untreated wood &gt; other hard wood &gt; wood, birch + maple</t>
  </si>
  <si>
    <t>NTA 8003 classification &gt; [100] hout &gt; [110] vers hout &gt; [120] loofhout &gt; [121] mengsel loofhout</t>
  </si>
  <si>
    <t>Submitter organisation</t>
  </si>
  <si>
    <t>ECN (Netherlands)</t>
  </si>
  <si>
    <t>Literature</t>
  </si>
  <si>
    <t>H. F. Feldmann, M. A. Paisley, H. R. Appelbaum and D. R. Taylor: Conversion of forest residues to a methane-rich gas in a high-throughput gasifier, Battelle, Columbus, OH (USA), DE88013138, 108 p. (1988).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</si>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</sst>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69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4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>
      <c r="A11" s="5"/>
    </row>
    <row r="12" s="1" customFormat="1">
      <c r="A12" s="7" t="s">
        <v>14</v>
      </c>
    </row>
    <row r="13" s="1" customFormat="1">
      <c r="A13" s="8" t="s">
        <v>15</v>
      </c>
      <c r="B13" s="8" t="s">
        <v>16</v>
      </c>
      <c r="C13" s="8" t="s">
        <v>17</v>
      </c>
      <c r="D13" s="8"/>
      <c r="E13" s="8"/>
      <c r="F13" s="8" t="s">
        <v>18</v>
      </c>
      <c r="G13" s="8" t="s">
        <v>19</v>
      </c>
      <c r="H13" s="8" t="s">
        <v>20</v>
      </c>
      <c r="I13" s="8" t="s">
        <v>21</v>
      </c>
      <c r="J13" s="8" t="s">
        <v>22</v>
      </c>
      <c r="K13" s="8" t="s">
        <v>23</v>
      </c>
      <c r="L13" s="8"/>
    </row>
    <row r="14" s="1" customFormat="1">
      <c r="A14" s="8"/>
      <c r="B14" s="8"/>
      <c r="C14" s="8" t="s">
        <v>24</v>
      </c>
      <c r="D14" s="8" t="s">
        <v>25</v>
      </c>
      <c r="E14" s="8" t="s">
        <v>26</v>
      </c>
      <c r="F14" s="8"/>
      <c r="G14" s="8"/>
      <c r="H14" s="8"/>
      <c r="I14" s="8"/>
      <c r="J14" s="8"/>
      <c r="K14" s="8"/>
      <c r="L14" s="8"/>
    </row>
    <row r="15">
      <c r="A15" s="5" t="s">
        <v>27</v>
      </c>
      <c r="I15" s="13"/>
    </row>
    <row r="16" outlineLevel="1">
      <c r="A16" s="9" t="s">
        <v>28</v>
      </c>
      <c r="I16" s="13"/>
    </row>
    <row r="17" outlineLevel="2">
      <c r="A17" s="10" t="s">
        <v>29</v>
      </c>
      <c r="B17" s="0" t="s">
        <v>30</v>
      </c>
      <c r="C17" s="11">
        <v>10</v>
      </c>
      <c r="D17" s="11"/>
      <c r="E17" s="11"/>
      <c r="F17" s="11"/>
      <c r="G17" s="11"/>
      <c r="I17" s="13"/>
    </row>
    <row r="18" outlineLevel="2">
      <c r="A18" s="10" t="s">
        <v>31</v>
      </c>
      <c r="B18" s="0" t="s">
        <v>30</v>
      </c>
      <c r="C18" s="11">
        <f>IFERROR(0.46*(1-w),"")</f>
        <v>0.41400000000000003</v>
      </c>
      <c r="D18" s="11">
        <v>0.46</v>
      </c>
      <c r="E18" s="11">
        <v/>
      </c>
      <c r="F18" s="11"/>
      <c r="G18" s="11"/>
      <c r="I18" s="13"/>
    </row>
    <row r="19" outlineLevel="2">
      <c r="A19" s="10" t="s">
        <v>32</v>
      </c>
      <c r="B19" s="0" t="s">
        <v>30</v>
      </c>
      <c r="C19" s="11">
        <f>IFERROR(84.09*(1-w),"")</f>
        <v>75.681000000000012</v>
      </c>
      <c r="D19" s="11">
        <v>84.09</v>
      </c>
      <c r="E19" s="11">
        <v>84.478601567209168</v>
      </c>
      <c r="F19" s="11"/>
      <c r="G19" s="11"/>
      <c r="I19" s="13"/>
    </row>
    <row r="20" outlineLevel="2">
      <c r="A20" s="10" t="s">
        <v>33</v>
      </c>
      <c r="B20" s="0" t="s">
        <v>30</v>
      </c>
      <c r="C20" s="11">
        <f>IFERROR(15.45*(1-w),"")</f>
        <v>13.905000000000003</v>
      </c>
      <c r="D20" s="11">
        <v>15.450000000000003</v>
      </c>
      <c r="E20" s="11">
        <v>15.521398432790841</v>
      </c>
      <c r="F20" s="11"/>
      <c r="G20" s="11"/>
      <c r="I20" s="13"/>
      <c r="J20" s="0" t="s">
        <v>34</v>
      </c>
    </row>
    <row r="21" outlineLevel="1">
      <c r="A21" s="9" t="s">
        <v>35</v>
      </c>
      <c r="I21" s="13"/>
    </row>
    <row r="22" outlineLevel="2">
      <c r="A22" s="10" t="s">
        <v>36</v>
      </c>
      <c r="B22" s="0" t="s">
        <v>30</v>
      </c>
      <c r="C22" s="11">
        <f>IFERROR(50.41*(1-w),"")</f>
        <v>45.369</v>
      </c>
      <c r="D22" s="11">
        <v>50.41</v>
      </c>
      <c r="E22" s="11">
        <v>50.642957604982918</v>
      </c>
      <c r="F22" s="11"/>
      <c r="G22" s="11"/>
      <c r="I22" s="13"/>
      <c r="J22" s="0" t="s">
        <v>37</v>
      </c>
    </row>
    <row r="23" outlineLevel="2">
      <c r="A23" s="10" t="s">
        <v>38</v>
      </c>
      <c r="B23" s="0" t="s">
        <v>30</v>
      </c>
      <c r="C23" s="11">
        <f>IFERROR(6.13*(1-w),"")</f>
        <v>5.517</v>
      </c>
      <c r="D23" s="11">
        <v>6.13</v>
      </c>
      <c r="E23" s="11">
        <v>6.158328310227045</v>
      </c>
      <c r="F23" s="11"/>
      <c r="G23" s="11"/>
      <c r="I23" s="13"/>
      <c r="J23" s="0" t="s">
        <v>37</v>
      </c>
    </row>
    <row r="24" outlineLevel="2">
      <c r="A24" s="10" t="s">
        <v>39</v>
      </c>
      <c r="B24" s="0" t="s">
        <v>30</v>
      </c>
      <c r="C24" s="11">
        <f>IFERROR(42.58*(1-w),"")</f>
        <v>38.322</v>
      </c>
      <c r="D24" s="11">
        <v>42.58</v>
      </c>
      <c r="E24" s="11">
        <v>42.776773156519994</v>
      </c>
      <c r="F24" s="11"/>
      <c r="G24" s="11"/>
      <c r="I24" s="13"/>
      <c r="J24" s="0" t="s">
        <v>34</v>
      </c>
    </row>
    <row r="25" outlineLevel="2">
      <c r="A25" s="10" t="s">
        <v>40</v>
      </c>
      <c r="B25" s="0" t="s">
        <v>30</v>
      </c>
      <c r="C25" s="11">
        <f>IFERROR(0.39*(1-w),"")</f>
        <v>0.35100000000000003</v>
      </c>
      <c r="D25" s="11">
        <v>0.39</v>
      </c>
      <c r="E25" s="11">
        <v>0.39180229053646776</v>
      </c>
      <c r="F25" s="11"/>
      <c r="G25" s="11"/>
      <c r="I25" s="13"/>
      <c r="J25" s="0" t="s">
        <v>37</v>
      </c>
    </row>
    <row r="26" outlineLevel="2">
      <c r="A26" s="10" t="s">
        <v>41</v>
      </c>
      <c r="B26" s="0" t="s">
        <v>30</v>
      </c>
      <c r="C26" s="11">
        <f>IFERROR(0*(1-w),"")</f>
        <v>0</v>
      </c>
      <c r="D26" s="11">
        <v>0</v>
      </c>
      <c r="E26" s="11">
        <v>0</v>
      </c>
      <c r="F26" s="11"/>
      <c r="G26" s="11"/>
      <c r="I26" s="13"/>
      <c r="J26" s="0" t="s">
        <v>37</v>
      </c>
    </row>
    <row r="27" outlineLevel="2">
      <c r="A27" s="10" t="s">
        <v>42</v>
      </c>
      <c r="B27" s="0" t="s">
        <v>30</v>
      </c>
      <c r="C27" s="11">
        <f>IFERROR(100*(1-w)+w*100,"")</f>
        <v>100</v>
      </c>
      <c r="D27" s="11">
        <v>100</v>
      </c>
      <c r="E27" s="11">
        <v>100.00000000000001</v>
      </c>
      <c r="F27" s="11"/>
      <c r="G27" s="11"/>
      <c r="I27" s="13"/>
      <c r="J27" s="0" t="s">
        <v>34</v>
      </c>
    </row>
    <row r="28" outlineLevel="1">
      <c r="A28" s="9" t="s">
        <v>43</v>
      </c>
      <c r="I28" s="13"/>
    </row>
    <row r="29" outlineLevel="2">
      <c r="A29" s="10" t="s">
        <v>44</v>
      </c>
      <c r="B29" s="0" t="s">
        <v>45</v>
      </c>
      <c r="C29" s="12">
        <f>IFERROR(300*(1-w),"")</f>
        <v>270</v>
      </c>
      <c r="D29" s="12">
        <v>300</v>
      </c>
      <c r="E29" s="12">
        <v>301.38637733574444</v>
      </c>
      <c r="F29" s="12"/>
      <c r="G29" s="12"/>
      <c r="I29" s="13"/>
      <c r="J29" s="0" t="s">
        <v>37</v>
      </c>
    </row>
    <row r="30" outlineLevel="1">
      <c r="A30" s="9" t="s">
        <v>46</v>
      </c>
      <c r="I30" s="13"/>
    </row>
    <row r="31" outlineLevel="2">
      <c r="A31" s="10" t="s">
        <v>47</v>
      </c>
      <c r="B31" s="0" t="s">
        <v>48</v>
      </c>
      <c r="C31" s="11">
        <f>IFERROR(18.35806*(1-w)-w*2.443,"")</f>
        <v>16.277954</v>
      </c>
      <c r="D31" s="11">
        <v>18.35806</v>
      </c>
      <c r="E31" s="11">
        <v>18.442897327707453</v>
      </c>
      <c r="F31" s="11"/>
      <c r="G31" s="11"/>
      <c r="I31" s="13"/>
    </row>
    <row r="32" outlineLevel="2">
      <c r="A32" s="10" t="s">
        <v>49</v>
      </c>
      <c r="B32" s="0" t="s">
        <v>48</v>
      </c>
      <c r="C32" s="11">
        <f>IFERROR(19.69573*(1-w),"")</f>
        <v>17.726157</v>
      </c>
      <c r="D32" s="11">
        <v>19.69573</v>
      </c>
      <c r="E32" s="11">
        <v>19.786749045609806</v>
      </c>
      <c r="F32" s="11"/>
      <c r="G32" s="11"/>
      <c r="I32" s="13"/>
    </row>
    <row r="33" outlineLevel="2">
      <c r="A33" s="10" t="s">
        <v>50</v>
      </c>
      <c r="B33" s="0" t="s">
        <v>48</v>
      </c>
      <c r="C33" s="11">
        <f>IFERROR(20.1302643748*(1-w),"")</f>
        <v>18.117237937319995</v>
      </c>
      <c r="D33" s="11">
        <v>20.130264374799996</v>
      </c>
      <c r="E33" s="11">
        <v>20.223291515772551</v>
      </c>
      <c r="F33" s="11"/>
      <c r="G33" s="11"/>
      <c r="I33" s="13"/>
      <c r="J33" s="0" t="s">
        <v>34</v>
      </c>
    </row>
    <row r="34">
      <c r="I34" s="13"/>
    </row>
    <row r="35" s="1" customFormat="1"/>
  </sheetData>
  <mergeCells>
    <mergeCell ref="A7:A8"/>
    <mergeCell ref="C13:E13"/>
    <mergeCell ref="A13:A14"/>
    <mergeCell ref="B13:B14"/>
    <mergeCell ref="F13:F14"/>
    <mergeCell ref="G13:G14"/>
    <mergeCell ref="H13:H14"/>
    <mergeCell ref="I13:I14"/>
    <mergeCell ref="J13:J14"/>
    <mergeCell ref="K13:K14"/>
  </mergeCells>
  <dataValidations count="1">
    <dataValidation type="decimal" sqref="C17" errorStyle="stop" promptTitle="Enter moisture content" errorTitle="Invalid moisture content" prompt="Value should be between 0 and 100.&#10;Original value: 10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https://phyllis.nl/Biomass/View/69</dc:description>
  <dcterms:created xsi:type="dcterms:W3CDTF">2026-03-19T07:12:52Z</dcterms:created>
  <dc:title>Phyllis2 #69 wood, birch + maple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