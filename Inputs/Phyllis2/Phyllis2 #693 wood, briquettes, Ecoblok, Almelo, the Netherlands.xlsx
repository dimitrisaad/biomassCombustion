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93 wood, briquettes," sheetId="1" r:id="rId1"/>
  </sheets>
  <definedNames>
    <definedName name="w" localSheetId="0">IF(ISBLANK('Phyllis2 #693 wood, briquettes,'!$C$19),#N/A,'Phyllis2 #693 wood, briquettes,'!$C$19/100)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<sst xmlns="http://schemas.openxmlformats.org/spreadsheetml/2006/main" count="61" uniqueCount="61">
  <si>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</si>
  <si>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https://phyllis.nl/Biomass/View/693</t>
  </si>
  <si>
    <t>wood, briquettes, Ecoblok, Almelo, the Netherlands (#693)</t>
  </si>
  <si>
    <t>ID-number</t>
  </si>
  <si>
    <t>#693</t>
  </si>
  <si>
    <t>Material</t>
  </si>
  <si>
    <t>wood, briquettes, Ecoblok, Almelo, the Netherlands</t>
  </si>
  <si>
    <t>Classification</t>
  </si>
  <si>
    <t>ECN Phyllis classification &gt; untreated wood &gt; other hard wood &gt; wood, briquettes, Ecoblok, Almelo, the Netherlands</t>
  </si>
  <si>
    <t>NTA 8003 classification &gt; [100] hout &gt; [110] vers hout &gt; [120] loofhout &gt; [125] hard loofhout</t>
  </si>
  <si>
    <t>Ash type</t>
  </si>
  <si>
    <t>ISO 1171 (815 degC)</t>
  </si>
  <si>
    <t>Submitter organisation</t>
  </si>
  <si>
    <t>ECN (Netherlands)</t>
  </si>
  <si>
    <t>Remarks</t>
  </si>
  <si>
    <t>tested in ECN CFB gasifier (BIVKIN)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</si>
  <si>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</si>
  <si>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</si>
  <si>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</si>
  <si>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</si>
  <si>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</si>
  <si>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</si>
  <si>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</si>
  <si>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</si>
  <si>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</si>
  <si>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</si>
  <si>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</si>
  <si>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</si>
  <si>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</si>
  <si>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</si>
  <si>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</si>
  <si>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</si>
  <si>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</si>
  <si>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</si>
  <si>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</si>
  <si>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</si>
  <si>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</si>
  <si>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</si>
  <si>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</si>
  <si>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</si>
  <si>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</si>
  <si>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</si>
  <si>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</si>
  <si>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</si>
  <si>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</si>
  <si>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</si>
  <si>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</si>
  <si>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</si>
  <si>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</si>
  <si>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</si>
  <si>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</si>
  <si>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</si>
  <si>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</si>
  <si>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</si>
  <si>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</si>
  <si>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</si>
  <si>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</si>
  <si>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SiO2</t>
  </si>
  <si>
    <t>wt% (ash)</t>
  </si>
  <si>
    <t>Al2O3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</si>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</sst>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4.3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IFERROR(0.7*(1-w),"")</f>
        <v>0.66989999999999994</v>
      </c>
      <c r="D20" s="11">
        <v>0.7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IFERROR(78.3*(1-w),"")</f>
        <v>74.9331</v>
      </c>
      <c r="D21" s="11">
        <v>78.3</v>
      </c>
      <c r="E21" s="11">
        <v>78.851963746223561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IFERROR(21*(1-w),"")</f>
        <v>20.096999999999998</v>
      </c>
      <c r="D22" s="11">
        <v>21</v>
      </c>
      <c r="E22" s="11">
        <v>21.148036253776436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IFERROR(49.8*(1-w),"")</f>
        <v>47.658599999999993</v>
      </c>
      <c r="D24" s="11">
        <v>49.8</v>
      </c>
      <c r="E24" s="11">
        <v>50.151057401812686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IFERROR(4.9*(1-w),"")</f>
        <v>4.6893</v>
      </c>
      <c r="D25" s="11">
        <v>4.9</v>
      </c>
      <c r="E25" s="11">
        <v>4.9345417925478356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IFERROR(44.259*(1-w),"")</f>
        <v>42.355863</v>
      </c>
      <c r="D26" s="11">
        <v>44.259</v>
      </c>
      <c r="E26" s="11">
        <v>44.570996978851966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IFERROR(0.3*(1-w),"")</f>
        <v>0.28709999999999997</v>
      </c>
      <c r="D27" s="11">
        <v>0.3</v>
      </c>
      <c r="E27" s="11">
        <v>0.30211480362537763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IFERROR(0.012*(1-w),"")</f>
        <v>0.011484</v>
      </c>
      <c r="D28" s="11">
        <v>0.012</v>
      </c>
      <c r="E28" s="11">
        <v>0.012084592145015106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IFERROR(250*(1-w),"")</f>
        <v>239.25</v>
      </c>
      <c r="D31" s="12">
        <v>250</v>
      </c>
      <c r="E31" s="12">
        <v>251.76233635448136</v>
      </c>
      <c r="F31" s="12"/>
      <c r="G31" s="12"/>
      <c r="I31" s="13"/>
      <c r="J31" s="0" t="s">
        <v>40</v>
      </c>
    </row>
    <row r="32" outlineLevel="2">
      <c r="A32" s="10" t="s">
        <v>49</v>
      </c>
      <c r="B32" s="0" t="s">
        <v>48</v>
      </c>
      <c r="C32" s="12">
        <f>IFERROR(40*(1-w),"")</f>
        <v>38.28</v>
      </c>
      <c r="D32" s="12">
        <v>40</v>
      </c>
      <c r="E32" s="12">
        <v>40.28197381671702</v>
      </c>
      <c r="F32" s="12"/>
      <c r="G32" s="12"/>
      <c r="I32" s="13"/>
      <c r="J32" s="0" t="s">
        <v>40</v>
      </c>
    </row>
    <row r="33" outlineLevel="1">
      <c r="A33" s="9" t="s">
        <v>50</v>
      </c>
      <c r="I33" s="13"/>
    </row>
    <row r="34" outlineLevel="2">
      <c r="A34" s="10" t="s">
        <v>51</v>
      </c>
      <c r="B34" s="0" t="s">
        <v>52</v>
      </c>
      <c r="C34" s="11">
        <f>IFERROR(19.43074*(1-w)-w*2.443,"")</f>
        <v>18.49016918</v>
      </c>
      <c r="D34" s="11">
        <v>19.43074</v>
      </c>
      <c r="E34" s="11">
        <v>19.5677139979859</v>
      </c>
      <c r="F34" s="11"/>
      <c r="G34" s="11"/>
      <c r="I34" s="13"/>
    </row>
    <row r="35" outlineLevel="2">
      <c r="A35" s="10" t="s">
        <v>53</v>
      </c>
      <c r="B35" s="0" t="s">
        <v>52</v>
      </c>
      <c r="C35" s="11">
        <f>IFERROR(20.5*(1-w),"")</f>
        <v>19.6185</v>
      </c>
      <c r="D35" s="11">
        <v>20.5</v>
      </c>
      <c r="E35" s="11">
        <v>20.644511581067473</v>
      </c>
      <c r="F35" s="11"/>
      <c r="G35" s="11"/>
      <c r="I35" s="13"/>
    </row>
    <row r="36" outlineLevel="2">
      <c r="A36" s="10" t="s">
        <v>54</v>
      </c>
      <c r="B36" s="0" t="s">
        <v>52</v>
      </c>
      <c r="C36" s="11">
        <f>IFERROR(18.10270817*(1-w),"")</f>
        <v>17.32429171869</v>
      </c>
      <c r="D36" s="11">
        <v>18.10270817</v>
      </c>
      <c r="E36" s="11">
        <v>18.230320412890233</v>
      </c>
      <c r="F36" s="11"/>
      <c r="G36" s="11"/>
      <c r="I36" s="13"/>
      <c r="J36" s="0" t="s">
        <v>37</v>
      </c>
    </row>
    <row r="37">
      <c r="A37" s="5" t="s">
        <v>55</v>
      </c>
      <c r="I37" s="13"/>
    </row>
    <row r="38" outlineLevel="1">
      <c r="A38" s="9" t="s">
        <v>56</v>
      </c>
      <c r="I38" s="13"/>
    </row>
    <row r="39" outlineLevel="2">
      <c r="A39" s="10" t="s">
        <v>57</v>
      </c>
      <c r="B39" s="0" t="s">
        <v>58</v>
      </c>
      <c r="C39" s="11">
        <v>0.8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58</v>
      </c>
      <c r="C40" s="11">
        <v>5.97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58</v>
      </c>
      <c r="C41" s="11">
        <v>0.16</v>
      </c>
      <c r="D41" s="11"/>
      <c r="E41" s="11"/>
      <c r="F41" s="11"/>
      <c r="G41" s="11"/>
      <c r="I41" s="13"/>
    </row>
    <row r="42">
      <c r="I42" s="13"/>
    </row>
    <row r="4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9:E39"/>
    <mergeCell ref="C40:E40"/>
    <mergeCell ref="C41:E41"/>
  </mergeCells>
  <dataValidations count="1">
    <dataValidation type="decimal" sqref="C19" errorStyle="stop" promptTitle="Enter moisture content" errorTitle="Invalid moisture content" prompt="Value should be between 0 and 100.&#10;Original value: 4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https://phyllis.nl/Biomass/View/693</dc:description>
  <dcterms:created xsi:type="dcterms:W3CDTF">2026-03-19T07:13:05Z</dcterms:created>
  <dc:title>Phyllis2 #693 wood, briquettes, Ecoblok, Almelo,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