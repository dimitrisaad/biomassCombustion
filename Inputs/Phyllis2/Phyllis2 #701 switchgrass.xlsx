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701 switchgrass" sheetId="1" r:id="rId1"/>
  </sheets>
  <definedNames>
    <definedName name="w" localSheetId="0">IF(ISBLANK('Phyllis2 #701 switchgrass'!$C$17),#N/A,'Phyllis2 #701 switchgrass'!$C$17/100)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<sst xmlns="http://schemas.openxmlformats.org/spreadsheetml/2006/main" count="61" uniqueCount="61">
  <si>
    <t>Phyllis2</t>
  </si>
  <si>
    <t>https://phyllis.nl/Biomass/View/701</t>
  </si>
  <si>
    <t>switchgrass (#701)</t>
  </si>
  <si>
    <t>ID-number</t>
  </si>
  <si>
    <t>#701</t>
  </si>
  <si>
    <t>Material</t>
  </si>
  <si>
    <t>switchgrass</t>
  </si>
  <si>
    <t>Classification</t>
  </si>
  <si>
    <t>ECN Phyllis classification &gt; grass/plant &gt; switch grass &gt; switchgrass</t>
  </si>
  <si>
    <t>NTA 8003 classification &gt; [200] biomassa uit land- en tuinbouw &gt; [210] gras &gt; [219] overig gras</t>
  </si>
  <si>
    <t>Submitter organisation</t>
  </si>
  <si>
    <t>ECN (Netherlands)</t>
  </si>
  <si>
    <t>Literature</t>
  </si>
  <si>
    <t xml:space="preserve">http://rredc.nrel.gov:80/biomass/doe/nrel/comp/alki/appendix.html (1998).  Link obsolete. Instead, try http://www.nrel.gov/rredc/biomass_resource.html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</si>
  <si>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</si>
  <si>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</si>
  <si>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</si>
  <si>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</si>
  <si>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</si>
  <si>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</si>
  <si>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</si>
  <si>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</si>
  <si>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</si>
  <si>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</si>
  <si>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</si>
  <si>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</si>
  <si>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</si>
  <si>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</si>
  <si>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</si>
  <si>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</si>
  <si>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</si>
  <si>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</si>
  <si>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</si>
  <si>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</si>
  <si>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</si>
  <si>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</si>
  <si>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</si>
  <si>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</si>
  <si>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</si>
  <si>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</si>
  <si>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</si>
  <si>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</si>
  <si>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</si>
  <si>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</si>
  <si>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</si>
  <si>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</si>
  <si>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</si>
  <si>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</si>
  <si>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</si>
  <si>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</si>
  <si>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</si>
  <si>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</si>
  <si>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</si>
  <si>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P2O5</t>
  </si>
  <si>
    <t>wt% (ash)</t>
  </si>
  <si>
    <t>SiO2</t>
  </si>
  <si>
    <t>Al2O3</t>
  </si>
  <si>
    <t>CaO</t>
  </si>
  <si>
    <t>MgO</t>
  </si>
  <si>
    <t>Na2O</t>
  </si>
  <si>
    <t>K2O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</si>
</sst>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70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3"/>
    </row>
    <row r="16" outlineLevel="1">
      <c r="A16" s="9" t="s">
        <v>28</v>
      </c>
      <c r="I16" s="13"/>
    </row>
    <row r="17" outlineLevel="2">
      <c r="A17" s="10" t="s">
        <v>29</v>
      </c>
      <c r="B17" s="0" t="s">
        <v>30</v>
      </c>
      <c r="C17" s="11">
        <v>8.16</v>
      </c>
      <c r="D17" s="11"/>
      <c r="E17" s="11"/>
      <c r="F17" s="11"/>
      <c r="G17" s="11"/>
      <c r="I17" s="13"/>
    </row>
    <row r="18" outlineLevel="2">
      <c r="A18" s="10" t="s">
        <v>31</v>
      </c>
      <c r="B18" s="0" t="s">
        <v>30</v>
      </c>
      <c r="C18" s="11">
        <f>IFERROR(4.594948*(1-w),"")</f>
        <v>4.2200002431999994</v>
      </c>
      <c r="D18" s="11">
        <v>4.594948</v>
      </c>
      <c r="E18" s="11">
        <v/>
      </c>
      <c r="F18" s="11"/>
      <c r="G18" s="11"/>
      <c r="I18" s="13"/>
    </row>
    <row r="19" outlineLevel="2">
      <c r="A19" s="10" t="s">
        <v>32</v>
      </c>
      <c r="B19" s="0" t="s">
        <v>30</v>
      </c>
      <c r="C19" s="11">
        <f>IFERROR(79.19207*(1-w),"")</f>
        <v>72.729997088</v>
      </c>
      <c r="D19" s="11">
        <v>79.19207</v>
      </c>
      <c r="E19" s="11">
        <v>83.006159883440972</v>
      </c>
      <c r="F19" s="11"/>
      <c r="G19" s="11"/>
      <c r="I19" s="13"/>
    </row>
    <row r="20" outlineLevel="2">
      <c r="A20" s="10" t="s">
        <v>33</v>
      </c>
      <c r="B20" s="0" t="s">
        <v>30</v>
      </c>
      <c r="C20" s="11">
        <f>IFERROR(16.212982*(1-w),"")</f>
        <v>14.890002668799998</v>
      </c>
      <c r="D20" s="11">
        <v>16.212981999999997</v>
      </c>
      <c r="E20" s="11">
        <v>16.993840116559024</v>
      </c>
      <c r="F20" s="11"/>
      <c r="G20" s="11"/>
      <c r="I20" s="13"/>
      <c r="J20" s="0" t="s">
        <v>34</v>
      </c>
    </row>
    <row r="21" outlineLevel="1">
      <c r="A21" s="9" t="s">
        <v>35</v>
      </c>
      <c r="I21" s="13"/>
    </row>
    <row r="22" outlineLevel="2">
      <c r="A22" s="10" t="s">
        <v>36</v>
      </c>
      <c r="B22" s="0" t="s">
        <v>30</v>
      </c>
      <c r="C22" s="11">
        <f>IFERROR(46.86411*(1-w),"")</f>
        <v>43.039998624</v>
      </c>
      <c r="D22" s="11">
        <v>46.86411</v>
      </c>
      <c r="E22" s="11">
        <v>49.121203770215438</v>
      </c>
      <c r="F22" s="11"/>
      <c r="G22" s="11"/>
      <c r="I22" s="13"/>
      <c r="J22" s="0" t="s">
        <v>37</v>
      </c>
    </row>
    <row r="23" outlineLevel="2">
      <c r="A23" s="10" t="s">
        <v>38</v>
      </c>
      <c r="B23" s="0" t="s">
        <v>30</v>
      </c>
      <c r="C23" s="11">
        <f>IFERROR(5.847126*(1-w),"")</f>
        <v>5.3700005184</v>
      </c>
      <c r="D23" s="11">
        <v>5.847126</v>
      </c>
      <c r="E23" s="11">
        <v>6.1287383397684225</v>
      </c>
      <c r="F23" s="11"/>
      <c r="G23" s="11"/>
      <c r="I23" s="13"/>
      <c r="J23" s="0" t="s">
        <v>37</v>
      </c>
    </row>
    <row r="24" outlineLevel="2">
      <c r="A24" s="10" t="s">
        <v>39</v>
      </c>
      <c r="B24" s="0" t="s">
        <v>30</v>
      </c>
      <c r="C24" s="11">
        <f>IFERROR(41.50697*(1-w),"")</f>
        <v>38.120001248</v>
      </c>
      <c r="D24" s="11">
        <v>41.50697</v>
      </c>
      <c r="E24" s="11">
        <v>43.506050392383834</v>
      </c>
      <c r="F24" s="11"/>
      <c r="G24" s="11"/>
      <c r="I24" s="13"/>
      <c r="J24" s="0" t="s">
        <v>34</v>
      </c>
    </row>
    <row r="25" outlineLevel="2">
      <c r="A25" s="10" t="s">
        <v>40</v>
      </c>
      <c r="B25" s="0" t="s">
        <v>30</v>
      </c>
      <c r="C25" s="11">
        <f>IFERROR(0.5770906*(1-w),"")</f>
        <v>0.53000000704</v>
      </c>
      <c r="D25" s="11">
        <v>0.5770906</v>
      </c>
      <c r="E25" s="11">
        <v>0.60488473922743635</v>
      </c>
      <c r="F25" s="11"/>
      <c r="G25" s="11"/>
      <c r="I25" s="13"/>
      <c r="J25" s="0" t="s">
        <v>37</v>
      </c>
    </row>
    <row r="26" outlineLevel="2">
      <c r="A26" s="10" t="s">
        <v>41</v>
      </c>
      <c r="B26" s="0" t="s">
        <v>30</v>
      </c>
      <c r="C26" s="11">
        <f>IFERROR(0.108885*(1-w),"")</f>
        <v>0.099999984</v>
      </c>
      <c r="D26" s="11">
        <v>0.108885</v>
      </c>
      <c r="E26" s="11">
        <v>0.11412917630399698</v>
      </c>
      <c r="F26" s="11"/>
      <c r="G26" s="11"/>
      <c r="I26" s="13"/>
      <c r="J26" s="0" t="s">
        <v>37</v>
      </c>
    </row>
    <row r="27" outlineLevel="2">
      <c r="A27" s="10" t="s">
        <v>42</v>
      </c>
      <c r="B27" s="0" t="s">
        <v>30</v>
      </c>
      <c r="C27" s="11">
        <f>IFERROR(100.0000007*(1-w)+w*100,"")</f>
        <v>100.00000064288001</v>
      </c>
      <c r="D27" s="11">
        <v>100.00000070000002</v>
      </c>
      <c r="E27" s="11">
        <v>100.00000073371378</v>
      </c>
      <c r="F27" s="11"/>
      <c r="G27" s="11"/>
      <c r="I27" s="13"/>
      <c r="J27" s="0" t="s">
        <v>34</v>
      </c>
    </row>
    <row r="28" outlineLevel="1">
      <c r="A28" s="9" t="s">
        <v>43</v>
      </c>
      <c r="I28" s="13"/>
    </row>
    <row r="29" outlineLevel="2">
      <c r="A29" s="10" t="s">
        <v>44</v>
      </c>
      <c r="B29" s="0" t="s">
        <v>45</v>
      </c>
      <c r="C29" s="12">
        <f>IFERROR(5008.711*(1-w),"")</f>
        <v>4600.0001824</v>
      </c>
      <c r="D29" s="12">
        <v>5008.711</v>
      </c>
      <c r="E29" s="12">
        <v>5249.9431581463841</v>
      </c>
      <c r="F29" s="12"/>
      <c r="G29" s="12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1">
        <f>IFERROR(17.35997*(1-w)-w*2.443,"")</f>
        <v>15.744047648</v>
      </c>
      <c r="D31" s="11">
        <v>17.35997</v>
      </c>
      <c r="E31" s="11">
        <v>18.196069952354307</v>
      </c>
      <c r="F31" s="11"/>
      <c r="G31" s="11"/>
      <c r="I31" s="13"/>
    </row>
    <row r="32" outlineLevel="2">
      <c r="A32" s="10" t="s">
        <v>49</v>
      </c>
      <c r="B32" s="0" t="s">
        <v>48</v>
      </c>
      <c r="C32" s="11">
        <f>IFERROR(18.63591*(1-w),"")</f>
        <v>17.115219743999997</v>
      </c>
      <c r="D32" s="11">
        <v>18.63591</v>
      </c>
      <c r="E32" s="11">
        <v>19.53346244180025</v>
      </c>
      <c r="F32" s="11"/>
      <c r="G32" s="11"/>
      <c r="I32" s="13"/>
    </row>
    <row r="33" outlineLevel="2">
      <c r="A33" s="10" t="s">
        <v>50</v>
      </c>
      <c r="B33" s="0" t="s">
        <v>48</v>
      </c>
      <c r="C33" s="11">
        <f>IFERROR(18.6008719893098*(1-w),"")</f>
        <v>17.083040834982096</v>
      </c>
      <c r="D33" s="11">
        <v>18.600871989309773</v>
      </c>
      <c r="E33" s="11">
        <v>19.496736912118422</v>
      </c>
      <c r="F33" s="11"/>
      <c r="G33" s="11"/>
      <c r="I33" s="13"/>
      <c r="J33" s="0" t="s">
        <v>34</v>
      </c>
    </row>
    <row r="34">
      <c r="A34" s="5" t="s">
        <v>51</v>
      </c>
      <c r="I34" s="13"/>
    </row>
    <row r="35" outlineLevel="1">
      <c r="A35" s="9" t="s">
        <v>52</v>
      </c>
      <c r="I35" s="13"/>
    </row>
    <row r="36" outlineLevel="2">
      <c r="A36" s="10" t="s">
        <v>53</v>
      </c>
      <c r="B36" s="0" t="s">
        <v>54</v>
      </c>
      <c r="C36" s="11">
        <v>15.4181</v>
      </c>
      <c r="D36" s="11"/>
      <c r="E36" s="11"/>
      <c r="F36" s="11"/>
      <c r="G36" s="11"/>
      <c r="I36" s="13"/>
    </row>
    <row r="37" outlineLevel="2">
      <c r="A37" s="10" t="s">
        <v>55</v>
      </c>
      <c r="B37" s="0" t="s">
        <v>54</v>
      </c>
      <c r="C37" s="11">
        <v>47.64597</v>
      </c>
      <c r="D37" s="11"/>
      <c r="E37" s="11"/>
      <c r="F37" s="11"/>
      <c r="G37" s="11"/>
      <c r="I37" s="13"/>
    </row>
    <row r="38" outlineLevel="2">
      <c r="A38" s="10" t="s">
        <v>56</v>
      </c>
      <c r="B38" s="0" t="s">
        <v>54</v>
      </c>
      <c r="C38" s="11">
        <v>1.342891</v>
      </c>
      <c r="D38" s="11"/>
      <c r="E38" s="11"/>
      <c r="F38" s="11"/>
      <c r="G38" s="11"/>
      <c r="I38" s="13"/>
    </row>
    <row r="39" outlineLevel="2">
      <c r="A39" s="10" t="s">
        <v>57</v>
      </c>
      <c r="B39" s="0" t="s">
        <v>54</v>
      </c>
      <c r="C39" s="11">
        <v>7.39282</v>
      </c>
      <c r="D39" s="11"/>
      <c r="E39" s="11"/>
      <c r="F39" s="11"/>
      <c r="G39" s="11"/>
      <c r="I39" s="13"/>
    </row>
    <row r="40" outlineLevel="2">
      <c r="A40" s="10" t="s">
        <v>58</v>
      </c>
      <c r="B40" s="0" t="s">
        <v>54</v>
      </c>
      <c r="C40" s="11">
        <v>4.596825</v>
      </c>
      <c r="D40" s="11"/>
      <c r="E40" s="11"/>
      <c r="F40" s="11"/>
      <c r="G40" s="11"/>
      <c r="I40" s="13"/>
    </row>
    <row r="41" outlineLevel="2">
      <c r="A41" s="10" t="s">
        <v>59</v>
      </c>
      <c r="B41" s="0" t="s">
        <v>54</v>
      </c>
      <c r="C41" s="11">
        <v>0.1983886</v>
      </c>
      <c r="D41" s="11"/>
      <c r="E41" s="11"/>
      <c r="F41" s="11"/>
      <c r="G41" s="11"/>
      <c r="I41" s="13"/>
    </row>
    <row r="42" outlineLevel="2">
      <c r="A42" s="10" t="s">
        <v>60</v>
      </c>
      <c r="B42" s="0" t="s">
        <v>54</v>
      </c>
      <c r="C42" s="11">
        <v>21.30334</v>
      </c>
      <c r="D42" s="11"/>
      <c r="E42" s="11"/>
      <c r="F42" s="11"/>
      <c r="G42" s="11"/>
      <c r="I42" s="13"/>
    </row>
    <row r="43">
      <c r="I43" s="13"/>
    </row>
    <row r="44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  <mergeCell ref="C36:E36"/>
    <mergeCell ref="C37:E37"/>
    <mergeCell ref="C38:E38"/>
    <mergeCell ref="C39:E39"/>
    <mergeCell ref="C40:E40"/>
    <mergeCell ref="C41:E41"/>
    <mergeCell ref="C42:E42"/>
  </mergeCells>
  <dataValidations count="1">
    <dataValidation type="decimal" sqref="C17" errorStyle="stop" promptTitle="Enter moisture content" errorTitle="Invalid moisture content" prompt="Value should be between 0 and 100.&#10;Original value: 8.16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https://phyllis.nl/Biomass/View/701</dc:description>
  <dcterms:created xsi:type="dcterms:W3CDTF">2026-03-04T04:39:16Z</dcterms:created>
  <dc:title>Phyllis2 #701 switchgrass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