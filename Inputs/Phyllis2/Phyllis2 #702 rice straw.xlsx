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702 rice straw" sheetId="1" r:id="rId1"/>
  </sheets>
  <definedNames>
    <definedName name="w" localSheetId="0">IF(ISBLANK('Phyllis2 #702 rice straw'!$C$17),#N/A,'Phyllis2 #702 rice straw'!$C$17/100)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<sst xmlns="http://schemas.openxmlformats.org/spreadsheetml/2006/main" count="62" uniqueCount="62">
  <si>
    <t>Phyllis2</t>
  </si>
  <si>
    <t>https://phyllis.nl/Biomass/View/702</t>
  </si>
  <si>
    <t>rice straw (#702)</t>
  </si>
  <si>
    <t>ID-number</t>
  </si>
  <si>
    <t>#702</t>
  </si>
  <si>
    <t>Material</t>
  </si>
  <si>
    <t>rice straw</t>
  </si>
  <si>
    <t>Classification</t>
  </si>
  <si>
    <t>ECN Phyllis classification &gt; straw (stalk/cob/ear) &gt; rice &gt; rice straw</t>
  </si>
  <si>
    <t>NTA 8003 classification &gt; [200] biomassa uit land- en tuinbouw &gt; [220] stro &gt; [224] rijsthalm</t>
  </si>
  <si>
    <t>Submitter organisation</t>
  </si>
  <si>
    <t>ECN (Netherlands)</t>
  </si>
  <si>
    <t>Literature</t>
  </si>
  <si>
    <t xml:space="preserve">http://rredc.nrel.gov:80/biomass/doe/nrel/comp/alki/appendix.html (1998).  Link obsolete. Instead, try http://www.nrel.gov/rredc/biomass_resource.html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</si>
  <si>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</si>
  <si>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</si>
  <si>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</si>
  <si>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</si>
  <si>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</si>
  <si>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</si>
  <si>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</si>
  <si>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</si>
  <si>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</si>
  <si>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</si>
  <si>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</si>
  <si>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</si>
  <si>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</si>
  <si>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</si>
  <si>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</si>
  <si>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</si>
  <si>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</si>
  <si>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</si>
  <si>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</si>
  <si>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</si>
  <si>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</si>
  <si>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</si>
  <si>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</si>
  <si>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</si>
  <si>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</si>
  <si>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</si>
  <si>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</si>
  <si>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</si>
  <si>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</si>
  <si>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</si>
  <si>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</si>
  <si>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</si>
  <si>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</si>
  <si>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</si>
  <si>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</si>
  <si>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</si>
  <si>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</si>
  <si>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Ash Properties</t>
  </si>
  <si>
    <t>Ash composition</t>
  </si>
  <si>
    <t>P2O5</t>
  </si>
  <si>
    <t>wt% (ash)</t>
  </si>
  <si>
    <t>SiO2</t>
  </si>
  <si>
    <t>Fe2O3</t>
  </si>
  <si>
    <t>Al2O3</t>
  </si>
  <si>
    <t>CaO</t>
  </si>
  <si>
    <t>MgO</t>
  </si>
  <si>
    <t>Na2O</t>
  </si>
  <si>
    <t>K2O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</si>
</sst>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702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3"/>
    </row>
    <row r="16" outlineLevel="1">
      <c r="A16" s="9" t="s">
        <v>28</v>
      </c>
      <c r="I16" s="13"/>
    </row>
    <row r="17" outlineLevel="2">
      <c r="A17" s="10" t="s">
        <v>29</v>
      </c>
      <c r="B17" s="0" t="s">
        <v>30</v>
      </c>
      <c r="C17" s="11">
        <v>11.73</v>
      </c>
      <c r="D17" s="11"/>
      <c r="E17" s="11"/>
      <c r="F17" s="11"/>
      <c r="G17" s="11"/>
      <c r="I17" s="13"/>
    </row>
    <row r="18" outlineLevel="2">
      <c r="A18" s="10" t="s">
        <v>31</v>
      </c>
      <c r="B18" s="0" t="s">
        <v>30</v>
      </c>
      <c r="C18" s="11">
        <f>IFERROR(20.15407*(1-w),"")</f>
        <v>17.789997589000002</v>
      </c>
      <c r="D18" s="11">
        <v>20.15407</v>
      </c>
      <c r="E18" s="11">
        <v/>
      </c>
      <c r="F18" s="11"/>
      <c r="G18" s="11"/>
      <c r="I18" s="13"/>
    </row>
    <row r="19" outlineLevel="2">
      <c r="A19" s="10" t="s">
        <v>32</v>
      </c>
      <c r="B19" s="0" t="s">
        <v>30</v>
      </c>
      <c r="C19" s="11">
        <f>IFERROR(65.61686*(1-w),"")</f>
        <v>57.920002322</v>
      </c>
      <c r="D19" s="11">
        <v>65.61686</v>
      </c>
      <c r="E19" s="11">
        <v>82.179342140544932</v>
      </c>
      <c r="F19" s="11"/>
      <c r="G19" s="11"/>
      <c r="I19" s="13"/>
    </row>
    <row r="20" outlineLevel="2">
      <c r="A20" s="10" t="s">
        <v>33</v>
      </c>
      <c r="B20" s="0" t="s">
        <v>30</v>
      </c>
      <c r="C20" s="11">
        <f>IFERROR(14.22907*(1-w),"")</f>
        <v>12.560000088999994</v>
      </c>
      <c r="D20" s="11">
        <v>14.229069999999993</v>
      </c>
      <c r="E20" s="11">
        <v>17.820657859455071</v>
      </c>
      <c r="F20" s="11"/>
      <c r="G20" s="11"/>
      <c r="I20" s="13"/>
      <c r="J20" s="0" t="s">
        <v>34</v>
      </c>
    </row>
    <row r="21" outlineLevel="1">
      <c r="A21" s="9" t="s">
        <v>35</v>
      </c>
      <c r="I21" s="13"/>
    </row>
    <row r="22" outlineLevel="2">
      <c r="A22" s="10" t="s">
        <v>36</v>
      </c>
      <c r="B22" s="0" t="s">
        <v>30</v>
      </c>
      <c r="C22" s="11">
        <f>IFERROR(39.24323*(1-w),"")</f>
        <v>34.639999120999995</v>
      </c>
      <c r="D22" s="11">
        <v>39.24323</v>
      </c>
      <c r="E22" s="11">
        <v>49.14869173669841</v>
      </c>
      <c r="F22" s="11"/>
      <c r="G22" s="11"/>
      <c r="I22" s="13"/>
      <c r="J22" s="0" t="s">
        <v>37</v>
      </c>
    </row>
    <row r="23" outlineLevel="2">
      <c r="A23" s="10" t="s">
        <v>38</v>
      </c>
      <c r="B23" s="0" t="s">
        <v>30</v>
      </c>
      <c r="C23" s="11">
        <f>IFERROR(4.973377*(1-w),"")</f>
        <v>4.3899998779</v>
      </c>
      <c r="D23" s="11">
        <v>4.973377</v>
      </c>
      <c r="E23" s="11">
        <v>6.2287169803144637</v>
      </c>
      <c r="F23" s="11"/>
      <c r="G23" s="11"/>
      <c r="I23" s="13"/>
      <c r="J23" s="0" t="s">
        <v>37</v>
      </c>
    </row>
    <row r="24" outlineLevel="2">
      <c r="A24" s="10" t="s">
        <v>39</v>
      </c>
      <c r="B24" s="0" t="s">
        <v>30</v>
      </c>
      <c r="C24" s="11">
        <f>IFERROR(33.63544*(1-w),"")</f>
        <v>29.690002888000002</v>
      </c>
      <c r="D24" s="11">
        <v>33.63544</v>
      </c>
      <c r="E24" s="11">
        <v>42.125428309245073</v>
      </c>
      <c r="F24" s="11"/>
      <c r="G24" s="11"/>
      <c r="I24" s="13"/>
      <c r="J24" s="0" t="s">
        <v>34</v>
      </c>
    </row>
    <row r="25" outlineLevel="2">
      <c r="A25" s="10" t="s">
        <v>40</v>
      </c>
      <c r="B25" s="0" t="s">
        <v>30</v>
      </c>
      <c r="C25" s="11">
        <f>IFERROR(1.268834*(1-w),"")</f>
        <v>1.1199997718</v>
      </c>
      <c r="D25" s="11">
        <v>1.268834</v>
      </c>
      <c r="E25" s="11">
        <v>1.5891029135736787</v>
      </c>
      <c r="F25" s="11"/>
      <c r="G25" s="11"/>
      <c r="I25" s="13"/>
      <c r="J25" s="0" t="s">
        <v>37</v>
      </c>
    </row>
    <row r="26" outlineLevel="2">
      <c r="A26" s="10" t="s">
        <v>41</v>
      </c>
      <c r="B26" s="0" t="s">
        <v>30</v>
      </c>
      <c r="C26" s="11">
        <f>IFERROR(0.1019599*(1-w),"")</f>
        <v>0.090000003730000014</v>
      </c>
      <c r="D26" s="11">
        <v>0.1019599</v>
      </c>
      <c r="E26" s="11">
        <v>0.12769580115104176</v>
      </c>
      <c r="F26" s="11"/>
      <c r="G26" s="11"/>
      <c r="I26" s="13"/>
      <c r="J26" s="0" t="s">
        <v>37</v>
      </c>
    </row>
    <row r="27" outlineLevel="2">
      <c r="A27" s="10" t="s">
        <v>42</v>
      </c>
      <c r="B27" s="0" t="s">
        <v>30</v>
      </c>
      <c r="C27" s="11">
        <f>IFERROR(99.9999991*(1-w)+w*100,"")</f>
        <v>99.99999920557</v>
      </c>
      <c r="D27" s="11">
        <v>99.9999991</v>
      </c>
      <c r="E27" s="11">
        <v>99.9999988728292</v>
      </c>
      <c r="F27" s="11"/>
      <c r="G27" s="11"/>
      <c r="I27" s="13"/>
      <c r="J27" s="0" t="s">
        <v>34</v>
      </c>
    </row>
    <row r="28" outlineLevel="1">
      <c r="A28" s="9" t="s">
        <v>43</v>
      </c>
      <c r="I28" s="13"/>
    </row>
    <row r="29" outlineLevel="2">
      <c r="A29" s="10" t="s">
        <v>44</v>
      </c>
      <c r="B29" s="0" t="s">
        <v>45</v>
      </c>
      <c r="C29" s="12">
        <f>IFERROR(6230.882*(1-w),"")</f>
        <v>5499.9995413999995</v>
      </c>
      <c r="D29" s="12">
        <v>6230.882</v>
      </c>
      <c r="E29" s="12">
        <v>7803.6313184654491</v>
      </c>
      <c r="F29" s="12"/>
      <c r="G29" s="12"/>
      <c r="I29" s="13"/>
      <c r="J29" s="0" t="s">
        <v>37</v>
      </c>
    </row>
    <row r="30" outlineLevel="1">
      <c r="A30" s="9" t="s">
        <v>46</v>
      </c>
      <c r="I30" s="13"/>
    </row>
    <row r="31" outlineLevel="2">
      <c r="A31" s="10" t="s">
        <v>47</v>
      </c>
      <c r="B31" s="0" t="s">
        <v>48</v>
      </c>
      <c r="C31" s="11">
        <f>IFERROR(13.65923*(1-w)-w*2.443,"")</f>
        <v>11.770438421</v>
      </c>
      <c r="D31" s="11">
        <v>13.65923</v>
      </c>
      <c r="E31" s="11">
        <v>17.106983411677966</v>
      </c>
      <c r="F31" s="11"/>
      <c r="G31" s="11"/>
      <c r="I31" s="13"/>
    </row>
    <row r="32" outlineLevel="2">
      <c r="A32" s="10" t="s">
        <v>49</v>
      </c>
      <c r="B32" s="0" t="s">
        <v>48</v>
      </c>
      <c r="C32" s="11">
        <f>IFERROR(14.74451*(1-w),"")</f>
        <v>13.014978977</v>
      </c>
      <c r="D32" s="11">
        <v>14.74451</v>
      </c>
      <c r="E32" s="11">
        <v>18.4662010950339</v>
      </c>
      <c r="F32" s="11"/>
      <c r="G32" s="11"/>
      <c r="I32" s="13"/>
    </row>
    <row r="33" outlineLevel="2">
      <c r="A33" s="10" t="s">
        <v>50</v>
      </c>
      <c r="B33" s="0" t="s">
        <v>48</v>
      </c>
      <c r="C33" s="11">
        <f>IFERROR(15.5290166623874*(1-w),"")</f>
        <v>13.707463007889388</v>
      </c>
      <c r="D33" s="11">
        <v>15.529016662387432</v>
      </c>
      <c r="E33" s="11">
        <v>19.448726644410595</v>
      </c>
      <c r="F33" s="11"/>
      <c r="G33" s="11"/>
      <c r="I33" s="13"/>
      <c r="J33" s="0" t="s">
        <v>34</v>
      </c>
    </row>
    <row r="34">
      <c r="A34" s="5" t="s">
        <v>51</v>
      </c>
      <c r="I34" s="13"/>
    </row>
    <row r="35" outlineLevel="1">
      <c r="A35" s="9" t="s">
        <v>52</v>
      </c>
      <c r="I35" s="13"/>
    </row>
    <row r="36" outlineLevel="2">
      <c r="A36" s="10" t="s">
        <v>53</v>
      </c>
      <c r="B36" s="0" t="s">
        <v>54</v>
      </c>
      <c r="C36" s="11">
        <v>1.674143</v>
      </c>
      <c r="D36" s="11"/>
      <c r="E36" s="11"/>
      <c r="F36" s="11"/>
      <c r="G36" s="11"/>
      <c r="I36" s="13"/>
    </row>
    <row r="37" outlineLevel="2">
      <c r="A37" s="10" t="s">
        <v>55</v>
      </c>
      <c r="B37" s="0" t="s">
        <v>54</v>
      </c>
      <c r="C37" s="11">
        <v>80.67842</v>
      </c>
      <c r="D37" s="11"/>
      <c r="E37" s="11"/>
      <c r="F37" s="11"/>
      <c r="G37" s="11"/>
      <c r="I37" s="13"/>
    </row>
    <row r="38" outlineLevel="2">
      <c r="A38" s="10" t="s">
        <v>56</v>
      </c>
      <c r="B38" s="0" t="s">
        <v>54</v>
      </c>
      <c r="C38" s="11">
        <v>0.8842047</v>
      </c>
      <c r="D38" s="11"/>
      <c r="E38" s="11"/>
      <c r="F38" s="11"/>
      <c r="G38" s="11"/>
      <c r="I38" s="13"/>
    </row>
    <row r="39" outlineLevel="2">
      <c r="A39" s="10" t="s">
        <v>57</v>
      </c>
      <c r="B39" s="0" t="s">
        <v>54</v>
      </c>
      <c r="C39" s="11">
        <v>1.486566</v>
      </c>
      <c r="D39" s="11"/>
      <c r="E39" s="11"/>
      <c r="F39" s="11"/>
      <c r="G39" s="11"/>
      <c r="I39" s="13"/>
    </row>
    <row r="40" outlineLevel="2">
      <c r="A40" s="10" t="s">
        <v>58</v>
      </c>
      <c r="B40" s="0" t="s">
        <v>54</v>
      </c>
      <c r="C40" s="11">
        <v>1.965992</v>
      </c>
      <c r="D40" s="11"/>
      <c r="E40" s="11"/>
      <c r="F40" s="11"/>
      <c r="G40" s="11"/>
      <c r="I40" s="13"/>
    </row>
    <row r="41" outlineLevel="2">
      <c r="A41" s="10" t="s">
        <v>59</v>
      </c>
      <c r="B41" s="0" t="s">
        <v>54</v>
      </c>
      <c r="C41" s="11">
        <v>2.050365</v>
      </c>
      <c r="D41" s="11"/>
      <c r="E41" s="11"/>
      <c r="F41" s="11"/>
      <c r="G41" s="11"/>
      <c r="I41" s="13"/>
    </row>
    <row r="42" outlineLevel="2">
      <c r="A42" s="10" t="s">
        <v>60</v>
      </c>
      <c r="B42" s="0" t="s">
        <v>54</v>
      </c>
      <c r="C42" s="11">
        <v>0.7395166</v>
      </c>
      <c r="D42" s="11"/>
      <c r="E42" s="11"/>
      <c r="F42" s="11"/>
      <c r="G42" s="11"/>
      <c r="I42" s="13"/>
    </row>
    <row r="43" outlineLevel="2">
      <c r="A43" s="10" t="s">
        <v>61</v>
      </c>
      <c r="B43" s="0" t="s">
        <v>54</v>
      </c>
      <c r="C43" s="11">
        <v>5.722766</v>
      </c>
      <c r="D43" s="11"/>
      <c r="E43" s="11"/>
      <c r="F43" s="11"/>
      <c r="G43" s="11"/>
      <c r="I43" s="13"/>
    </row>
    <row r="44">
      <c r="I44" s="13"/>
    </row>
    <row r="45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  <mergeCell ref="C36:E36"/>
    <mergeCell ref="C37:E37"/>
    <mergeCell ref="C38:E38"/>
    <mergeCell ref="C39:E39"/>
    <mergeCell ref="C40:E40"/>
    <mergeCell ref="C41:E41"/>
    <mergeCell ref="C42:E42"/>
    <mergeCell ref="C43:E43"/>
  </mergeCells>
  <dataValidations count="1">
    <dataValidation type="decimal" sqref="C17" errorStyle="stop" promptTitle="Enter moisture content" errorTitle="Invalid moisture content" prompt="Value should be between 0 and 100.&#10;Original value: 11.73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https://phyllis.nl/Biomass/View/702</dc:description>
  <dcterms:created xsi:type="dcterms:W3CDTF">2026-03-17T06:09:39Z</dcterms:created>
  <dc:title>Phyllis2 #702 rice straw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