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03 wheat straw" sheetId="1" r:id="rId1"/>
  </sheets>
  <definedNames>
    <definedName name="w" localSheetId="0">IF(ISBLANK('Phyllis2 #703 wheat straw'!$C$17),#N/A,'Phyllis2 #703 wheat straw'!$C$17/100)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<sst xmlns="http://schemas.openxmlformats.org/spreadsheetml/2006/main" count="62" uniqueCount="62">
  <si>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</si>
  <si>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https://phyllis.nl/Biomass/View/703</t>
  </si>
  <si>
    <t>wheat straw (#703)</t>
  </si>
  <si>
    <t>ID-number</t>
  </si>
  <si>
    <t>#703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</si>
  <si>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</si>
  <si>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</si>
  <si>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</si>
  <si>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</si>
  <si>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</si>
  <si>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Submitter organisation</t>
  </si>
  <si>
    <t>ECN (Netherlands)</t>
  </si>
  <si>
    <t>Literature</t>
  </si>
  <si>
    <t xml:space="preserve">http://rredc.nrel.gov:80/biomass/doe/nrel/comp/alki/appendix.html (1998).  Link obsolete. Instead, try http://www.nrel.gov/rredc/biomass_resource.html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</si>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</sst>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0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9.19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IFERROR(8.236979*(1-w),"")</f>
        <v>7.4800006299</v>
      </c>
      <c r="D18" s="11">
        <v>8.236979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IFERROR(75.54234*(1-w),"")</f>
        <v>68.599998954</v>
      </c>
      <c r="D19" s="11">
        <v>75.54234</v>
      </c>
      <c r="E19" s="11">
        <v>82.323292298757252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IFERROR(16.220681*(1-w),"")</f>
        <v>14.7300004161</v>
      </c>
      <c r="D20" s="11">
        <v>16.220681</v>
      </c>
      <c r="E20" s="11">
        <v>17.676707701242748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IFERROR(45.01707*(1-w),"")</f>
        <v>40.880001267</v>
      </c>
      <c r="D22" s="11">
        <v>45.01707</v>
      </c>
      <c r="E22" s="11">
        <v>49.057964209787727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IFERROR(5.66017*(1-w),"")</f>
        <v>5.140000377</v>
      </c>
      <c r="D23" s="11">
        <v>5.66017</v>
      </c>
      <c r="E23" s="11">
        <v>6.168247228913704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IFERROR(39.72029*(1-w),"")</f>
        <v>36.069995349</v>
      </c>
      <c r="D24" s="11">
        <v>39.72029</v>
      </c>
      <c r="E24" s="11">
        <v>43.285726175035144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IFERROR(0.9139963*(1-w),"")</f>
        <v>0.83000004003</v>
      </c>
      <c r="D25" s="11">
        <v>0.9139963</v>
      </c>
      <c r="E25" s="11">
        <v>0.99603989716075281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IFERROR(0.187204*(1-w),"")</f>
        <v>0.16999995240000002</v>
      </c>
      <c r="D26" s="11">
        <v>0.187204</v>
      </c>
      <c r="E26" s="11">
        <v>0.20400810474624631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IFERROR(99.9999974*(1-w)+w*100,"")</f>
        <v>99.999997638939988</v>
      </c>
      <c r="D27" s="11">
        <v>99.999997399999984</v>
      </c>
      <c r="E27" s="11">
        <v>99.999997166614619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IFERROR(2642.881*(1-w),"")</f>
        <v>2400.0002360999997</v>
      </c>
      <c r="D29" s="12">
        <v>2642.881</v>
      </c>
      <c r="E29" s="12">
        <v>2880.1155097106052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IFERROR(16.44012*(1-w)-w*2.443,"")</f>
        <v>14.704761271999999</v>
      </c>
      <c r="D31" s="11">
        <v>16.44012</v>
      </c>
      <c r="E31" s="11">
        <v>17.915844335595708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IFERROR(17.67527*(1-w),"")</f>
        <v>16.050912687</v>
      </c>
      <c r="D32" s="11">
        <v>17.67527</v>
      </c>
      <c r="E32" s="11">
        <v>19.261865844630378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IFERROR(17.8546483866261*(1-w),"")</f>
        <v>16.213806199895167</v>
      </c>
      <c r="D33" s="11">
        <v>17.854648386626106</v>
      </c>
      <c r="E33" s="11">
        <v>19.457345880783617</v>
      </c>
      <c r="F33" s="11"/>
      <c r="G33" s="11"/>
      <c r="I33" s="13"/>
      <c r="J33" s="0" t="s">
        <v>34</v>
      </c>
    </row>
    <row r="34">
      <c r="A34" s="5" t="s">
        <v>51</v>
      </c>
      <c r="I34" s="13"/>
    </row>
    <row r="35" outlineLevel="1">
      <c r="A35" s="9" t="s">
        <v>52</v>
      </c>
      <c r="I35" s="13"/>
    </row>
    <row r="36" outlineLevel="2">
      <c r="A36" s="10" t="s">
        <v>53</v>
      </c>
      <c r="B36" s="0" t="s">
        <v>54</v>
      </c>
      <c r="C36" s="11">
        <v>1.347647</v>
      </c>
      <c r="D36" s="11"/>
      <c r="E36" s="11"/>
      <c r="F36" s="11"/>
      <c r="G36" s="11"/>
      <c r="I36" s="13"/>
    </row>
    <row r="37" outlineLevel="2">
      <c r="A37" s="10" t="s">
        <v>55</v>
      </c>
      <c r="B37" s="0" t="s">
        <v>54</v>
      </c>
      <c r="C37" s="11">
        <v>65.48543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54</v>
      </c>
      <c r="C38" s="11">
        <v>1.032353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54</v>
      </c>
      <c r="C39" s="11">
        <v>1.944559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54</v>
      </c>
      <c r="C40" s="11">
        <v>2.786778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54</v>
      </c>
      <c r="C41" s="11">
        <v>2.615561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54</v>
      </c>
      <c r="C42" s="11">
        <v>1.854759</v>
      </c>
      <c r="D42" s="11"/>
      <c r="E42" s="11"/>
      <c r="F42" s="11"/>
      <c r="G42" s="11"/>
      <c r="I42" s="13"/>
    </row>
    <row r="43" outlineLevel="2">
      <c r="A43" s="10" t="s">
        <v>61</v>
      </c>
      <c r="B43" s="0" t="s">
        <v>54</v>
      </c>
      <c r="C43" s="11">
        <v>11.39896</v>
      </c>
      <c r="D43" s="11"/>
      <c r="E43" s="11"/>
      <c r="F43" s="11"/>
      <c r="G43" s="11"/>
      <c r="I43" s="13"/>
    </row>
    <row r="44">
      <c r="I44" s="13"/>
    </row>
    <row r="4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7" errorStyle="stop" promptTitle="Enter moisture content" errorTitle="Invalid moisture content" prompt="Value should be between 0 and 100.&#10;Original value: 9.1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https://phyllis.nl/Biomass/View/703</dc:description>
  <dcterms:created xsi:type="dcterms:W3CDTF">2026-03-17T06:15:20Z</dcterms:created>
  <dc:title>Phyllis2 #703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