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04 corn stover" sheetId="1" r:id="rId1"/>
  </sheets>
  <definedNames>
    <definedName name="w" localSheetId="0">IF(ISBLANK('Phyllis2 #704 corn stover'!$C$17),#N/A,'Phyllis2 #704 corn stover'!$C$17/100)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<sst xmlns="http://schemas.openxmlformats.org/spreadsheetml/2006/main" count="61" uniqueCount="61">
  <si>
    <t>Phyllis2</t>
  </si>
  <si>
    <t>https://phyllis.nl/Biomass/View/704</t>
  </si>
  <si>
    <t>corn stover (#704)</t>
  </si>
  <si>
    <t>ID-number</t>
  </si>
  <si>
    <t>#704</t>
  </si>
  <si>
    <t>Material</t>
  </si>
  <si>
    <t>corn stover</t>
  </si>
  <si>
    <t>Classification</t>
  </si>
  <si>
    <t>ECN Phyllis classification &gt; straw (stalk/cob/ear) &gt; maize/corn &gt; corn stover</t>
  </si>
  <si>
    <t>NTA 8003 classification &gt; [200] biomassa uit land- en tuinbouw &gt; [240] gewassen &gt; [241] mais</t>
  </si>
  <si>
    <t>Submitter organisation</t>
  </si>
  <si>
    <t>ECN (Netherlands)</t>
  </si>
  <si>
    <t>Literature</t>
  </si>
  <si>
    <t xml:space="preserve">http://rredc.nrel.gov:80/biomass/doe/nrel/comp/alki/appendix.html (1998).  Link obsolete. Instead, try http://www.nrel.gov/rredc/biomass_resource.html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</si>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</sst>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0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6.06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IFERROR(5.056419*(1-w),"")</f>
        <v>4.7500000086</v>
      </c>
      <c r="D18" s="11">
        <v>5.056419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IFERROR(80.86012*(1-w),"")</f>
        <v>75.959996728</v>
      </c>
      <c r="D19" s="11">
        <v>80.86012</v>
      </c>
      <c r="E19" s="11">
        <v>85.166494826016717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IFERROR(14.083461*(1-w),"")</f>
        <v>13.2300032634</v>
      </c>
      <c r="D20" s="11">
        <v>14.083461</v>
      </c>
      <c r="E20" s="11">
        <v>14.833505173983273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IFERROR(46.81712*(1-w),"")</f>
        <v>43.980002528</v>
      </c>
      <c r="D22" s="11">
        <v>46.81712</v>
      </c>
      <c r="E22" s="11">
        <v>49.31046365314576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IFERROR(5.737705*(1-w),"")</f>
        <v>5.390000077</v>
      </c>
      <c r="D23" s="11">
        <v>5.737705</v>
      </c>
      <c r="E23" s="11">
        <v>6.0432784813541005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IFERROR(41.35619*(1-w),"")</f>
        <v>38.850004886</v>
      </c>
      <c r="D24" s="11">
        <v>41.35619</v>
      </c>
      <c r="E24" s="11">
        <v>43.558700403347963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IFERROR(0.6599957*(1-w),"")</f>
        <v>0.61999996058</v>
      </c>
      <c r="D25" s="11">
        <v>0.6599957</v>
      </c>
      <c r="E25" s="11">
        <v>0.69514515151898471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IFERROR(0.1064509*(1-w),"")</f>
        <v>0.09999997546</v>
      </c>
      <c r="D26" s="11">
        <v>0.1064509</v>
      </c>
      <c r="E26" s="11">
        <v>0.11212016534324738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IFERROR(100.0000079*(1-w)+w*100,"")</f>
        <v>100.00000742126</v>
      </c>
      <c r="D27" s="11">
        <v>100.00000789999999</v>
      </c>
      <c r="E27" s="11">
        <v>100.000008320731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IFERROR(2661.273*(1-w),"")</f>
        <v>2499.9998562</v>
      </c>
      <c r="D29" s="12">
        <v>2661.273</v>
      </c>
      <c r="E29" s="12">
        <v>2803.0046602097304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IFERROR(16.84887*(1-w)-w*2.443,"")</f>
        <v>15.679782678000002</v>
      </c>
      <c r="D31" s="11">
        <v>16.84887</v>
      </c>
      <c r="E31" s="11">
        <v>17.746191814694669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IFERROR(18.10093*(1-w),"")</f>
        <v>17.004013642</v>
      </c>
      <c r="D32" s="11">
        <v>18.10093</v>
      </c>
      <c r="E32" s="11">
        <v>19.064932888933274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IFERROR(18.4417927751248*(1-w),"")</f>
        <v>17.324220132952284</v>
      </c>
      <c r="D33" s="11">
        <v>18.441792775124849</v>
      </c>
      <c r="E33" s="11">
        <v>19.423949024131343</v>
      </c>
      <c r="F33" s="11"/>
      <c r="G33" s="11"/>
      <c r="I33" s="13"/>
      <c r="J33" s="0" t="s">
        <v>34</v>
      </c>
    </row>
    <row r="34">
      <c r="A34" s="5" t="s">
        <v>51</v>
      </c>
      <c r="I34" s="13"/>
    </row>
    <row r="35" outlineLevel="1">
      <c r="A35" s="9" t="s">
        <v>52</v>
      </c>
      <c r="I35" s="13"/>
    </row>
    <row r="36" outlineLevel="2">
      <c r="A36" s="10" t="s">
        <v>53</v>
      </c>
      <c r="B36" s="0" t="s">
        <v>54</v>
      </c>
      <c r="C36" s="11">
        <v>8.681684</v>
      </c>
      <c r="D36" s="11"/>
      <c r="E36" s="11"/>
      <c r="F36" s="11"/>
      <c r="G36" s="11"/>
      <c r="I36" s="13"/>
    </row>
    <row r="37" outlineLevel="2">
      <c r="A37" s="10" t="s">
        <v>55</v>
      </c>
      <c r="B37" s="0" t="s">
        <v>54</v>
      </c>
      <c r="C37" s="11">
        <v>54.0379</v>
      </c>
      <c r="D37" s="11"/>
      <c r="E37" s="11"/>
      <c r="F37" s="11"/>
      <c r="G37" s="11"/>
      <c r="I37" s="13"/>
    </row>
    <row r="38" outlineLevel="2">
      <c r="A38" s="10" t="s">
        <v>56</v>
      </c>
      <c r="B38" s="0" t="s">
        <v>54</v>
      </c>
      <c r="C38" s="11">
        <v>1.988421</v>
      </c>
      <c r="D38" s="11"/>
      <c r="E38" s="11"/>
      <c r="F38" s="11"/>
      <c r="G38" s="11"/>
      <c r="I38" s="13"/>
    </row>
    <row r="39" outlineLevel="2">
      <c r="A39" s="10" t="s">
        <v>57</v>
      </c>
      <c r="B39" s="0" t="s">
        <v>54</v>
      </c>
      <c r="C39" s="11">
        <v>8.659074</v>
      </c>
      <c r="D39" s="11"/>
      <c r="E39" s="11"/>
      <c r="F39" s="11"/>
      <c r="G39" s="11"/>
      <c r="I39" s="13"/>
    </row>
    <row r="40" outlineLevel="2">
      <c r="A40" s="10" t="s">
        <v>58</v>
      </c>
      <c r="B40" s="0" t="s">
        <v>54</v>
      </c>
      <c r="C40" s="11">
        <v>6.108421</v>
      </c>
      <c r="D40" s="11"/>
      <c r="E40" s="11"/>
      <c r="F40" s="11"/>
      <c r="G40" s="11"/>
      <c r="I40" s="13"/>
    </row>
    <row r="41" outlineLevel="2">
      <c r="A41" s="10" t="s">
        <v>59</v>
      </c>
      <c r="B41" s="0" t="s">
        <v>54</v>
      </c>
      <c r="C41" s="11">
        <v>0.1510737</v>
      </c>
      <c r="D41" s="11"/>
      <c r="E41" s="11"/>
      <c r="F41" s="11"/>
      <c r="G41" s="11"/>
      <c r="I41" s="13"/>
    </row>
    <row r="42" outlineLevel="2">
      <c r="A42" s="10" t="s">
        <v>60</v>
      </c>
      <c r="B42" s="0" t="s">
        <v>54</v>
      </c>
      <c r="C42" s="11">
        <v>20.66779</v>
      </c>
      <c r="D42" s="11"/>
      <c r="E42" s="11"/>
      <c r="F42" s="11"/>
      <c r="G42" s="11"/>
      <c r="I42" s="13"/>
    </row>
    <row r="43">
      <c r="I43" s="13"/>
    </row>
    <row r="44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36:E36"/>
    <mergeCell ref="C37:E37"/>
    <mergeCell ref="C38:E38"/>
    <mergeCell ref="C39:E39"/>
    <mergeCell ref="C40:E40"/>
    <mergeCell ref="C41:E41"/>
    <mergeCell ref="C42:E42"/>
  </mergeCells>
  <dataValidations count="1">
    <dataValidation type="decimal" sqref="C17" errorStyle="stop" promptTitle="Enter moisture content" errorTitle="Invalid moisture content" prompt="Value should be between 0 and 100.&#10;Original value: 6.0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https://phyllis.nl/Biomass/View/704</dc:description>
  <dcterms:created xsi:type="dcterms:W3CDTF">2026-03-17T06:05:56Z</dcterms:created>
  <dc:title>Phyllis2 #704 corn stover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