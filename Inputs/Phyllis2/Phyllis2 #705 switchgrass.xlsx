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705 switchgrass" sheetId="1" r:id="rId1"/>
  </sheets>
  <definedNames>
    <definedName name="w" localSheetId="0">IF(ISBLANK('Phyllis2 #705 switchgrass'!$C$17),#N/A,'Phyllis2 #705 switchgrass'!$C$17/100)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<sst xmlns="http://schemas.openxmlformats.org/spreadsheetml/2006/main" count="62" uniqueCount="62">
  <si>
    <t>Phyllis2</t>
  </si>
  <si>
    <t>https://phyllis.nl/Biomass/View/705</t>
  </si>
  <si>
    <t>switchgrass (#705)</t>
  </si>
  <si>
    <t>ID-number</t>
  </si>
  <si>
    <t>#705</t>
  </si>
  <si>
    <t>Material</t>
  </si>
  <si>
    <t>switchgrass</t>
  </si>
  <si>
    <t>Classification</t>
  </si>
  <si>
    <t>ECN Phyllis classification &gt; grass/plant &gt; switch grass &gt; switchgrass</t>
  </si>
  <si>
    <t>NTA 8003 classification &gt; [200] biomassa uit land- en tuinbouw &gt; [210] gras &gt; [219] overig gras</t>
  </si>
  <si>
    <t>Submitter organisation</t>
  </si>
  <si>
    <t>ECN (Netherlands)</t>
  </si>
  <si>
    <t>Literature</t>
  </si>
  <si>
    <t xml:space="preserve">http://rredc.nrel.gov:80/biomass/doe/nrel/comp/alki/appendix.html (1998).  Link obsolete. Instead, try http://www.nrel.gov/rredc/biomass_resource.html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</si>
  <si>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</si>
  <si>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</si>
  <si>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</si>
  <si>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</si>
  <si>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</si>
  <si>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</si>
  <si>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</si>
  <si>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</si>
  <si>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</si>
  <si>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</si>
  <si>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</si>
  <si>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</si>
  <si>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</si>
  <si>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</si>
  <si>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</si>
  <si>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</si>
  <si>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</si>
  <si>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</si>
  <si>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</si>
  <si>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</si>
  <si>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</si>
  <si>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</si>
  <si>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</si>
  <si>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</si>
  <si>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</si>
  <si>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</si>
  <si>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</si>
  <si>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</si>
  <si>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</si>
  <si>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</si>
  <si>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</si>
  <si>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</si>
  <si>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</si>
  <si>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</si>
  <si>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</si>
  <si>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</si>
  <si>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</si>
  <si>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</si>
  <si>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</si>
  <si>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P2O5</t>
  </si>
  <si>
    <t>wt% (ash)</t>
  </si>
  <si>
    <t>SiO2</t>
  </si>
  <si>
    <t>Fe2O3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</si>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</sst>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70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13.68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IFERROR(6.533828*(1-w),"")</f>
        <v>5.6400003295999994</v>
      </c>
      <c r="D18" s="11">
        <v>6.533828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IFERROR(77.02734*(1-w),"")</f>
        <v>66.489999888</v>
      </c>
      <c r="D19" s="11">
        <v>77.02734</v>
      </c>
      <c r="E19" s="11">
        <v>82.411998214712369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IFERROR(16.438832*(1-w),"")</f>
        <v>14.189999782400005</v>
      </c>
      <c r="D20" s="11">
        <v>16.438832000000005</v>
      </c>
      <c r="E20" s="11">
        <v>17.588001785287627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IFERROR(47.38184*(1-w),"")</f>
        <v>40.900004288</v>
      </c>
      <c r="D22" s="11">
        <v>47.38184</v>
      </c>
      <c r="E22" s="11">
        <v>50.694105670659106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IFERROR(5.676552*(1-w),"")</f>
        <v>4.8999996864</v>
      </c>
      <c r="D23" s="11">
        <v>5.676552</v>
      </c>
      <c r="E23" s="11">
        <v>6.0733759375531076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IFERROR(39.70111*(1-w),"")</f>
        <v>34.269998152</v>
      </c>
      <c r="D24" s="11">
        <v>39.70111</v>
      </c>
      <c r="E24" s="11">
        <v>42.476448056522521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IFERROR(0.5560704*(1-w),"")</f>
        <v>0.47999996927999994</v>
      </c>
      <c r="D25" s="11">
        <v>0.5560704</v>
      </c>
      <c r="E25" s="11">
        <v>0.59494294898479416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IFERROR(0.057924*(1-w),"")</f>
        <v>0.0499999968</v>
      </c>
      <c r="D26" s="11">
        <v>0.057924</v>
      </c>
      <c r="E26" s="11">
        <v>0.061973223852582728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IFERROR(100.00000281*(1-w)+w*100,"")</f>
        <v>100.00000242559199</v>
      </c>
      <c r="D27" s="11">
        <v>100.00000281</v>
      </c>
      <c r="E27" s="11">
        <v>100.00000300643531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IFERROR(926.7841*(1-w),"")</f>
        <v>800.00003511999989</v>
      </c>
      <c r="D29" s="12">
        <v>926.7841</v>
      </c>
      <c r="E29" s="12">
        <v>991.57168863190407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IFERROR(17.66236*(1-w)-w*2.443,"")</f>
        <v>14.911946751999999</v>
      </c>
      <c r="D31" s="11">
        <v>17.66236</v>
      </c>
      <c r="E31" s="11">
        <v>18.897061495147142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IFERROR(18.90108*(1-w),"")</f>
        <v>16.315412256</v>
      </c>
      <c r="D32" s="11">
        <v>18.90108</v>
      </c>
      <c r="E32" s="11">
        <v>20.222375213997211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IFERROR(18.741285262975*(1-w),"")</f>
        <v>16.177477439000047</v>
      </c>
      <c r="D33" s="11">
        <v>18.741285262975033</v>
      </c>
      <c r="E33" s="11">
        <v>20.05140989723537</v>
      </c>
      <c r="F33" s="11"/>
      <c r="G33" s="11"/>
      <c r="I33" s="13"/>
      <c r="J33" s="0" t="s">
        <v>34</v>
      </c>
    </row>
    <row r="34">
      <c r="A34" s="5" t="s">
        <v>51</v>
      </c>
      <c r="I34" s="13"/>
    </row>
    <row r="35" outlineLevel="1">
      <c r="A35" s="9" t="s">
        <v>52</v>
      </c>
      <c r="I35" s="13"/>
    </row>
    <row r="36" outlineLevel="2">
      <c r="A36" s="10" t="s">
        <v>53</v>
      </c>
      <c r="B36" s="0" t="s">
        <v>54</v>
      </c>
      <c r="C36" s="11">
        <v>2.84344</v>
      </c>
      <c r="D36" s="11"/>
      <c r="E36" s="11"/>
      <c r="F36" s="11"/>
      <c r="G36" s="11"/>
      <c r="I36" s="13"/>
    </row>
    <row r="37" outlineLevel="2">
      <c r="A37" s="10" t="s">
        <v>55</v>
      </c>
      <c r="B37" s="0" t="s">
        <v>54</v>
      </c>
      <c r="C37" s="11">
        <v>65.23191</v>
      </c>
      <c r="D37" s="11"/>
      <c r="E37" s="11"/>
      <c r="F37" s="11"/>
      <c r="G37" s="11"/>
      <c r="I37" s="13"/>
    </row>
    <row r="38" outlineLevel="2">
      <c r="A38" s="10" t="s">
        <v>56</v>
      </c>
      <c r="B38" s="0" t="s">
        <v>54</v>
      </c>
      <c r="C38" s="11">
        <v>3.549645</v>
      </c>
      <c r="D38" s="11"/>
      <c r="E38" s="11"/>
      <c r="F38" s="11"/>
      <c r="G38" s="11"/>
      <c r="I38" s="13"/>
    </row>
    <row r="39" outlineLevel="2">
      <c r="A39" s="10" t="s">
        <v>57</v>
      </c>
      <c r="B39" s="0" t="s">
        <v>54</v>
      </c>
      <c r="C39" s="11">
        <v>7.03351</v>
      </c>
      <c r="D39" s="11"/>
      <c r="E39" s="11"/>
      <c r="F39" s="11"/>
      <c r="G39" s="11"/>
      <c r="I39" s="13"/>
    </row>
    <row r="40" outlineLevel="2">
      <c r="A40" s="10" t="s">
        <v>58</v>
      </c>
      <c r="B40" s="0" t="s">
        <v>54</v>
      </c>
      <c r="C40" s="11">
        <v>7.193439</v>
      </c>
      <c r="D40" s="11"/>
      <c r="E40" s="11"/>
      <c r="F40" s="11"/>
      <c r="G40" s="11"/>
      <c r="I40" s="13"/>
    </row>
    <row r="41" outlineLevel="2">
      <c r="A41" s="10" t="s">
        <v>59</v>
      </c>
      <c r="B41" s="0" t="s">
        <v>54</v>
      </c>
      <c r="C41" s="11">
        <v>3.233688</v>
      </c>
      <c r="D41" s="11"/>
      <c r="E41" s="11"/>
      <c r="F41" s="11"/>
      <c r="G41" s="11"/>
      <c r="I41" s="13"/>
    </row>
    <row r="42" outlineLevel="2">
      <c r="A42" s="10" t="s">
        <v>60</v>
      </c>
      <c r="B42" s="0" t="s">
        <v>54</v>
      </c>
      <c r="C42" s="11">
        <v>0.8482269</v>
      </c>
      <c r="D42" s="11"/>
      <c r="E42" s="11"/>
      <c r="F42" s="11"/>
      <c r="G42" s="11"/>
      <c r="I42" s="13"/>
    </row>
    <row r="43" outlineLevel="2">
      <c r="A43" s="10" t="s">
        <v>61</v>
      </c>
      <c r="B43" s="0" t="s">
        <v>54</v>
      </c>
      <c r="C43" s="11">
        <v>5.318617</v>
      </c>
      <c r="D43" s="11"/>
      <c r="E43" s="11"/>
      <c r="F43" s="11"/>
      <c r="G43" s="11"/>
      <c r="I43" s="13"/>
    </row>
    <row r="44">
      <c r="I44" s="13"/>
    </row>
    <row r="4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  <mergeCell ref="C36:E36"/>
    <mergeCell ref="C37:E37"/>
    <mergeCell ref="C38:E38"/>
    <mergeCell ref="C39:E39"/>
    <mergeCell ref="C40:E40"/>
    <mergeCell ref="C41:E41"/>
    <mergeCell ref="C42:E42"/>
    <mergeCell ref="C43:E43"/>
  </mergeCells>
  <dataValidations count="1">
    <dataValidation type="decimal" sqref="C17" errorStyle="stop" promptTitle="Enter moisture content" errorTitle="Invalid moisture content" prompt="Value should be between 0 and 100.&#10;Original value: 13.6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https://phyllis.nl/Biomass/View/705</dc:description>
  <dcterms:created xsi:type="dcterms:W3CDTF">2026-03-04T04:39:19Z</dcterms:created>
  <dc:title>Phyllis2 #705 switchgrass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