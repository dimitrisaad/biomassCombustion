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6 pistachio shells" sheetId="1" r:id="rId1"/>
  </sheets>
  <definedNames>
    <definedName name="w" localSheetId="0">IF(ISBLANK('Phyllis2 #706 pistachio shells'!$C$17),#N/A,'Phyllis2 #706 pistachio shells'!$C$17/100)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<sst xmlns="http://schemas.openxmlformats.org/spreadsheetml/2006/main" count="62" uniqueCount="62">
  <si>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</si>
  <si>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https://phyllis.nl/Biomass/View/706</t>
  </si>
  <si>
    <t>pistachio shells (#706)</t>
  </si>
  <si>
    <t>ID-number</t>
  </si>
  <si>
    <t>#706</t>
  </si>
  <si>
    <t>Material</t>
  </si>
  <si>
    <t>pistachio shells</t>
  </si>
  <si>
    <t>Classification</t>
  </si>
  <si>
    <t>ECN Phyllis classification &gt; husk/shell/pit &gt; others &gt; pistachio shells</t>
  </si>
  <si>
    <t>NTA 8003 classification &gt; [200] biomassa uit land- en tuinbouw &gt; [230] restproducten (doppen) &gt; [239] overige doppen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</si>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</sst>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7.53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IFERROR(1.405861*(1-w),"")</f>
        <v>1.2999996667</v>
      </c>
      <c r="D18" s="11">
        <v>1.405861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IFERROR(81.63729*(1-w),"")</f>
        <v>75.490002062999991</v>
      </c>
      <c r="D19" s="11">
        <v>81.63729</v>
      </c>
      <c r="E19" s="11">
        <v>82.80136205662285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IFERROR(16.956849*(1-w),"")</f>
        <v>15.679998270300004</v>
      </c>
      <c r="D20" s="11">
        <v>16.956849000000005</v>
      </c>
      <c r="E20" s="11">
        <v>17.198637943377147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IFERROR(50.18925*(1-w),"")</f>
        <v>46.409999475</v>
      </c>
      <c r="D22" s="11">
        <v>50.18925</v>
      </c>
      <c r="E22" s="11">
        <v>50.904902166649073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IFERROR(6.304748*(1-w),"")</f>
        <v>5.8300004755999995</v>
      </c>
      <c r="D23" s="11">
        <v>6.304748</v>
      </c>
      <c r="E23" s="11">
        <v>6.3946478603560806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IFERROR(41.15929*(1-w),"")</f>
        <v>38.059995463</v>
      </c>
      <c r="D24" s="11">
        <v>41.15929</v>
      </c>
      <c r="E24" s="11">
        <v>41.746183310145845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IFERROR(0.6813021*(1-w),"")</f>
        <v>0.63000005187</v>
      </c>
      <c r="D25" s="11">
        <v>0.6813021</v>
      </c>
      <c r="E25" s="11">
        <v>0.69101683620362053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IFERROR(0.2162864*(1-w),"")</f>
        <v>0.20000003407999997</v>
      </c>
      <c r="D26" s="11">
        <v>0.2162864</v>
      </c>
      <c r="E26" s="11">
        <v>0.219370443510846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IFERROR(99.99999477*(1-w)+w*100,"")</f>
        <v>99.999995163819</v>
      </c>
      <c r="D27" s="11">
        <v>99.99999477</v>
      </c>
      <c r="E27" s="11">
        <v>99.999994695425045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IFERROR(432.5727*(1-w),"")</f>
        <v>399.99997569</v>
      </c>
      <c r="D29" s="12">
        <v>432.5727</v>
      </c>
      <c r="E29" s="12">
        <v>438.74078559578476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IFERROR(18.32309*(1-w)-w*2.443,"")</f>
        <v>16.759403423000002</v>
      </c>
      <c r="D31" s="11">
        <v>18.32309</v>
      </c>
      <c r="E31" s="11">
        <v>18.584360273180135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IFERROR(19.69889*(1-w),"")</f>
        <v>18.215563582999998</v>
      </c>
      <c r="D32" s="11">
        <v>19.69889</v>
      </c>
      <c r="E32" s="11">
        <v>19.979777905459471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IFERROR(20.4221700238482*(1-w),"")</f>
        <v>18.88438062105239</v>
      </c>
      <c r="D33" s="11">
        <v>20.422170023848157</v>
      </c>
      <c r="E33" s="11">
        <v>20.713371231780986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12.33615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8.226923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35.2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1.453077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9.685385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3.826154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3.68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13.98461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7.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https://phyllis.nl/Biomass/View/706</dc:description>
  <dcterms:created xsi:type="dcterms:W3CDTF">2026-03-17T05:43:38Z</dcterms:created>
  <dc:title>Phyllis2 #706 pistachio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