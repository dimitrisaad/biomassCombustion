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08 almond hulls" sheetId="1" r:id="rId1"/>
  </sheets>
  <definedNames>
    <definedName name="w" localSheetId="0">IF(ISBLANK('Phyllis2 #708 almond hulls'!$C$17),#N/A,'Phyllis2 #708 almond hulls'!$C$17/100)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<sst xmlns="http://schemas.openxmlformats.org/spreadsheetml/2006/main" count="62" uniqueCount="62">
  <si>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</si>
  <si>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https://phyllis.nl/Biomass/View/708</t>
  </si>
  <si>
    <t>almond hulls (#708)</t>
  </si>
  <si>
    <t>ID-number</t>
  </si>
  <si>
    <t>#708</t>
  </si>
  <si>
    <t>Material</t>
  </si>
  <si>
    <t>almond hulls</t>
  </si>
  <si>
    <t>Classification</t>
  </si>
  <si>
    <t>ECN Phyllis classification &gt; husk/shell/pit &gt; almond &gt; almond hulls</t>
  </si>
  <si>
    <t>NTA 8003 classification &gt; [200] biomassa uit land- en tuinbouw &gt; [230] restproducten (doppen) &gt; [235] amandeldoppen</t>
  </si>
  <si>
    <t>Submitter organisation</t>
  </si>
  <si>
    <t>ECN (Netherlands)</t>
  </si>
  <si>
    <t>Literature</t>
  </si>
  <si>
    <t xml:space="preserve">http://rredc.nrel.gov:80/biomass/doe/nrel/comp/alki/appendix.html (1998).  Link obsolete. Instead, try http://www.nrel.gov/rredc/biomass_resource.html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</si>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</sst>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0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8.18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IFERROR(6.175125*(1-w),"")</f>
        <v>5.6699997750000009</v>
      </c>
      <c r="D18" s="11">
        <v>6.175125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IFERROR(73.20845*(1-w),"")</f>
        <v>67.21999879</v>
      </c>
      <c r="D19" s="11">
        <v>73.20845</v>
      </c>
      <c r="E19" s="11">
        <v>78.026696012118322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IFERROR(20.616425*(1-w),"")</f>
        <v>18.930001435000005</v>
      </c>
      <c r="D20" s="11">
        <v>20.616425000000007</v>
      </c>
      <c r="E20" s="11">
        <v>21.973303987881685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IFERROR(46.50403*(1-w),"")</f>
        <v>42.700000346</v>
      </c>
      <c r="D22" s="11">
        <v>46.50403</v>
      </c>
      <c r="E22" s="11">
        <v>49.564712982564593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IFERROR(5.968199*(1-w),"")</f>
        <v>5.4800003218</v>
      </c>
      <c r="D23" s="11">
        <v>5.968199</v>
      </c>
      <c r="E23" s="11">
        <v>6.3609986157722034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IFERROR(40.1002*(1-w),"")</f>
        <v>36.82000364</v>
      </c>
      <c r="D24" s="11">
        <v>40.1002</v>
      </c>
      <c r="E24" s="11">
        <v>42.73941212285122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IFERROR(1.154433*(1-w),"")</f>
        <v>1.0600003806</v>
      </c>
      <c r="D25" s="11">
        <v>1.154433</v>
      </c>
      <c r="E25" s="11">
        <v>1.2304125105415809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IFERROR(0.04356349*(1-w),"")</f>
        <v>0.039999996518000007</v>
      </c>
      <c r="D26" s="11">
        <v>0.04356349</v>
      </c>
      <c r="E26" s="11">
        <v>0.046430640062137048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IFERROR(100.00000486*(1-w)+w*100,"")</f>
        <v>100.00000446245198</v>
      </c>
      <c r="D27" s="11">
        <v>100.00000485999999</v>
      </c>
      <c r="E27" s="11">
        <v>100.00000517986301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IFERROR(544.5437*(1-w),"")</f>
        <v>500.00002534</v>
      </c>
      <c r="D29" s="12">
        <v>544.5437</v>
      </c>
      <c r="E29" s="12">
        <v>580.38308071287065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IFERROR(17.46613*(1-w)-w*2.443,"")</f>
        <v>15.837563165999999</v>
      </c>
      <c r="D31" s="11">
        <v>17.46613</v>
      </c>
      <c r="E31" s="11">
        <v>18.615670950800627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IFERROR(18.76849*(1-w),"")</f>
        <v>17.233227518</v>
      </c>
      <c r="D32" s="11">
        <v>18.76849</v>
      </c>
      <c r="E32" s="11">
        <v>20.00374634125545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IFERROR(18.7116206127351*(1-w),"")</f>
        <v>17.181010046613405</v>
      </c>
      <c r="D33" s="11">
        <v>18.711620612735139</v>
      </c>
      <c r="E33" s="11">
        <v>19.943134070506506</v>
      </c>
      <c r="F33" s="11"/>
      <c r="G33" s="11"/>
      <c r="I33" s="13"/>
      <c r="J33" s="0" t="s">
        <v>34</v>
      </c>
    </row>
    <row r="34">
      <c r="A34" s="5" t="s">
        <v>51</v>
      </c>
      <c r="I34" s="13"/>
    </row>
    <row r="35" outlineLevel="1">
      <c r="A35" s="9" t="s">
        <v>52</v>
      </c>
      <c r="I35" s="13"/>
    </row>
    <row r="36" outlineLevel="2">
      <c r="A36" s="10" t="s">
        <v>53</v>
      </c>
      <c r="B36" s="0" t="s">
        <v>54</v>
      </c>
      <c r="C36" s="11">
        <v>4.848677</v>
      </c>
      <c r="D36" s="11"/>
      <c r="E36" s="11"/>
      <c r="F36" s="11"/>
      <c r="G36" s="11"/>
      <c r="I36" s="13"/>
    </row>
    <row r="37" outlineLevel="2">
      <c r="A37" s="10" t="s">
        <v>55</v>
      </c>
      <c r="B37" s="0" t="s">
        <v>54</v>
      </c>
      <c r="C37" s="11">
        <v>7.167725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54</v>
      </c>
      <c r="C38" s="11">
        <v>1.008818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54</v>
      </c>
      <c r="C39" s="11">
        <v>1.332628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54</v>
      </c>
      <c r="C40" s="11">
        <v>8.389066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54</v>
      </c>
      <c r="C41" s="11">
        <v>3.216578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54</v>
      </c>
      <c r="C42" s="11">
        <v>0.843739</v>
      </c>
      <c r="D42" s="11"/>
      <c r="E42" s="11"/>
      <c r="F42" s="11"/>
      <c r="G42" s="11"/>
      <c r="I42" s="13"/>
    </row>
    <row r="43" outlineLevel="2">
      <c r="A43" s="10" t="s">
        <v>61</v>
      </c>
      <c r="B43" s="0" t="s">
        <v>54</v>
      </c>
      <c r="C43" s="11">
        <v>36.7127</v>
      </c>
      <c r="D43" s="11"/>
      <c r="E43" s="11"/>
      <c r="F43" s="11"/>
      <c r="G43" s="11"/>
      <c r="I43" s="13"/>
    </row>
    <row r="44">
      <c r="I44" s="13"/>
    </row>
    <row r="4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7" errorStyle="stop" promptTitle="Enter moisture content" errorTitle="Invalid moisture content" prompt="Value should be between 0 and 100.&#10;Original value: 8.1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https://phyllis.nl/Biomass/View/708</dc:description>
  <dcterms:created xsi:type="dcterms:W3CDTF">2026-03-17T05:38:18Z</dcterms:created>
  <dc:title>Phyllis2 #708 almond hulls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