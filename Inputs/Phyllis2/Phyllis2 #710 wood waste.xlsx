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710 wood waste" sheetId="1" r:id="rId1"/>
  </sheets>
  <definedNames>
    <definedName name="w" localSheetId="0">IF(ISBLANK('Phyllis2 #710 wood waste'!$C$18),#N/A,'Phyllis2 #710 wood waste'!$C$18/100)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5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5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5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<sst xmlns="http://schemas.openxmlformats.org/spreadsheetml/2006/main" count="63" uniqueCount="63">
  <si>
    <t>Phyllis2</t>
  </si>
  <si>
    <t>https://phyllis.nl/Biomass/View/710</t>
  </si>
  <si>
    <t>wood waste (#710)</t>
  </si>
  <si>
    <t>ID-number</t>
  </si>
  <si>
    <t>#710</t>
  </si>
  <si>
    <t>Material</t>
  </si>
  <si>
    <t>wood waste</t>
  </si>
  <si>
    <t>Classification</t>
  </si>
  <si>
    <t>ECN Phyllis classification &gt; treated wood &gt; others &gt; wood waste</t>
  </si>
  <si>
    <t>NTA 8003 classification &gt; [100] hout &gt; [150] verwerkt hout</t>
  </si>
  <si>
    <t>Submitter organisation</t>
  </si>
  <si>
    <t>ECN (Netherlands)</t>
  </si>
  <si>
    <t>Remarks</t>
  </si>
  <si>
    <t>#1</t>
  </si>
  <si>
    <t>Literature</t>
  </si>
  <si>
    <t xml:space="preserve">http://rredc.nrel.gov:80/biomass/doe/nrel/comp/alki/appendix.html (1998).  Link obsolete. Instead, try http://www.nrel.gov/rredc/biomass_resource.html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</si>
  <si>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</si>
  <si>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</si>
  <si>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</si>
  <si>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</si>
  <si>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</si>
  <si>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</si>
  <si>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</si>
  <si>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</si>
  <si>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</si>
  <si>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ar</t>
  </si>
  <si>
    <t>dry</t>
  </si>
  <si>
    <t>daf</t>
  </si>
  <si>
    <t>Main biomass properties</t>
  </si>
  <si>
    <t>Proximate analysis</t>
  </si>
  <si>
    <t>Moisture content</t>
  </si>
  <si>
    <t>wt%</t>
  </si>
  <si>
    <t>Ash content</t>
  </si>
  <si>
    <t>Volatile matter</t>
  </si>
  <si>
    <t>Fixed carbon</t>
  </si>
  <si>
    <t>Calculated</t>
  </si>
  <si>
    <t>Ultimate analysis (macroelements)</t>
  </si>
  <si>
    <t>Carbon</t>
  </si>
  <si>
    <t>Measured</t>
  </si>
  <si>
    <t>Hydrogen</t>
  </si>
  <si>
    <t>Oxygen</t>
  </si>
  <si>
    <t>Nitrogen</t>
  </si>
  <si>
    <t>Sulphur</t>
  </si>
  <si>
    <t>Total (with halides)</t>
  </si>
  <si>
    <t>Halides</t>
  </si>
  <si>
    <t>Chlorine (Cl)</t>
  </si>
  <si>
    <t>mg/kg</t>
  </si>
  <si>
    <t>Heating value</t>
  </si>
  <si>
    <t>Net calorific value (LHV)</t>
  </si>
  <si>
    <t>MJ/kg</t>
  </si>
  <si>
    <t>Gross calorific value (HHV)</t>
  </si>
  <si>
    <t>HHVMilne</t>
  </si>
  <si>
    <t>Ash Properties</t>
  </si>
  <si>
    <t>Ash composition</t>
  </si>
  <si>
    <t>P2O5</t>
  </si>
  <si>
    <t>wt% (ash)</t>
  </si>
  <si>
    <t>SiO2</t>
  </si>
  <si>
    <t>Fe2O3</t>
  </si>
  <si>
    <t>Al2O3</t>
  </si>
  <si>
    <t>CaO</t>
  </si>
  <si>
    <t>MgO</t>
  </si>
  <si>
    <t>Na2O</t>
  </si>
  <si>
    <t>K2O</t>
  </si>
</sst>
</file>

<file path=xl/styles.xml><?xml version="1.0" encoding="utf-8"?>
<styleSheet xmlns="http://schemas.openxmlformats.org/spreadsheetml/2006/main">
  <numFmts count="3">
    <numFmt numFmtId="164" formatCode="#,0.00"/>
    <numFmt numFmtId="165" formatCode="#,0.0"/>
    <numFmt numFmtId="166" formatCode="yyyy-mm-dd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4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4" applyNumberFormat="1" fontId="0" applyFont="1" xfId="0"/>
    <xf numFmtId="165" applyNumberFormat="1" fontId="0" applyFont="1" xfId="0"/>
    <xf numFmtId="166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710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45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5" t="s">
        <v>3</v>
      </c>
      <c r="B5" s="0" t="s">
        <v>4</v>
      </c>
    </row>
    <row r="6" outlineLevel="1">
      <c r="A6" s="5" t="s">
        <v>5</v>
      </c>
      <c r="B6" s="0" t="s">
        <v>6</v>
      </c>
    </row>
    <row r="7" outlineLevel="1">
      <c r="A7" s="6" t="s">
        <v>7</v>
      </c>
      <c r="B7" s="0" t="s">
        <v>8</v>
      </c>
    </row>
    <row r="8" outlineLevel="1">
      <c r="A8" s="6"/>
      <c r="B8" s="0" t="s">
        <v>9</v>
      </c>
    </row>
    <row r="9" outlineLevel="1">
      <c r="A9" s="5" t="s">
        <v>10</v>
      </c>
      <c r="B9" s="0" t="s">
        <v>11</v>
      </c>
    </row>
    <row r="10" outlineLevel="1">
      <c r="A10" s="5" t="s">
        <v>12</v>
      </c>
      <c r="B10" s="0" t="s">
        <v>13</v>
      </c>
    </row>
    <row r="11" outlineLevel="1">
      <c r="A11" s="5" t="s">
        <v>14</v>
      </c>
      <c r="B11" s="0" t="s">
        <v>15</v>
      </c>
    </row>
    <row r="12">
      <c r="A12" s="5"/>
    </row>
    <row r="13" s="1" customFormat="1">
      <c r="A13" s="7" t="s">
        <v>16</v>
      </c>
    </row>
    <row r="14" s="1" customFormat="1">
      <c r="A14" s="8" t="s">
        <v>17</v>
      </c>
      <c r="B14" s="8" t="s">
        <v>18</v>
      </c>
      <c r="C14" s="8" t="s">
        <v>19</v>
      </c>
      <c r="D14" s="8"/>
      <c r="E14" s="8"/>
      <c r="F14" s="8" t="s">
        <v>20</v>
      </c>
      <c r="G14" s="8" t="s">
        <v>21</v>
      </c>
      <c r="H14" s="8" t="s">
        <v>22</v>
      </c>
      <c r="I14" s="8" t="s">
        <v>23</v>
      </c>
      <c r="J14" s="8" t="s">
        <v>24</v>
      </c>
      <c r="K14" s="8" t="s">
        <v>12</v>
      </c>
      <c r="L14" s="8"/>
    </row>
    <row r="15" s="1" customFormat="1">
      <c r="A15" s="8"/>
      <c r="B15" s="8"/>
      <c r="C15" s="8" t="s">
        <v>25</v>
      </c>
      <c r="D15" s="8" t="s">
        <v>26</v>
      </c>
      <c r="E15" s="8" t="s">
        <v>27</v>
      </c>
      <c r="F15" s="8"/>
      <c r="G15" s="8"/>
      <c r="H15" s="8"/>
      <c r="I15" s="8"/>
      <c r="J15" s="8"/>
      <c r="K15" s="8"/>
      <c r="L15" s="8"/>
    </row>
    <row r="16">
      <c r="A16" s="5" t="s">
        <v>28</v>
      </c>
      <c r="I16" s="13"/>
    </row>
    <row r="17" outlineLevel="1">
      <c r="A17" s="9" t="s">
        <v>29</v>
      </c>
      <c r="I17" s="13"/>
    </row>
    <row r="18" outlineLevel="2">
      <c r="A18" s="10" t="s">
        <v>30</v>
      </c>
      <c r="B18" s="0" t="s">
        <v>31</v>
      </c>
      <c r="C18" s="11">
        <v>10.22</v>
      </c>
      <c r="D18" s="11"/>
      <c r="E18" s="11"/>
      <c r="F18" s="11"/>
      <c r="G18" s="11"/>
      <c r="I18" s="13"/>
    </row>
    <row r="19" outlineLevel="2">
      <c r="A19" s="10" t="s">
        <v>32</v>
      </c>
      <c r="B19" s="0" t="s">
        <v>31</v>
      </c>
      <c r="C19" s="11">
        <f>IFERROR(6.916908*(1-w),"")</f>
        <v>6.2100000024</v>
      </c>
      <c r="D19" s="11">
        <v>6.916908</v>
      </c>
      <c r="E19" s="11">
        <v/>
      </c>
      <c r="F19" s="11"/>
      <c r="G19" s="11"/>
      <c r="I19" s="13"/>
    </row>
    <row r="20" outlineLevel="2">
      <c r="A20" s="10" t="s">
        <v>33</v>
      </c>
      <c r="B20" s="0" t="s">
        <v>31</v>
      </c>
      <c r="C20" s="11">
        <f>IFERROR(74.97215*(1-w),"")</f>
        <v>67.30999627</v>
      </c>
      <c r="D20" s="11">
        <v>74.97215</v>
      </c>
      <c r="E20" s="11">
        <v>80.543252688683779</v>
      </c>
      <c r="F20" s="11"/>
      <c r="G20" s="11"/>
      <c r="I20" s="13"/>
    </row>
    <row r="21" outlineLevel="2">
      <c r="A21" s="10" t="s">
        <v>34</v>
      </c>
      <c r="B21" s="0" t="s">
        <v>31</v>
      </c>
      <c r="C21" s="11">
        <f>IFERROR(18.110942*(1-w),"")</f>
        <v>16.260003727599994</v>
      </c>
      <c r="D21" s="11">
        <v>18.110941999999994</v>
      </c>
      <c r="E21" s="11">
        <v>19.45674731131621</v>
      </c>
      <c r="F21" s="11"/>
      <c r="G21" s="11"/>
      <c r="I21" s="13"/>
      <c r="J21" s="0" t="s">
        <v>35</v>
      </c>
    </row>
    <row r="22" outlineLevel="1">
      <c r="A22" s="9" t="s">
        <v>36</v>
      </c>
      <c r="I22" s="13"/>
    </row>
    <row r="23" outlineLevel="2">
      <c r="A23" s="10" t="s">
        <v>37</v>
      </c>
      <c r="B23" s="0" t="s">
        <v>31</v>
      </c>
      <c r="C23" s="11">
        <f>IFERROR(49.00869*(1-w),"")</f>
        <v>44.000001882</v>
      </c>
      <c r="D23" s="11">
        <v>49.00869</v>
      </c>
      <c r="E23" s="11">
        <v>52.650474911168615</v>
      </c>
      <c r="F23" s="11"/>
      <c r="G23" s="11"/>
      <c r="I23" s="13"/>
      <c r="J23" s="0" t="s">
        <v>38</v>
      </c>
    </row>
    <row r="24" outlineLevel="2">
      <c r="A24" s="10" t="s">
        <v>39</v>
      </c>
      <c r="B24" s="0" t="s">
        <v>31</v>
      </c>
      <c r="C24" s="11">
        <f>IFERROR(5.780797*(1-w),"")</f>
        <v>5.1899995465999993</v>
      </c>
      <c r="D24" s="11">
        <v>5.780797</v>
      </c>
      <c r="E24" s="11">
        <v>6.21036202793951</v>
      </c>
      <c r="F24" s="11"/>
      <c r="G24" s="11"/>
      <c r="I24" s="13"/>
      <c r="J24" s="0" t="s">
        <v>38</v>
      </c>
    </row>
    <row r="25" outlineLevel="2">
      <c r="A25" s="10" t="s">
        <v>40</v>
      </c>
      <c r="B25" s="0" t="s">
        <v>31</v>
      </c>
      <c r="C25" s="11">
        <f>IFERROR(37.32457*(1-w),"")</f>
        <v>33.509998945999996</v>
      </c>
      <c r="D25" s="11">
        <v>37.32457</v>
      </c>
      <c r="E25" s="11">
        <v>40.098120075340859</v>
      </c>
      <c r="F25" s="11"/>
      <c r="G25" s="11"/>
      <c r="I25" s="13"/>
      <c r="J25" s="0" t="s">
        <v>35</v>
      </c>
    </row>
    <row r="26" outlineLevel="2">
      <c r="A26" s="10" t="s">
        <v>41</v>
      </c>
      <c r="B26" s="0" t="s">
        <v>31</v>
      </c>
      <c r="C26" s="11">
        <f>IFERROR(0.7685453*(1-w),"")</f>
        <v>0.68999997033999994</v>
      </c>
      <c r="D26" s="11">
        <v>0.7685453</v>
      </c>
      <c r="E26" s="11">
        <v>0.82565510393659891</v>
      </c>
      <c r="F26" s="11"/>
      <c r="G26" s="11"/>
      <c r="I26" s="13"/>
      <c r="J26" s="0" t="s">
        <v>38</v>
      </c>
    </row>
    <row r="27" outlineLevel="2">
      <c r="A27" s="10" t="s">
        <v>42</v>
      </c>
      <c r="B27" s="0" t="s">
        <v>31</v>
      </c>
      <c r="C27" s="11">
        <f>IFERROR(0.07796837*(1-w),"")</f>
        <v>0.07000000258599999</v>
      </c>
      <c r="D27" s="11">
        <v>0.07796837</v>
      </c>
      <c r="E27" s="11">
        <v>0.0837621186885369</v>
      </c>
      <c r="F27" s="11"/>
      <c r="G27" s="11"/>
      <c r="I27" s="13"/>
      <c r="J27" s="0" t="s">
        <v>38</v>
      </c>
    </row>
    <row r="28" outlineLevel="2">
      <c r="A28" s="10" t="s">
        <v>43</v>
      </c>
      <c r="B28" s="0" t="s">
        <v>31</v>
      </c>
      <c r="C28" s="11">
        <f>IFERROR(100.00000037*(1-w)+w*100,"")</f>
        <v>100.00000033218599</v>
      </c>
      <c r="D28" s="11">
        <v>100.00000037</v>
      </c>
      <c r="E28" s="11">
        <v>100.0000003974943</v>
      </c>
      <c r="F28" s="11"/>
      <c r="G28" s="11"/>
      <c r="I28" s="13"/>
      <c r="J28" s="0" t="s">
        <v>35</v>
      </c>
    </row>
    <row r="29" outlineLevel="1">
      <c r="A29" s="9" t="s">
        <v>44</v>
      </c>
      <c r="I29" s="13"/>
    </row>
    <row r="30" outlineLevel="2">
      <c r="A30" s="10" t="s">
        <v>45</v>
      </c>
      <c r="B30" s="0" t="s">
        <v>46</v>
      </c>
      <c r="C30" s="12">
        <f>IFERROR(1225.217*(1-w),"")</f>
        <v>1099.9998226</v>
      </c>
      <c r="D30" s="12">
        <v>1225.217</v>
      </c>
      <c r="E30" s="12">
        <v>1316.2616042019749</v>
      </c>
      <c r="F30" s="12"/>
      <c r="G30" s="12"/>
      <c r="I30" s="13"/>
      <c r="J30" s="0" t="s">
        <v>38</v>
      </c>
    </row>
    <row r="31" outlineLevel="1">
      <c r="A31" s="9" t="s">
        <v>47</v>
      </c>
      <c r="I31" s="13"/>
    </row>
    <row r="32" outlineLevel="2">
      <c r="A32" s="10" t="s">
        <v>48</v>
      </c>
      <c r="B32" s="0" t="s">
        <v>49</v>
      </c>
      <c r="C32" s="11">
        <f>IFERROR(17.72799*(1-w)-w*2.443,"")</f>
        <v>15.666514821999996</v>
      </c>
      <c r="D32" s="11">
        <v>17.72799</v>
      </c>
      <c r="E32" s="11">
        <v>19.045338545479343</v>
      </c>
      <c r="F32" s="11"/>
      <c r="G32" s="11"/>
      <c r="I32" s="13"/>
    </row>
    <row r="33" outlineLevel="2">
      <c r="A33" s="10" t="s">
        <v>50</v>
      </c>
      <c r="B33" s="0" t="s">
        <v>49</v>
      </c>
      <c r="C33" s="11">
        <f>IFERROR(18.98946*(1-w),"")</f>
        <v>17.048737188</v>
      </c>
      <c r="D33" s="11">
        <v>18.98946</v>
      </c>
      <c r="E33" s="11">
        <v>20.400547072501631</v>
      </c>
      <c r="F33" s="11"/>
      <c r="G33" s="11"/>
      <c r="I33" s="13"/>
    </row>
    <row r="34" outlineLevel="2">
      <c r="A34" s="10" t="s">
        <v>51</v>
      </c>
      <c r="B34" s="0" t="s">
        <v>49</v>
      </c>
      <c r="C34" s="11">
        <f>IFERROR(19.6898430990729*(1-w),"")</f>
        <v>17.677541134347656</v>
      </c>
      <c r="D34" s="11">
        <v>19.68984309907291</v>
      </c>
      <c r="E34" s="11">
        <v>21.152974913073269</v>
      </c>
      <c r="F34" s="11"/>
      <c r="G34" s="11"/>
      <c r="I34" s="13"/>
      <c r="J34" s="0" t="s">
        <v>35</v>
      </c>
    </row>
    <row r="35">
      <c r="A35" s="5" t="s">
        <v>52</v>
      </c>
      <c r="I35" s="13"/>
    </row>
    <row r="36" outlineLevel="1">
      <c r="A36" s="9" t="s">
        <v>53</v>
      </c>
      <c r="I36" s="13"/>
    </row>
    <row r="37" outlineLevel="2">
      <c r="A37" s="10" t="s">
        <v>54</v>
      </c>
      <c r="B37" s="0" t="s">
        <v>55</v>
      </c>
      <c r="C37" s="11">
        <v>0.1475684</v>
      </c>
      <c r="D37" s="11"/>
      <c r="E37" s="11"/>
      <c r="F37" s="11"/>
      <c r="G37" s="11"/>
      <c r="I37" s="13"/>
    </row>
    <row r="38" outlineLevel="2">
      <c r="A38" s="10" t="s">
        <v>56</v>
      </c>
      <c r="B38" s="0" t="s">
        <v>55</v>
      </c>
      <c r="C38" s="11">
        <v>57.52222</v>
      </c>
      <c r="D38" s="11"/>
      <c r="E38" s="11"/>
      <c r="F38" s="11"/>
      <c r="G38" s="11"/>
      <c r="I38" s="13"/>
    </row>
    <row r="39" outlineLevel="2">
      <c r="A39" s="10" t="s">
        <v>57</v>
      </c>
      <c r="B39" s="0" t="s">
        <v>55</v>
      </c>
      <c r="C39" s="11">
        <v>5.066022</v>
      </c>
      <c r="D39" s="11"/>
      <c r="E39" s="11"/>
      <c r="F39" s="11"/>
      <c r="G39" s="11"/>
      <c r="I39" s="13"/>
    </row>
    <row r="40" outlineLevel="2">
      <c r="A40" s="10" t="s">
        <v>58</v>
      </c>
      <c r="B40" s="0" t="s">
        <v>55</v>
      </c>
      <c r="C40" s="11">
        <v>10.34235</v>
      </c>
      <c r="D40" s="11"/>
      <c r="E40" s="11"/>
      <c r="F40" s="11"/>
      <c r="G40" s="11"/>
      <c r="I40" s="13"/>
    </row>
    <row r="41" outlineLevel="2">
      <c r="A41" s="10" t="s">
        <v>59</v>
      </c>
      <c r="B41" s="0" t="s">
        <v>55</v>
      </c>
      <c r="C41" s="11">
        <v>10.36296</v>
      </c>
      <c r="D41" s="11"/>
      <c r="E41" s="11"/>
      <c r="F41" s="11"/>
      <c r="G41" s="11"/>
      <c r="I41" s="13"/>
    </row>
    <row r="42" outlineLevel="2">
      <c r="A42" s="10" t="s">
        <v>60</v>
      </c>
      <c r="B42" s="0" t="s">
        <v>55</v>
      </c>
      <c r="C42" s="11">
        <v>2.936876</v>
      </c>
      <c r="D42" s="11"/>
      <c r="E42" s="11"/>
      <c r="F42" s="11"/>
      <c r="G42" s="11"/>
      <c r="I42" s="13"/>
    </row>
    <row r="43" outlineLevel="2">
      <c r="A43" s="10" t="s">
        <v>61</v>
      </c>
      <c r="B43" s="0" t="s">
        <v>55</v>
      </c>
      <c r="C43" s="11">
        <v>2.311111</v>
      </c>
      <c r="D43" s="11"/>
      <c r="E43" s="11"/>
      <c r="F43" s="11"/>
      <c r="G43" s="11"/>
      <c r="I43" s="13"/>
    </row>
    <row r="44" outlineLevel="2">
      <c r="A44" s="10" t="s">
        <v>62</v>
      </c>
      <c r="B44" s="0" t="s">
        <v>55</v>
      </c>
      <c r="C44" s="11">
        <v>3.65942</v>
      </c>
      <c r="D44" s="11"/>
      <c r="E44" s="11"/>
      <c r="F44" s="11"/>
      <c r="G44" s="11"/>
      <c r="I44" s="13"/>
    </row>
    <row r="45">
      <c r="I45" s="13"/>
    </row>
    <row r="46" s="1" customFormat="1"/>
  </sheetData>
  <mergeCells>
    <mergeCell ref="A7:A8"/>
    <mergeCell ref="C14:E14"/>
    <mergeCell ref="A14:A15"/>
    <mergeCell ref="B14:B15"/>
    <mergeCell ref="F14:F15"/>
    <mergeCell ref="G14:G15"/>
    <mergeCell ref="H14:H15"/>
    <mergeCell ref="I14:I15"/>
    <mergeCell ref="J14:J15"/>
    <mergeCell ref="K14:K15"/>
    <mergeCell ref="C37:E37"/>
    <mergeCell ref="C38:E38"/>
    <mergeCell ref="C39:E39"/>
    <mergeCell ref="C40:E40"/>
    <mergeCell ref="C41:E41"/>
    <mergeCell ref="C42:E42"/>
    <mergeCell ref="C43:E43"/>
    <mergeCell ref="C44:E44"/>
  </mergeCells>
  <dataValidations count="1">
    <dataValidation type="decimal" sqref="C18" errorStyle="stop" promptTitle="Enter moisture content" errorTitle="Invalid moisture content" prompt="Value should be between 0 and 100.&#10;Original value: 10.22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https://phyllis.nl/Biomass/View/710</dc:description>
  <dcterms:created xsi:type="dcterms:W3CDTF">2026-03-19T04:05:11Z</dcterms:created>
  <dc:title>Phyllis2 #710 wood waste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