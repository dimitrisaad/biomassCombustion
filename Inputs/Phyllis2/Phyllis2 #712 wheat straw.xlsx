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2 wheat straw" sheetId="1" r:id="rId1"/>
  </sheets>
  <definedNames>
    <definedName name="w" localSheetId="0">IF(ISBLANK('Phyllis2 #712 wheat straw'!$C$17),#N/A,'Phyllis2 #712 wheat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<sst xmlns="http://schemas.openxmlformats.org/spreadsheetml/2006/main" count="62" uniqueCount="62">
  <si>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</si>
  <si>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https://phyllis.nl/Biomass/View/712</t>
  </si>
  <si>
    <t>wheat straw (#712)</t>
  </si>
  <si>
    <t>ID-number</t>
  </si>
  <si>
    <t>#712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</si>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</sst>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9.74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IFERROR(5.81653*(1-w),"")</f>
        <v>5.249999978</v>
      </c>
      <c r="D18" s="11">
        <v>5.81653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IFERROR(78.71704*(1-w),"")</f>
        <v>71.050000304</v>
      </c>
      <c r="D19" s="11">
        <v>78.71704</v>
      </c>
      <c r="E19" s="11">
        <v>83.578402876853019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IFERROR(15.46643*(1-w),"")</f>
        <v>13.959999718000002</v>
      </c>
      <c r="D20" s="11">
        <v>15.466430000000003</v>
      </c>
      <c r="E20" s="11">
        <v>16.421597123146984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IFERROR(46.74274*(1-w),"")</f>
        <v>42.189997123999994</v>
      </c>
      <c r="D22" s="11">
        <v>46.74274</v>
      </c>
      <c r="E22" s="11">
        <v>49.629451962217992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IFERROR(5.727897*(1-w),"")</f>
        <v>5.1699998321999994</v>
      </c>
      <c r="D23" s="11">
        <v>5.727897</v>
      </c>
      <c r="E23" s="11">
        <v>6.0816372554546989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IFERROR(40.63815*(1-w),"")</f>
        <v>36.67999419</v>
      </c>
      <c r="D24" s="11">
        <v>40.63815</v>
      </c>
      <c r="E24" s="11">
        <v>43.147858111407452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IFERROR(0.7090627*(1-w),"")</f>
        <v>0.63999999302</v>
      </c>
      <c r="D25" s="11">
        <v>0.7090627</v>
      </c>
      <c r="E25" s="11">
        <v>0.75285259717018282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IFERROR(0.110791*(1-w),"")</f>
        <v>0.0999999566</v>
      </c>
      <c r="D26" s="11">
        <v>0.110791</v>
      </c>
      <c r="E26" s="11">
        <v>0.11763316853796106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IFERROR(99.9999901*(1-w)+w*100,"")</f>
        <v>99.99999106426</v>
      </c>
      <c r="D27" s="11">
        <v>99.999990100000019</v>
      </c>
      <c r="E27" s="11">
        <v>99.999989488601358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IFERROR(2548.194*(1-w),"")</f>
        <v>2299.9999043999997</v>
      </c>
      <c r="D29" s="12">
        <v>2548.194</v>
      </c>
      <c r="E29" s="12">
        <v>2705.5639381305446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IFERROR(17.33016*(1-w)-w*2.443,"")</f>
        <v>15.404254215999998</v>
      </c>
      <c r="D31" s="11">
        <v>17.33016</v>
      </c>
      <c r="E31" s="11">
        <v>18.400426316847319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IFERROR(18.58009*(1-w),"")</f>
        <v>16.770389233999996</v>
      </c>
      <c r="D32" s="11">
        <v>18.58009</v>
      </c>
      <c r="E32" s="11">
        <v>19.727548793859473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IFERROR(18.4736723028499*(1-w),"")</f>
        <v>16.674336620552275</v>
      </c>
      <c r="D33" s="11">
        <v>18.473672302849852</v>
      </c>
      <c r="E33" s="11">
        <v>19.614559012159834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3.491047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63.15143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1.361905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2.158857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9.326667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1.579048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0.9112381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54</v>
      </c>
      <c r="C43" s="11">
        <v>7.964571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&#10;Original value: 9.7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https://phyllis.nl/Biomass/View/712</dc:description>
  <dcterms:created xsi:type="dcterms:W3CDTF">2026-03-17T06:15:23Z</dcterms:created>
  <dc:title>Phyllis2 #712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