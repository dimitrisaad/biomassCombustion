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14 wheat stems" sheetId="1" r:id="rId1"/>
  </sheets>
  <definedNames>
    <definedName name="w" localSheetId="0">IF(ISBLANK('Phyllis2 #714 wheat stems'!$C$17),#N/A,'Phyllis2 #714 wheat stems'!$C$17/100)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<sst xmlns="http://schemas.openxmlformats.org/spreadsheetml/2006/main" count="62" uniqueCount="62">
  <si>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</si>
  <si>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https://phyllis.nl/Biomass/View/714</t>
  </si>
  <si>
    <t>wheat stems (#714)</t>
  </si>
  <si>
    <t>ID-number</t>
  </si>
  <si>
    <t>#714</t>
  </si>
  <si>
    <t>Material</t>
  </si>
  <si>
    <t>wheat stems</t>
  </si>
  <si>
    <t>Classification</t>
  </si>
  <si>
    <t>ECN Phyllis classification &gt; straw (stalk/cob/ear) &gt; wheat</t>
  </si>
  <si>
    <t>NTA 8003 classification &gt; [200] biomassa uit land- en tuinbouw &gt; [220] stro &gt; [223] tarwestro</t>
  </si>
  <si>
    <t>Submitter organisation</t>
  </si>
  <si>
    <t>ECN (Netherlands)</t>
  </si>
  <si>
    <t>Literature</t>
  </si>
  <si>
    <t xml:space="preserve">http://rredc.nrel.gov:80/biomass/doe/nrel/comp/alki/appendix.html (1998).  Link obsolete. Instead, try http://www.nrel.gov/rredc/biomass_resource.html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</si>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</sst>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15.82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IFERROR(5.892136*(1-w),"")</f>
        <v>4.9600000848</v>
      </c>
      <c r="D18" s="11">
        <v>5.892136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IFERROR(78.92611*(1-w),"")</f>
        <v>66.439999398</v>
      </c>
      <c r="D19" s="11">
        <v>78.92611</v>
      </c>
      <c r="E19" s="11">
        <v>83.8677095040644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IFERROR(15.181754*(1-w),"")</f>
        <v>12.78000051720001</v>
      </c>
      <c r="D20" s="11">
        <v>15.181754000000012</v>
      </c>
      <c r="E20" s="11">
        <v>16.132290495935614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IFERROR(46.41245*(1-w),"")</f>
        <v>39.07000041</v>
      </c>
      <c r="D22" s="11">
        <v>46.41245</v>
      </c>
      <c r="E22" s="11">
        <v>49.318354521360725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IFERROR(5.666429*(1-w),"")</f>
        <v>4.7699999322</v>
      </c>
      <c r="D23" s="11">
        <v>5.666429</v>
      </c>
      <c r="E23" s="11">
        <v>6.0212066868290623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IFERROR(40.80542*(1-w),"")</f>
        <v>34.350002556</v>
      </c>
      <c r="D24" s="11">
        <v>40.80542</v>
      </c>
      <c r="E24" s="11">
        <v>43.360265832831992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IFERROR(0.6889998*(1-w),"")</f>
        <v>0.58000003164</v>
      </c>
      <c r="D25" s="11">
        <v>0.6889998</v>
      </c>
      <c r="E25" s="11">
        <v>0.73213838962490962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IFERROR(0.09503445*(1-w),"")</f>
        <v>0.08000000001</v>
      </c>
      <c r="D26" s="11">
        <v>0.09503445</v>
      </c>
      <c r="E26" s="11">
        <v>0.10098459996924382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IFERROR(100.00000355*(1-w)+w*100,"")</f>
        <v>100.00000298839001</v>
      </c>
      <c r="D27" s="11">
        <v>100.00000355</v>
      </c>
      <c r="E27" s="11">
        <v>100.00000377226712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IFERROR(4395.343*(1-w),"")</f>
        <v>3699.9997374</v>
      </c>
      <c r="D29" s="12">
        <v>4395.343</v>
      </c>
      <c r="E29" s="12">
        <v>4670.5374165117591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IFERROR(17.01561*(1-w)-w*2.443,"")</f>
        <v>13.937257897999999</v>
      </c>
      <c r="D31" s="11">
        <v>17.01561</v>
      </c>
      <c r="E31" s="11">
        <v>18.080965050912216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IFERROR(18.25212*(1-w),"")</f>
        <v>15.364634616000002</v>
      </c>
      <c r="D32" s="11">
        <v>18.25212</v>
      </c>
      <c r="E32" s="11">
        <v>19.39489350220509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IFERROR(18.2600156362663*(1-w),"")</f>
        <v>15.371281162608973</v>
      </c>
      <c r="D33" s="11">
        <v>18.260015636266303</v>
      </c>
      <c r="E33" s="11">
        <v>19.40328348783509</v>
      </c>
      <c r="F33" s="11"/>
      <c r="G33" s="11"/>
      <c r="I33" s="13"/>
      <c r="J33" s="0" t="s">
        <v>34</v>
      </c>
    </row>
    <row r="34">
      <c r="A34" s="5" t="s">
        <v>51</v>
      </c>
      <c r="I34" s="13"/>
    </row>
    <row r="35" outlineLevel="1">
      <c r="A35" s="9" t="s">
        <v>52</v>
      </c>
      <c r="I35" s="13"/>
    </row>
    <row r="36" outlineLevel="2">
      <c r="A36" s="10" t="s">
        <v>53</v>
      </c>
      <c r="B36" s="0" t="s">
        <v>54</v>
      </c>
      <c r="C36" s="11">
        <v>2.771371</v>
      </c>
      <c r="D36" s="11"/>
      <c r="E36" s="11"/>
      <c r="F36" s="11"/>
      <c r="G36" s="11"/>
      <c r="I36" s="13"/>
    </row>
    <row r="37" outlineLevel="2">
      <c r="A37" s="10" t="s">
        <v>55</v>
      </c>
      <c r="B37" s="0" t="s">
        <v>54</v>
      </c>
      <c r="C37" s="11">
        <v>57.7875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54</v>
      </c>
      <c r="C38" s="11">
        <v>0.5766129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54</v>
      </c>
      <c r="C39" s="11">
        <v>0.3808468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54</v>
      </c>
      <c r="C40" s="11">
        <v>7.615524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54</v>
      </c>
      <c r="C41" s="11">
        <v>1.671371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54</v>
      </c>
      <c r="C42" s="11">
        <v>0.7233871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54</v>
      </c>
      <c r="C43" s="11">
        <v>11.72903</v>
      </c>
      <c r="D43" s="11"/>
      <c r="E43" s="11"/>
      <c r="F43" s="11"/>
      <c r="G43" s="11"/>
      <c r="I43" s="13"/>
    </row>
    <row r="44">
      <c r="I44" s="13"/>
    </row>
    <row r="4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  <mergeCell ref="C36:E3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7" errorStyle="stop" promptTitle="Enter moisture content" errorTitle="Invalid moisture content" prompt="Value should be between 0 and 100.&#10;Original value: 15.8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https://phyllis.nl/Biomass/View/714</dc:description>
  <dcterms:created xsi:type="dcterms:W3CDTF">2026-03-17T06:18:14Z</dcterms:created>
  <dc:title>Phyllis2 #714 wheat stems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