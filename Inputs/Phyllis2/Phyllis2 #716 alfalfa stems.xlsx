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716 alfalfa stems" sheetId="1" r:id="rId1"/>
  </sheets>
  <definedNames>
    <definedName name="w" localSheetId="0">IF(ISBLANK('Phyllis2 #716 alfalfa stems'!$C$18),#N/A,'Phyllis2 #716 alfalfa stems'!$C$18/100)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<sst xmlns="http://schemas.openxmlformats.org/spreadsheetml/2006/main" count="64" uniqueCount="64">
  <si>
    <t>Phyllis2</t>
  </si>
  <si>
    <t>https://phyllis.nl/Biomass/View/716</t>
  </si>
  <si>
    <t>alfalfa stems (#716)</t>
  </si>
  <si>
    <t>ID-number</t>
  </si>
  <si>
    <t>#716</t>
  </si>
  <si>
    <t>Material</t>
  </si>
  <si>
    <t>alfalfa stems</t>
  </si>
  <si>
    <t>Classification</t>
  </si>
  <si>
    <t>ECN Phyllis classification &gt; grass/plant &gt; alfalfa &gt; alfalfa stems</t>
  </si>
  <si>
    <t>NTA 8003 classification &gt; [200] biomassa uit land- en tuinbouw &gt; [240] gewassen &gt; [249] overige gewassen</t>
  </si>
  <si>
    <t>Ash type</t>
  </si>
  <si>
    <t>ASTM D 1102, 600 Degree Celcius</t>
  </si>
  <si>
    <t>Submitter organisation</t>
  </si>
  <si>
    <t>ECN (Netherlands)</t>
  </si>
  <si>
    <t>Literature</t>
  </si>
  <si>
    <t xml:space="preserve">http://rredc.nrel.gov:80/biomass/doe/nrel/comp/alki/appendix.html (1998).  Link obsolete. Instead, try http://www.nrel.gov/rredc/biomass_resource.html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</si>
  <si>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</si>
  <si>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</si>
  <si>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</si>
  <si>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</si>
  <si>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</si>
  <si>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</si>
  <si>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</si>
  <si>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</si>
  <si>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</si>
  <si>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</si>
  <si>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</si>
  <si>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</si>
  <si>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</si>
  <si>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</si>
  <si>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</si>
  <si>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</si>
  <si>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</si>
  <si>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</si>
  <si>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</si>
  <si>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</si>
  <si>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</si>
  <si>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</si>
  <si>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</si>
  <si>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</si>
  <si>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</si>
  <si>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</si>
  <si>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</si>
  <si>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</si>
  <si>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</si>
  <si>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</si>
  <si>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</si>
  <si>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</si>
  <si>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</si>
  <si>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</si>
  <si>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</si>
  <si>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</si>
  <si>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</si>
  <si>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Ash Properties</t>
  </si>
  <si>
    <t>Ash composition</t>
  </si>
  <si>
    <t>P2O5</t>
  </si>
  <si>
    <t>wt% (ash)</t>
  </si>
  <si>
    <t>SiO2</t>
  </si>
  <si>
    <t>Fe2O3</t>
  </si>
  <si>
    <t>Al2O3</t>
  </si>
  <si>
    <t>CaO</t>
  </si>
  <si>
    <t>MgO</t>
  </si>
  <si>
    <t>Na2O</t>
  </si>
  <si>
    <t>K2O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</si>
</sst>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716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5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3"/>
    </row>
    <row r="17" outlineLevel="1">
      <c r="A17" s="9" t="s">
        <v>30</v>
      </c>
      <c r="I17" s="13"/>
    </row>
    <row r="18" outlineLevel="2">
      <c r="A18" s="10" t="s">
        <v>31</v>
      </c>
      <c r="B18" s="0" t="s">
        <v>32</v>
      </c>
      <c r="C18" s="11">
        <v>7.6</v>
      </c>
      <c r="D18" s="11"/>
      <c r="E18" s="11"/>
      <c r="F18" s="11"/>
      <c r="G18" s="11"/>
      <c r="I18" s="13"/>
    </row>
    <row r="19" outlineLevel="2">
      <c r="A19" s="10" t="s">
        <v>33</v>
      </c>
      <c r="B19" s="0" t="s">
        <v>32</v>
      </c>
      <c r="C19" s="11">
        <f>IFERROR(5.227273*(1-w),"")</f>
        <v>4.8300002520000005</v>
      </c>
      <c r="D19" s="11">
        <v>5.227273</v>
      </c>
      <c r="E19" s="11">
        <v/>
      </c>
      <c r="F19" s="11"/>
      <c r="G19" s="11"/>
      <c r="I19" s="13"/>
    </row>
    <row r="20" outlineLevel="2">
      <c r="A20" s="10" t="s">
        <v>34</v>
      </c>
      <c r="B20" s="0" t="s">
        <v>32</v>
      </c>
      <c r="C20" s="11">
        <f>IFERROR(79.83766*(1-w),"")</f>
        <v>73.76999784</v>
      </c>
      <c r="D20" s="11">
        <v>79.83766</v>
      </c>
      <c r="E20" s="11">
        <v>84.2411762616053</v>
      </c>
      <c r="F20" s="11"/>
      <c r="G20" s="11"/>
      <c r="I20" s="13"/>
    </row>
    <row r="21" outlineLevel="2">
      <c r="A21" s="10" t="s">
        <v>35</v>
      </c>
      <c r="B21" s="0" t="s">
        <v>32</v>
      </c>
      <c r="C21" s="11">
        <f>IFERROR(14.935067*(1-w),"")</f>
        <v>13.800001908000004</v>
      </c>
      <c r="D21" s="11">
        <v>14.935067000000004</v>
      </c>
      <c r="E21" s="11">
        <v>15.7588237383947</v>
      </c>
      <c r="F21" s="11"/>
      <c r="G21" s="11"/>
      <c r="I21" s="13"/>
      <c r="J21" s="0" t="s">
        <v>36</v>
      </c>
    </row>
    <row r="22" outlineLevel="1">
      <c r="A22" s="9" t="s">
        <v>37</v>
      </c>
      <c r="I22" s="13"/>
    </row>
    <row r="23" outlineLevel="2">
      <c r="A23" s="10" t="s">
        <v>38</v>
      </c>
      <c r="B23" s="0" t="s">
        <v>32</v>
      </c>
      <c r="C23" s="11">
        <f>IFERROR(46.78571*(1-w),"")</f>
        <v>43.22999604</v>
      </c>
      <c r="D23" s="11">
        <v>46.78571</v>
      </c>
      <c r="E23" s="11">
        <v>49.3662169286318</v>
      </c>
      <c r="F23" s="11"/>
      <c r="G23" s="11"/>
      <c r="I23" s="13"/>
      <c r="J23" s="0" t="s">
        <v>39</v>
      </c>
    </row>
    <row r="24" outlineLevel="2">
      <c r="A24" s="10" t="s">
        <v>40</v>
      </c>
      <c r="B24" s="0" t="s">
        <v>32</v>
      </c>
      <c r="C24" s="11">
        <f>IFERROR(5.952381*(1-w),"")</f>
        <v>5.500000044</v>
      </c>
      <c r="D24" s="11">
        <v>5.952381</v>
      </c>
      <c r="E24" s="11">
        <v>6.2806898022465889</v>
      </c>
      <c r="F24" s="11"/>
      <c r="G24" s="11"/>
      <c r="I24" s="13"/>
      <c r="J24" s="0" t="s">
        <v>39</v>
      </c>
    </row>
    <row r="25" outlineLevel="2">
      <c r="A25" s="10" t="s">
        <v>41</v>
      </c>
      <c r="B25" s="0" t="s">
        <v>32</v>
      </c>
      <c r="C25" s="11">
        <f>IFERROR(38.4632*(1-w),"")</f>
        <v>35.539996800000004</v>
      </c>
      <c r="D25" s="11">
        <v>38.4632</v>
      </c>
      <c r="E25" s="11">
        <v>40.584671579620156</v>
      </c>
      <c r="F25" s="11"/>
      <c r="G25" s="11"/>
      <c r="I25" s="13"/>
      <c r="J25" s="0" t="s">
        <v>36</v>
      </c>
    </row>
    <row r="26" outlineLevel="2">
      <c r="A26" s="10" t="s">
        <v>42</v>
      </c>
      <c r="B26" s="0" t="s">
        <v>32</v>
      </c>
      <c r="C26" s="11">
        <f>IFERROR(2.878788*(1-w),"")</f>
        <v>2.660000112</v>
      </c>
      <c r="D26" s="11">
        <v>2.878788</v>
      </c>
      <c r="E26" s="11">
        <v>3.037570080683655</v>
      </c>
      <c r="F26" s="11"/>
      <c r="G26" s="11"/>
      <c r="I26" s="13"/>
      <c r="J26" s="0" t="s">
        <v>39</v>
      </c>
    </row>
    <row r="27" outlineLevel="2">
      <c r="A27" s="10" t="s">
        <v>43</v>
      </c>
      <c r="B27" s="0" t="s">
        <v>32</v>
      </c>
      <c r="C27" s="11">
        <f>IFERROR(0.1948052*(1-w),"")</f>
        <v>0.18000000480000003</v>
      </c>
      <c r="D27" s="11">
        <v>0.1948052</v>
      </c>
      <c r="E27" s="11">
        <v>0.20554985191045522</v>
      </c>
      <c r="F27" s="11"/>
      <c r="G27" s="11"/>
      <c r="I27" s="13"/>
      <c r="J27" s="0" t="s">
        <v>39</v>
      </c>
    </row>
    <row r="28" outlineLevel="2">
      <c r="A28" s="10" t="s">
        <v>44</v>
      </c>
      <c r="B28" s="0" t="s">
        <v>32</v>
      </c>
      <c r="C28" s="11">
        <f>IFERROR(99.9999927*(1-w)+w*100,"")</f>
        <v>99.999993254799989</v>
      </c>
      <c r="D28" s="11">
        <v>99.999992699999993</v>
      </c>
      <c r="E28" s="11">
        <v>99.999992297362084</v>
      </c>
      <c r="F28" s="11"/>
      <c r="G28" s="11"/>
      <c r="I28" s="13"/>
      <c r="J28" s="0" t="s">
        <v>36</v>
      </c>
    </row>
    <row r="29" outlineLevel="1">
      <c r="A29" s="9" t="s">
        <v>45</v>
      </c>
      <c r="I29" s="13"/>
    </row>
    <row r="30" outlineLevel="2">
      <c r="A30" s="10" t="s">
        <v>46</v>
      </c>
      <c r="B30" s="0" t="s">
        <v>47</v>
      </c>
      <c r="C30" s="12">
        <f>IFERROR(4978.355*(1-w),"")</f>
        <v>4600.0000199999995</v>
      </c>
      <c r="D30" s="12">
        <v>4978.355</v>
      </c>
      <c r="E30" s="12">
        <v>5252.9405426943131</v>
      </c>
      <c r="F30" s="12"/>
      <c r="G30" s="12"/>
      <c r="I30" s="13"/>
      <c r="J30" s="0" t="s">
        <v>39</v>
      </c>
    </row>
    <row r="31" outlineLevel="1">
      <c r="A31" s="9" t="s">
        <v>48</v>
      </c>
      <c r="I31" s="13"/>
    </row>
    <row r="32" outlineLevel="2">
      <c r="A32" s="10" t="s">
        <v>49</v>
      </c>
      <c r="B32" s="0" t="s">
        <v>50</v>
      </c>
      <c r="C32" s="11">
        <f>IFERROR(17.34165*(1-w)-w*2.443,"")</f>
        <v>15.838016600000003</v>
      </c>
      <c r="D32" s="11">
        <v>17.34165</v>
      </c>
      <c r="E32" s="11">
        <v>18.298143937548616</v>
      </c>
      <c r="F32" s="11"/>
      <c r="G32" s="11"/>
      <c r="I32" s="13"/>
    </row>
    <row r="33" outlineLevel="2">
      <c r="A33" s="10" t="s">
        <v>51</v>
      </c>
      <c r="B33" s="0" t="s">
        <v>50</v>
      </c>
      <c r="C33" s="11">
        <f>IFERROR(18.64056*(1-w),"")</f>
        <v>17.223877440000003</v>
      </c>
      <c r="D33" s="11">
        <v>18.64056</v>
      </c>
      <c r="E33" s="11">
        <v>19.668696459478262</v>
      </c>
      <c r="F33" s="11"/>
      <c r="G33" s="11"/>
      <c r="I33" s="13"/>
    </row>
    <row r="34" outlineLevel="2">
      <c r="A34" s="10" t="s">
        <v>52</v>
      </c>
      <c r="B34" s="0" t="s">
        <v>50</v>
      </c>
      <c r="C34" s="11">
        <f>IFERROR(18.7995032224215*(1-w),"")</f>
        <v>17.370740977517496</v>
      </c>
      <c r="D34" s="11">
        <v>18.799503222421531</v>
      </c>
      <c r="E34" s="11">
        <v>19.836406334938037</v>
      </c>
      <c r="F34" s="11"/>
      <c r="G34" s="11"/>
      <c r="I34" s="13"/>
      <c r="J34" s="0" t="s">
        <v>36</v>
      </c>
    </row>
    <row r="35">
      <c r="A35" s="5" t="s">
        <v>53</v>
      </c>
      <c r="I35" s="13"/>
    </row>
    <row r="36" outlineLevel="1">
      <c r="A36" s="9" t="s">
        <v>54</v>
      </c>
      <c r="I36" s="13"/>
    </row>
    <row r="37" outlineLevel="2">
      <c r="A37" s="10" t="s">
        <v>55</v>
      </c>
      <c r="B37" s="0" t="s">
        <v>56</v>
      </c>
      <c r="C37" s="11">
        <v>7.589234</v>
      </c>
      <c r="D37" s="11"/>
      <c r="E37" s="11"/>
      <c r="F37" s="11"/>
      <c r="G37" s="11"/>
      <c r="I37" s="13"/>
    </row>
    <row r="38" outlineLevel="2">
      <c r="A38" s="10" t="s">
        <v>57</v>
      </c>
      <c r="B38" s="0" t="s">
        <v>56</v>
      </c>
      <c r="C38" s="11">
        <v>3.1</v>
      </c>
      <c r="D38" s="11"/>
      <c r="E38" s="11"/>
      <c r="F38" s="11"/>
      <c r="G38" s="11"/>
      <c r="I38" s="13"/>
    </row>
    <row r="39" outlineLevel="2">
      <c r="A39" s="10" t="s">
        <v>58</v>
      </c>
      <c r="B39" s="0" t="s">
        <v>56</v>
      </c>
      <c r="C39" s="11">
        <v>0.2960663</v>
      </c>
      <c r="D39" s="11"/>
      <c r="E39" s="11"/>
      <c r="F39" s="11"/>
      <c r="G39" s="11"/>
      <c r="I39" s="13"/>
    </row>
    <row r="40" outlineLevel="2">
      <c r="A40" s="10" t="s">
        <v>59</v>
      </c>
      <c r="B40" s="0" t="s">
        <v>56</v>
      </c>
      <c r="C40" s="11">
        <v>0.03910973</v>
      </c>
      <c r="D40" s="11"/>
      <c r="E40" s="11"/>
      <c r="F40" s="11"/>
      <c r="G40" s="11"/>
      <c r="I40" s="13"/>
    </row>
    <row r="41" outlineLevel="2">
      <c r="A41" s="10" t="s">
        <v>60</v>
      </c>
      <c r="B41" s="0" t="s">
        <v>56</v>
      </c>
      <c r="C41" s="11">
        <v>19.40642</v>
      </c>
      <c r="D41" s="11"/>
      <c r="E41" s="11"/>
      <c r="F41" s="11"/>
      <c r="G41" s="11"/>
      <c r="I41" s="13"/>
    </row>
    <row r="42" outlineLevel="2">
      <c r="A42" s="10" t="s">
        <v>61</v>
      </c>
      <c r="B42" s="0" t="s">
        <v>56</v>
      </c>
      <c r="C42" s="11">
        <v>9.268323</v>
      </c>
      <c r="D42" s="11"/>
      <c r="E42" s="11"/>
      <c r="F42" s="11"/>
      <c r="G42" s="11"/>
      <c r="I42" s="13"/>
    </row>
    <row r="43" outlineLevel="2">
      <c r="A43" s="10" t="s">
        <v>62</v>
      </c>
      <c r="B43" s="0" t="s">
        <v>56</v>
      </c>
      <c r="C43" s="11">
        <v>1.238095</v>
      </c>
      <c r="D43" s="11"/>
      <c r="E43" s="11"/>
      <c r="F43" s="11"/>
      <c r="G43" s="11"/>
      <c r="I43" s="13"/>
    </row>
    <row r="44" outlineLevel="2">
      <c r="A44" s="10" t="s">
        <v>63</v>
      </c>
      <c r="B44" s="0" t="s">
        <v>56</v>
      </c>
      <c r="C44" s="11">
        <v>21.45466</v>
      </c>
      <c r="D44" s="11"/>
      <c r="E44" s="11"/>
      <c r="F44" s="11"/>
      <c r="G44" s="11"/>
      <c r="I44" s="13"/>
    </row>
    <row r="45">
      <c r="I45" s="13"/>
    </row>
    <row r="46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7:E37"/>
    <mergeCell ref="C38:E38"/>
    <mergeCell ref="C39:E39"/>
    <mergeCell ref="C40:E40"/>
    <mergeCell ref="C41:E41"/>
    <mergeCell ref="C42:E42"/>
    <mergeCell ref="C43:E43"/>
    <mergeCell ref="C44:E44"/>
  </mergeCells>
  <dataValidations count="1">
    <dataValidation type="decimal" sqref="C18" errorStyle="stop" promptTitle="Enter moisture content" errorTitle="Invalid moisture content" prompt="Value should be between 0 and 100.&#10;Original value: 7.6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https://phyllis.nl/Biomass/View/716</dc:description>
  <dcterms:created xsi:type="dcterms:W3CDTF">2026-03-04T03:58:55Z</dcterms:created>
  <dc:title>Phyllis2 #716 alfalfa stems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