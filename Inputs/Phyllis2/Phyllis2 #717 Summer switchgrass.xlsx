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7 Summer switchgras" sheetId="1" r:id="rId1"/>
  </sheets>
  <definedNames>
    <definedName name="w" localSheetId="0">IF(ISBLANK('Phyllis2 #717 Summer switchgras'!$C$18),#N/A,'Phyllis2 #717 Summer switchgras'!$C$18/100)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<sst xmlns="http://schemas.openxmlformats.org/spreadsheetml/2006/main" count="63" uniqueCount="63">
  <si>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</si>
  <si>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https://phyllis.nl/Biomass/View/717</t>
  </si>
  <si>
    <t>Summer switchgrass (#717)</t>
  </si>
  <si>
    <t>ID-number</t>
  </si>
  <si>
    <t>#717</t>
  </si>
  <si>
    <t>Material</t>
  </si>
  <si>
    <t>Summer switchgrass</t>
  </si>
  <si>
    <t>Classification</t>
  </si>
  <si>
    <t>ECN Phyllis classification &gt; grass/plant &gt; switch grass</t>
  </si>
  <si>
    <t>NTA 8003 classification &gt; [200] biomassa uit land- en tuinbouw &gt; [210] gras &gt; [219] overig gras</t>
  </si>
  <si>
    <t>Ash type</t>
  </si>
  <si>
    <t>ASTM D1102; 600C ASTM D 1102, 600 Degree Celcius</t>
  </si>
  <si>
    <t>Submitter organisation</t>
  </si>
  <si>
    <t>ECN (Netherlands)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</si>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</sst>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2"/>
    </row>
    <row r="17" outlineLevel="1">
      <c r="A17" s="9" t="s">
        <v>30</v>
      </c>
      <c r="I17" s="12"/>
    </row>
    <row r="18" outlineLevel="2">
      <c r="A18" s="10" t="s">
        <v>31</v>
      </c>
      <c r="B18" s="0" t="s">
        <v>32</v>
      </c>
      <c r="C18" s="11">
        <v>13.27</v>
      </c>
      <c r="D18" s="11"/>
      <c r="E18" s="11"/>
      <c r="F18" s="11"/>
      <c r="G18" s="11"/>
      <c r="I18" s="12"/>
    </row>
    <row r="19" outlineLevel="2">
      <c r="A19" s="10" t="s">
        <v>33</v>
      </c>
      <c r="B19" s="0" t="s">
        <v>32</v>
      </c>
      <c r="C19" s="11">
        <f>IFERROR(2.686498*(1-w),"")</f>
        <v>2.3299997153999996</v>
      </c>
      <c r="D19" s="11">
        <v>2.686498</v>
      </c>
      <c r="E19" s="11">
        <v/>
      </c>
      <c r="F19" s="11"/>
      <c r="G19" s="11"/>
      <c r="I19" s="12"/>
    </row>
    <row r="20" outlineLevel="2">
      <c r="A20" s="10" t="s">
        <v>34</v>
      </c>
      <c r="B20" s="0" t="s">
        <v>32</v>
      </c>
      <c r="C20" s="11">
        <f>IFERROR(82.93555*(1-w),"")</f>
        <v>71.930002515</v>
      </c>
      <c r="D20" s="11">
        <v>82.93555</v>
      </c>
      <c r="E20" s="11">
        <v>85.2251211758878</v>
      </c>
      <c r="F20" s="11"/>
      <c r="G20" s="11"/>
      <c r="I20" s="12"/>
    </row>
    <row r="21" outlineLevel="2">
      <c r="A21" s="10" t="s">
        <v>35</v>
      </c>
      <c r="B21" s="0" t="s">
        <v>32</v>
      </c>
      <c r="C21" s="11">
        <f>IFERROR(14.377952*(1-w),"")</f>
        <v>12.469997769599994</v>
      </c>
      <c r="D21" s="11">
        <v>14.377951999999993</v>
      </c>
      <c r="E21" s="11">
        <v>14.774878824112191</v>
      </c>
      <c r="F21" s="11"/>
      <c r="G21" s="11"/>
      <c r="I21" s="12"/>
      <c r="J21" s="0" t="s">
        <v>36</v>
      </c>
    </row>
    <row r="22" outlineLevel="1">
      <c r="A22" s="9" t="s">
        <v>37</v>
      </c>
      <c r="I22" s="12"/>
    </row>
    <row r="23" outlineLevel="2">
      <c r="A23" s="10" t="s">
        <v>38</v>
      </c>
      <c r="B23" s="0" t="s">
        <v>32</v>
      </c>
      <c r="C23" s="11">
        <f>IFERROR(47.51528*(1-w),"")</f>
        <v>41.210002343999996</v>
      </c>
      <c r="D23" s="11">
        <v>47.51528</v>
      </c>
      <c r="E23" s="11">
        <v>48.827016830614113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32</v>
      </c>
      <c r="C24" s="11">
        <f>IFERROR(5.799608*(1-w),"")</f>
        <v>5.0300000184</v>
      </c>
      <c r="D24" s="11">
        <v>5.799608</v>
      </c>
      <c r="E24" s="11">
        <v>5.9597156415149879</v>
      </c>
      <c r="F24" s="11"/>
      <c r="G24" s="11"/>
      <c r="I24" s="12"/>
      <c r="J24" s="0" t="s">
        <v>39</v>
      </c>
    </row>
    <row r="25" outlineLevel="2">
      <c r="A25" s="10" t="s">
        <v>41</v>
      </c>
      <c r="B25" s="0" t="s">
        <v>32</v>
      </c>
      <c r="C25" s="11">
        <f>IFERROR(43.59507*(1-w),"")</f>
        <v>37.810004211</v>
      </c>
      <c r="D25" s="11">
        <v>43.59507</v>
      </c>
      <c r="E25" s="11">
        <v>44.798583037326104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32</v>
      </c>
      <c r="C26" s="11">
        <f>IFERROR(0.3574311*(1-w),"")</f>
        <v>0.30999999303</v>
      </c>
      <c r="D26" s="11">
        <v>0.3574311</v>
      </c>
      <c r="E26" s="11">
        <v>0.36729856870221361</v>
      </c>
      <c r="F26" s="11"/>
      <c r="G26" s="11"/>
      <c r="I26" s="12"/>
      <c r="J26" s="0" t="s">
        <v>39</v>
      </c>
    </row>
    <row r="27" outlineLevel="2">
      <c r="A27" s="10" t="s">
        <v>43</v>
      </c>
      <c r="B27" s="0" t="s">
        <v>32</v>
      </c>
      <c r="C27" s="11">
        <f>IFERROR(0.04612014*(1-w),"")</f>
        <v>0.039999997421999993</v>
      </c>
      <c r="D27" s="11">
        <v>0.04612014</v>
      </c>
      <c r="E27" s="11">
        <v>0.047393361714595371</v>
      </c>
      <c r="F27" s="11"/>
      <c r="G27" s="11"/>
      <c r="I27" s="12"/>
      <c r="J27" s="0" t="s">
        <v>39</v>
      </c>
    </row>
    <row r="28" outlineLevel="2">
      <c r="A28" s="10" t="s">
        <v>44</v>
      </c>
      <c r="B28" s="0" t="s">
        <v>32</v>
      </c>
      <c r="C28" s="11">
        <f>IFERROR(100.00000724*(1-w)+w*100,"")</f>
        <v>100.00000627925198</v>
      </c>
      <c r="D28" s="11">
        <v>100.00000723999999</v>
      </c>
      <c r="E28" s="11">
        <v>100.00000743987201</v>
      </c>
      <c r="F28" s="11"/>
      <c r="G28" s="11"/>
      <c r="I28" s="12"/>
      <c r="J28" s="0" t="s">
        <v>36</v>
      </c>
    </row>
    <row r="29" outlineLevel="1">
      <c r="A29" s="9" t="s">
        <v>45</v>
      </c>
      <c r="I29" s="12"/>
    </row>
    <row r="30" outlineLevel="2">
      <c r="A30" s="10" t="s">
        <v>46</v>
      </c>
      <c r="B30" s="0" t="s">
        <v>47</v>
      </c>
      <c r="C30" s="11">
        <f>IFERROR(17.29358*(1-w)-w*2.443,"")</f>
        <v>14.674535833999999</v>
      </c>
      <c r="D30" s="11">
        <v>17.29358</v>
      </c>
      <c r="E30" s="11">
        <v>17.770997492208224</v>
      </c>
      <c r="F30" s="11"/>
      <c r="G30" s="11"/>
      <c r="I30" s="12"/>
    </row>
    <row r="31" outlineLevel="2">
      <c r="A31" s="10" t="s">
        <v>48</v>
      </c>
      <c r="B31" s="0" t="s">
        <v>47</v>
      </c>
      <c r="C31" s="11">
        <f>IFERROR(18.55915*(1-w),"")</f>
        <v>16.096350795</v>
      </c>
      <c r="D31" s="11">
        <v>18.55915</v>
      </c>
      <c r="E31" s="11">
        <v>19.07150561696978</v>
      </c>
      <c r="F31" s="11"/>
      <c r="G31" s="11"/>
      <c r="I31" s="12"/>
    </row>
    <row r="32" outlineLevel="2">
      <c r="A32" s="10" t="s">
        <v>49</v>
      </c>
      <c r="B32" s="0" t="s">
        <v>47</v>
      </c>
      <c r="C32" s="11">
        <f>IFERROR(18.5586567887441*(1-w),"")</f>
        <v>16.095923032877767</v>
      </c>
      <c r="D32" s="11">
        <v>18.558656788744113</v>
      </c>
      <c r="E32" s="11">
        <v>19.07099878981245</v>
      </c>
      <c r="F32" s="11"/>
      <c r="G32" s="11"/>
      <c r="I32" s="12"/>
      <c r="J32" s="0" t="s">
        <v>36</v>
      </c>
    </row>
    <row r="33">
      <c r="A33" s="5" t="s">
        <v>50</v>
      </c>
      <c r="I33" s="12"/>
    </row>
    <row r="34" outlineLevel="1">
      <c r="A34" s="9" t="s">
        <v>51</v>
      </c>
      <c r="I34" s="12"/>
    </row>
    <row r="35" outlineLevel="2">
      <c r="A35" s="10" t="s">
        <v>52</v>
      </c>
      <c r="B35" s="0" t="s">
        <v>53</v>
      </c>
      <c r="C35" s="11">
        <v>0.8</v>
      </c>
      <c r="D35" s="11"/>
      <c r="E35" s="11"/>
      <c r="F35" s="11"/>
      <c r="G35" s="11"/>
      <c r="I35" s="12"/>
    </row>
    <row r="36" outlineLevel="2">
      <c r="A36" s="10" t="s">
        <v>54</v>
      </c>
      <c r="B36" s="0" t="s">
        <v>53</v>
      </c>
      <c r="C36" s="11">
        <v>3.09</v>
      </c>
      <c r="D36" s="11"/>
      <c r="E36" s="11"/>
      <c r="F36" s="11"/>
      <c r="G36" s="11"/>
      <c r="I36" s="12"/>
    </row>
    <row r="37" outlineLevel="2">
      <c r="A37" s="10" t="s">
        <v>55</v>
      </c>
      <c r="B37" s="0" t="s">
        <v>53</v>
      </c>
      <c r="C37" s="11">
        <v>61.64</v>
      </c>
      <c r="D37" s="11"/>
      <c r="E37" s="11"/>
      <c r="F37" s="11"/>
      <c r="G37" s="11"/>
      <c r="I37" s="12"/>
    </row>
    <row r="38" outlineLevel="2">
      <c r="A38" s="10" t="s">
        <v>56</v>
      </c>
      <c r="B38" s="0" t="s">
        <v>53</v>
      </c>
      <c r="C38" s="11">
        <v>1.08</v>
      </c>
      <c r="D38" s="11"/>
      <c r="E38" s="11"/>
      <c r="F38" s="11"/>
      <c r="G38" s="11"/>
      <c r="I38" s="12"/>
    </row>
    <row r="39" outlineLevel="2">
      <c r="A39" s="10" t="s">
        <v>57</v>
      </c>
      <c r="B39" s="0" t="s">
        <v>53</v>
      </c>
      <c r="C39" s="11">
        <v>1.32</v>
      </c>
      <c r="D39" s="11"/>
      <c r="E39" s="11"/>
      <c r="F39" s="11"/>
      <c r="G39" s="11"/>
      <c r="I39" s="12"/>
    </row>
    <row r="40" outlineLevel="2">
      <c r="A40" s="10" t="s">
        <v>58</v>
      </c>
      <c r="B40" s="0" t="s">
        <v>53</v>
      </c>
      <c r="C40" s="11">
        <v>11.11</v>
      </c>
      <c r="D40" s="11"/>
      <c r="E40" s="11"/>
      <c r="F40" s="11"/>
      <c r="G40" s="11"/>
      <c r="I40" s="12"/>
    </row>
    <row r="41" outlineLevel="2">
      <c r="A41" s="10" t="s">
        <v>59</v>
      </c>
      <c r="B41" s="0" t="s">
        <v>53</v>
      </c>
      <c r="C41" s="11">
        <v>4.86</v>
      </c>
      <c r="D41" s="11"/>
      <c r="E41" s="11"/>
      <c r="F41" s="11"/>
      <c r="G41" s="11"/>
      <c r="I41" s="12"/>
    </row>
    <row r="42" outlineLevel="2">
      <c r="A42" s="10" t="s">
        <v>60</v>
      </c>
      <c r="B42" s="0" t="s">
        <v>53</v>
      </c>
      <c r="C42" s="11">
        <v>0.64</v>
      </c>
      <c r="D42" s="11"/>
      <c r="E42" s="11"/>
      <c r="F42" s="11"/>
      <c r="G42" s="11"/>
      <c r="I42" s="12"/>
    </row>
    <row r="43" outlineLevel="2">
      <c r="A43" s="10" t="s">
        <v>61</v>
      </c>
      <c r="B43" s="0" t="s">
        <v>53</v>
      </c>
      <c r="C43" s="11">
        <v>8.24</v>
      </c>
      <c r="D43" s="11"/>
      <c r="E43" s="11"/>
      <c r="F43" s="11"/>
      <c r="G43" s="11"/>
      <c r="I43" s="12"/>
    </row>
    <row r="44" outlineLevel="2">
      <c r="A44" s="10" t="s">
        <v>62</v>
      </c>
      <c r="B44" s="0" t="s">
        <v>53</v>
      </c>
      <c r="C44" s="11">
        <v>0.19</v>
      </c>
      <c r="D44" s="11"/>
      <c r="E44" s="11"/>
      <c r="F44" s="11"/>
      <c r="G44" s="11"/>
      <c r="I44" s="12"/>
    </row>
    <row r="45">
      <c r="I45" s="12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&#10;Original value: 13.2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https://phyllis.nl/Biomass/View/717</dc:description>
  <dcterms:created xsi:type="dcterms:W3CDTF">2026-03-04T04:42:06Z</dcterms:created>
  <dc:title>Phyllis2 #717 Summer switchgrass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