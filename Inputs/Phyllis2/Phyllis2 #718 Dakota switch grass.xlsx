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8 Dakota switch gra" sheetId="1" r:id="rId1"/>
  </sheets>
  <definedNames>
    <definedName name="w" localSheetId="0">IF(ISBLANK('Phyllis2 #718 Dakota switch gra'!$C$18),#N/A,'Phyllis2 #718 Dakota switch gra'!$C$18/100)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<sst xmlns="http://schemas.openxmlformats.org/spreadsheetml/2006/main" count="66" uniqueCount="66">
  <si>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</si>
  <si>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https://phyllis.nl/Biomass/View/718</t>
  </si>
  <si>
    <t>Dakota switch grass (#718)</t>
  </si>
  <si>
    <t>ID-number</t>
  </si>
  <si>
    <t>#718</t>
  </si>
  <si>
    <t>Material</t>
  </si>
  <si>
    <t>Dakota switch grass</t>
  </si>
  <si>
    <t>Classification</t>
  </si>
  <si>
    <t>ECN Phyllis classification &gt; grass/plant &gt; switch grass</t>
  </si>
  <si>
    <t>NTA 8003 classification &gt; [200] biomassa uit land- en tuinbouw &gt; [210] gras &gt; [219] overig gras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</si>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</sst>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12.64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IFERROR(3.605769*(1-w),"")</f>
        <v>3.1499997983999997</v>
      </c>
      <c r="D19" s="11">
        <v>3.605769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IFERROR(81.35302*(1-w),"")</f>
        <v>71.069998271999992</v>
      </c>
      <c r="D20" s="11">
        <v>81.35302</v>
      </c>
      <c r="E20" s="11">
        <v>84.3961502218945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IFERROR(15.041211*(1-w),"")</f>
        <v>13.140001929600002</v>
      </c>
      <c r="D21" s="11">
        <v>15.041211000000004</v>
      </c>
      <c r="E21" s="11">
        <v>15.603849778105502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IFERROR(47.44735*(1-w),"")</f>
        <v>41.450004959999994</v>
      </c>
      <c r="D23" s="11">
        <v>47.44735</v>
      </c>
      <c r="E23" s="11">
        <v>49.222188410839649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IFERROR(5.746337*(1-w),"")</f>
        <v>5.020000003199999</v>
      </c>
      <c r="D24" s="11">
        <v>5.746337</v>
      </c>
      <c r="E24" s="11">
        <v>5.9612872475739751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IFERROR(42.34203*(1-w),"")</f>
        <v>36.989997408</v>
      </c>
      <c r="D25" s="11">
        <v>42.34203</v>
      </c>
      <c r="E25" s="11">
        <v>43.925896353693616</v>
      </c>
      <c r="F25" s="11"/>
      <c r="G25" s="11"/>
      <c r="I25" s="13"/>
      <c r="J25" s="0" t="s">
        <v>36</v>
      </c>
    </row>
    <row r="26" outlineLevel="2">
      <c r="A26" s="10" t="s">
        <v>42</v>
      </c>
      <c r="B26" s="0" t="s">
        <v>32</v>
      </c>
      <c r="C26" s="11">
        <f>IFERROR(0.7440476*(1-w),"")</f>
        <v>0.64999998336</v>
      </c>
      <c r="D26" s="11">
        <v>0.7440476</v>
      </c>
      <c r="E26" s="11">
        <v>0.77187980264088629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IFERROR(0.08012821*(1-w),"")</f>
        <v>0.070000004256</v>
      </c>
      <c r="D27" s="11">
        <v>0.08012821</v>
      </c>
      <c r="E27" s="11">
        <v>0.083125524389524932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IFERROR(100.00000247*(1-w)+w*100,"")</f>
        <v>100.000002157792</v>
      </c>
      <c r="D28" s="11">
        <v>100.00000247</v>
      </c>
      <c r="E28" s="11">
        <v>100.00000256239402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IFERROR(343.4066*(1-w),"")</f>
        <v>300.00000576</v>
      </c>
      <c r="D30" s="12">
        <v>343.4066</v>
      </c>
      <c r="E30" s="12">
        <v>356.25223256358572</v>
      </c>
      <c r="F30" s="12"/>
      <c r="G30" s="12"/>
      <c r="I30" s="13"/>
      <c r="J30" s="0" t="s">
        <v>39</v>
      </c>
    </row>
    <row r="31" outlineLevel="1">
      <c r="A31" s="9" t="s">
        <v>48</v>
      </c>
      <c r="I31" s="13"/>
    </row>
    <row r="32" outlineLevel="2">
      <c r="A32" s="10" t="s">
        <v>49</v>
      </c>
      <c r="B32" s="0" t="s">
        <v>50</v>
      </c>
      <c r="C32" s="11">
        <f>IFERROR(17.38661*(1-w)-w*2.443,"")</f>
        <v>14.880147295999999</v>
      </c>
      <c r="D32" s="11">
        <v>17.38661</v>
      </c>
      <c r="E32" s="11">
        <v>18.036981901956356</v>
      </c>
      <c r="F32" s="11"/>
      <c r="G32" s="11"/>
      <c r="I32" s="13"/>
    </row>
    <row r="33" outlineLevel="2">
      <c r="A33" s="10" t="s">
        <v>51</v>
      </c>
      <c r="B33" s="0" t="s">
        <v>50</v>
      </c>
      <c r="C33" s="11">
        <f>IFERROR(18.64056*(1-w),"")</f>
        <v>16.284393215999998</v>
      </c>
      <c r="D33" s="11">
        <v>18.64056</v>
      </c>
      <c r="E33" s="11">
        <v>19.337837759191213</v>
      </c>
      <c r="F33" s="11"/>
      <c r="G33" s="11"/>
      <c r="I33" s="13"/>
    </row>
    <row r="34" outlineLevel="2">
      <c r="A34" s="10" t="s">
        <v>52</v>
      </c>
      <c r="B34" s="0" t="s">
        <v>50</v>
      </c>
      <c r="C34" s="11">
        <f>IFERROR(18.5581923217284*(1-w),"")</f>
        <v>16.21243681226197</v>
      </c>
      <c r="D34" s="11">
        <v>18.558192321728448</v>
      </c>
      <c r="E34" s="11">
        <v>19.2523889959021</v>
      </c>
      <c r="F34" s="11"/>
      <c r="G34" s="11"/>
      <c r="I34" s="13"/>
      <c r="J34" s="0" t="s">
        <v>36</v>
      </c>
    </row>
    <row r="35">
      <c r="A35" s="5" t="s">
        <v>53</v>
      </c>
      <c r="I35" s="13"/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1">
        <v>1.11</v>
      </c>
      <c r="D37" s="11"/>
      <c r="E37" s="11"/>
      <c r="F37" s="11"/>
      <c r="G37" s="11"/>
      <c r="I37" s="13"/>
    </row>
    <row r="38" outlineLevel="2">
      <c r="A38" s="10" t="s">
        <v>57</v>
      </c>
      <c r="B38" s="0" t="s">
        <v>56</v>
      </c>
      <c r="C38" s="11">
        <v>3.56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56</v>
      </c>
      <c r="C39" s="11">
        <v>61.23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56</v>
      </c>
      <c r="C40" s="11">
        <v>0.79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56</v>
      </c>
      <c r="C41" s="11">
        <v>0.57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56</v>
      </c>
      <c r="C42" s="11">
        <v>12.06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56</v>
      </c>
      <c r="C43" s="11">
        <v>5.42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56</v>
      </c>
      <c r="C44" s="11">
        <v>0.43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56</v>
      </c>
      <c r="C45" s="11">
        <v>7.63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56</v>
      </c>
      <c r="C46" s="11">
        <v>0.37</v>
      </c>
      <c r="D46" s="11"/>
      <c r="E46" s="11"/>
      <c r="F46" s="11"/>
      <c r="G46" s="11"/>
      <c r="I46" s="13"/>
    </row>
    <row r="47">
      <c r="I47" s="13"/>
    </row>
    <row r="4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8" errorStyle="stop" promptTitle="Enter moisture content" errorTitle="Invalid moisture content" prompt="Value should be between 0 and 100.&#10;Original value: 12.6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https://phyllis.nl/Biomass/View/718</dc:description>
  <dcterms:created xsi:type="dcterms:W3CDTF">2026-03-04T04:42:02Z</dcterms:created>
  <dc:title>Phyllis2 #718 Dakota switch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