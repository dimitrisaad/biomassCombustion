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19 wood, willow" sheetId="1" r:id="rId1"/>
  </sheets>
  <definedNames>
    <definedName name="w" localSheetId="0">IF(ISBLANK('Phyllis2 #719 wood, willow'!$C$18),#N/A,'Phyllis2 #719 wood, willow'!$C$18/100)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<sst xmlns="http://schemas.openxmlformats.org/spreadsheetml/2006/main" count="64" uniqueCount="64">
  <si>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</si>
  <si>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https://phyllis.nl/Biomass/View/719</t>
  </si>
  <si>
    <t>wood, willow (#719)</t>
  </si>
  <si>
    <t>ID-number</t>
  </si>
  <si>
    <t>#719</t>
  </si>
  <si>
    <t>Material</t>
  </si>
  <si>
    <t>wood, willow</t>
  </si>
  <si>
    <t>Classification</t>
  </si>
  <si>
    <t>ECN Phyllis classification &gt; untreated wood &gt; willow &gt; wood, willow</t>
  </si>
  <si>
    <t>NTA 8003 classification &gt; [100] hout &gt; [110] vers hout &gt; [120] loofhout &gt; [122] zacht loofhout</t>
  </si>
  <si>
    <t>Ash type</t>
  </si>
  <si>
    <t>ASTM D1102; 600 Degree Celcius</t>
  </si>
  <si>
    <t>Submitter organisation</t>
  </si>
  <si>
    <t>ECN (Netherlands)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</si>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</sst>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2"/>
    </row>
    <row r="17" outlineLevel="1">
      <c r="A17" s="9" t="s">
        <v>30</v>
      </c>
      <c r="I17" s="12"/>
    </row>
    <row r="18" outlineLevel="2">
      <c r="A18" s="10" t="s">
        <v>31</v>
      </c>
      <c r="B18" s="0" t="s">
        <v>32</v>
      </c>
      <c r="C18" s="11">
        <v>10.23</v>
      </c>
      <c r="D18" s="11"/>
      <c r="E18" s="11"/>
      <c r="F18" s="11"/>
      <c r="G18" s="11"/>
      <c r="I18" s="12"/>
    </row>
    <row r="19" outlineLevel="2">
      <c r="A19" s="10" t="s">
        <v>33</v>
      </c>
      <c r="B19" s="0" t="s">
        <v>32</v>
      </c>
      <c r="C19" s="11">
        <f>IFERROR(0.9468642*(1-w),"")</f>
        <v>0.84999999234</v>
      </c>
      <c r="D19" s="11">
        <v>0.9468642</v>
      </c>
      <c r="E19" s="11">
        <v/>
      </c>
      <c r="F19" s="11"/>
      <c r="G19" s="11"/>
      <c r="I19" s="12"/>
    </row>
    <row r="20" outlineLevel="2">
      <c r="A20" s="10" t="s">
        <v>34</v>
      </c>
      <c r="B20" s="0" t="s">
        <v>32</v>
      </c>
      <c r="C20" s="11">
        <f>IFERROR(85.24006*(1-w),"")</f>
        <v>76.520001862</v>
      </c>
      <c r="D20" s="11">
        <v>85.24006</v>
      </c>
      <c r="E20" s="11">
        <v>86.054882878326808</v>
      </c>
      <c r="F20" s="11"/>
      <c r="G20" s="11"/>
      <c r="I20" s="12"/>
    </row>
    <row r="21" outlineLevel="2">
      <c r="A21" s="10" t="s">
        <v>35</v>
      </c>
      <c r="B21" s="0" t="s">
        <v>32</v>
      </c>
      <c r="C21" s="11">
        <f>IFERROR(13.8130758*(1-w),"")</f>
        <v>12.399998145660005</v>
      </c>
      <c r="D21" s="11">
        <v>13.813075800000007</v>
      </c>
      <c r="E21" s="11">
        <v>13.945117121673201</v>
      </c>
      <c r="F21" s="11"/>
      <c r="G21" s="11"/>
      <c r="I21" s="12"/>
      <c r="J21" s="0" t="s">
        <v>36</v>
      </c>
    </row>
    <row r="22" outlineLevel="1">
      <c r="A22" s="9" t="s">
        <v>37</v>
      </c>
      <c r="I22" s="12"/>
    </row>
    <row r="23" outlineLevel="2">
      <c r="A23" s="10" t="s">
        <v>38</v>
      </c>
      <c r="B23" s="0" t="s">
        <v>32</v>
      </c>
      <c r="C23" s="11">
        <f>IFERROR(49.09212*(1-w),"")</f>
        <v>44.069996124</v>
      </c>
      <c r="D23" s="11">
        <v>49.09212</v>
      </c>
      <c r="E23" s="11">
        <v>49.561399145528114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32</v>
      </c>
      <c r="C24" s="11">
        <f>IFERROR(5.892837*(1-w),"")</f>
        <v>5.2899997749</v>
      </c>
      <c r="D24" s="11">
        <v>5.892837</v>
      </c>
      <c r="E24" s="11">
        <v>5.9491675376116664</v>
      </c>
      <c r="F24" s="11"/>
      <c r="G24" s="11"/>
      <c r="I24" s="12"/>
      <c r="J24" s="0" t="s">
        <v>39</v>
      </c>
    </row>
    <row r="25" outlineLevel="2">
      <c r="A25" s="10" t="s">
        <v>41</v>
      </c>
      <c r="B25" s="0" t="s">
        <v>32</v>
      </c>
      <c r="C25" s="11">
        <f>IFERROR(43.67829*(1-w),"")</f>
        <v>39.210000932999996</v>
      </c>
      <c r="D25" s="11">
        <v>43.67829</v>
      </c>
      <c r="E25" s="11">
        <v>44.095817509696644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32</v>
      </c>
      <c r="C26" s="11">
        <f>IFERROR(0.3564665*(1-w),"")</f>
        <v>0.31999997705</v>
      </c>
      <c r="D26" s="11">
        <v>0.3564665</v>
      </c>
      <c r="E26" s="11">
        <v>0.35987401824385251</v>
      </c>
      <c r="F26" s="11"/>
      <c r="G26" s="11"/>
      <c r="I26" s="12"/>
      <c r="J26" s="0" t="s">
        <v>39</v>
      </c>
    </row>
    <row r="27" outlineLevel="2">
      <c r="A27" s="10" t="s">
        <v>43</v>
      </c>
      <c r="B27" s="0" t="s">
        <v>32</v>
      </c>
      <c r="C27" s="11">
        <f>IFERROR(0.03341874*(1-w),"")</f>
        <v>0.030000002898</v>
      </c>
      <c r="D27" s="11">
        <v>0.03341874</v>
      </c>
      <c r="E27" s="11">
        <v>0.033738194889131413</v>
      </c>
      <c r="F27" s="11"/>
      <c r="G27" s="11"/>
      <c r="I27" s="12"/>
      <c r="J27" s="0" t="s">
        <v>39</v>
      </c>
    </row>
    <row r="28" outlineLevel="2">
      <c r="A28" s="10" t="s">
        <v>44</v>
      </c>
      <c r="B28" s="0" t="s">
        <v>32</v>
      </c>
      <c r="C28" s="11">
        <f>IFERROR(99.99999644*(1-w)+w*100,"")</f>
        <v>99.999996804187987</v>
      </c>
      <c r="D28" s="11">
        <v>99.99999643999999</v>
      </c>
      <c r="E28" s="11">
        <v>99.9999964059694</v>
      </c>
      <c r="F28" s="11"/>
      <c r="G28" s="11"/>
      <c r="I28" s="12"/>
      <c r="J28" s="0" t="s">
        <v>36</v>
      </c>
    </row>
    <row r="29" outlineLevel="1">
      <c r="A29" s="9" t="s">
        <v>45</v>
      </c>
      <c r="I29" s="12"/>
    </row>
    <row r="30" outlineLevel="2">
      <c r="A30" s="10" t="s">
        <v>46</v>
      </c>
      <c r="B30" s="0" t="s">
        <v>47</v>
      </c>
      <c r="C30" s="11">
        <f>IFERROR(18.08966*(1-w)-w*2.443,"")</f>
        <v>15.989168881999998</v>
      </c>
      <c r="D30" s="11">
        <v>18.08966</v>
      </c>
      <c r="E30" s="11">
        <v>18.262581849528885</v>
      </c>
      <c r="F30" s="11"/>
      <c r="G30" s="11"/>
      <c r="I30" s="12"/>
    </row>
    <row r="31" outlineLevel="2">
      <c r="A31" s="10" t="s">
        <v>48</v>
      </c>
      <c r="B31" s="0" t="s">
        <v>47</v>
      </c>
      <c r="C31" s="11">
        <f>IFERROR(19.37558*(1-w),"")</f>
        <v>17.393458166</v>
      </c>
      <c r="D31" s="11">
        <v>19.37558</v>
      </c>
      <c r="E31" s="11">
        <v>19.56079415710936</v>
      </c>
      <c r="F31" s="11"/>
      <c r="G31" s="11"/>
      <c r="I31" s="12"/>
    </row>
    <row r="32" outlineLevel="2">
      <c r="A32" s="10" t="s">
        <v>49</v>
      </c>
      <c r="B32" s="0" t="s">
        <v>47</v>
      </c>
      <c r="C32" s="11">
        <f>IFERROR(19.2345153297314*(1-w),"")</f>
        <v>17.266824411499904</v>
      </c>
      <c r="D32" s="11">
        <v>19.23451532973143</v>
      </c>
      <c r="E32" s="11">
        <v>19.418381027904246</v>
      </c>
      <c r="F32" s="11"/>
      <c r="G32" s="11"/>
      <c r="I32" s="12"/>
      <c r="J32" s="0" t="s">
        <v>36</v>
      </c>
    </row>
    <row r="33">
      <c r="A33" s="5" t="s">
        <v>50</v>
      </c>
      <c r="I33" s="12"/>
    </row>
    <row r="34" outlineLevel="1">
      <c r="A34" s="9" t="s">
        <v>51</v>
      </c>
      <c r="I34" s="12"/>
    </row>
    <row r="35" outlineLevel="2">
      <c r="A35" s="10" t="s">
        <v>52</v>
      </c>
      <c r="B35" s="0" t="s">
        <v>53</v>
      </c>
      <c r="C35" s="11">
        <v>13.67</v>
      </c>
      <c r="D35" s="11"/>
      <c r="E35" s="11"/>
      <c r="F35" s="11"/>
      <c r="G35" s="11"/>
      <c r="I35" s="12"/>
    </row>
    <row r="36" outlineLevel="2">
      <c r="A36" s="10" t="s">
        <v>54</v>
      </c>
      <c r="B36" s="0" t="s">
        <v>53</v>
      </c>
      <c r="C36" s="11">
        <v>1.15</v>
      </c>
      <c r="D36" s="11"/>
      <c r="E36" s="11"/>
      <c r="F36" s="11"/>
      <c r="G36" s="11"/>
      <c r="I36" s="12"/>
    </row>
    <row r="37" outlineLevel="2">
      <c r="A37" s="10" t="s">
        <v>55</v>
      </c>
      <c r="B37" s="0" t="s">
        <v>53</v>
      </c>
      <c r="C37" s="11">
        <v>10.04</v>
      </c>
      <c r="D37" s="11"/>
      <c r="E37" s="11"/>
      <c r="F37" s="11"/>
      <c r="G37" s="11"/>
      <c r="I37" s="12"/>
    </row>
    <row r="38" outlineLevel="2">
      <c r="A38" s="10" t="s">
        <v>56</v>
      </c>
      <c r="B38" s="0" t="s">
        <v>53</v>
      </c>
      <c r="C38" s="11">
        <v>8.08</v>
      </c>
      <c r="D38" s="11"/>
      <c r="E38" s="11"/>
      <c r="F38" s="11"/>
      <c r="G38" s="11"/>
      <c r="I38" s="12"/>
    </row>
    <row r="39" outlineLevel="2">
      <c r="A39" s="10" t="s">
        <v>57</v>
      </c>
      <c r="B39" s="0" t="s">
        <v>53</v>
      </c>
      <c r="C39" s="11">
        <v>0.84</v>
      </c>
      <c r="D39" s="11"/>
      <c r="E39" s="11"/>
      <c r="F39" s="11"/>
      <c r="G39" s="11"/>
      <c r="I39" s="12"/>
    </row>
    <row r="40" outlineLevel="2">
      <c r="A40" s="10" t="s">
        <v>58</v>
      </c>
      <c r="B40" s="0" t="s">
        <v>53</v>
      </c>
      <c r="C40" s="11">
        <v>1.39</v>
      </c>
      <c r="D40" s="11"/>
      <c r="E40" s="11"/>
      <c r="F40" s="11"/>
      <c r="G40" s="11"/>
      <c r="I40" s="12"/>
    </row>
    <row r="41" outlineLevel="2">
      <c r="A41" s="10" t="s">
        <v>59</v>
      </c>
      <c r="B41" s="0" t="s">
        <v>53</v>
      </c>
      <c r="C41" s="11">
        <v>45.62</v>
      </c>
      <c r="D41" s="11"/>
      <c r="E41" s="11"/>
      <c r="F41" s="11"/>
      <c r="G41" s="11"/>
      <c r="I41" s="12"/>
    </row>
    <row r="42" outlineLevel="2">
      <c r="A42" s="10" t="s">
        <v>60</v>
      </c>
      <c r="B42" s="0" t="s">
        <v>53</v>
      </c>
      <c r="C42" s="11">
        <v>1.16</v>
      </c>
      <c r="D42" s="11"/>
      <c r="E42" s="11"/>
      <c r="F42" s="11"/>
      <c r="G42" s="11"/>
      <c r="I42" s="12"/>
    </row>
    <row r="43" outlineLevel="2">
      <c r="A43" s="10" t="s">
        <v>61</v>
      </c>
      <c r="B43" s="0" t="s">
        <v>53</v>
      </c>
      <c r="C43" s="11">
        <v>2.47</v>
      </c>
      <c r="D43" s="11"/>
      <c r="E43" s="11"/>
      <c r="F43" s="11"/>
      <c r="G43" s="11"/>
      <c r="I43" s="12"/>
    </row>
    <row r="44" outlineLevel="2">
      <c r="A44" s="10" t="s">
        <v>62</v>
      </c>
      <c r="B44" s="0" t="s">
        <v>53</v>
      </c>
      <c r="C44" s="11">
        <v>13.2</v>
      </c>
      <c r="D44" s="11"/>
      <c r="E44" s="11"/>
      <c r="F44" s="11"/>
      <c r="G44" s="11"/>
      <c r="I44" s="12"/>
    </row>
    <row r="45" outlineLevel="2">
      <c r="A45" s="10" t="s">
        <v>63</v>
      </c>
      <c r="B45" s="0" t="s">
        <v>53</v>
      </c>
      <c r="C45" s="11">
        <v>0.06</v>
      </c>
      <c r="D45" s="11"/>
      <c r="E45" s="11"/>
      <c r="F45" s="11"/>
      <c r="G45" s="11"/>
      <c r="I45" s="12"/>
    </row>
    <row r="46">
      <c r="I46" s="12"/>
    </row>
    <row r="4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8" errorStyle="stop" promptTitle="Enter moisture content" errorTitle="Invalid moisture content" prompt="Value should be between 0 and 100.&#10;Original value: 10.2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https://phyllis.nl/Biomass/View/719</dc:description>
  <dcterms:created xsi:type="dcterms:W3CDTF">2026-03-19T07:26:54Z</dcterms:created>
  <dc:title>Phyllis2 #719 wood, willow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