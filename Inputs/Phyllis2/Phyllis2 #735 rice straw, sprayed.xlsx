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35 rice straw, spray" sheetId="1" r:id="rId1"/>
  </sheets>
  <definedNames>
    <definedName name="w" localSheetId="0">IF(ISBLANK('Phyllis2 #735 rice straw, spray'!$C$18),#N/A,'Phyllis2 #735 rice straw, spray'!$C$18/100)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<sst xmlns="http://schemas.openxmlformats.org/spreadsheetml/2006/main" count="64" uniqueCount="64">
  <si>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</si>
  <si>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https://phyllis.nl/Biomass/View/735</t>
  </si>
  <si>
    <t>rice straw, sprayed (#735)</t>
  </si>
  <si>
    <t>ID-number</t>
  </si>
  <si>
    <t>#735</t>
  </si>
  <si>
    <t>Material</t>
  </si>
  <si>
    <t>rice straw, sprayed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</si>
  <si>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</si>
  <si>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</si>
  <si>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</si>
  <si>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Ash type</t>
  </si>
  <si>
    <t>2 h at 575 degC</t>
  </si>
  <si>
    <t>Submitter organisation</t>
  </si>
  <si>
    <t>ECN (Netherlands)</t>
  </si>
  <si>
    <t>Literature</t>
  </si>
  <si>
    <t>B. M. Jenkins, R. R. Bakker and J. B. Wei: On the properties of washed straw. Biomass and Bioenergy 10 (4) pp. 177-200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</si>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</sst>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83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IFERROR(17.59*(1-w),"")</f>
        <v>2.9903000000000008</v>
      </c>
      <c r="D19" s="11">
        <v>17.59</v>
      </c>
      <c r="E19" s="11">
        <v/>
      </c>
      <c r="F19" s="11"/>
      <c r="G19" s="11"/>
      <c r="I19" s="13"/>
    </row>
    <row r="20" outlineLevel="1">
      <c r="A20" s="9" t="s">
        <v>34</v>
      </c>
      <c r="I20" s="13"/>
    </row>
    <row r="21" outlineLevel="2">
      <c r="A21" s="10" t="s">
        <v>35</v>
      </c>
      <c r="B21" s="0" t="s">
        <v>32</v>
      </c>
      <c r="C21" s="11">
        <f>IFERROR(39.45*(1-w),"")</f>
        <v>6.7065000000000019</v>
      </c>
      <c r="D21" s="11">
        <v>39.45</v>
      </c>
      <c r="E21" s="11">
        <v>47.8704040771751</v>
      </c>
      <c r="F21" s="11"/>
      <c r="G21" s="11"/>
      <c r="I21" s="13"/>
      <c r="J21" s="0" t="s">
        <v>36</v>
      </c>
    </row>
    <row r="22" outlineLevel="2">
      <c r="A22" s="10" t="s">
        <v>37</v>
      </c>
      <c r="B22" s="0" t="s">
        <v>32</v>
      </c>
      <c r="C22" s="11">
        <f>IFERROR(5.11*(1-w),"")</f>
        <v>0.86870000000000025</v>
      </c>
      <c r="D22" s="11">
        <v>5.11</v>
      </c>
      <c r="E22" s="11">
        <v>6.2007037980827571</v>
      </c>
      <c r="F22" s="11"/>
      <c r="G22" s="11"/>
      <c r="I22" s="13"/>
      <c r="J22" s="0" t="s">
        <v>36</v>
      </c>
    </row>
    <row r="23" outlineLevel="2">
      <c r="A23" s="10" t="s">
        <v>38</v>
      </c>
      <c r="B23" s="0" t="s">
        <v>32</v>
      </c>
      <c r="C23" s="11">
        <f>IFERROR(36.93*(1-w),"")</f>
        <v>6.2781000000000011</v>
      </c>
      <c r="D23" s="11">
        <v>36.93</v>
      </c>
      <c r="E23" s="11">
        <v>44.812522752093187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IFERROR(0.47*(1-w),"")</f>
        <v>0.079900000000000013</v>
      </c>
      <c r="D24" s="11">
        <v>0.47</v>
      </c>
      <c r="E24" s="11">
        <v>0.5703191360271811</v>
      </c>
      <c r="F24" s="11"/>
      <c r="G24" s="11"/>
      <c r="I24" s="13"/>
      <c r="J24" s="0" t="s">
        <v>36</v>
      </c>
    </row>
    <row r="25" outlineLevel="2">
      <c r="A25" s="10" t="s">
        <v>41</v>
      </c>
      <c r="B25" s="0" t="s">
        <v>32</v>
      </c>
      <c r="C25" s="11">
        <f>IFERROR(0.07*(1-w),"")</f>
        <v>0.011900000000000004</v>
      </c>
      <c r="D25" s="11">
        <v>0.07</v>
      </c>
      <c r="E25" s="11">
        <v>0.084941147918941876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IFERROR(100*(1-w)+w*100,"")</f>
        <v>100</v>
      </c>
      <c r="D26" s="11">
        <v>100</v>
      </c>
      <c r="E26" s="11">
        <v>99.999999999999986</v>
      </c>
      <c r="F26" s="11"/>
      <c r="G26" s="11"/>
      <c r="I26" s="13"/>
      <c r="J26" s="0" t="s">
        <v>39</v>
      </c>
    </row>
    <row r="27" outlineLevel="1">
      <c r="A27" s="9" t="s">
        <v>43</v>
      </c>
      <c r="I27" s="13"/>
    </row>
    <row r="28" outlineLevel="2">
      <c r="A28" s="10" t="s">
        <v>44</v>
      </c>
      <c r="B28" s="0" t="s">
        <v>45</v>
      </c>
      <c r="C28" s="12">
        <f>IFERROR(3800*(1-w),"")</f>
        <v>646.00000000000011</v>
      </c>
      <c r="D28" s="12">
        <v>3800</v>
      </c>
      <c r="E28" s="12">
        <v>4611.0908870282728</v>
      </c>
      <c r="F28" s="12"/>
      <c r="G28" s="12"/>
      <c r="I28" s="13"/>
      <c r="J28" s="0" t="s">
        <v>36</v>
      </c>
    </row>
    <row r="29" outlineLevel="1">
      <c r="A29" s="9" t="s">
        <v>46</v>
      </c>
      <c r="I29" s="13"/>
    </row>
    <row r="30" outlineLevel="2">
      <c r="A30" s="10" t="s">
        <v>47</v>
      </c>
      <c r="B30" s="0" t="s">
        <v>48</v>
      </c>
      <c r="C30" s="11">
        <f>IFERROR(14.38491*(1-w)-w*2.443,"")</f>
        <v>0.41774470000000052</v>
      </c>
      <c r="D30" s="11">
        <v>14.38491</v>
      </c>
      <c r="E30" s="11">
        <v>17.455296687295231</v>
      </c>
      <c r="F30" s="11"/>
      <c r="G30" s="11"/>
      <c r="I30" s="13"/>
    </row>
    <row r="31" outlineLevel="2">
      <c r="A31" s="10" t="s">
        <v>49</v>
      </c>
      <c r="B31" s="0" t="s">
        <v>48</v>
      </c>
      <c r="C31" s="11">
        <f>IFERROR(15.5*(1-w),"")</f>
        <v>2.6350000000000007</v>
      </c>
      <c r="D31" s="11">
        <v>15.5</v>
      </c>
      <c r="E31" s="11">
        <v>18.808397039194272</v>
      </c>
      <c r="F31" s="11"/>
      <c r="G31" s="11"/>
      <c r="I31" s="13"/>
    </row>
    <row r="32" outlineLevel="2">
      <c r="A32" s="10" t="s">
        <v>50</v>
      </c>
      <c r="B32" s="0" t="s">
        <v>48</v>
      </c>
      <c r="C32" s="11">
        <f>IFERROR(15.5028844393*(1-w),"")</f>
        <v>2.6354903546810013</v>
      </c>
      <c r="D32" s="11">
        <v>15.502884439300004</v>
      </c>
      <c r="E32" s="11">
        <v>18.811897147554912</v>
      </c>
      <c r="F32" s="11"/>
      <c r="G32" s="11"/>
      <c r="I32" s="13"/>
      <c r="J32" s="0" t="s">
        <v>39</v>
      </c>
    </row>
    <row r="33">
      <c r="A33" s="5" t="s">
        <v>51</v>
      </c>
      <c r="I33" s="13"/>
    </row>
    <row r="34" outlineLevel="1">
      <c r="A34" s="9" t="s">
        <v>52</v>
      </c>
      <c r="I34" s="13"/>
    </row>
    <row r="35" outlineLevel="2">
      <c r="A35" s="10" t="s">
        <v>53</v>
      </c>
      <c r="B35" s="0" t="s">
        <v>54</v>
      </c>
      <c r="C35" s="11">
        <v>0.86</v>
      </c>
      <c r="D35" s="11"/>
      <c r="E35" s="11"/>
      <c r="F35" s="11"/>
      <c r="G35" s="11"/>
      <c r="I35" s="13"/>
    </row>
    <row r="36" outlineLevel="2">
      <c r="A36" s="10" t="s">
        <v>55</v>
      </c>
      <c r="B36" s="0" t="s">
        <v>54</v>
      </c>
      <c r="C36" s="11">
        <v>1.68</v>
      </c>
      <c r="D36" s="11"/>
      <c r="E36" s="11"/>
      <c r="F36" s="11"/>
      <c r="G36" s="11"/>
      <c r="I36" s="13"/>
    </row>
    <row r="37" outlineLevel="2">
      <c r="A37" s="10" t="s">
        <v>56</v>
      </c>
      <c r="B37" s="0" t="s">
        <v>54</v>
      </c>
      <c r="C37" s="11">
        <v>81.3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54</v>
      </c>
      <c r="C38" s="11">
        <v>0.74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54</v>
      </c>
      <c r="C39" s="11">
        <v>0.59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54</v>
      </c>
      <c r="C40" s="11">
        <v>2.36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54</v>
      </c>
      <c r="C41" s="11">
        <v>2.17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54</v>
      </c>
      <c r="C42" s="11">
        <v>1.57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54</v>
      </c>
      <c r="C43" s="11">
        <v>7.45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54</v>
      </c>
      <c r="C44" s="11">
        <v>0.07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8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https://phyllis.nl/Biomass/View/735</dc:description>
  <dcterms:created xsi:type="dcterms:W3CDTF">2026-03-17T06:10:40Z</dcterms:created>
  <dc:title>Phyllis2 #735 rice straw, sprayed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