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736 rice straw, soake" sheetId="1" r:id="rId1"/>
  </sheets>
  <definedNames>
    <definedName name="w" localSheetId="0">IF(ISBLANK('Phyllis2 #736 rice straw, soake'!$C$18),#N/A,'Phyllis2 #736 rice straw, soake'!$C$18/100)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<sst xmlns="http://schemas.openxmlformats.org/spreadsheetml/2006/main" count="64" uniqueCount="64">
  <si>
    <t>Phyllis2</t>
  </si>
  <si>
    <t>https://phyllis.nl/Biomass/View/736</t>
  </si>
  <si>
    <t>rice straw, soaked (#736)</t>
  </si>
  <si>
    <t>ID-number</t>
  </si>
  <si>
    <t>#736</t>
  </si>
  <si>
    <t>Material</t>
  </si>
  <si>
    <t>rice straw, soaked</t>
  </si>
  <si>
    <t>Classification</t>
  </si>
  <si>
    <t>ECN Phyllis classification &gt; straw (stalk/cob/ear) &gt; rice</t>
  </si>
  <si>
    <t>NTA 8003 classification &gt; [200] biomassa uit land- en tuinbouw &gt; [220] stro &gt; [224] rijsthalm</t>
  </si>
  <si>
    <t>Ash type</t>
  </si>
  <si>
    <t>2 h at 575 degC</t>
  </si>
  <si>
    <t>Submitter organisation</t>
  </si>
  <si>
    <t>ECN (Netherlands)</t>
  </si>
  <si>
    <t>Literature</t>
  </si>
  <si>
    <t>B. M. Jenkins, R. R. Bakker and J. B. Wei: On the properties of washed straw. Biomass and Bioenergy 10 (4) pp. 177-200 (1996).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</si>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</sst>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73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>88</v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32</v>
      </c>
      <c r="C19" s="11">
        <f>IFERROR(17.1*(1-w),"")</f>
        <v>2.052</v>
      </c>
      <c r="D19" s="11">
        <v>17.1</v>
      </c>
      <c r="E19" s="11">
        <v/>
      </c>
      <c r="F19" s="11"/>
      <c r="G19" s="11"/>
      <c r="I19" s="13"/>
    </row>
    <row r="20" outlineLevel="1">
      <c r="A20" s="9" t="s">
        <v>34</v>
      </c>
      <c r="I20" s="13"/>
    </row>
    <row r="21" outlineLevel="2">
      <c r="A21" s="10" t="s">
        <v>35</v>
      </c>
      <c r="B21" s="0" t="s">
        <v>32</v>
      </c>
      <c r="C21" s="11">
        <f>IFERROR(40.06*(1-w),"")</f>
        <v>4.8072</v>
      </c>
      <c r="D21" s="11">
        <v>40.06</v>
      </c>
      <c r="E21" s="11">
        <v>48.323281061519907</v>
      </c>
      <c r="F21" s="11"/>
      <c r="G21" s="11"/>
      <c r="I21" s="13"/>
      <c r="J21" s="0" t="s">
        <v>36</v>
      </c>
    </row>
    <row r="22" outlineLevel="2">
      <c r="A22" s="10" t="s">
        <v>37</v>
      </c>
      <c r="B22" s="0" t="s">
        <v>32</v>
      </c>
      <c r="C22" s="11">
        <f>IFERROR(5.2*(1-w),"")</f>
        <v>0.624</v>
      </c>
      <c r="D22" s="11">
        <v>5.2</v>
      </c>
      <c r="E22" s="11">
        <v>6.2726176115802179</v>
      </c>
      <c r="F22" s="11"/>
      <c r="G22" s="11"/>
      <c r="I22" s="13"/>
      <c r="J22" s="0" t="s">
        <v>36</v>
      </c>
    </row>
    <row r="23" outlineLevel="2">
      <c r="A23" s="10" t="s">
        <v>38</v>
      </c>
      <c r="B23" s="0" t="s">
        <v>32</v>
      </c>
      <c r="C23" s="11">
        <f>IFERROR(37.04*(1-w),"")</f>
        <v>4.4448</v>
      </c>
      <c r="D23" s="11">
        <v>37.04</v>
      </c>
      <c r="E23" s="11">
        <v>44.680337756332932</v>
      </c>
      <c r="F23" s="11"/>
      <c r="G23" s="11"/>
      <c r="I23" s="13"/>
      <c r="J23" s="0" t="s">
        <v>39</v>
      </c>
    </row>
    <row r="24" outlineLevel="2">
      <c r="A24" s="10" t="s">
        <v>40</v>
      </c>
      <c r="B24" s="0" t="s">
        <v>32</v>
      </c>
      <c r="C24" s="11">
        <f>IFERROR(0.48*(1-w),"")</f>
        <v>0.0576</v>
      </c>
      <c r="D24" s="11">
        <v>0.48</v>
      </c>
      <c r="E24" s="11">
        <v>0.57901085645355854</v>
      </c>
      <c r="F24" s="11"/>
      <c r="G24" s="11"/>
      <c r="I24" s="13"/>
      <c r="J24" s="0" t="s">
        <v>36</v>
      </c>
    </row>
    <row r="25" outlineLevel="2">
      <c r="A25" s="10" t="s">
        <v>41</v>
      </c>
      <c r="B25" s="0" t="s">
        <v>32</v>
      </c>
      <c r="C25" s="11">
        <f>IFERROR(0.06*(1-w),"")</f>
        <v>0.0072</v>
      </c>
      <c r="D25" s="11">
        <v>0.06</v>
      </c>
      <c r="E25" s="11">
        <v>0.072376357056694818</v>
      </c>
      <c r="F25" s="11"/>
      <c r="G25" s="11"/>
      <c r="I25" s="13"/>
      <c r="J25" s="0" t="s">
        <v>36</v>
      </c>
    </row>
    <row r="26" outlineLevel="2">
      <c r="A26" s="10" t="s">
        <v>42</v>
      </c>
      <c r="B26" s="0" t="s">
        <v>32</v>
      </c>
      <c r="C26" s="11">
        <f>IFERROR(100*(1-w)+w*100,"")</f>
        <v>100</v>
      </c>
      <c r="D26" s="11">
        <v>100.00000000000003</v>
      </c>
      <c r="E26" s="11">
        <v>100.00000000000004</v>
      </c>
      <c r="F26" s="11"/>
      <c r="G26" s="11"/>
      <c r="I26" s="13"/>
      <c r="J26" s="0" t="s">
        <v>39</v>
      </c>
    </row>
    <row r="27" outlineLevel="1">
      <c r="A27" s="9" t="s">
        <v>43</v>
      </c>
      <c r="I27" s="13"/>
    </row>
    <row r="28" outlineLevel="2">
      <c r="A28" s="10" t="s">
        <v>44</v>
      </c>
      <c r="B28" s="0" t="s">
        <v>45</v>
      </c>
      <c r="C28" s="12">
        <f>IFERROR(600*(1-w),"")</f>
        <v>72</v>
      </c>
      <c r="D28" s="12">
        <v>600</v>
      </c>
      <c r="E28" s="12">
        <v>723.76357056694815</v>
      </c>
      <c r="F28" s="12"/>
      <c r="G28" s="12"/>
      <c r="I28" s="13"/>
      <c r="J28" s="0" t="s">
        <v>36</v>
      </c>
    </row>
    <row r="29" outlineLevel="1">
      <c r="A29" s="9" t="s">
        <v>46</v>
      </c>
      <c r="I29" s="13"/>
    </row>
    <row r="30" outlineLevel="2">
      <c r="A30" s="10" t="s">
        <v>47</v>
      </c>
      <c r="B30" s="0" t="s">
        <v>48</v>
      </c>
      <c r="C30" s="11">
        <f>IFERROR(14.71527*(1-w)-w*2.443,"")</f>
        <v>-0.38400760000000012</v>
      </c>
      <c r="D30" s="11">
        <v>14.71527</v>
      </c>
      <c r="E30" s="11">
        <v>17.75062726176116</v>
      </c>
      <c r="F30" s="11"/>
      <c r="G30" s="11"/>
      <c r="I30" s="13"/>
    </row>
    <row r="31" outlineLevel="2">
      <c r="A31" s="10" t="s">
        <v>49</v>
      </c>
      <c r="B31" s="0" t="s">
        <v>48</v>
      </c>
      <c r="C31" s="11">
        <f>IFERROR(15.85*(1-w),"")</f>
        <v>1.902</v>
      </c>
      <c r="D31" s="11">
        <v>15.85</v>
      </c>
      <c r="E31" s="11">
        <v>19.119420989143546</v>
      </c>
      <c r="F31" s="11"/>
      <c r="G31" s="11"/>
      <c r="I31" s="13"/>
    </row>
    <row r="32" outlineLevel="2">
      <c r="A32" s="10" t="s">
        <v>50</v>
      </c>
      <c r="B32" s="0" t="s">
        <v>48</v>
      </c>
      <c r="C32" s="11">
        <f>IFERROR(15.81968473*(1-w),"")</f>
        <v>1.8983621676</v>
      </c>
      <c r="D32" s="11">
        <v>15.81968473</v>
      </c>
      <c r="E32" s="11">
        <v>19.082852509047047</v>
      </c>
      <c r="F32" s="11"/>
      <c r="G32" s="11"/>
      <c r="I32" s="13"/>
      <c r="J32" s="0" t="s">
        <v>39</v>
      </c>
    </row>
    <row r="33">
      <c r="A33" s="5" t="s">
        <v>51</v>
      </c>
      <c r="I33" s="13"/>
    </row>
    <row r="34" outlineLevel="1">
      <c r="A34" s="9" t="s">
        <v>52</v>
      </c>
      <c r="I34" s="13"/>
    </row>
    <row r="35" outlineLevel="2">
      <c r="A35" s="10" t="s">
        <v>53</v>
      </c>
      <c r="B35" s="0" t="s">
        <v>54</v>
      </c>
      <c r="C35" s="11">
        <v>0.32</v>
      </c>
      <c r="D35" s="11"/>
      <c r="E35" s="11"/>
      <c r="F35" s="11"/>
      <c r="G35" s="11"/>
      <c r="I35" s="13"/>
    </row>
    <row r="36" outlineLevel="2">
      <c r="A36" s="10" t="s">
        <v>55</v>
      </c>
      <c r="B36" s="0" t="s">
        <v>54</v>
      </c>
      <c r="C36" s="11">
        <v>0.39</v>
      </c>
      <c r="D36" s="11"/>
      <c r="E36" s="11"/>
      <c r="F36" s="11"/>
      <c r="G36" s="11"/>
      <c r="I36" s="13"/>
    </row>
    <row r="37" outlineLevel="2">
      <c r="A37" s="10" t="s">
        <v>56</v>
      </c>
      <c r="B37" s="0" t="s">
        <v>54</v>
      </c>
      <c r="C37" s="11">
        <v>93.13</v>
      </c>
      <c r="D37" s="11"/>
      <c r="E37" s="11"/>
      <c r="F37" s="11"/>
      <c r="G37" s="11"/>
      <c r="I37" s="13"/>
    </row>
    <row r="38" outlineLevel="2">
      <c r="A38" s="10" t="s">
        <v>57</v>
      </c>
      <c r="B38" s="0" t="s">
        <v>54</v>
      </c>
      <c r="C38" s="11">
        <v>0.46</v>
      </c>
      <c r="D38" s="11"/>
      <c r="E38" s="11"/>
      <c r="F38" s="11"/>
      <c r="G38" s="11"/>
      <c r="I38" s="13"/>
    </row>
    <row r="39" outlineLevel="2">
      <c r="A39" s="10" t="s">
        <v>58</v>
      </c>
      <c r="B39" s="0" t="s">
        <v>54</v>
      </c>
      <c r="C39" s="11">
        <v>0.98</v>
      </c>
      <c r="D39" s="11"/>
      <c r="E39" s="11"/>
      <c r="F39" s="11"/>
      <c r="G39" s="11"/>
      <c r="I39" s="13"/>
    </row>
    <row r="40" outlineLevel="2">
      <c r="A40" s="10" t="s">
        <v>59</v>
      </c>
      <c r="B40" s="0" t="s">
        <v>54</v>
      </c>
      <c r="C40" s="11">
        <v>2.12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54</v>
      </c>
      <c r="C41" s="11">
        <v>0.86</v>
      </c>
      <c r="D41" s="11"/>
      <c r="E41" s="11"/>
      <c r="F41" s="11"/>
      <c r="G41" s="11"/>
      <c r="I41" s="13"/>
    </row>
    <row r="42" outlineLevel="2">
      <c r="A42" s="10" t="s">
        <v>61</v>
      </c>
      <c r="B42" s="0" t="s">
        <v>54</v>
      </c>
      <c r="C42" s="11">
        <v>0.18</v>
      </c>
      <c r="D42" s="11"/>
      <c r="E42" s="11"/>
      <c r="F42" s="11"/>
      <c r="G42" s="11"/>
      <c r="I42" s="13"/>
    </row>
    <row r="43" outlineLevel="2">
      <c r="A43" s="10" t="s">
        <v>62</v>
      </c>
      <c r="B43" s="0" t="s">
        <v>54</v>
      </c>
      <c r="C43" s="11">
        <v>2.03</v>
      </c>
      <c r="D43" s="11"/>
      <c r="E43" s="11"/>
      <c r="F43" s="11"/>
      <c r="G43" s="11"/>
      <c r="I43" s="13"/>
    </row>
    <row r="44" outlineLevel="2">
      <c r="A44" s="10" t="s">
        <v>63</v>
      </c>
      <c r="B44" s="0" t="s">
        <v>54</v>
      </c>
      <c r="C44" s="11">
        <v>0.05</v>
      </c>
      <c r="D44" s="11"/>
      <c r="E44" s="11"/>
      <c r="F44" s="11"/>
      <c r="G44" s="11"/>
      <c r="I44" s="13"/>
    </row>
    <row r="45">
      <c r="I45" s="13"/>
    </row>
    <row r="4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</mergeCells>
  <dataValidations count="1">
    <dataValidation type="decimal" sqref="C18" errorStyle="stop" promptTitle="Enter moisture content" errorTitle="Invalid moisture content" prompt="Value should be between 0 and 100.&#10;Original value: 8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https://phyllis.nl/Biomass/View/736</dc:description>
  <dcterms:created xsi:type="dcterms:W3CDTF">2026-03-17T06:10:36Z</dcterms:created>
  <dc:title>Phyllis2 #736 rice straw, soaked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