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37 rice straw, rain " sheetId="1" r:id="rId1"/>
  </sheets>
  <definedNames>
    <definedName name="w" localSheetId="0">IF(ISBLANK('Phyllis2 #737 rice straw, rain '!$C$19),#N/A,'Phyllis2 #737 rice straw, rain 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<sst xmlns="http://schemas.openxmlformats.org/spreadsheetml/2006/main" count="66" uniqueCount="66">
  <si>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</si>
  <si>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https://phyllis.nl/Biomass/View/737</t>
  </si>
  <si>
    <t>rice straw, rain washed (#737)</t>
  </si>
  <si>
    <t>ID-number</t>
  </si>
  <si>
    <t>#737</t>
  </si>
  <si>
    <t>Material</t>
  </si>
  <si>
    <t>rice straw, rain washed</t>
  </si>
  <si>
    <t>Classification</t>
  </si>
  <si>
    <t>ECN Phyllis classification &gt; straw (stalk/cob/ear) &gt; rice</t>
  </si>
  <si>
    <t>NTA 8003 classification &gt; [200] biomassa uit land- en tuinbouw &gt; [220] stro &gt; [224] rijsthalm</t>
  </si>
  <si>
    <t>Ash type</t>
  </si>
  <si>
    <t>2 h at 575 degC</t>
  </si>
  <si>
    <t>Submitter organisation</t>
  </si>
  <si>
    <t>ECN (Netherlands)</t>
  </si>
  <si>
    <t>Remarks</t>
  </si>
  <si>
    <t>65 mm cumulative precipitation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</si>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</sst>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/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35</v>
      </c>
      <c r="C20" s="11">
        <f>IFERROR(17.84*(1-w),"")</f>
        <v/>
      </c>
      <c r="D20" s="11">
        <v>17.84</v>
      </c>
      <c r="E20" s="11">
        <v/>
      </c>
      <c r="F20" s="11"/>
      <c r="G20" s="11"/>
      <c r="I20" s="13"/>
    </row>
    <row r="21" outlineLevel="1">
      <c r="A21" s="9" t="s">
        <v>36</v>
      </c>
      <c r="I21" s="13"/>
    </row>
    <row r="22" outlineLevel="2">
      <c r="A22" s="10" t="s">
        <v>37</v>
      </c>
      <c r="B22" s="0" t="s">
        <v>35</v>
      </c>
      <c r="C22" s="11">
        <f>IFERROR(39.55*(1-w),"")</f>
        <v/>
      </c>
      <c r="D22" s="11">
        <v>39.55</v>
      </c>
      <c r="E22" s="11">
        <v>48.137779941577406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35</v>
      </c>
      <c r="C23" s="11">
        <f>IFERROR(5.15*(1-w),"")</f>
        <v/>
      </c>
      <c r="D23" s="11">
        <v>5.15</v>
      </c>
      <c r="E23" s="11">
        <v>6.2682570593963005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35</v>
      </c>
      <c r="C24" s="11">
        <f>IFERROR(36.74*(1-w),"")</f>
        <v/>
      </c>
      <c r="D24" s="11">
        <v>36.74</v>
      </c>
      <c r="E24" s="11">
        <v>44.7176241480039</v>
      </c>
      <c r="F24" s="11"/>
      <c r="G24" s="11"/>
      <c r="I24" s="13"/>
      <c r="J24" s="0" t="s">
        <v>41</v>
      </c>
    </row>
    <row r="25" outlineLevel="2">
      <c r="A25" s="10" t="s">
        <v>42</v>
      </c>
      <c r="B25" s="0" t="s">
        <v>35</v>
      </c>
      <c r="C25" s="11">
        <f>IFERROR(0.6*(1-w),"")</f>
        <v/>
      </c>
      <c r="D25" s="11">
        <v>0.6</v>
      </c>
      <c r="E25" s="11">
        <v>0.73028237585199607</v>
      </c>
      <c r="F25" s="11"/>
      <c r="G25" s="11"/>
      <c r="I25" s="13"/>
      <c r="J25" s="0" t="s">
        <v>38</v>
      </c>
    </row>
    <row r="26" outlineLevel="2">
      <c r="A26" s="10" t="s">
        <v>43</v>
      </c>
      <c r="B26" s="0" t="s">
        <v>35</v>
      </c>
      <c r="C26" s="11">
        <f>IFERROR(0.06*(1-w),"")</f>
        <v/>
      </c>
      <c r="D26" s="11">
        <v>0.06</v>
      </c>
      <c r="E26" s="11">
        <v>0.0730282375851996</v>
      </c>
      <c r="F26" s="11"/>
      <c r="G26" s="11"/>
      <c r="I26" s="13"/>
      <c r="J26" s="0" t="s">
        <v>38</v>
      </c>
    </row>
    <row r="27" outlineLevel="2">
      <c r="A27" s="10" t="s">
        <v>44</v>
      </c>
      <c r="B27" s="0" t="s">
        <v>35</v>
      </c>
      <c r="C27" s="11">
        <f>IFERROR(100*(1-w)+w*100,"")</f>
        <v/>
      </c>
      <c r="D27" s="11">
        <v>100</v>
      </c>
      <c r="E27" s="11">
        <v>100</v>
      </c>
      <c r="F27" s="11"/>
      <c r="G27" s="11"/>
      <c r="I27" s="13"/>
      <c r="J27" s="0" t="s">
        <v>41</v>
      </c>
    </row>
    <row r="28" outlineLevel="1">
      <c r="A28" s="9" t="s">
        <v>45</v>
      </c>
      <c r="I28" s="13"/>
    </row>
    <row r="29" outlineLevel="2">
      <c r="A29" s="10" t="s">
        <v>46</v>
      </c>
      <c r="B29" s="0" t="s">
        <v>47</v>
      </c>
      <c r="C29" s="12">
        <f>IFERROR(600*(1-w),"")</f>
        <v/>
      </c>
      <c r="D29" s="12">
        <v>600</v>
      </c>
      <c r="E29" s="12">
        <v>730.28237585199611</v>
      </c>
      <c r="F29" s="12"/>
      <c r="G29" s="12"/>
      <c r="I29" s="13"/>
      <c r="J29" s="0" t="s">
        <v>38</v>
      </c>
    </row>
    <row r="30" outlineLevel="1">
      <c r="A30" s="9" t="s">
        <v>48</v>
      </c>
      <c r="I30" s="13"/>
    </row>
    <row r="31" outlineLevel="2">
      <c r="A31" s="10" t="s">
        <v>49</v>
      </c>
      <c r="B31" s="0" t="s">
        <v>50</v>
      </c>
      <c r="C31" s="11">
        <f>IFERROR(14.69618*(1-w)-w*2.443,"")</f>
        <v/>
      </c>
      <c r="D31" s="11">
        <v>14.69618</v>
      </c>
      <c r="E31" s="11">
        <v>17.887268743914312</v>
      </c>
      <c r="F31" s="11"/>
      <c r="G31" s="11"/>
      <c r="I31" s="13"/>
    </row>
    <row r="32" outlineLevel="2">
      <c r="A32" s="10" t="s">
        <v>51</v>
      </c>
      <c r="B32" s="0" t="s">
        <v>50</v>
      </c>
      <c r="C32" s="11">
        <f>IFERROR(15.82*(1-w),"")</f>
        <v/>
      </c>
      <c r="D32" s="11">
        <v>15.82</v>
      </c>
      <c r="E32" s="11">
        <v>19.255111976630964</v>
      </c>
      <c r="F32" s="11"/>
      <c r="G32" s="11"/>
      <c r="I32" s="13"/>
    </row>
    <row r="33" outlineLevel="2">
      <c r="A33" s="10" t="s">
        <v>52</v>
      </c>
      <c r="B33" s="0" t="s">
        <v>50</v>
      </c>
      <c r="C33" s="11">
        <f>IFERROR(15.5939086368*(1-w),"")</f>
        <v/>
      </c>
      <c r="D33" s="11">
        <v>15.5939086368</v>
      </c>
      <c r="E33" s="11">
        <v>18.979927746835443</v>
      </c>
      <c r="F33" s="11"/>
      <c r="G33" s="11"/>
      <c r="I33" s="13"/>
      <c r="J33" s="0" t="s">
        <v>41</v>
      </c>
    </row>
    <row r="34">
      <c r="A34" s="5" t="s">
        <v>53</v>
      </c>
      <c r="I34" s="13"/>
    </row>
    <row r="35" outlineLevel="1">
      <c r="A35" s="9" t="s">
        <v>54</v>
      </c>
      <c r="I35" s="13"/>
    </row>
    <row r="36" outlineLevel="2">
      <c r="A36" s="10" t="s">
        <v>55</v>
      </c>
      <c r="B36" s="0" t="s">
        <v>56</v>
      </c>
      <c r="C36" s="11">
        <v>0.36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56</v>
      </c>
      <c r="C37" s="11">
        <v>0.63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56</v>
      </c>
      <c r="C38" s="11">
        <v>91.6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56</v>
      </c>
      <c r="C39" s="11">
        <v>0.5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56</v>
      </c>
      <c r="C40" s="11">
        <v>0.82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56</v>
      </c>
      <c r="C41" s="11">
        <v>2.09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56</v>
      </c>
      <c r="C42" s="11">
        <v>1.32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56</v>
      </c>
      <c r="C43" s="11">
        <v>0.19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56</v>
      </c>
      <c r="C44" s="11">
        <v>2.21</v>
      </c>
      <c r="D44" s="11"/>
      <c r="E44" s="11"/>
      <c r="F44" s="11"/>
      <c r="G44" s="11"/>
      <c r="I44" s="13"/>
    </row>
    <row r="45" outlineLevel="2">
      <c r="A45" s="10" t="s">
        <v>65</v>
      </c>
      <c r="B45" s="0" t="s">
        <v>56</v>
      </c>
      <c r="C45" s="11">
        <v>0.02</v>
      </c>
      <c r="D45" s="11"/>
      <c r="E45" s="11"/>
      <c r="F45" s="11"/>
      <c r="G45" s="11"/>
      <c r="I45" s="13"/>
    </row>
    <row r="46">
      <c r="I46" s="13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https://phyllis.nl/Biomass/View/737</dc:description>
  <dcterms:created xsi:type="dcterms:W3CDTF">2026-03-17T06:10:38Z</dcterms:created>
  <dc:title>Phyllis2 #737 rice straw, rain washed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