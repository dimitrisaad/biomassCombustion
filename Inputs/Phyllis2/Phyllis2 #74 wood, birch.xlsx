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4 wood, birch" sheetId="1" r:id="rId1"/>
  </sheets>
  <definedNames>
    <definedName name="w" localSheetId="0">IF(ISBLANK('Phyllis2 #74 wood, birch'!$C$17),#N/A,'Phyllis2 #74 wood, birch'!$C$17/100)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<sst xmlns="http://schemas.openxmlformats.org/spreadsheetml/2006/main" count="45" uniqueCount="45">
  <si>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</si>
  <si>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https://phyllis.nl/Biomass/View/74</t>
  </si>
  <si>
    <t>wood, birch (#74)</t>
  </si>
  <si>
    <t>ID-number</t>
  </si>
  <si>
    <t>#74</t>
  </si>
  <si>
    <t>Material</t>
  </si>
  <si>
    <t>wood, birch</t>
  </si>
  <si>
    <t>Classification</t>
  </si>
  <si>
    <t>ECN Phyllis classification &gt; untreated wood &gt; birch &gt; wood, birch</t>
  </si>
  <si>
    <t>NTA 8003 classification &gt; [100] hout &gt; [110] vers hout &gt; [120] loofhout &gt; [122] zacht loofhout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</si>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</sst>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IFERROR(0.3*(1-w),"")</f>
        <v/>
      </c>
      <c r="D18" s="11">
        <v>0.3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IFERROR(49.8*(1-w),"")</f>
        <v/>
      </c>
      <c r="D20" s="11">
        <v>49.8</v>
      </c>
      <c r="E20" s="11">
        <v>49.949849548645936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IFERROR(6.5*(1-w),"")</f>
        <v/>
      </c>
      <c r="D21" s="11">
        <v>6.5</v>
      </c>
      <c r="E21" s="11">
        <v>6.5195586760280841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IFERROR(43.4*(1-w),"")</f>
        <v/>
      </c>
      <c r="D22" s="11">
        <v>43.4</v>
      </c>
      <c r="E22" s="11">
        <v>43.530591775325973</v>
      </c>
      <c r="F22" s="11"/>
      <c r="G22" s="11"/>
      <c r="I22" s="12"/>
      <c r="J22" s="0" t="s">
        <v>35</v>
      </c>
    </row>
    <row r="23" outlineLevel="2">
      <c r="A23" s="10" t="s">
        <v>38</v>
      </c>
      <c r="B23" s="0" t="s">
        <v>32</v>
      </c>
      <c r="C23" s="11">
        <f>IFERROR(100*(1-w)+w*100,"")</f>
        <v/>
      </c>
      <c r="D23" s="11">
        <v>99.999999999999986</v>
      </c>
      <c r="E23" s="11">
        <v>99.999999999999986</v>
      </c>
      <c r="F23" s="11"/>
      <c r="G23" s="11"/>
      <c r="I23" s="12"/>
      <c r="J23" s="0" t="s">
        <v>39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IFERROR(18.70159*(1-w)-w*2.443,"")</f>
        <v/>
      </c>
      <c r="D25" s="11">
        <v>18.70159</v>
      </c>
      <c r="E25" s="11">
        <v>18.757863590772317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IFERROR(20.12*(1-w),"")</f>
        <v/>
      </c>
      <c r="D26" s="11">
        <v>20.12</v>
      </c>
      <c r="E26" s="11">
        <v>20.180541624874625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IFERROR(20.36222377*(1-w),"")</f>
        <v/>
      </c>
      <c r="D27" s="11">
        <v>20.36222377</v>
      </c>
      <c r="E27" s="11">
        <v>20.423494252758275</v>
      </c>
      <c r="F27" s="11"/>
      <c r="G27" s="11"/>
      <c r="I27" s="12"/>
      <c r="J27" s="0" t="s">
        <v>39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https://phyllis.nl/Biomass/View/74</dc:description>
  <dcterms:created xsi:type="dcterms:W3CDTF">2026-03-19T04:20:52Z</dcterms:created>
  <dc:title>Phyllis2 #74 wood, birch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