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6 wood, birch" sheetId="1" r:id="rId1"/>
  </sheets>
  <definedNames>
    <definedName name="w" localSheetId="0">IF(ISBLANK('Phyllis2 #76 wood, birch'!$C$19),#N/A,'Phyllis2 #76 wood, birch'!$C$19/100)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<sst xmlns="http://schemas.openxmlformats.org/spreadsheetml/2006/main" count="51" uniqueCount="51">
  <si>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</si>
  <si>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https://phyllis.nl/Biomass/View/76</t>
  </si>
  <si>
    <t>wood, birch (#76)</t>
  </si>
  <si>
    <t>ID-number</t>
  </si>
  <si>
    <t>#76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</si>
  <si>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</si>
  <si>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</si>
  <si>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</si>
  <si>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</si>
  <si>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[124] zacht loofhout met schors</t>
  </si>
  <si>
    <t>Ash type</t>
  </si>
  <si>
    <t>laboratory</t>
  </si>
  <si>
    <t>Submitter organisation</t>
  </si>
  <si>
    <t>ECN (Netherlands)</t>
  </si>
  <si>
    <t>Remarks</t>
  </si>
  <si>
    <t>green whole tree, chipped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</si>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</sst>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35.6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IFERROR(1.4*(1-w),"")</f>
        <v>0.90159999999999985</v>
      </c>
      <c r="D20" s="11">
        <v>1.4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IFERROR(83.8*(1-w),"")</f>
        <v>53.967199999999991</v>
      </c>
      <c r="D21" s="11">
        <v>83.8</v>
      </c>
      <c r="E21" s="11">
        <v>84.989858012170387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IFERROR(14.8*(1-w),"")</f>
        <v>9.5311999999999966</v>
      </c>
      <c r="D22" s="11">
        <v>14.799999999999997</v>
      </c>
      <c r="E22" s="11">
        <v>15.010141987829613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IFERROR(50.1874*(1-w),"")</f>
        <v>32.32068559999999</v>
      </c>
      <c r="D24" s="11">
        <v>50.1874</v>
      </c>
      <c r="E24" s="11">
        <v>50.9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IFERROR(7.4936*(1-w),"")</f>
        <v>4.8258783999999988</v>
      </c>
      <c r="D25" s="11">
        <v>7.4936</v>
      </c>
      <c r="E25" s="11">
        <v>7.6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IFERROR(39.93*(1-w),"")</f>
        <v>25.714919999999996</v>
      </c>
      <c r="D26" s="11">
        <v>39.93</v>
      </c>
      <c r="E26" s="11">
        <v>40.496957403651116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IFERROR(0.493*(1-w),"")</f>
        <v>0.31749199999999994</v>
      </c>
      <c r="D27" s="11">
        <v>0.493</v>
      </c>
      <c r="E27" s="11">
        <v>0.5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IFERROR(0.493*(1-w),"")</f>
        <v>0.31749199999999994</v>
      </c>
      <c r="D28" s="11">
        <v>0.493</v>
      </c>
      <c r="E28" s="11">
        <v>0.5</v>
      </c>
      <c r="F28" s="11"/>
      <c r="G28" s="11"/>
      <c r="I28" s="12"/>
      <c r="J28" s="0" t="s">
        <v>40</v>
      </c>
    </row>
    <row r="29" outlineLevel="2">
      <c r="A29" s="10" t="s">
        <v>45</v>
      </c>
      <c r="B29" s="0" t="s">
        <v>33</v>
      </c>
      <c r="C29" s="11">
        <f>IFERROR(99.997*(1-w)+w*100,"")</f>
        <v>99.998067999999989</v>
      </c>
      <c r="D29" s="11">
        <v>99.996999999999986</v>
      </c>
      <c r="E29" s="11">
        <v>99.9969574036511</v>
      </c>
      <c r="F29" s="11"/>
      <c r="G29" s="11"/>
      <c r="I29" s="12"/>
      <c r="J29" s="0" t="s">
        <v>37</v>
      </c>
    </row>
    <row r="30" outlineLevel="1">
      <c r="A30" s="9" t="s">
        <v>46</v>
      </c>
      <c r="I30" s="12"/>
    </row>
    <row r="31" outlineLevel="2">
      <c r="A31" s="10" t="s">
        <v>47</v>
      </c>
      <c r="B31" s="0" t="s">
        <v>48</v>
      </c>
      <c r="C31" s="11">
        <f>IFERROR(18.45355*(1-w)-w*2.443,"")</f>
        <v>11.0143782</v>
      </c>
      <c r="D31" s="11">
        <v>18.45355</v>
      </c>
      <c r="E31" s="11">
        <v>18.715567951318459</v>
      </c>
      <c r="F31" s="11"/>
      <c r="G31" s="11"/>
      <c r="I31" s="12"/>
    </row>
    <row r="32" outlineLevel="2">
      <c r="A32" s="10" t="s">
        <v>49</v>
      </c>
      <c r="B32" s="0" t="s">
        <v>48</v>
      </c>
      <c r="C32" s="11">
        <f>IFERROR(20.112*(1-w),"")</f>
        <v>12.952127999999997</v>
      </c>
      <c r="D32" s="11">
        <v>20.112</v>
      </c>
      <c r="E32" s="11">
        <v>20.39756592292089</v>
      </c>
      <c r="F32" s="11"/>
      <c r="G32" s="11"/>
      <c r="I32" s="12"/>
    </row>
    <row r="33" outlineLevel="2">
      <c r="A33" s="10" t="s">
        <v>50</v>
      </c>
      <c r="B33" s="0" t="s">
        <v>48</v>
      </c>
      <c r="C33" s="11">
        <f>IFERROR(22.18238228*(1-w),"")</f>
        <v>14.28545418832</v>
      </c>
      <c r="D33" s="11">
        <v>22.182382280000002</v>
      </c>
      <c r="E33" s="11">
        <v>22.49734511156187</v>
      </c>
      <c r="F33" s="11"/>
      <c r="G33" s="11"/>
      <c r="I33" s="12"/>
      <c r="J33" s="0" t="s">
        <v>37</v>
      </c>
    </row>
    <row r="34">
      <c r="I34" s="12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5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https://phyllis.nl/Biomass/View/76</dc:description>
  <dcterms:created xsi:type="dcterms:W3CDTF">2026-03-19T04:20:59Z</dcterms:created>
  <dc:title>Phyllis2 #76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