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60 wheat straw" sheetId="1" r:id="rId1"/>
  </sheets>
  <definedNames>
    <definedName name="w" localSheetId="0">IF(ISBLANK('Phyllis2 #760 wheat straw'!$C$19),#N/A,'Phyllis2 #760 wheat straw'!$C$19/100)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<sst xmlns="http://schemas.openxmlformats.org/spreadsheetml/2006/main" count="71" uniqueCount="71">
  <si>
    <t>Phyllis2</t>
  </si>
  <si>
    <t>https://phyllis.nl/Biomass/View/760</t>
  </si>
  <si>
    <t>wheat straw (#760)</t>
  </si>
  <si>
    <t>ID-number</t>
  </si>
  <si>
    <t>#760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</si>
  <si>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</si>
  <si>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</si>
  <si>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</si>
  <si>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</si>
  <si>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</si>
  <si>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Sample lot size</t>
  </si>
  <si>
    <t>15 x 2 x 0.3 mm</t>
  </si>
  <si>
    <t>Ash type</t>
  </si>
  <si>
    <t>gasifier was used to prepare (700 degree Celcius) ash</t>
  </si>
  <si>
    <t>Submitter organisation</t>
  </si>
  <si>
    <t>ECN (Netherlands)</t>
  </si>
  <si>
    <t>Literature</t>
  </si>
  <si>
    <t>A. E. Ghaly, A. Ergüdenler and E. Laufer: Agglomeration characteristics of alumina sand-straw ash mixtures at elevated temperatures. Biomass and Bioenergy 5 (6) pp. 467-480 (1993).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</si>
  <si>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</si>
  <si>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</si>
  <si>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</si>
  <si>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</si>
  <si>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</si>
  <si>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</si>
  <si>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</si>
  <si>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</si>
  <si>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</si>
  <si>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</si>
  <si>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</si>
  <si>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</si>
  <si>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</si>
  <si>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</si>
  <si>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</si>
  <si>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</si>
  <si>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</si>
  <si>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</si>
  <si>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</si>
  <si>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</si>
  <si>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</si>
  <si>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</si>
  <si>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</si>
  <si>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</si>
  <si>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</si>
  <si>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</si>
  <si>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</si>
  <si>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</si>
  <si>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</si>
  <si>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</si>
  <si>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</si>
  <si>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</si>
  <si>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</si>
  <si>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</si>
  <si>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</si>
  <si>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</si>
  <si>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</si>
  <si>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</si>
  <si>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</si>
  <si>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(daf)</t>
  </si>
  <si>
    <t>kg/m³ (daf)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</si>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</sst>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6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27</v>
      </c>
      <c r="L15" s="8"/>
    </row>
    <row r="16" s="1" customFormat="1">
      <c r="A16" s="8"/>
      <c r="B16" s="8"/>
      <c r="C16" s="8" t="s">
        <v>28</v>
      </c>
      <c r="D16" s="8" t="s">
        <v>29</v>
      </c>
      <c r="E16" s="8" t="s">
        <v>30</v>
      </c>
      <c r="F16" s="8"/>
      <c r="G16" s="8"/>
      <c r="H16" s="8"/>
      <c r="I16" s="8"/>
      <c r="J16" s="8"/>
      <c r="K16" s="8"/>
      <c r="L16" s="8"/>
    </row>
    <row r="17">
      <c r="A17" s="5" t="s">
        <v>31</v>
      </c>
      <c r="I17" s="14"/>
    </row>
    <row r="18" outlineLevel="1">
      <c r="A18" s="9" t="s">
        <v>32</v>
      </c>
      <c r="I18" s="14"/>
    </row>
    <row r="19" outlineLevel="2">
      <c r="A19" s="10" t="s">
        <v>33</v>
      </c>
      <c r="B19" s="0" t="s">
        <v>34</v>
      </c>
      <c r="C19" s="11">
        <v>10.5</v>
      </c>
      <c r="D19" s="11"/>
      <c r="E19" s="11"/>
      <c r="F19" s="11"/>
      <c r="G19" s="11"/>
      <c r="I19" s="14"/>
    </row>
    <row r="20" outlineLevel="2">
      <c r="A20" s="10" t="s">
        <v>35</v>
      </c>
      <c r="B20" s="0" t="s">
        <v>34</v>
      </c>
      <c r="C20" s="11">
        <f>IFERROR(3.41*(1-w),"")</f>
        <v>3.05195</v>
      </c>
      <c r="D20" s="11">
        <v>3.41</v>
      </c>
      <c r="E20" s="11">
        <v/>
      </c>
      <c r="F20" s="11"/>
      <c r="G20" s="11"/>
      <c r="I20" s="14"/>
    </row>
    <row r="21" outlineLevel="2">
      <c r="A21" s="10" t="s">
        <v>36</v>
      </c>
      <c r="B21" s="0" t="s">
        <v>34</v>
      </c>
      <c r="C21" s="11">
        <f>IFERROR(78.8*(1-w),"")</f>
        <v>70.526</v>
      </c>
      <c r="D21" s="11">
        <v>78.8</v>
      </c>
      <c r="E21" s="11">
        <v>81.581944300652239</v>
      </c>
      <c r="F21" s="11"/>
      <c r="G21" s="11"/>
      <c r="I21" s="14"/>
    </row>
    <row r="22" outlineLevel="2">
      <c r="A22" s="10" t="s">
        <v>37</v>
      </c>
      <c r="B22" s="0" t="s">
        <v>34</v>
      </c>
      <c r="C22" s="11">
        <f>IFERROR(17.79*(1-w),"")</f>
        <v>15.922050000000006</v>
      </c>
      <c r="D22" s="11">
        <v>17.790000000000006</v>
      </c>
      <c r="E22" s="11">
        <v>18.418055699347764</v>
      </c>
      <c r="F22" s="11"/>
      <c r="G22" s="11"/>
      <c r="I22" s="14"/>
      <c r="J22" s="0" t="s">
        <v>38</v>
      </c>
    </row>
    <row r="23" outlineLevel="1">
      <c r="A23" s="9" t="s">
        <v>39</v>
      </c>
      <c r="I23" s="14"/>
    </row>
    <row r="24" outlineLevel="2">
      <c r="A24" s="10" t="s">
        <v>40</v>
      </c>
      <c r="B24" s="0" t="s">
        <v>34</v>
      </c>
      <c r="C24" s="11">
        <f>IFERROR(45.97*(1-w),"")</f>
        <v>41.14315</v>
      </c>
      <c r="D24" s="11">
        <v>45.97</v>
      </c>
      <c r="E24" s="11">
        <v>47.592918521586085</v>
      </c>
      <c r="F24" s="11"/>
      <c r="G24" s="11"/>
      <c r="I24" s="14"/>
      <c r="J24" s="0" t="s">
        <v>41</v>
      </c>
    </row>
    <row r="25" outlineLevel="2">
      <c r="A25" s="10" t="s">
        <v>42</v>
      </c>
      <c r="B25" s="0" t="s">
        <v>34</v>
      </c>
      <c r="C25" s="11">
        <f>IFERROR(5.78*(1-w),"")</f>
        <v>5.1731000000000007</v>
      </c>
      <c r="D25" s="11">
        <v>5.78</v>
      </c>
      <c r="E25" s="11">
        <v>5.9840563205300761</v>
      </c>
      <c r="F25" s="11"/>
      <c r="G25" s="11"/>
      <c r="I25" s="14"/>
      <c r="J25" s="0" t="s">
        <v>41</v>
      </c>
    </row>
    <row r="26" outlineLevel="2">
      <c r="A26" s="10" t="s">
        <v>43</v>
      </c>
      <c r="B26" s="0" t="s">
        <v>34</v>
      </c>
      <c r="C26" s="11">
        <f>IFERROR(44.15*(1-w),"")</f>
        <v>39.51425</v>
      </c>
      <c r="D26" s="11">
        <v>44.15</v>
      </c>
      <c r="E26" s="11">
        <v>45.708665493322286</v>
      </c>
      <c r="F26" s="11"/>
      <c r="G26" s="11"/>
      <c r="I26" s="14"/>
      <c r="J26" s="0" t="s">
        <v>38</v>
      </c>
    </row>
    <row r="27" outlineLevel="2">
      <c r="A27" s="10" t="s">
        <v>44</v>
      </c>
      <c r="B27" s="0" t="s">
        <v>34</v>
      </c>
      <c r="C27" s="11">
        <f>IFERROR(0.55*(1-w),"")</f>
        <v>0.49225000000000008</v>
      </c>
      <c r="D27" s="11">
        <v>0.55</v>
      </c>
      <c r="E27" s="11">
        <v>0.56941712392587229</v>
      </c>
      <c r="F27" s="11"/>
      <c r="G27" s="11"/>
      <c r="I27" s="14"/>
      <c r="J27" s="0" t="s">
        <v>41</v>
      </c>
    </row>
    <row r="28" outlineLevel="2">
      <c r="A28" s="10" t="s">
        <v>45</v>
      </c>
      <c r="B28" s="0" t="s">
        <v>34</v>
      </c>
      <c r="C28" s="11">
        <f>IFERROR(0.12*(1-w),"")</f>
        <v>0.1074</v>
      </c>
      <c r="D28" s="11">
        <v>0.12</v>
      </c>
      <c r="E28" s="11">
        <v>0.12423646340200849</v>
      </c>
      <c r="F28" s="11"/>
      <c r="G28" s="11"/>
      <c r="I28" s="14"/>
      <c r="J28" s="0" t="s">
        <v>41</v>
      </c>
    </row>
    <row r="29" outlineLevel="2">
      <c r="A29" s="10" t="s">
        <v>46</v>
      </c>
      <c r="B29" s="0" t="s">
        <v>34</v>
      </c>
      <c r="C29" s="11">
        <f>IFERROR(100*(1-w)+w*100,"")</f>
        <v>100</v>
      </c>
      <c r="D29" s="11">
        <v>100</v>
      </c>
      <c r="E29" s="11">
        <v>100</v>
      </c>
      <c r="F29" s="11"/>
      <c r="G29" s="11"/>
      <c r="I29" s="14"/>
      <c r="J29" s="0" t="s">
        <v>38</v>
      </c>
    </row>
    <row r="30" outlineLevel="1">
      <c r="A30" s="9" t="s">
        <v>47</v>
      </c>
      <c r="I30" s="14"/>
    </row>
    <row r="31" outlineLevel="2">
      <c r="A31" s="10" t="s">
        <v>48</v>
      </c>
      <c r="B31" s="0" t="s">
        <v>49</v>
      </c>
      <c r="C31" s="12">
        <f>IFERROR(200*(1-w),"")</f>
        <v>179</v>
      </c>
      <c r="D31" s="12">
        <v>200</v>
      </c>
      <c r="E31" s="12">
        <v>207.06077233668083</v>
      </c>
      <c r="F31" s="12"/>
      <c r="G31" s="12"/>
      <c r="I31" s="14"/>
      <c r="J31" s="0" t="s">
        <v>41</v>
      </c>
    </row>
    <row r="32" outlineLevel="1">
      <c r="A32" s="9" t="s">
        <v>50</v>
      </c>
      <c r="I32" s="14"/>
    </row>
    <row r="33" outlineLevel="2">
      <c r="A33" s="10" t="s">
        <v>51</v>
      </c>
      <c r="B33" s="0" t="s">
        <v>52</v>
      </c>
      <c r="C33" s="11">
        <f>IFERROR(18.71*(1-w)-w*2.443,"")</f>
        <v>16.488935</v>
      </c>
      <c r="D33" s="11">
        <v>18.71</v>
      </c>
      <c r="E33" s="11">
        <v>19.370535252096492</v>
      </c>
      <c r="F33" s="11"/>
      <c r="G33" s="11"/>
      <c r="I33" s="14"/>
    </row>
    <row r="34" outlineLevel="2">
      <c r="A34" s="10" t="s">
        <v>53</v>
      </c>
      <c r="B34" s="0" t="s">
        <v>52</v>
      </c>
      <c r="C34" s="11">
        <f>IFERROR(19.97129*(1-w),"")</f>
        <v>17.87430455</v>
      </c>
      <c r="D34" s="11">
        <v>19.97129</v>
      </c>
      <c r="E34" s="11">
        <v>20.676353659799151</v>
      </c>
      <c r="F34" s="11"/>
      <c r="G34" s="11"/>
      <c r="I34" s="14"/>
    </row>
    <row r="35" outlineLevel="2">
      <c r="A35" s="10" t="s">
        <v>54</v>
      </c>
      <c r="B35" s="0" t="s">
        <v>52</v>
      </c>
      <c r="C35" s="11">
        <f>IFERROR(17.9107680993*(1-w),"")</f>
        <v>16.0301374488735</v>
      </c>
      <c r="D35" s="11">
        <v>17.9107680993</v>
      </c>
      <c r="E35" s="11">
        <v>18.543087378921214</v>
      </c>
      <c r="F35" s="11"/>
      <c r="G35" s="11"/>
      <c r="I35" s="14"/>
      <c r="J35" s="0" t="s">
        <v>38</v>
      </c>
    </row>
    <row r="36">
      <c r="A36" s="5" t="s">
        <v>55</v>
      </c>
      <c r="I36" s="14"/>
    </row>
    <row r="37" outlineLevel="1">
      <c r="A37" s="9" t="s">
        <v>56</v>
      </c>
      <c r="I37" s="14"/>
    </row>
    <row r="38" outlineLevel="2">
      <c r="A38" s="10" t="s">
        <v>57</v>
      </c>
      <c r="B38" s="0" t="s">
        <v>58</v>
      </c>
      <c r="C38" s="13">
        <v>77.5</v>
      </c>
      <c r="D38" s="13"/>
      <c r="E38" s="13"/>
      <c r="F38" s="13"/>
      <c r="G38" s="13"/>
      <c r="I38" s="14"/>
    </row>
    <row r="39">
      <c r="A39" s="5" t="s">
        <v>59</v>
      </c>
      <c r="I39" s="14"/>
    </row>
    <row r="40" outlineLevel="1">
      <c r="A40" s="9" t="s">
        <v>60</v>
      </c>
      <c r="I40" s="14"/>
    </row>
    <row r="41" outlineLevel="2">
      <c r="A41" s="10" t="s">
        <v>61</v>
      </c>
      <c r="B41" s="0" t="s">
        <v>62</v>
      </c>
      <c r="C41" s="11">
        <v>2.47</v>
      </c>
      <c r="D41" s="11"/>
      <c r="E41" s="11"/>
      <c r="F41" s="11"/>
      <c r="G41" s="11"/>
      <c r="I41" s="14"/>
    </row>
    <row r="42" outlineLevel="2">
      <c r="A42" s="10" t="s">
        <v>63</v>
      </c>
      <c r="B42" s="0" t="s">
        <v>62</v>
      </c>
      <c r="C42" s="11">
        <v>6.5</v>
      </c>
      <c r="D42" s="11"/>
      <c r="E42" s="11"/>
      <c r="F42" s="11"/>
      <c r="G42" s="11"/>
      <c r="I42" s="14"/>
    </row>
    <row r="43" outlineLevel="2">
      <c r="A43" s="10" t="s">
        <v>64</v>
      </c>
      <c r="B43" s="0" t="s">
        <v>62</v>
      </c>
      <c r="C43" s="11">
        <v>27.26</v>
      </c>
      <c r="D43" s="11"/>
      <c r="E43" s="11"/>
      <c r="F43" s="11"/>
      <c r="G43" s="11"/>
      <c r="I43" s="14"/>
    </row>
    <row r="44" outlineLevel="2">
      <c r="A44" s="10" t="s">
        <v>65</v>
      </c>
      <c r="B44" s="0" t="s">
        <v>62</v>
      </c>
      <c r="C44" s="11">
        <v>0.76</v>
      </c>
      <c r="D44" s="11"/>
      <c r="E44" s="11"/>
      <c r="F44" s="11"/>
      <c r="G44" s="11"/>
      <c r="I44" s="14"/>
    </row>
    <row r="45" outlineLevel="2">
      <c r="A45" s="10" t="s">
        <v>66</v>
      </c>
      <c r="B45" s="0" t="s">
        <v>62</v>
      </c>
      <c r="C45" s="11">
        <v>0.73</v>
      </c>
      <c r="D45" s="11"/>
      <c r="E45" s="11"/>
      <c r="F45" s="11"/>
      <c r="G45" s="11"/>
      <c r="I45" s="14"/>
    </row>
    <row r="46" outlineLevel="2">
      <c r="A46" s="10" t="s">
        <v>67</v>
      </c>
      <c r="B46" s="0" t="s">
        <v>62</v>
      </c>
      <c r="C46" s="11">
        <v>10.79</v>
      </c>
      <c r="D46" s="11"/>
      <c r="E46" s="11"/>
      <c r="F46" s="11"/>
      <c r="G46" s="11"/>
      <c r="I46" s="14"/>
    </row>
    <row r="47" outlineLevel="2">
      <c r="A47" s="10" t="s">
        <v>68</v>
      </c>
      <c r="B47" s="0" t="s">
        <v>62</v>
      </c>
      <c r="C47" s="11">
        <v>4.19</v>
      </c>
      <c r="D47" s="11"/>
      <c r="E47" s="11"/>
      <c r="F47" s="11"/>
      <c r="G47" s="11"/>
      <c r="I47" s="14"/>
    </row>
    <row r="48" outlineLevel="2">
      <c r="A48" s="10" t="s">
        <v>69</v>
      </c>
      <c r="B48" s="0" t="s">
        <v>62</v>
      </c>
      <c r="C48" s="11">
        <v>0.97</v>
      </c>
      <c r="D48" s="11"/>
      <c r="E48" s="11"/>
      <c r="F48" s="11"/>
      <c r="G48" s="11"/>
      <c r="I48" s="14"/>
    </row>
    <row r="49" outlineLevel="2">
      <c r="A49" s="10" t="s">
        <v>70</v>
      </c>
      <c r="B49" s="0" t="s">
        <v>62</v>
      </c>
      <c r="C49" s="11">
        <v>36.15</v>
      </c>
      <c r="D49" s="11"/>
      <c r="E49" s="11"/>
      <c r="F49" s="11"/>
      <c r="G49" s="11"/>
      <c r="I49" s="14"/>
    </row>
    <row r="50">
      <c r="I50" s="14"/>
    </row>
    <row r="5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</mergeCells>
  <dataValidations count="1">
    <dataValidation type="decimal" sqref="C19" errorStyle="stop" promptTitle="Enter moisture content" errorTitle="Invalid moisture content" prompt="Value should be between 0 and 100.&#10;Original value: 10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https://phyllis.nl/Biomass/View/760</dc:description>
  <dcterms:created xsi:type="dcterms:W3CDTF">2026-03-17T06:15:29Z</dcterms:created>
  <dc:title>Phyllis2 #760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