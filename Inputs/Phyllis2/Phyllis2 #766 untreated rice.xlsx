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66 untreated rice" sheetId="1" r:id="rId1"/>
  </sheets>
  <definedNames>
    <definedName name="w" localSheetId="0">IF(ISBLANK('Phyllis2 #766 untreated rice'!$C$19),#N/A,'Phyllis2 #766 untreated rice'!$C$19/100)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<sst xmlns="http://schemas.openxmlformats.org/spreadsheetml/2006/main" count="73" uniqueCount="73">
  <si>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</si>
  <si>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https://phyllis.nl/Biomass/View/766</t>
  </si>
  <si>
    <t>untreated rice (#766)</t>
  </si>
  <si>
    <t>ID-number</t>
  </si>
  <si>
    <t>#766</t>
  </si>
  <si>
    <t>Material</t>
  </si>
  <si>
    <t>untreated rice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</si>
  <si>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</si>
  <si>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</si>
  <si>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</si>
  <si>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Ash type</t>
  </si>
  <si>
    <t>2 h at 575 degC</t>
  </si>
  <si>
    <t>Submitter organisation</t>
  </si>
  <si>
    <t>ECN (Netherlands)</t>
  </si>
  <si>
    <t>Remarks</t>
  </si>
  <si>
    <t>imperial valley source</t>
  </si>
  <si>
    <t>Literature</t>
  </si>
  <si>
    <t>B. M. Jenkins, R. R. Bakker and J. B. Wei: On the properties of washed straw. Biomass and Bioenergy 10 (4) pp. 177-200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</si>
  <si>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</si>
  <si>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</si>
  <si>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</si>
  <si>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</si>
  <si>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</si>
  <si>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</si>
  <si>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</si>
  <si>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</si>
  <si>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</si>
  <si>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</si>
  <si>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</si>
  <si>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</si>
  <si>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</si>
  <si>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</si>
  <si>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</si>
  <si>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</si>
  <si>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</si>
  <si>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</si>
  <si>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</si>
  <si>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</si>
  <si>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</si>
  <si>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</si>
  <si>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</si>
  <si>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</si>
  <si>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</si>
  <si>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</si>
  <si>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</si>
  <si>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</si>
  <si>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</si>
  <si>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</si>
  <si>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</si>
  <si>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</si>
  <si>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</si>
  <si>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</si>
  <si>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</si>
  <si>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</si>
  <si>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</si>
  <si>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</si>
  <si>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</si>
  <si>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Magnesium (Mg)</t>
  </si>
  <si>
    <t>Sodium (Na)</t>
  </si>
  <si>
    <t>Phosphorus (P)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</si>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</sst>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35</v>
      </c>
      <c r="C20" s="11">
        <f>IFERROR(18.63*(1-w),"")</f>
        <v/>
      </c>
      <c r="D20" s="11">
        <v>18.63</v>
      </c>
      <c r="E20" s="11">
        <v/>
      </c>
      <c r="F20" s="11"/>
      <c r="G20" s="11"/>
      <c r="I20" s="13"/>
    </row>
    <row r="21" outlineLevel="1">
      <c r="A21" s="9" t="s">
        <v>36</v>
      </c>
      <c r="I21" s="13"/>
    </row>
    <row r="22" outlineLevel="2">
      <c r="A22" s="10" t="s">
        <v>37</v>
      </c>
      <c r="B22" s="0" t="s">
        <v>35</v>
      </c>
      <c r="C22" s="11">
        <f>IFERROR(37.95*(1-w),"")</f>
        <v/>
      </c>
      <c r="D22" s="11">
        <v>37.95</v>
      </c>
      <c r="E22" s="11">
        <v>46.638810372373115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35</v>
      </c>
      <c r="C23" s="11">
        <f>IFERROR(4.8*(1-w),"")</f>
        <v/>
      </c>
      <c r="D23" s="11">
        <v>4.8</v>
      </c>
      <c r="E23" s="11">
        <v>5.8989799680471915</v>
      </c>
      <c r="F23" s="11"/>
      <c r="G23" s="11"/>
      <c r="I23" s="13"/>
      <c r="J23" s="0" t="s">
        <v>38</v>
      </c>
    </row>
    <row r="24" outlineLevel="2">
      <c r="A24" s="10" t="s">
        <v>40</v>
      </c>
      <c r="B24" s="0" t="s">
        <v>35</v>
      </c>
      <c r="C24" s="11">
        <f>IFERROR(37.27*(1-w),"")</f>
        <v/>
      </c>
      <c r="D24" s="11">
        <v>37.27</v>
      </c>
      <c r="E24" s="11">
        <v>45.803121543566427</v>
      </c>
      <c r="F24" s="11"/>
      <c r="G24" s="11"/>
      <c r="I24" s="13"/>
      <c r="J24" s="0" t="s">
        <v>41</v>
      </c>
    </row>
    <row r="25" outlineLevel="2">
      <c r="A25" s="10" t="s">
        <v>42</v>
      </c>
      <c r="B25" s="0" t="s">
        <v>35</v>
      </c>
      <c r="C25" s="11">
        <f>IFERROR(0.52*(1-w),"")</f>
        <v/>
      </c>
      <c r="D25" s="11">
        <v>0.52</v>
      </c>
      <c r="E25" s="11">
        <v>0.63905616320511249</v>
      </c>
      <c r="F25" s="11"/>
      <c r="G25" s="11"/>
      <c r="I25" s="13"/>
      <c r="J25" s="0" t="s">
        <v>38</v>
      </c>
    </row>
    <row r="26" outlineLevel="2">
      <c r="A26" s="10" t="s">
        <v>43</v>
      </c>
      <c r="B26" s="0" t="s">
        <v>35</v>
      </c>
      <c r="C26" s="11">
        <f>IFERROR(0.09*(1-w),"")</f>
        <v/>
      </c>
      <c r="D26" s="11">
        <v>0.09</v>
      </c>
      <c r="E26" s="11">
        <v>0.11060587440088485</v>
      </c>
      <c r="F26" s="11"/>
      <c r="G26" s="11"/>
      <c r="I26" s="13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</v>
      </c>
      <c r="E27" s="11">
        <v>100.00000000000001</v>
      </c>
      <c r="F27" s="11"/>
      <c r="G27" s="11"/>
      <c r="I27" s="13"/>
      <c r="J27" s="0" t="s">
        <v>41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2">
        <f>IFERROR(7400*(1-w),"")</f>
        <v/>
      </c>
      <c r="D29" s="12">
        <v>7400</v>
      </c>
      <c r="E29" s="12">
        <v>9094.2607840727542</v>
      </c>
      <c r="F29" s="12"/>
      <c r="G29" s="12"/>
      <c r="I29" s="13"/>
      <c r="J29" s="0" t="s">
        <v>38</v>
      </c>
    </row>
    <row r="30" outlineLevel="1">
      <c r="A30" s="9" t="s">
        <v>48</v>
      </c>
      <c r="I30" s="13"/>
    </row>
    <row r="31" outlineLevel="2">
      <c r="A31" s="10" t="s">
        <v>49</v>
      </c>
      <c r="B31" s="0" t="s">
        <v>50</v>
      </c>
      <c r="C31" s="11">
        <f>IFERROR(14.20256*(1-w)-w*2.443,"")</f>
        <v/>
      </c>
      <c r="D31" s="11">
        <v>14.20256</v>
      </c>
      <c r="E31" s="11">
        <v>17.454295194789236</v>
      </c>
      <c r="F31" s="11"/>
      <c r="G31" s="11"/>
      <c r="I31" s="13"/>
    </row>
    <row r="32" outlineLevel="2">
      <c r="A32" s="10" t="s">
        <v>51</v>
      </c>
      <c r="B32" s="0" t="s">
        <v>50</v>
      </c>
      <c r="C32" s="11">
        <f>IFERROR(15.25*(1-w),"")</f>
        <v/>
      </c>
      <c r="D32" s="11">
        <v>15.25</v>
      </c>
      <c r="E32" s="11">
        <v>18.741550940149931</v>
      </c>
      <c r="F32" s="11"/>
      <c r="G32" s="11"/>
      <c r="I32" s="13"/>
    </row>
    <row r="33" outlineLevel="2">
      <c r="A33" s="10" t="s">
        <v>52</v>
      </c>
      <c r="B33" s="0" t="s">
        <v>50</v>
      </c>
      <c r="C33" s="11">
        <f>IFERROR(14.5259877657*(1-w),"")</f>
        <v/>
      </c>
      <c r="D33" s="11">
        <v>14.5259877657</v>
      </c>
      <c r="E33" s="11">
        <v>17.851773092908935</v>
      </c>
      <c r="F33" s="11"/>
      <c r="G33" s="11"/>
      <c r="I33" s="13"/>
      <c r="J33" s="0" t="s">
        <v>41</v>
      </c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2">
        <v>2100</v>
      </c>
      <c r="D35" s="12"/>
      <c r="E35" s="12"/>
      <c r="F35" s="12"/>
      <c r="G35" s="12"/>
      <c r="I35" s="13"/>
      <c r="J35" s="0" t="s">
        <v>38</v>
      </c>
    </row>
    <row r="36" outlineLevel="2">
      <c r="A36" s="10" t="s">
        <v>56</v>
      </c>
      <c r="B36" s="0" t="s">
        <v>55</v>
      </c>
      <c r="C36" s="12">
        <v>17500</v>
      </c>
      <c r="D36" s="12"/>
      <c r="E36" s="12"/>
      <c r="F36" s="12"/>
      <c r="G36" s="12"/>
      <c r="I36" s="13"/>
      <c r="J36" s="0" t="s">
        <v>38</v>
      </c>
    </row>
    <row r="37" outlineLevel="2">
      <c r="A37" s="10" t="s">
        <v>57</v>
      </c>
      <c r="B37" s="0" t="s">
        <v>55</v>
      </c>
      <c r="C37" s="12">
        <v>2100</v>
      </c>
      <c r="D37" s="12"/>
      <c r="E37" s="12"/>
      <c r="F37" s="12"/>
      <c r="G37" s="12"/>
      <c r="I37" s="13"/>
      <c r="J37" s="0" t="s">
        <v>38</v>
      </c>
    </row>
    <row r="38" outlineLevel="2">
      <c r="A38" s="10" t="s">
        <v>58</v>
      </c>
      <c r="B38" s="0" t="s">
        <v>55</v>
      </c>
      <c r="C38" s="12">
        <v>2600</v>
      </c>
      <c r="D38" s="12"/>
      <c r="E38" s="12"/>
      <c r="F38" s="12"/>
      <c r="G38" s="12"/>
      <c r="I38" s="13"/>
      <c r="J38" s="0" t="s">
        <v>38</v>
      </c>
    </row>
    <row r="39" outlineLevel="2">
      <c r="A39" s="10" t="s">
        <v>59</v>
      </c>
      <c r="B39" s="0" t="s">
        <v>55</v>
      </c>
      <c r="C39" s="12">
        <v>2200</v>
      </c>
      <c r="D39" s="12"/>
      <c r="E39" s="12"/>
      <c r="F39" s="12"/>
      <c r="G39" s="12"/>
      <c r="I39" s="13"/>
      <c r="J39" s="0" t="s">
        <v>38</v>
      </c>
    </row>
    <row r="40">
      <c r="A40" s="5" t="s">
        <v>60</v>
      </c>
      <c r="I40" s="13"/>
    </row>
    <row r="41" outlineLevel="1">
      <c r="A41" s="9" t="s">
        <v>61</v>
      </c>
      <c r="I41" s="13"/>
    </row>
    <row r="42" outlineLevel="2">
      <c r="A42" s="10" t="s">
        <v>62</v>
      </c>
      <c r="B42" s="0" t="s">
        <v>63</v>
      </c>
      <c r="C42" s="11">
        <v>0.84</v>
      </c>
      <c r="D42" s="11"/>
      <c r="E42" s="11"/>
      <c r="F42" s="11"/>
      <c r="G42" s="11"/>
      <c r="I42" s="13"/>
    </row>
    <row r="43" outlineLevel="2">
      <c r="A43" s="10" t="s">
        <v>64</v>
      </c>
      <c r="B43" s="0" t="s">
        <v>63</v>
      </c>
      <c r="C43" s="11">
        <v>2.65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63</v>
      </c>
      <c r="C44" s="11">
        <v>74.31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63</v>
      </c>
      <c r="C45" s="11">
        <v>0.73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63</v>
      </c>
      <c r="C46" s="11">
        <v>1.4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63</v>
      </c>
      <c r="C47" s="11">
        <v>1.61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63</v>
      </c>
      <c r="C48" s="11">
        <v>1.89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63</v>
      </c>
      <c r="C49" s="11">
        <v>1.85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63</v>
      </c>
      <c r="C50" s="11">
        <v>11.3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63</v>
      </c>
      <c r="C51" s="11">
        <v>0.02</v>
      </c>
      <c r="D51" s="11"/>
      <c r="E51" s="11"/>
      <c r="F51" s="11"/>
      <c r="G51" s="11"/>
      <c r="I51" s="13"/>
    </row>
    <row r="52">
      <c r="I52" s="13"/>
    </row>
    <row r="5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https://phyllis.nl/Biomass/View/766</dc:description>
  <dcterms:created xsi:type="dcterms:W3CDTF">2026-03-17T06:10:49Z</dcterms:created>
  <dc:title>Phyllis2 #766 untreated rice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