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767 wheat straw, untr" sheetId="1" r:id="rId1"/>
  </sheets>
  <definedNames>
    <definedName name="w" localSheetId="0">IF(ISBLANK('Phyllis2 #767 wheat straw, untr'!$C$18),#N/A,'Phyllis2 #767 wheat straw, untr'!$C$18/100)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<sst xmlns="http://schemas.openxmlformats.org/spreadsheetml/2006/main" count="74" uniqueCount="74">
  <si>
    <t>Phyllis2</t>
  </si>
  <si>
    <t>https://phyllis.nl/Biomass/View/767</t>
  </si>
  <si>
    <t>wheat straw, untreated (#767)</t>
  </si>
  <si>
    <t>ID-number</t>
  </si>
  <si>
    <t>#767</t>
  </si>
  <si>
    <t>Material</t>
  </si>
  <si>
    <t>wheat straw, untreated</t>
  </si>
  <si>
    <t>Classification</t>
  </si>
  <si>
    <t>ECN Phyllis classification &gt; straw (stalk/cob/ear) &gt; wheat</t>
  </si>
  <si>
    <t>NTA 8003 classification &gt; [200] biomassa uit land- en tuinbouw &gt; [220] stro &gt; [223] tarwestro</t>
  </si>
  <si>
    <t>Ash type</t>
  </si>
  <si>
    <t>2 h at 575 degC</t>
  </si>
  <si>
    <t>Submitter organisation</t>
  </si>
  <si>
    <t>ECN (Netherlands)</t>
  </si>
  <si>
    <t>Literature</t>
  </si>
  <si>
    <t>B. M. Jenkins, R. R. Bakker and J. B. Wei: On the properties of washed straw. Biomass and Bioenergy 10 (4) pp. 177-200 (1996).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</si>
  <si>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</si>
  <si>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</si>
  <si>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</si>
  <si>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</si>
  <si>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</si>
  <si>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</si>
  <si>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</si>
  <si>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</si>
  <si>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</si>
  <si>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</si>
  <si>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</si>
  <si>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</si>
  <si>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</si>
  <si>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</si>
  <si>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</si>
  <si>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</si>
  <si>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</si>
  <si>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</si>
  <si>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</si>
  <si>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</si>
  <si>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</si>
  <si>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</si>
  <si>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</si>
  <si>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</si>
  <si>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</si>
  <si>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</si>
  <si>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</si>
  <si>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</si>
  <si>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</si>
  <si>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</si>
  <si>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</si>
  <si>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</si>
  <si>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</si>
  <si>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</si>
  <si>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</si>
  <si>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</si>
  <si>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</si>
  <si>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Calcium (Ca)</t>
  </si>
  <si>
    <t>mg/kg (dry)</t>
  </si>
  <si>
    <t>Potassium (K)</t>
  </si>
  <si>
    <t>Magnesium (Mg)</t>
  </si>
  <si>
    <t>Sodium (Na)</t>
  </si>
  <si>
    <t>Phosphorus (P)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</si>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</sst>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76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IFERROR(12.78*(1-w),"")</f>
        <v/>
      </c>
      <c r="D19" s="11">
        <v>12.78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IFERROR(42.49*(1-w),"")</f>
        <v/>
      </c>
      <c r="D21" s="11">
        <v>42.49</v>
      </c>
      <c r="E21" s="11">
        <v>48.715890850722317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IFERROR(5.12*(1-w),"")</f>
        <v/>
      </c>
      <c r="D22" s="11">
        <v>5.12</v>
      </c>
      <c r="E22" s="11">
        <v>5.8702132538408627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IFERROR(36.52*(1-w),"")</f>
        <v/>
      </c>
      <c r="D23" s="11">
        <v>36.52</v>
      </c>
      <c r="E23" s="11">
        <v>41.871130474661783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IFERROR(0.68*(1-w),"")</f>
        <v/>
      </c>
      <c r="D24" s="11">
        <v>0.68</v>
      </c>
      <c r="E24" s="11">
        <v>0.77963769777573955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IFERROR(0.39*(1-w),"")</f>
        <v/>
      </c>
      <c r="D25" s="11">
        <v>0.39</v>
      </c>
      <c r="E25" s="11">
        <v>0.44714515019490947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IFERROR(20200*(1-w),"")</f>
        <v/>
      </c>
      <c r="D28" s="12">
        <v>20200</v>
      </c>
      <c r="E28" s="12">
        <v>23159.825728044027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IFERROR(15.98273*(1-w)-w*2.443,"")</f>
        <v/>
      </c>
      <c r="D30" s="11">
        <v>15.98273</v>
      </c>
      <c r="E30" s="11">
        <v>18.324615913781244</v>
      </c>
      <c r="F30" s="11"/>
      <c r="G30" s="11"/>
      <c r="I30" s="13"/>
    </row>
    <row r="31" outlineLevel="2">
      <c r="A31" s="10" t="s">
        <v>50</v>
      </c>
      <c r="B31" s="0" t="s">
        <v>49</v>
      </c>
      <c r="C31" s="11">
        <f>IFERROR(17.1*(1-w),"")</f>
        <v/>
      </c>
      <c r="D31" s="11">
        <v>17.1</v>
      </c>
      <c r="E31" s="11">
        <v>19.605595047007569</v>
      </c>
      <c r="F31" s="11"/>
      <c r="G31" s="11"/>
      <c r="I31" s="13"/>
    </row>
    <row r="32" outlineLevel="2">
      <c r="A32" s="10" t="s">
        <v>51</v>
      </c>
      <c r="B32" s="0" t="s">
        <v>49</v>
      </c>
      <c r="C32" s="11">
        <f>IFERROR(16.6499392452*(1-w),"")</f>
        <v/>
      </c>
      <c r="D32" s="11">
        <v>16.6499392452</v>
      </c>
      <c r="E32" s="11">
        <v>19.089588678284798</v>
      </c>
      <c r="F32" s="11"/>
      <c r="G32" s="11"/>
      <c r="I32" s="13"/>
      <c r="J32" s="0" t="s">
        <v>40</v>
      </c>
    </row>
    <row r="33" outlineLevel="1">
      <c r="A33" s="9" t="s">
        <v>52</v>
      </c>
      <c r="I33" s="13"/>
    </row>
    <row r="34" outlineLevel="2">
      <c r="A34" s="10" t="s">
        <v>53</v>
      </c>
      <c r="B34" s="0" t="s">
        <v>54</v>
      </c>
      <c r="C34" s="12">
        <v>4300</v>
      </c>
      <c r="D34" s="12"/>
      <c r="E34" s="12"/>
      <c r="F34" s="12"/>
      <c r="G34" s="12"/>
      <c r="I34" s="13"/>
      <c r="J34" s="0" t="s">
        <v>37</v>
      </c>
    </row>
    <row r="35" outlineLevel="2">
      <c r="A35" s="10" t="s">
        <v>55</v>
      </c>
      <c r="B35" s="0" t="s">
        <v>54</v>
      </c>
      <c r="C35" s="12">
        <v>19500</v>
      </c>
      <c r="D35" s="12"/>
      <c r="E35" s="12"/>
      <c r="F35" s="12"/>
      <c r="G35" s="12"/>
      <c r="I35" s="13"/>
      <c r="J35" s="0" t="s">
        <v>37</v>
      </c>
    </row>
    <row r="36" outlineLevel="2">
      <c r="A36" s="10" t="s">
        <v>56</v>
      </c>
      <c r="B36" s="0" t="s">
        <v>54</v>
      </c>
      <c r="C36" s="12">
        <v>1900</v>
      </c>
      <c r="D36" s="12"/>
      <c r="E36" s="12"/>
      <c r="F36" s="12"/>
      <c r="G36" s="12"/>
      <c r="I36" s="13"/>
      <c r="J36" s="0" t="s">
        <v>37</v>
      </c>
    </row>
    <row r="37" outlineLevel="2">
      <c r="A37" s="10" t="s">
        <v>57</v>
      </c>
      <c r="B37" s="0" t="s">
        <v>54</v>
      </c>
      <c r="C37" s="12">
        <v>10000</v>
      </c>
      <c r="D37" s="12"/>
      <c r="E37" s="12"/>
      <c r="F37" s="12"/>
      <c r="G37" s="12"/>
      <c r="I37" s="13"/>
      <c r="J37" s="0" t="s">
        <v>37</v>
      </c>
    </row>
    <row r="38" outlineLevel="2">
      <c r="A38" s="10" t="s">
        <v>58</v>
      </c>
      <c r="B38" s="0" t="s">
        <v>54</v>
      </c>
      <c r="C38" s="12">
        <v>800</v>
      </c>
      <c r="D38" s="12"/>
      <c r="E38" s="12"/>
      <c r="F38" s="12"/>
      <c r="G38" s="12"/>
      <c r="I38" s="13"/>
      <c r="J38" s="0" t="s">
        <v>37</v>
      </c>
    </row>
    <row r="39">
      <c r="A39" s="5" t="s">
        <v>59</v>
      </c>
      <c r="I39" s="13"/>
    </row>
    <row r="40" outlineLevel="1">
      <c r="A40" s="9" t="s">
        <v>60</v>
      </c>
      <c r="I40" s="13"/>
    </row>
    <row r="41" outlineLevel="2">
      <c r="A41" s="10" t="s">
        <v>61</v>
      </c>
      <c r="B41" s="0" t="s">
        <v>62</v>
      </c>
      <c r="C41" s="11">
        <v>0.12</v>
      </c>
      <c r="D41" s="11"/>
      <c r="E41" s="11"/>
      <c r="F41" s="11"/>
      <c r="G41" s="11"/>
      <c r="I41" s="13"/>
    </row>
    <row r="42" outlineLevel="2">
      <c r="A42" s="10" t="s">
        <v>63</v>
      </c>
      <c r="B42" s="0" t="s">
        <v>62</v>
      </c>
      <c r="C42" s="11">
        <v>5.46</v>
      </c>
      <c r="D42" s="11"/>
      <c r="E42" s="11"/>
      <c r="F42" s="11"/>
      <c r="G42" s="11"/>
      <c r="I42" s="13"/>
    </row>
    <row r="43" outlineLevel="2">
      <c r="A43" s="10" t="s">
        <v>64</v>
      </c>
      <c r="B43" s="0" t="s">
        <v>62</v>
      </c>
      <c r="C43" s="11">
        <v>14.7</v>
      </c>
      <c r="D43" s="11"/>
      <c r="E43" s="11"/>
      <c r="F43" s="11"/>
      <c r="G43" s="11"/>
      <c r="I43" s="13"/>
    </row>
    <row r="44" outlineLevel="2">
      <c r="A44" s="10" t="s">
        <v>65</v>
      </c>
      <c r="B44" s="0" t="s">
        <v>62</v>
      </c>
      <c r="C44" s="11">
        <v>1.47</v>
      </c>
      <c r="D44" s="11"/>
      <c r="E44" s="11"/>
      <c r="F44" s="11"/>
      <c r="G44" s="11"/>
      <c r="I44" s="13"/>
    </row>
    <row r="45" outlineLevel="2">
      <c r="A45" s="10" t="s">
        <v>66</v>
      </c>
      <c r="B45" s="0" t="s">
        <v>62</v>
      </c>
      <c r="C45" s="11">
        <v>35.84</v>
      </c>
      <c r="D45" s="11"/>
      <c r="E45" s="11"/>
      <c r="F45" s="11"/>
      <c r="G45" s="11"/>
      <c r="I45" s="13"/>
    </row>
    <row r="46" outlineLevel="2">
      <c r="A46" s="10" t="s">
        <v>67</v>
      </c>
      <c r="B46" s="0" t="s">
        <v>62</v>
      </c>
      <c r="C46" s="11">
        <v>0.97</v>
      </c>
      <c r="D46" s="11"/>
      <c r="E46" s="11"/>
      <c r="F46" s="11"/>
      <c r="G46" s="11"/>
      <c r="I46" s="13"/>
    </row>
    <row r="47" outlineLevel="2">
      <c r="A47" s="10" t="s">
        <v>68</v>
      </c>
      <c r="B47" s="0" t="s">
        <v>62</v>
      </c>
      <c r="C47" s="11">
        <v>2.46</v>
      </c>
      <c r="D47" s="11"/>
      <c r="E47" s="11"/>
      <c r="F47" s="11"/>
      <c r="G47" s="11"/>
      <c r="I47" s="13"/>
    </row>
    <row r="48" outlineLevel="2">
      <c r="A48" s="10" t="s">
        <v>69</v>
      </c>
      <c r="B48" s="0" t="s">
        <v>62</v>
      </c>
      <c r="C48" s="11">
        <v>4.66</v>
      </c>
      <c r="D48" s="11"/>
      <c r="E48" s="11"/>
      <c r="F48" s="11"/>
      <c r="G48" s="11"/>
      <c r="I48" s="13"/>
    </row>
    <row r="49" outlineLevel="2">
      <c r="A49" s="10" t="s">
        <v>70</v>
      </c>
      <c r="B49" s="0" t="s">
        <v>62</v>
      </c>
      <c r="C49" s="11">
        <v>2.51</v>
      </c>
      <c r="D49" s="11"/>
      <c r="E49" s="11"/>
      <c r="F49" s="11"/>
      <c r="G49" s="11"/>
      <c r="I49" s="13"/>
    </row>
    <row r="50" outlineLevel="2">
      <c r="A50" s="10" t="s">
        <v>71</v>
      </c>
      <c r="B50" s="0" t="s">
        <v>62</v>
      </c>
      <c r="C50" s="11">
        <v>10.5</v>
      </c>
      <c r="D50" s="11"/>
      <c r="E50" s="11"/>
      <c r="F50" s="11"/>
      <c r="G50" s="11"/>
      <c r="I50" s="13"/>
    </row>
    <row r="51" outlineLevel="2">
      <c r="A51" s="10" t="s">
        <v>72</v>
      </c>
      <c r="B51" s="0" t="s">
        <v>62</v>
      </c>
      <c r="C51" s="11">
        <v>18.4</v>
      </c>
      <c r="D51" s="11"/>
      <c r="E51" s="11"/>
      <c r="F51" s="11"/>
      <c r="G51" s="11"/>
      <c r="I51" s="13"/>
    </row>
    <row r="52" outlineLevel="2">
      <c r="A52" s="10" t="s">
        <v>73</v>
      </c>
      <c r="B52" s="0" t="s">
        <v>62</v>
      </c>
      <c r="C52" s="11">
        <v>0.15</v>
      </c>
      <c r="D52" s="11"/>
      <c r="E52" s="11"/>
      <c r="F52" s="11"/>
      <c r="G52" s="11"/>
      <c r="I52" s="13"/>
    </row>
    <row r="53">
      <c r="I53" s="13"/>
    </row>
    <row r="5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38:E38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https://phyllis.nl/Biomass/View/767</dc:description>
  <dcterms:created xsi:type="dcterms:W3CDTF">2026-03-17T06:18:48Z</dcterms:created>
  <dc:title>Phyllis2 #767 wheat straw, untreated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