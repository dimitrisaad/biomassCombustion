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773 wood, pine" sheetId="1" r:id="rId1"/>
  </sheets>
  <definedNames>
    <definedName name="w" localSheetId="0">IF(ISBLANK('Phyllis2 #773 wood, pine'!$C$17),#N/A,'Phyllis2 #773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<sst xmlns="http://schemas.openxmlformats.org/spreadsheetml/2006/main" count="48" uniqueCount="48">
  <si>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</si>
  <si>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https://phyllis.nl/Biomass/View/773</t>
  </si>
  <si>
    <t>wood, pine (#773)</t>
  </si>
  <si>
    <t>ID-number</t>
  </si>
  <si>
    <t>#773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</si>
  <si>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</si>
  <si>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</si>
  <si>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</si>
  <si>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</si>
  <si>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</si>
  <si>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</si>
  <si>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</si>
  <si>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</si>
  <si>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R. Zevenhoven et.al.: Pressurized gasification properties of fossil fuels, bio-fuels and wastes. In: Finnish-Swedish Flame Days 1996, September 3-4, Naantali, Finland, pp. 1-31, Abo Akademi University, Combustion Chemistry Research Group, Turku/Abo.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</si>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</sst>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77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>6.2</v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30</v>
      </c>
      <c r="C18" s="11">
        <f>IFERROR(0.5*(1-w),"")</f>
        <v>0.469</v>
      </c>
      <c r="D18" s="11">
        <v>0.5</v>
      </c>
      <c r="E18" s="11">
        <v/>
      </c>
      <c r="F18" s="11"/>
      <c r="G18" s="11"/>
      <c r="I18" s="12"/>
    </row>
    <row r="19" outlineLevel="2">
      <c r="A19" s="10" t="s">
        <v>32</v>
      </c>
      <c r="B19" s="0" t="s">
        <v>30</v>
      </c>
      <c r="C19" s="11">
        <f>IFERROR(91.45*(1-w),"")</f>
        <v>85.7801</v>
      </c>
      <c r="D19" s="11">
        <v>91.45</v>
      </c>
      <c r="E19" s="11">
        <v>91.909547738693476</v>
      </c>
      <c r="F19" s="11"/>
      <c r="G19" s="11"/>
      <c r="I19" s="12"/>
    </row>
    <row r="20" outlineLevel="2">
      <c r="A20" s="10" t="s">
        <v>33</v>
      </c>
      <c r="B20" s="0" t="s">
        <v>30</v>
      </c>
      <c r="C20" s="11">
        <f>IFERROR(8.05*(1-w),"")</f>
        <v>7.5508999999999968</v>
      </c>
      <c r="D20" s="11">
        <v>8.0499999999999972</v>
      </c>
      <c r="E20" s="11">
        <v>8.09045226130653</v>
      </c>
      <c r="F20" s="11"/>
      <c r="G20" s="11"/>
      <c r="I20" s="12"/>
      <c r="J20" s="0" t="s">
        <v>34</v>
      </c>
    </row>
    <row r="21" outlineLevel="1">
      <c r="A21" s="9" t="s">
        <v>35</v>
      </c>
      <c r="I21" s="12"/>
    </row>
    <row r="22" outlineLevel="2">
      <c r="A22" s="10" t="s">
        <v>36</v>
      </c>
      <c r="B22" s="0" t="s">
        <v>30</v>
      </c>
      <c r="C22" s="11">
        <f>IFERROR(48.9*(1-w),"")</f>
        <v>45.868199999999995</v>
      </c>
      <c r="D22" s="11">
        <v>48.9</v>
      </c>
      <c r="E22" s="11">
        <v>49.145728643216081</v>
      </c>
      <c r="F22" s="11"/>
      <c r="G22" s="11"/>
      <c r="I22" s="12"/>
      <c r="J22" s="0" t="s">
        <v>37</v>
      </c>
    </row>
    <row r="23" outlineLevel="2">
      <c r="A23" s="10" t="s">
        <v>38</v>
      </c>
      <c r="B23" s="0" t="s">
        <v>30</v>
      </c>
      <c r="C23" s="11">
        <f>IFERROR(6*(1-w),"")</f>
        <v>5.628</v>
      </c>
      <c r="D23" s="11">
        <v>6</v>
      </c>
      <c r="E23" s="11">
        <v>6.0301507537688446</v>
      </c>
      <c r="F23" s="11"/>
      <c r="G23" s="11"/>
      <c r="I23" s="12"/>
      <c r="J23" s="0" t="s">
        <v>37</v>
      </c>
    </row>
    <row r="24" outlineLevel="2">
      <c r="A24" s="10" t="s">
        <v>39</v>
      </c>
      <c r="B24" s="0" t="s">
        <v>30</v>
      </c>
      <c r="C24" s="11">
        <f>IFERROR(43.8*(1-w),"")</f>
        <v>41.084399999999995</v>
      </c>
      <c r="D24" s="11">
        <v>43.8</v>
      </c>
      <c r="E24" s="11">
        <v>44.020100502512562</v>
      </c>
      <c r="F24" s="11"/>
      <c r="G24" s="11"/>
      <c r="I24" s="12"/>
      <c r="J24" s="0" t="s">
        <v>37</v>
      </c>
    </row>
    <row r="25" outlineLevel="2">
      <c r="A25" s="10" t="s">
        <v>40</v>
      </c>
      <c r="B25" s="0" t="s">
        <v>30</v>
      </c>
      <c r="C25" s="11">
        <f>IFERROR(0.2*(1-w),"")</f>
        <v>0.1876</v>
      </c>
      <c r="D25" s="11">
        <v>0.2</v>
      </c>
      <c r="E25" s="11">
        <v>0.20100502512562815</v>
      </c>
      <c r="F25" s="11"/>
      <c r="G25" s="11"/>
      <c r="I25" s="12"/>
      <c r="J25" s="0" t="s">
        <v>37</v>
      </c>
    </row>
    <row r="26" outlineLevel="2">
      <c r="A26" s="10" t="s">
        <v>41</v>
      </c>
      <c r="B26" s="0" t="s">
        <v>30</v>
      </c>
      <c r="C26" s="11">
        <f>IFERROR(0.06*(1-w),"")</f>
        <v>0.05628</v>
      </c>
      <c r="D26" s="11">
        <v>0.06</v>
      </c>
      <c r="E26" s="11">
        <v>0.06030150753768844</v>
      </c>
      <c r="F26" s="11"/>
      <c r="G26" s="11"/>
      <c r="I26" s="12"/>
      <c r="J26" s="0" t="s">
        <v>37</v>
      </c>
    </row>
    <row r="27" outlineLevel="2">
      <c r="A27" s="10" t="s">
        <v>42</v>
      </c>
      <c r="B27" s="0" t="s">
        <v>30</v>
      </c>
      <c r="C27" s="11">
        <f>IFERROR(99.46*(1-w)+w*100,"")</f>
        <v>99.493479999999991</v>
      </c>
      <c r="D27" s="11">
        <v>99.46</v>
      </c>
      <c r="E27" s="11">
        <v>99.4572864321608</v>
      </c>
      <c r="F27" s="11"/>
      <c r="G27" s="11"/>
      <c r="I27" s="12"/>
      <c r="J27" s="0" t="s">
        <v>34</v>
      </c>
    </row>
    <row r="28" outlineLevel="1">
      <c r="A28" s="9" t="s">
        <v>43</v>
      </c>
      <c r="I28" s="12"/>
    </row>
    <row r="29" outlineLevel="2">
      <c r="A29" s="10" t="s">
        <v>44</v>
      </c>
      <c r="B29" s="0" t="s">
        <v>45</v>
      </c>
      <c r="C29" s="11">
        <f>IFERROR(17.8*(1-w)-w*2.443,"")</f>
        <v>16.544934</v>
      </c>
      <c r="D29" s="11">
        <v>17.8</v>
      </c>
      <c r="E29" s="11">
        <v>17.889447236180906</v>
      </c>
      <c r="F29" s="11"/>
      <c r="G29" s="11"/>
      <c r="I29" s="12"/>
    </row>
    <row r="30" outlineLevel="2">
      <c r="A30" s="10" t="s">
        <v>46</v>
      </c>
      <c r="B30" s="0" t="s">
        <v>45</v>
      </c>
      <c r="C30" s="11">
        <f>IFERROR(19.1093*(1-w),"")</f>
        <v>17.924523399999998</v>
      </c>
      <c r="D30" s="11">
        <v>19.1093</v>
      </c>
      <c r="E30" s="11">
        <v>19.205326633165829</v>
      </c>
      <c r="F30" s="11"/>
      <c r="G30" s="11"/>
      <c r="I30" s="12"/>
    </row>
    <row r="31" outlineLevel="2">
      <c r="A31" s="10" t="s">
        <v>47</v>
      </c>
      <c r="B31" s="0" t="s">
        <v>45</v>
      </c>
      <c r="C31" s="11">
        <f>IFERROR(19.32340425*(1-w),"")</f>
        <v>18.1253531865</v>
      </c>
      <c r="D31" s="11">
        <v>19.32340425</v>
      </c>
      <c r="E31" s="11">
        <v>19.4205067839196</v>
      </c>
      <c r="F31" s="11"/>
      <c r="G31" s="11"/>
      <c r="I31" s="12"/>
      <c r="J31" s="0" t="s">
        <v>34</v>
      </c>
    </row>
    <row r="32">
      <c r="I32" s="12"/>
    </row>
    <row r="33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6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https://phyllis.nl/Biomass/View/773</dc:description>
  <dcterms:created xsi:type="dcterms:W3CDTF">2026-03-19T04:24:38Z</dcterms:created>
  <dc:title>Phyllis2 #773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