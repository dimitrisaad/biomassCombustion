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74 wood, birch" sheetId="1" r:id="rId1"/>
  </sheets>
  <definedNames>
    <definedName name="w" localSheetId="0">IF(ISBLANK('Phyllis2 #774 wood, birch'!$C$17),#N/A,'Phyllis2 #774 wood, birch'!$C$17/100)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<sst xmlns="http://schemas.openxmlformats.org/spreadsheetml/2006/main" count="48" uniqueCount="48">
  <si>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</si>
  <si>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https://phyllis.nl/Biomass/View/774</t>
  </si>
  <si>
    <t>wood, birch (#774)</t>
  </si>
  <si>
    <t>ID-number</t>
  </si>
  <si>
    <t>#774</t>
  </si>
  <si>
    <t>Material</t>
  </si>
  <si>
    <t>wood, birch</t>
  </si>
  <si>
    <t>Classification</t>
  </si>
  <si>
    <t>ECN Phyllis classification &gt; untreated wood &gt; birch &gt; wood, birch</t>
  </si>
  <si>
    <t>NTA 8003 classification &gt; [100] hout &gt; [110] vers hout &gt; [120] loofhout &gt; [122] zacht loofhout</t>
  </si>
  <si>
    <t>Submitter organisation</t>
  </si>
  <si>
    <t>ECN (Netherlands)</t>
  </si>
  <si>
    <t>Literature</t>
  </si>
  <si>
    <t>R. Zevenhoven et.al.: Pressurized gasification properties of fossil fuels, bio-fuels and wastes. In: Finnish-Swedish Flame Days 1996, September 3-4, Naantali, Finland, pp. 1-31, Abo Akademi University, Combustion Chemistry Research Group, Turku/Abo.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</si>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</sst>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7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>5.1</v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30</v>
      </c>
      <c r="C18" s="11">
        <f>IFERROR(0.2*(1-w),"")</f>
        <v>0.1898</v>
      </c>
      <c r="D18" s="11">
        <v>0.2</v>
      </c>
      <c r="E18" s="11">
        <v/>
      </c>
      <c r="F18" s="11"/>
      <c r="G18" s="11"/>
      <c r="I18" s="12"/>
    </row>
    <row r="19" outlineLevel="2">
      <c r="A19" s="10" t="s">
        <v>32</v>
      </c>
      <c r="B19" s="0" t="s">
        <v>30</v>
      </c>
      <c r="C19" s="11">
        <f>IFERROR(94.731*(1-w),"")</f>
        <v>89.89971899999999</v>
      </c>
      <c r="D19" s="11">
        <v>94.731</v>
      </c>
      <c r="E19" s="11">
        <v>94.920841683366731</v>
      </c>
      <c r="F19" s="11"/>
      <c r="G19" s="11"/>
      <c r="I19" s="12"/>
    </row>
    <row r="20" outlineLevel="2">
      <c r="A20" s="10" t="s">
        <v>33</v>
      </c>
      <c r="B20" s="0" t="s">
        <v>30</v>
      </c>
      <c r="C20" s="11">
        <f>IFERROR(5.069*(1-w),"")</f>
        <v>4.810481000000002</v>
      </c>
      <c r="D20" s="11">
        <v>5.0690000000000026</v>
      </c>
      <c r="E20" s="11">
        <v>5.0791583166332694</v>
      </c>
      <c r="F20" s="11"/>
      <c r="G20" s="11"/>
      <c r="I20" s="12"/>
      <c r="J20" s="0" t="s">
        <v>34</v>
      </c>
    </row>
    <row r="21" outlineLevel="1">
      <c r="A21" s="9" t="s">
        <v>35</v>
      </c>
      <c r="I21" s="12"/>
    </row>
    <row r="22" outlineLevel="2">
      <c r="A22" s="10" t="s">
        <v>36</v>
      </c>
      <c r="B22" s="0" t="s">
        <v>30</v>
      </c>
      <c r="C22" s="11">
        <f>IFERROR(47.6*(1-w),"")</f>
        <v>45.172399999999996</v>
      </c>
      <c r="D22" s="11">
        <v>47.6</v>
      </c>
      <c r="E22" s="11">
        <v>47.695390781563127</v>
      </c>
      <c r="F22" s="11"/>
      <c r="G22" s="11"/>
      <c r="I22" s="12"/>
      <c r="J22" s="0" t="s">
        <v>37</v>
      </c>
    </row>
    <row r="23" outlineLevel="2">
      <c r="A23" s="10" t="s">
        <v>38</v>
      </c>
      <c r="B23" s="0" t="s">
        <v>30</v>
      </c>
      <c r="C23" s="11">
        <f>IFERROR(6*(1-w),"")</f>
        <v>5.694</v>
      </c>
      <c r="D23" s="11">
        <v>6</v>
      </c>
      <c r="E23" s="11">
        <v>6.0120240480961922</v>
      </c>
      <c r="F23" s="11"/>
      <c r="G23" s="11"/>
      <c r="I23" s="12"/>
      <c r="J23" s="0" t="s">
        <v>37</v>
      </c>
    </row>
    <row r="24" outlineLevel="2">
      <c r="A24" s="10" t="s">
        <v>39</v>
      </c>
      <c r="B24" s="0" t="s">
        <v>30</v>
      </c>
      <c r="C24" s="11">
        <f>IFERROR(45.5*(1-w),"")</f>
        <v>43.1795</v>
      </c>
      <c r="D24" s="11">
        <v>45.5</v>
      </c>
      <c r="E24" s="11">
        <v>45.591182364729463</v>
      </c>
      <c r="F24" s="11"/>
      <c r="G24" s="11"/>
      <c r="I24" s="12"/>
      <c r="J24" s="0" t="s">
        <v>37</v>
      </c>
    </row>
    <row r="25" outlineLevel="2">
      <c r="A25" s="10" t="s">
        <v>40</v>
      </c>
      <c r="B25" s="0" t="s">
        <v>30</v>
      </c>
      <c r="C25" s="11">
        <f>IFERROR(0.1*(1-w),"")</f>
        <v>0.0949</v>
      </c>
      <c r="D25" s="11">
        <v>0.1</v>
      </c>
      <c r="E25" s="11">
        <v>0.10020040080160321</v>
      </c>
      <c r="F25" s="11"/>
      <c r="G25" s="11"/>
      <c r="I25" s="12"/>
      <c r="J25" s="0" t="s">
        <v>37</v>
      </c>
    </row>
    <row r="26" outlineLevel="2">
      <c r="A26" s="10" t="s">
        <v>41</v>
      </c>
      <c r="B26" s="0" t="s">
        <v>30</v>
      </c>
      <c r="C26" s="11">
        <f>IFERROR(0.03*(1-w),"")</f>
        <v>0.02847</v>
      </c>
      <c r="D26" s="11">
        <v>0.03</v>
      </c>
      <c r="E26" s="11">
        <v>0.030060120240480961</v>
      </c>
      <c r="F26" s="11"/>
      <c r="G26" s="11"/>
      <c r="I26" s="12"/>
      <c r="J26" s="0" t="s">
        <v>37</v>
      </c>
    </row>
    <row r="27" outlineLevel="2">
      <c r="A27" s="10" t="s">
        <v>42</v>
      </c>
      <c r="B27" s="0" t="s">
        <v>30</v>
      </c>
      <c r="C27" s="11">
        <f>IFERROR(99.43*(1-w)+w*100,"")</f>
        <v>99.459069999999983</v>
      </c>
      <c r="D27" s="11">
        <v>99.429999999999993</v>
      </c>
      <c r="E27" s="11">
        <v>99.428857715430851</v>
      </c>
      <c r="F27" s="11"/>
      <c r="G27" s="11"/>
      <c r="I27" s="12"/>
      <c r="J27" s="0" t="s">
        <v>34</v>
      </c>
    </row>
    <row r="28" outlineLevel="1">
      <c r="A28" s="9" t="s">
        <v>43</v>
      </c>
      <c r="I28" s="12"/>
    </row>
    <row r="29" outlineLevel="2">
      <c r="A29" s="10" t="s">
        <v>44</v>
      </c>
      <c r="B29" s="0" t="s">
        <v>45</v>
      </c>
      <c r="C29" s="11">
        <f>IFERROR(16.9*(1-w)-w*2.443,"")</f>
        <v>15.913506999999996</v>
      </c>
      <c r="D29" s="11">
        <v>16.9</v>
      </c>
      <c r="E29" s="11">
        <v>16.93386773547094</v>
      </c>
      <c r="F29" s="11"/>
      <c r="G29" s="11"/>
      <c r="I29" s="12"/>
    </row>
    <row r="30" outlineLevel="2">
      <c r="A30" s="10" t="s">
        <v>46</v>
      </c>
      <c r="B30" s="0" t="s">
        <v>45</v>
      </c>
      <c r="C30" s="11">
        <f>IFERROR(18.2093*(1-w),"")</f>
        <v>17.280625699999998</v>
      </c>
      <c r="D30" s="11">
        <v>18.2093</v>
      </c>
      <c r="E30" s="11">
        <v>18.24579158316633</v>
      </c>
      <c r="F30" s="11"/>
      <c r="G30" s="11"/>
      <c r="I30" s="12"/>
    </row>
    <row r="31" outlineLevel="2">
      <c r="A31" s="10" t="s">
        <v>47</v>
      </c>
      <c r="B31" s="0" t="s">
        <v>45</v>
      </c>
      <c r="C31" s="11">
        <f>IFERROR(18.69060412*(1-w),"")</f>
        <v>17.73738330988</v>
      </c>
      <c r="D31" s="11">
        <v>18.69060412</v>
      </c>
      <c r="E31" s="11">
        <v>18.728060240480961</v>
      </c>
      <c r="F31" s="11"/>
      <c r="G31" s="11"/>
      <c r="I31" s="12"/>
      <c r="J31" s="0" t="s">
        <v>34</v>
      </c>
    </row>
    <row r="32">
      <c r="I32" s="12"/>
    </row>
    <row r="33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5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https://phyllis.nl/Biomass/View/774</dc:description>
  <dcterms:created xsi:type="dcterms:W3CDTF">2026-03-19T04:21:12Z</dcterms:created>
  <dc:title>Phyllis2 #774 wood, birch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