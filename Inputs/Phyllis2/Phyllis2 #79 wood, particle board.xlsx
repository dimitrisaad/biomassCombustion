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9 wood, particle boa" sheetId="1" r:id="rId1"/>
  </sheets>
  <definedNames>
    <definedName name="w" localSheetId="0">IF(ISBLANK('Phyllis2 #79 wood, particle boa'!$C$19),#N/A,'Phyllis2 #79 wood, particle boa'!$C$19/100)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<sst xmlns="http://schemas.openxmlformats.org/spreadsheetml/2006/main" count="74" uniqueCount="74">
  <si>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</si>
  <si>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https://phyllis.nl/Biomass/View/79</t>
  </si>
  <si>
    <t>wood, particle board (#79)</t>
  </si>
  <si>
    <t>ID-number</t>
  </si>
  <si>
    <t>#79</t>
  </si>
  <si>
    <t>Material</t>
  </si>
  <si>
    <t>wood, particle board</t>
  </si>
  <si>
    <t>Classification</t>
  </si>
  <si>
    <t>ECN Phyllis classification &gt; treated wood &gt; particle board &gt; wood, particle board</t>
  </si>
  <si>
    <t>NTA 8003 classification &gt; [100] hout &gt; [150] verwerkt hout &gt; [170] geverfd/verlijmd hout (B-hout) &gt; [172] plaatmateriaal/verlijmd hout</t>
  </si>
  <si>
    <t>Ash type</t>
  </si>
  <si>
    <t>industrial</t>
  </si>
  <si>
    <t>Submitter organisation</t>
  </si>
  <si>
    <t>ECN (Netherlands)</t>
  </si>
  <si>
    <t>Remarks</t>
  </si>
  <si>
    <t>s.hard woods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</si>
  <si>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</si>
  <si>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</si>
  <si>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</si>
  <si>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</si>
  <si>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</si>
  <si>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</si>
  <si>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</si>
  <si>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</si>
  <si>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</si>
  <si>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</si>
  <si>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</si>
  <si>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</si>
  <si>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</si>
  <si>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</si>
  <si>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</si>
  <si>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</si>
  <si>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</si>
  <si>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</si>
  <si>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</si>
  <si>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</si>
  <si>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</si>
  <si>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</si>
  <si>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</si>
  <si>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</si>
  <si>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</si>
  <si>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</si>
  <si>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</si>
  <si>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</si>
  <si>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</si>
  <si>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</si>
  <si>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</si>
  <si>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</si>
  <si>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</si>
  <si>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</si>
  <si>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</si>
  <si>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</si>
  <si>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</si>
  <si>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</si>
  <si>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Barium (Ba)</t>
  </si>
  <si>
    <t>mg/kg (dry)</t>
  </si>
  <si>
    <t>Lead (Pb)</t>
  </si>
  <si>
    <t>Zinc (Zn)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</si>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</sst>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/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35</v>
      </c>
      <c r="C20" s="11">
        <f>IFERROR(0.24*(1-w),"")</f>
        <v/>
      </c>
      <c r="D20" s="11">
        <v>0.24</v>
      </c>
      <c r="E20" s="11">
        <v/>
      </c>
      <c r="F20" s="11"/>
      <c r="G20" s="11"/>
      <c r="I20" s="13"/>
    </row>
    <row r="21" outlineLevel="1">
      <c r="A21" s="9" t="s">
        <v>36</v>
      </c>
      <c r="I21" s="13"/>
    </row>
    <row r="22" outlineLevel="2">
      <c r="A22" s="10" t="s">
        <v>37</v>
      </c>
      <c r="B22" s="0" t="s">
        <v>35</v>
      </c>
      <c r="C22" s="11">
        <f>IFERROR(51.83*(1-w),"")</f>
        <v/>
      </c>
      <c r="D22" s="11">
        <v>51.83</v>
      </c>
      <c r="E22" s="11">
        <v>51.954691259021651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35</v>
      </c>
      <c r="C23" s="11">
        <f>IFERROR(5.81*(1-w),"")</f>
        <v/>
      </c>
      <c r="D23" s="11">
        <v>5.81</v>
      </c>
      <c r="E23" s="11">
        <v>5.8239775461106653</v>
      </c>
      <c r="F23" s="11"/>
      <c r="G23" s="11"/>
      <c r="I23" s="13"/>
      <c r="J23" s="0" t="s">
        <v>38</v>
      </c>
    </row>
    <row r="24" outlineLevel="2">
      <c r="A24" s="10" t="s">
        <v>40</v>
      </c>
      <c r="B24" s="0" t="s">
        <v>35</v>
      </c>
      <c r="C24" s="11">
        <f>IFERROR(38.8*(1-w),"")</f>
        <v/>
      </c>
      <c r="D24" s="11">
        <v>38.8</v>
      </c>
      <c r="E24" s="11">
        <v>38.893344025661584</v>
      </c>
      <c r="F24" s="11"/>
      <c r="G24" s="11"/>
      <c r="I24" s="13"/>
      <c r="J24" s="0" t="s">
        <v>41</v>
      </c>
    </row>
    <row r="25" outlineLevel="2">
      <c r="A25" s="10" t="s">
        <v>42</v>
      </c>
      <c r="B25" s="0" t="s">
        <v>35</v>
      </c>
      <c r="C25" s="11">
        <f>IFERROR(2.96*(1-w),"")</f>
        <v/>
      </c>
      <c r="D25" s="11">
        <v>2.96</v>
      </c>
      <c r="E25" s="11">
        <v>2.9671210906174816</v>
      </c>
      <c r="F25" s="11"/>
      <c r="G25" s="11"/>
      <c r="I25" s="13"/>
      <c r="J25" s="0" t="s">
        <v>38</v>
      </c>
    </row>
    <row r="26" outlineLevel="2">
      <c r="A26" s="10" t="s">
        <v>43</v>
      </c>
      <c r="B26" s="0" t="s">
        <v>35</v>
      </c>
      <c r="C26" s="11">
        <f>IFERROR(0.03*(1-w),"")</f>
        <v/>
      </c>
      <c r="D26" s="11">
        <v>0.03</v>
      </c>
      <c r="E26" s="11">
        <v>0.030072173215717719</v>
      </c>
      <c r="F26" s="11"/>
      <c r="G26" s="11"/>
      <c r="I26" s="13"/>
      <c r="J26" s="0" t="s">
        <v>38</v>
      </c>
    </row>
    <row r="27" outlineLevel="2">
      <c r="A27" s="10" t="s">
        <v>44</v>
      </c>
      <c r="B27" s="0" t="s">
        <v>35</v>
      </c>
      <c r="C27" s="11">
        <f>IFERROR(100*(1-w)+w*100,"")</f>
        <v/>
      </c>
      <c r="D27" s="11">
        <v>99.999999999999986</v>
      </c>
      <c r="E27" s="11">
        <v>99.999999999999986</v>
      </c>
      <c r="F27" s="11"/>
      <c r="G27" s="11"/>
      <c r="I27" s="13"/>
      <c r="J27" s="0" t="s">
        <v>41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2">
        <f>IFERROR(3300*(1-w),"")</f>
        <v/>
      </c>
      <c r="D29" s="12">
        <v>3300</v>
      </c>
      <c r="E29" s="12">
        <v>3307.9390537289491</v>
      </c>
      <c r="F29" s="12"/>
      <c r="G29" s="12"/>
      <c r="I29" s="13"/>
      <c r="J29" s="0" t="s">
        <v>38</v>
      </c>
    </row>
    <row r="30" outlineLevel="1">
      <c r="A30" s="9" t="s">
        <v>48</v>
      </c>
      <c r="I30" s="13"/>
    </row>
    <row r="31" outlineLevel="2">
      <c r="A31" s="10" t="s">
        <v>49</v>
      </c>
      <c r="B31" s="0" t="s">
        <v>50</v>
      </c>
      <c r="C31" s="11">
        <f>IFERROR(18.09316*(1-w)-w*2.443,"")</f>
        <v/>
      </c>
      <c r="D31" s="11">
        <v>18.09316</v>
      </c>
      <c r="E31" s="11">
        <v>18.136688051323176</v>
      </c>
      <c r="F31" s="11"/>
      <c r="G31" s="11"/>
      <c r="I31" s="13"/>
    </row>
    <row r="32" outlineLevel="2">
      <c r="A32" s="10" t="s">
        <v>51</v>
      </c>
      <c r="B32" s="0" t="s">
        <v>50</v>
      </c>
      <c r="C32" s="11">
        <f>IFERROR(19.361*(1-w),"")</f>
        <v/>
      </c>
      <c r="D32" s="11">
        <v>19.361</v>
      </c>
      <c r="E32" s="11">
        <v>19.407578187650362</v>
      </c>
      <c r="F32" s="11"/>
      <c r="G32" s="11"/>
      <c r="I32" s="13"/>
    </row>
    <row r="33" outlineLevel="2">
      <c r="A33" s="10" t="s">
        <v>52</v>
      </c>
      <c r="B33" s="0" t="s">
        <v>50</v>
      </c>
      <c r="C33" s="11">
        <f>IFERROR(20.3420448128*(1-w),"")</f>
        <v/>
      </c>
      <c r="D33" s="11">
        <v>20.3420448128</v>
      </c>
      <c r="E33" s="11">
        <v>20.390983172413794</v>
      </c>
      <c r="F33" s="11"/>
      <c r="G33" s="11"/>
      <c r="I33" s="13"/>
      <c r="J33" s="0" t="s">
        <v>41</v>
      </c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2">
        <v>27.4</v>
      </c>
      <c r="D35" s="12"/>
      <c r="E35" s="12"/>
      <c r="F35" s="12"/>
      <c r="G35" s="12"/>
      <c r="I35" s="13"/>
      <c r="J35" s="0" t="s">
        <v>38</v>
      </c>
    </row>
    <row r="36" outlineLevel="2">
      <c r="A36" s="10" t="s">
        <v>56</v>
      </c>
      <c r="B36" s="0" t="s">
        <v>55</v>
      </c>
      <c r="C36" s="12">
        <v>6.5</v>
      </c>
      <c r="D36" s="12"/>
      <c r="E36" s="12"/>
      <c r="F36" s="12"/>
      <c r="G36" s="12"/>
      <c r="I36" s="13"/>
      <c r="J36" s="0" t="s">
        <v>38</v>
      </c>
    </row>
    <row r="37" outlineLevel="2">
      <c r="A37" s="10" t="s">
        <v>57</v>
      </c>
      <c r="B37" s="0" t="s">
        <v>55</v>
      </c>
      <c r="C37" s="12">
        <v>7.5</v>
      </c>
      <c r="D37" s="12"/>
      <c r="E37" s="12"/>
      <c r="F37" s="12"/>
      <c r="G37" s="12"/>
      <c r="I37" s="13"/>
      <c r="J37" s="0" t="s">
        <v>38</v>
      </c>
    </row>
    <row r="38">
      <c r="A38" s="5" t="s">
        <v>58</v>
      </c>
      <c r="I38" s="13"/>
    </row>
    <row r="39" outlineLevel="1">
      <c r="A39" s="9" t="s">
        <v>59</v>
      </c>
      <c r="I39" s="13"/>
    </row>
    <row r="40" outlineLevel="2">
      <c r="A40" s="10" t="s">
        <v>60</v>
      </c>
      <c r="B40" s="0" t="s">
        <v>61</v>
      </c>
      <c r="C40" s="11">
        <v>17.6</v>
      </c>
      <c r="D40" s="11"/>
      <c r="E40" s="11"/>
      <c r="F40" s="11"/>
      <c r="G40" s="11"/>
      <c r="I40" s="13"/>
    </row>
    <row r="41" outlineLevel="2">
      <c r="A41" s="10" t="s">
        <v>62</v>
      </c>
      <c r="B41" s="0" t="s">
        <v>61</v>
      </c>
      <c r="C41" s="11">
        <v>3.43</v>
      </c>
      <c r="D41" s="11"/>
      <c r="E41" s="11"/>
      <c r="F41" s="11"/>
      <c r="G41" s="11"/>
      <c r="I41" s="13"/>
    </row>
    <row r="42" outlineLevel="2">
      <c r="A42" s="10" t="s">
        <v>63</v>
      </c>
      <c r="B42" s="0" t="s">
        <v>61</v>
      </c>
      <c r="C42" s="11">
        <v>2.24</v>
      </c>
      <c r="D42" s="11"/>
      <c r="E42" s="11"/>
      <c r="F42" s="11"/>
      <c r="G42" s="11"/>
      <c r="I42" s="13"/>
    </row>
    <row r="43" outlineLevel="2">
      <c r="A43" s="10" t="s">
        <v>64</v>
      </c>
      <c r="B43" s="0" t="s">
        <v>61</v>
      </c>
      <c r="C43" s="11">
        <v>9.06</v>
      </c>
      <c r="D43" s="11"/>
      <c r="E43" s="11"/>
      <c r="F43" s="11"/>
      <c r="G43" s="11"/>
      <c r="I43" s="13"/>
    </row>
    <row r="44" outlineLevel="2">
      <c r="A44" s="10" t="s">
        <v>65</v>
      </c>
      <c r="B44" s="0" t="s">
        <v>61</v>
      </c>
      <c r="C44" s="11">
        <v>4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61</v>
      </c>
      <c r="C45" s="11">
        <v>2.63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61</v>
      </c>
      <c r="C46" s="11">
        <v>25.2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61</v>
      </c>
      <c r="C47" s="11">
        <v>8.6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61</v>
      </c>
      <c r="C48" s="11">
        <v>11.2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61</v>
      </c>
      <c r="C49" s="11">
        <v>13.4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61</v>
      </c>
      <c r="C50" s="11">
        <v>0.52</v>
      </c>
      <c r="D50" s="11"/>
      <c r="E50" s="11"/>
      <c r="F50" s="11"/>
      <c r="G50" s="11"/>
      <c r="I50" s="13"/>
    </row>
    <row r="51" outlineLevel="2">
      <c r="A51" s="10" t="s">
        <v>72</v>
      </c>
      <c r="B51" s="0" t="s">
        <v>73</v>
      </c>
      <c r="C51" s="12">
        <v>1.08</v>
      </c>
      <c r="D51" s="12"/>
      <c r="E51" s="12"/>
      <c r="F51" s="12"/>
      <c r="G51" s="12"/>
      <c r="I51" s="13"/>
    </row>
    <row r="52">
      <c r="I52" s="13"/>
    </row>
    <row r="5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https://phyllis.nl/Biomass/View/79</dc:description>
  <dcterms:created xsi:type="dcterms:W3CDTF">2026-03-19T04:08:20Z</dcterms:created>
  <dc:title>Phyllis2 #79 wood, particle 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