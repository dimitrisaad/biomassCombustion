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0 wood, particle boa" sheetId="1" r:id="rId1"/>
  </sheets>
  <definedNames>
    <definedName name="w" localSheetId="0">IF(ISBLANK('Phyllis2 #80 wood, particle boa'!$C$19),#N/A,'Phyllis2 #80 wood, particle boa'!$C$19/100)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<sst xmlns="http://schemas.openxmlformats.org/spreadsheetml/2006/main" count="76" uniqueCount="76">
  <si>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</si>
  <si>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https://phyllis.nl/Biomass/View/80</t>
  </si>
  <si>
    <t>wood, particle board (#80)</t>
  </si>
  <si>
    <t>ID-number</t>
  </si>
  <si>
    <t>#80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</si>
  <si>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</si>
  <si>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</si>
  <si>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</si>
  <si>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</si>
  <si>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</si>
  <si>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</si>
  <si>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</si>
  <si>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</si>
  <si>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</si>
  <si>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Remarks</t>
  </si>
  <si>
    <t>s.pine coarse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</si>
  <si>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</si>
  <si>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</si>
  <si>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</si>
  <si>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</si>
  <si>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</si>
  <si>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</si>
  <si>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</si>
  <si>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</si>
  <si>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</si>
  <si>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</si>
  <si>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</si>
  <si>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</si>
  <si>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</si>
  <si>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</si>
  <si>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</si>
  <si>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</si>
  <si>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</si>
  <si>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</si>
  <si>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</si>
  <si>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</si>
  <si>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</si>
  <si>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</si>
  <si>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</si>
  <si>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</si>
  <si>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</si>
  <si>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</si>
  <si>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</si>
  <si>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</si>
  <si>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</si>
  <si>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</si>
  <si>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</si>
  <si>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</si>
  <si>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</si>
  <si>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</si>
  <si>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</si>
  <si>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</si>
  <si>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</si>
  <si>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</si>
  <si>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</si>
  <si>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</si>
  <si>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</si>
  <si>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Cadmium (Cd)</t>
  </si>
  <si>
    <t>Titanium (Ti)</t>
  </si>
  <si>
    <t>Zinc (Zn)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</si>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</sst>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35</v>
      </c>
      <c r="C20" s="11">
        <f>IFERROR(0.95*(1-w),"")</f>
        <v/>
      </c>
      <c r="D20" s="11">
        <v>0.95</v>
      </c>
      <c r="E20" s="11">
        <v/>
      </c>
      <c r="F20" s="11"/>
      <c r="G20" s="11"/>
      <c r="I20" s="13"/>
    </row>
    <row r="21" outlineLevel="1">
      <c r="A21" s="9" t="s">
        <v>36</v>
      </c>
      <c r="I21" s="13"/>
    </row>
    <row r="22" outlineLevel="2">
      <c r="A22" s="10" t="s">
        <v>37</v>
      </c>
      <c r="B22" s="0" t="s">
        <v>35</v>
      </c>
      <c r="C22" s="11">
        <f>IFERROR(53.51*(1-w),"")</f>
        <v/>
      </c>
      <c r="D22" s="11">
        <v>53.51</v>
      </c>
      <c r="E22" s="11">
        <v>54.023220595658756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35</v>
      </c>
      <c r="C23" s="11">
        <f>IFERROR(5.92*(1-w),"")</f>
        <v/>
      </c>
      <c r="D23" s="11">
        <v>5.92</v>
      </c>
      <c r="E23" s="11">
        <v>5.976779404341241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35</v>
      </c>
      <c r="C24" s="11">
        <f>IFERROR(35.92*(1-w),"")</f>
        <v/>
      </c>
      <c r="D24" s="11">
        <v>35.92</v>
      </c>
      <c r="E24" s="11">
        <v>36.264512872286723</v>
      </c>
      <c r="F24" s="11"/>
      <c r="G24" s="11"/>
      <c r="I24" s="13"/>
      <c r="J24" s="0" t="s">
        <v>41</v>
      </c>
    </row>
    <row r="25" outlineLevel="2">
      <c r="A25" s="10" t="s">
        <v>42</v>
      </c>
      <c r="B25" s="0" t="s">
        <v>35</v>
      </c>
      <c r="C25" s="11">
        <f>IFERROR(3.5*(1-w),"")</f>
        <v/>
      </c>
      <c r="D25" s="11">
        <v>3.5</v>
      </c>
      <c r="E25" s="11">
        <v>3.5335689045936394</v>
      </c>
      <c r="F25" s="11"/>
      <c r="G25" s="11"/>
      <c r="I25" s="13"/>
      <c r="J25" s="0" t="s">
        <v>38</v>
      </c>
    </row>
    <row r="26" outlineLevel="2">
      <c r="A26" s="10" t="s">
        <v>43</v>
      </c>
      <c r="B26" s="0" t="s">
        <v>35</v>
      </c>
      <c r="C26" s="11">
        <f>IFERROR(0.08*(1-w),"")</f>
        <v/>
      </c>
      <c r="D26" s="11">
        <v>0.08</v>
      </c>
      <c r="E26" s="11">
        <v>0.080767289247854618</v>
      </c>
      <c r="F26" s="11"/>
      <c r="G26" s="11"/>
      <c r="I26" s="13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</v>
      </c>
      <c r="E27" s="11">
        <v>99.999999999999986</v>
      </c>
      <c r="F27" s="11"/>
      <c r="G27" s="11"/>
      <c r="I27" s="13"/>
      <c r="J27" s="0" t="s">
        <v>41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2">
        <f>IFERROR(1200*(1-w),"")</f>
        <v/>
      </c>
      <c r="D29" s="12">
        <v>1200</v>
      </c>
      <c r="E29" s="12">
        <v>1211.5093387178192</v>
      </c>
      <c r="F29" s="12"/>
      <c r="G29" s="12"/>
      <c r="I29" s="13"/>
      <c r="J29" s="0" t="s">
        <v>38</v>
      </c>
    </row>
    <row r="30" outlineLevel="1">
      <c r="A30" s="9" t="s">
        <v>48</v>
      </c>
      <c r="I30" s="13"/>
    </row>
    <row r="31" outlineLevel="2">
      <c r="A31" s="10" t="s">
        <v>49</v>
      </c>
      <c r="B31" s="0" t="s">
        <v>50</v>
      </c>
      <c r="C31" s="11">
        <f>IFERROR(19.54015*(1-w)-w*2.443,"")</f>
        <v/>
      </c>
      <c r="D31" s="11">
        <v>19.54015</v>
      </c>
      <c r="E31" s="11">
        <v>19.727561837455831</v>
      </c>
      <c r="F31" s="11"/>
      <c r="G31" s="11"/>
      <c r="I31" s="13"/>
    </row>
    <row r="32" outlineLevel="2">
      <c r="A32" s="10" t="s">
        <v>51</v>
      </c>
      <c r="B32" s="0" t="s">
        <v>50</v>
      </c>
      <c r="C32" s="11">
        <f>IFERROR(20.832*(1-w),"")</f>
        <v/>
      </c>
      <c r="D32" s="11">
        <v>20.832</v>
      </c>
      <c r="E32" s="11">
        <v>21.031802120141343</v>
      </c>
      <c r="F32" s="11"/>
      <c r="G32" s="11"/>
      <c r="I32" s="13"/>
    </row>
    <row r="33" outlineLevel="2">
      <c r="A33" s="10" t="s">
        <v>52</v>
      </c>
      <c r="B33" s="0" t="s">
        <v>50</v>
      </c>
      <c r="C33" s="11">
        <f>IFERROR(21.3338410825*(1-w),"")</f>
        <v/>
      </c>
      <c r="D33" s="11">
        <v>21.3338410825</v>
      </c>
      <c r="E33" s="11">
        <v>21.538456418475519</v>
      </c>
      <c r="F33" s="11"/>
      <c r="G33" s="11"/>
      <c r="I33" s="13"/>
      <c r="J33" s="0" t="s">
        <v>41</v>
      </c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2">
        <v>0.38</v>
      </c>
      <c r="D35" s="12"/>
      <c r="E35" s="12"/>
      <c r="F35" s="12"/>
      <c r="G35" s="12"/>
      <c r="I35" s="13"/>
      <c r="J35" s="0" t="s">
        <v>38</v>
      </c>
    </row>
    <row r="36" outlineLevel="2">
      <c r="A36" s="10" t="s">
        <v>56</v>
      </c>
      <c r="B36" s="0" t="s">
        <v>55</v>
      </c>
      <c r="C36" s="12">
        <v>25.4</v>
      </c>
      <c r="D36" s="12"/>
      <c r="E36" s="12"/>
      <c r="F36" s="12"/>
      <c r="G36" s="12"/>
      <c r="I36" s="13"/>
      <c r="J36" s="0" t="s">
        <v>38</v>
      </c>
    </row>
    <row r="37" outlineLevel="2">
      <c r="A37" s="10" t="s">
        <v>57</v>
      </c>
      <c r="B37" s="0" t="s">
        <v>55</v>
      </c>
      <c r="C37" s="12">
        <v>0.1</v>
      </c>
      <c r="D37" s="12"/>
      <c r="E37" s="12"/>
      <c r="F37" s="12"/>
      <c r="G37" s="12"/>
      <c r="I37" s="13"/>
      <c r="J37" s="0" t="s">
        <v>38</v>
      </c>
    </row>
    <row r="38" outlineLevel="2">
      <c r="A38" s="10" t="s">
        <v>58</v>
      </c>
      <c r="B38" s="0" t="s">
        <v>55</v>
      </c>
      <c r="C38" s="12">
        <v>0.87</v>
      </c>
      <c r="D38" s="12"/>
      <c r="E38" s="12"/>
      <c r="F38" s="12"/>
      <c r="G38" s="12"/>
      <c r="I38" s="13"/>
      <c r="J38" s="0" t="s">
        <v>38</v>
      </c>
    </row>
    <row r="39" outlineLevel="2">
      <c r="A39" s="10" t="s">
        <v>59</v>
      </c>
      <c r="B39" s="0" t="s">
        <v>55</v>
      </c>
      <c r="C39" s="12">
        <v>8</v>
      </c>
      <c r="D39" s="12"/>
      <c r="E39" s="12"/>
      <c r="F39" s="12"/>
      <c r="G39" s="12"/>
      <c r="I39" s="13"/>
      <c r="J39" s="0" t="s">
        <v>38</v>
      </c>
    </row>
    <row r="40">
      <c r="A40" s="5" t="s">
        <v>60</v>
      </c>
      <c r="I40" s="13"/>
    </row>
    <row r="41" outlineLevel="1">
      <c r="A41" s="9" t="s">
        <v>61</v>
      </c>
      <c r="I41" s="13"/>
    </row>
    <row r="42" outlineLevel="2">
      <c r="A42" s="10" t="s">
        <v>62</v>
      </c>
      <c r="B42" s="0" t="s">
        <v>63</v>
      </c>
      <c r="C42" s="11">
        <v>2.2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63</v>
      </c>
      <c r="C43" s="11">
        <v>10.29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63</v>
      </c>
      <c r="C44" s="11">
        <v>2.8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63</v>
      </c>
      <c r="C45" s="11">
        <v>25.61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63</v>
      </c>
      <c r="C46" s="11">
        <v>3.74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63</v>
      </c>
      <c r="C47" s="11">
        <v>4.9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63</v>
      </c>
      <c r="C48" s="11">
        <v>27.6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63</v>
      </c>
      <c r="C49" s="11">
        <v>6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63</v>
      </c>
      <c r="C50" s="11">
        <v>4.04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63</v>
      </c>
      <c r="C51" s="11">
        <v>9.12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63</v>
      </c>
      <c r="C52" s="11">
        <v>0.52</v>
      </c>
      <c r="D52" s="11"/>
      <c r="E52" s="11"/>
      <c r="F52" s="11"/>
      <c r="G52" s="11"/>
      <c r="I52" s="13"/>
    </row>
    <row r="53" outlineLevel="2">
      <c r="A53" s="10" t="s">
        <v>74</v>
      </c>
      <c r="B53" s="0" t="s">
        <v>75</v>
      </c>
      <c r="C53" s="12">
        <v>1.58</v>
      </c>
      <c r="D53" s="12"/>
      <c r="E53" s="12"/>
      <c r="F53" s="12"/>
      <c r="G53" s="12"/>
      <c r="I53" s="13"/>
    </row>
    <row r="54">
      <c r="I54" s="13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https://phyllis.nl/Biomass/View/80</dc:description>
  <dcterms:created xsi:type="dcterms:W3CDTF">2026-03-19T04:08:24Z</dcterms:created>
  <dc:title>Phyllis2 #80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