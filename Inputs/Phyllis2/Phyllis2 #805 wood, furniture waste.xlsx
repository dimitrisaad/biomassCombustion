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05 wood, furniture w" sheetId="1" r:id="rId1"/>
  </sheets>
  <definedNames>
    <definedName name="w" localSheetId="0">IF(ISBLANK('Phyllis2 #805 wood, furniture w'!$C$19),#N/A,'Phyllis2 #805 wood, furniture 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<sst xmlns="http://schemas.openxmlformats.org/spreadsheetml/2006/main" count="67" uniqueCount="67">
  <si>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</si>
  <si>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https://phyllis.nl/Biomass/View/805</t>
  </si>
  <si>
    <t>wood, furniture waste (#805)</t>
  </si>
  <si>
    <t>ID-number</t>
  </si>
  <si>
    <t>#805</t>
  </si>
  <si>
    <t>Material</t>
  </si>
  <si>
    <t>wood, furniture waste</t>
  </si>
  <si>
    <t>Classification</t>
  </si>
  <si>
    <t>ECN Phyllis classification &gt; treated wood &gt; others &gt; wood, furniture waste</t>
  </si>
  <si>
    <t>NTA 8003 classification &gt; [100] hout &gt; [150] verwerkt hout</t>
  </si>
  <si>
    <t>Ash type</t>
  </si>
  <si>
    <t>ASTM D1102; 600 oC</t>
  </si>
  <si>
    <t>Submitter organisation</t>
  </si>
  <si>
    <t>ECN (Netherlands)</t>
  </si>
  <si>
    <t>Remarks</t>
  </si>
  <si>
    <t>Imperial, CA, pine residues from furniture plant. Hazen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</si>
  <si>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</si>
  <si>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</si>
  <si>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</si>
  <si>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</si>
  <si>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</si>
  <si>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</si>
  <si>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</si>
  <si>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</si>
  <si>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</si>
  <si>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</si>
  <si>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</si>
  <si>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</si>
  <si>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</si>
  <si>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</si>
  <si>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</si>
  <si>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</si>
  <si>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</si>
  <si>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</si>
  <si>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</si>
  <si>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</si>
  <si>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</si>
  <si>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</si>
  <si>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</si>
  <si>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</si>
  <si>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</si>
  <si>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</si>
  <si>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</si>
  <si>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</si>
  <si>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</si>
  <si>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</si>
  <si>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</si>
  <si>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</si>
  <si>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 (dry)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</si>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</sst>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0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12.07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IFERROR(3.61*(1-w),"")</f>
        <v>3.174273</v>
      </c>
      <c r="D20" s="11">
        <v>3.61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IFERROR(83*(1-w),"")</f>
        <v>72.9819</v>
      </c>
      <c r="D21" s="11">
        <v>83</v>
      </c>
      <c r="E21" s="11">
        <v>86.1085174810665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IFERROR(13.39*(1-w),"")</f>
        <v>11.773827</v>
      </c>
      <c r="D22" s="11">
        <v>13.39</v>
      </c>
      <c r="E22" s="11">
        <v>13.8914825189335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IFERROR(49.87*(1-w),"")</f>
        <v>43.850691</v>
      </c>
      <c r="D24" s="11">
        <v>49.87</v>
      </c>
      <c r="E24" s="11">
        <v>51.73773212988899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IFERROR(5.91*(1-w),"")</f>
        <v>5.196663</v>
      </c>
      <c r="D25" s="11">
        <v>5.91</v>
      </c>
      <c r="E25" s="11">
        <v>6.1313414254590732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IFERROR(40.28*(1-w),"")</f>
        <v>35.418204</v>
      </c>
      <c r="D26" s="11">
        <v>40.28</v>
      </c>
      <c r="E26" s="11">
        <v>41.78856727876336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IFERROR(0.29*(1-w),"")</f>
        <v>0.254997</v>
      </c>
      <c r="D27" s="11">
        <v>0.29</v>
      </c>
      <c r="E27" s="11">
        <v>0.30086108517481064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IFERROR(0.03*(1-w),"")</f>
        <v>0.026379</v>
      </c>
      <c r="D28" s="11">
        <v>0.03</v>
      </c>
      <c r="E28" s="11">
        <v>0.031123560535325241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IFERROR(99.99*(1-w)+w*100,"")</f>
        <v>99.991207</v>
      </c>
      <c r="D29" s="11">
        <v>99.990000000000009</v>
      </c>
      <c r="E29" s="11">
        <v>99.989625479821569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/>
      <c r="D31" s="12"/>
      <c r="E31" s="12"/>
      <c r="F31" s="12"/>
      <c r="G31" s="12">
        <v>100</v>
      </c>
      <c r="I31" s="13"/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IFERROR(18.84884*(1-w)-w*2.443,"")</f>
        <v>16.278914911999998</v>
      </c>
      <c r="D33" s="11">
        <v>18.84884</v>
      </c>
      <c r="E33" s="11">
        <v>19.554767092021994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IFERROR(20.13851*(1-w),"")</f>
        <v>17.707791843</v>
      </c>
      <c r="D34" s="11">
        <v>20.13851</v>
      </c>
      <c r="E34" s="11">
        <v>20.892737835875092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IFERROR(19.8991089113*(1-w),"")</f>
        <v>17.497286465706086</v>
      </c>
      <c r="D35" s="11">
        <v>19.899108911299997</v>
      </c>
      <c r="E35" s="11">
        <v>20.644370693329183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1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0.5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57.62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5.63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12.23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13.89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3.28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2.36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3.77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0.5</v>
      </c>
      <c r="D47" s="11"/>
      <c r="E47" s="11"/>
      <c r="F47" s="11"/>
      <c r="G47" s="11"/>
      <c r="I47" s="13"/>
    </row>
    <row r="48">
      <c r="I48" s="13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1:E31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12.0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https://phyllis.nl/Biomass/View/805</dc:description>
  <dcterms:created xsi:type="dcterms:W3CDTF">2026-03-19T04:05:33Z</dcterms:created>
  <dc:title>Phyllis2 #805 wood, furniture waste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