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1 wood, particle boa" sheetId="1" r:id="rId1"/>
  </sheets>
  <definedNames>
    <definedName name="w" localSheetId="0">IF(ISBLANK('Phyllis2 #81 wood, particle boa'!$C$19),#N/A,'Phyllis2 #81 wood, particle boa'!$C$19/100)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<sst xmlns="http://schemas.openxmlformats.org/spreadsheetml/2006/main" count="73" uniqueCount="73">
  <si>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</si>
  <si>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https://phyllis.nl/Biomass/View/81</t>
  </si>
  <si>
    <t>wood, particle board (#81)</t>
  </si>
  <si>
    <t>ID-number</t>
  </si>
  <si>
    <t>#81</t>
  </si>
  <si>
    <t>Material</t>
  </si>
  <si>
    <t>wood, particle board</t>
  </si>
  <si>
    <t>Classification</t>
  </si>
  <si>
    <t>ECN Phyllis classification &gt; treated wood &gt; particle board &gt; wood, particle board</t>
  </si>
  <si>
    <t>NTA 8003 classification &gt; [100] hout &gt; [150] verwerkt hout &gt; [170] geverfd/verlijmd hout (B-hout) &gt; [172] plaatmateriaal/verlijmd hout</t>
  </si>
  <si>
    <t>Ash type</t>
  </si>
  <si>
    <t>industrial</t>
  </si>
  <si>
    <t>Submitter organisation</t>
  </si>
  <si>
    <t>ECN (Netherlands)</t>
  </si>
  <si>
    <t>Remarks</t>
  </si>
  <si>
    <t>s.pine fine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</si>
  <si>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</si>
  <si>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</si>
  <si>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</si>
  <si>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</si>
  <si>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</si>
  <si>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</si>
  <si>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</si>
  <si>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</si>
  <si>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</si>
  <si>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</si>
  <si>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</si>
  <si>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</si>
  <si>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</si>
  <si>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</si>
  <si>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</si>
  <si>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</si>
  <si>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</si>
  <si>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</si>
  <si>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</si>
  <si>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</si>
  <si>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</si>
  <si>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</si>
  <si>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</si>
  <si>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</si>
  <si>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</si>
  <si>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</si>
  <si>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</si>
  <si>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</si>
  <si>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</si>
  <si>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</si>
  <si>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</si>
  <si>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</si>
  <si>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</si>
  <si>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</si>
  <si>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</si>
  <si>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</si>
  <si>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</si>
  <si>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</si>
  <si>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Barium (Ba)</t>
  </si>
  <si>
    <t>mg/kg (dry)</t>
  </si>
  <si>
    <t>Zinc (Zn)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</si>
  <si>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</si>
  <si>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</si>
  <si>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</si>
  <si>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</si>
  <si>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</si>
  <si>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</si>
  <si>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</si>
  <si>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</si>
  <si>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</si>
  <si>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</si>
  <si>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</si>
  <si>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</si>
  <si>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</si>
  <si>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</si>
  <si>
    <t>Mn</t>
  </si>
  <si>
    <t>mg/kg (ash)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</si>
</sst>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/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35</v>
      </c>
      <c r="C20" s="11">
        <f>IFERROR(0.55*(1-w),"")</f>
        <v/>
      </c>
      <c r="D20" s="11">
        <v>0.55</v>
      </c>
      <c r="E20" s="11">
        <v/>
      </c>
      <c r="F20" s="11"/>
      <c r="G20" s="11"/>
      <c r="I20" s="13"/>
    </row>
    <row r="21" outlineLevel="1">
      <c r="A21" s="9" t="s">
        <v>36</v>
      </c>
      <c r="I21" s="13"/>
    </row>
    <row r="22" outlineLevel="2">
      <c r="A22" s="10" t="s">
        <v>37</v>
      </c>
      <c r="B22" s="0" t="s">
        <v>35</v>
      </c>
      <c r="C22" s="11">
        <f>IFERROR(52.99*(1-w),"")</f>
        <v/>
      </c>
      <c r="D22" s="11">
        <v>52.99</v>
      </c>
      <c r="E22" s="11">
        <v>53.28305681246858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35</v>
      </c>
      <c r="C23" s="11">
        <f>IFERROR(6.09*(1-w),"")</f>
        <v/>
      </c>
      <c r="D23" s="11">
        <v>6.09</v>
      </c>
      <c r="E23" s="11">
        <v>6.1236802413273</v>
      </c>
      <c r="F23" s="11"/>
      <c r="G23" s="11"/>
      <c r="I23" s="13"/>
      <c r="J23" s="0" t="s">
        <v>38</v>
      </c>
    </row>
    <row r="24" outlineLevel="2">
      <c r="A24" s="10" t="s">
        <v>40</v>
      </c>
      <c r="B24" s="0" t="s">
        <v>35</v>
      </c>
      <c r="C24" s="11">
        <f>IFERROR(37.26*(1-w),"")</f>
        <v/>
      </c>
      <c r="D24" s="11">
        <v>37.26</v>
      </c>
      <c r="E24" s="11">
        <v>37.466063348416284</v>
      </c>
      <c r="F24" s="11"/>
      <c r="G24" s="11"/>
      <c r="I24" s="13"/>
      <c r="J24" s="0" t="s">
        <v>41</v>
      </c>
    </row>
    <row r="25" outlineLevel="2">
      <c r="A25" s="10" t="s">
        <v>42</v>
      </c>
      <c r="B25" s="0" t="s">
        <v>35</v>
      </c>
      <c r="C25" s="11">
        <f>IFERROR(2.95*(1-w),"")</f>
        <v/>
      </c>
      <c r="D25" s="11">
        <v>2.95</v>
      </c>
      <c r="E25" s="11">
        <v>2.9663147310206135</v>
      </c>
      <c r="F25" s="11"/>
      <c r="G25" s="11"/>
      <c r="I25" s="13"/>
      <c r="J25" s="0" t="s">
        <v>38</v>
      </c>
    </row>
    <row r="26" outlineLevel="2">
      <c r="A26" s="10" t="s">
        <v>43</v>
      </c>
      <c r="B26" s="0" t="s">
        <v>35</v>
      </c>
      <c r="C26" s="11">
        <f>IFERROR(0.03*(1-w),"")</f>
        <v/>
      </c>
      <c r="D26" s="11">
        <v>0.03</v>
      </c>
      <c r="E26" s="11">
        <v>0.030165912518853692</v>
      </c>
      <c r="F26" s="11"/>
      <c r="G26" s="11"/>
      <c r="I26" s="13"/>
      <c r="J26" s="0" t="s">
        <v>38</v>
      </c>
    </row>
    <row r="27" outlineLevel="2">
      <c r="A27" s="10" t="s">
        <v>44</v>
      </c>
      <c r="B27" s="0" t="s">
        <v>35</v>
      </c>
      <c r="C27" s="11">
        <f>IFERROR(100*(1-w)+w*100,"")</f>
        <v/>
      </c>
      <c r="D27" s="11">
        <v>100</v>
      </c>
      <c r="E27" s="11">
        <v>100</v>
      </c>
      <c r="F27" s="11"/>
      <c r="G27" s="11"/>
      <c r="I27" s="13"/>
      <c r="J27" s="0" t="s">
        <v>41</v>
      </c>
    </row>
    <row r="28" outlineLevel="1">
      <c r="A28" s="9" t="s">
        <v>45</v>
      </c>
      <c r="I28" s="13"/>
    </row>
    <row r="29" outlineLevel="2">
      <c r="A29" s="10" t="s">
        <v>46</v>
      </c>
      <c r="B29" s="0" t="s">
        <v>47</v>
      </c>
      <c r="C29" s="12">
        <f>IFERROR(1300*(1-w),"")</f>
        <v/>
      </c>
      <c r="D29" s="12">
        <v>1300</v>
      </c>
      <c r="E29" s="12">
        <v>1307.18954248366</v>
      </c>
      <c r="F29" s="12"/>
      <c r="G29" s="12"/>
      <c r="I29" s="13"/>
      <c r="J29" s="0" t="s">
        <v>38</v>
      </c>
    </row>
    <row r="30" outlineLevel="1">
      <c r="A30" s="9" t="s">
        <v>48</v>
      </c>
      <c r="I30" s="13"/>
    </row>
    <row r="31" outlineLevel="2">
      <c r="A31" s="10" t="s">
        <v>49</v>
      </c>
      <c r="B31" s="0" t="s">
        <v>50</v>
      </c>
      <c r="C31" s="11">
        <f>IFERROR(19.25906*(1-w)-w*2.443,"")</f>
        <v/>
      </c>
      <c r="D31" s="11">
        <v>19.25906</v>
      </c>
      <c r="E31" s="11">
        <v>19.365570638511816</v>
      </c>
      <c r="F31" s="11"/>
      <c r="G31" s="11"/>
      <c r="I31" s="13"/>
    </row>
    <row r="32" outlineLevel="2">
      <c r="A32" s="10" t="s">
        <v>51</v>
      </c>
      <c r="B32" s="0" t="s">
        <v>50</v>
      </c>
      <c r="C32" s="11">
        <f>IFERROR(20.588*(1-w),"")</f>
        <v/>
      </c>
      <c r="D32" s="11">
        <v>20.588</v>
      </c>
      <c r="E32" s="11">
        <v>20.701860231271997</v>
      </c>
      <c r="F32" s="11"/>
      <c r="G32" s="11"/>
      <c r="I32" s="13"/>
    </row>
    <row r="33" outlineLevel="2">
      <c r="A33" s="10" t="s">
        <v>52</v>
      </c>
      <c r="B33" s="0" t="s">
        <v>50</v>
      </c>
      <c r="C33" s="11">
        <f>IFERROR(21.2890592825*(1-w),"")</f>
        <v/>
      </c>
      <c r="D33" s="11">
        <v>21.289059282500006</v>
      </c>
      <c r="E33" s="11">
        <v>21.406796664152846</v>
      </c>
      <c r="F33" s="11"/>
      <c r="G33" s="11"/>
      <c r="I33" s="13"/>
      <c r="J33" s="0" t="s">
        <v>41</v>
      </c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2">
        <v>10.9</v>
      </c>
      <c r="D35" s="12"/>
      <c r="E35" s="12"/>
      <c r="F35" s="12"/>
      <c r="G35" s="12"/>
      <c r="I35" s="13"/>
      <c r="J35" s="0" t="s">
        <v>38</v>
      </c>
    </row>
    <row r="36" outlineLevel="2">
      <c r="A36" s="10" t="s">
        <v>56</v>
      </c>
      <c r="B36" s="0" t="s">
        <v>55</v>
      </c>
      <c r="C36" s="12">
        <v>10.5</v>
      </c>
      <c r="D36" s="12"/>
      <c r="E36" s="12"/>
      <c r="F36" s="12"/>
      <c r="G36" s="12"/>
      <c r="I36" s="13"/>
      <c r="J36" s="0" t="s">
        <v>38</v>
      </c>
    </row>
    <row r="37">
      <c r="A37" s="5" t="s">
        <v>57</v>
      </c>
      <c r="I37" s="13"/>
    </row>
    <row r="38" outlineLevel="1">
      <c r="A38" s="9" t="s">
        <v>58</v>
      </c>
      <c r="I38" s="13"/>
    </row>
    <row r="39" outlineLevel="2">
      <c r="A39" s="10" t="s">
        <v>59</v>
      </c>
      <c r="B39" s="0" t="s">
        <v>60</v>
      </c>
      <c r="C39" s="11">
        <v>15.6</v>
      </c>
      <c r="D39" s="11"/>
      <c r="E39" s="11"/>
      <c r="F39" s="11"/>
      <c r="G39" s="11"/>
      <c r="I39" s="13"/>
    </row>
    <row r="40" outlineLevel="2">
      <c r="A40" s="10" t="s">
        <v>61</v>
      </c>
      <c r="B40" s="0" t="s">
        <v>60</v>
      </c>
      <c r="C40" s="11">
        <v>5.49</v>
      </c>
      <c r="D40" s="11"/>
      <c r="E40" s="11"/>
      <c r="F40" s="11"/>
      <c r="G40" s="11"/>
      <c r="I40" s="13"/>
    </row>
    <row r="41" outlineLevel="2">
      <c r="A41" s="10" t="s">
        <v>62</v>
      </c>
      <c r="B41" s="0" t="s">
        <v>60</v>
      </c>
      <c r="C41" s="11">
        <v>8</v>
      </c>
      <c r="D41" s="11"/>
      <c r="E41" s="11"/>
      <c r="F41" s="11"/>
      <c r="G41" s="11"/>
      <c r="I41" s="13"/>
    </row>
    <row r="42" outlineLevel="2">
      <c r="A42" s="10" t="s">
        <v>63</v>
      </c>
      <c r="B42" s="0" t="s">
        <v>60</v>
      </c>
      <c r="C42" s="11">
        <v>7</v>
      </c>
      <c r="D42" s="11"/>
      <c r="E42" s="11"/>
      <c r="F42" s="11"/>
      <c r="G42" s="11"/>
      <c r="I42" s="13"/>
    </row>
    <row r="43" outlineLevel="2">
      <c r="A43" s="10" t="s">
        <v>64</v>
      </c>
      <c r="B43" s="0" t="s">
        <v>60</v>
      </c>
      <c r="C43" s="11">
        <v>1.72</v>
      </c>
      <c r="D43" s="11"/>
      <c r="E43" s="11"/>
      <c r="F43" s="11"/>
      <c r="G43" s="11"/>
      <c r="I43" s="13"/>
    </row>
    <row r="44" outlineLevel="2">
      <c r="A44" s="10" t="s">
        <v>65</v>
      </c>
      <c r="B44" s="0" t="s">
        <v>60</v>
      </c>
      <c r="C44" s="11">
        <v>1.5</v>
      </c>
      <c r="D44" s="11"/>
      <c r="E44" s="11"/>
      <c r="F44" s="11"/>
      <c r="G44" s="11"/>
      <c r="I44" s="13"/>
    </row>
    <row r="45" outlineLevel="2">
      <c r="A45" s="10" t="s">
        <v>66</v>
      </c>
      <c r="B45" s="0" t="s">
        <v>60</v>
      </c>
      <c r="C45" s="11">
        <v>24</v>
      </c>
      <c r="D45" s="11"/>
      <c r="E45" s="11"/>
      <c r="F45" s="11"/>
      <c r="G45" s="11"/>
      <c r="I45" s="13"/>
    </row>
    <row r="46" outlineLevel="2">
      <c r="A46" s="10" t="s">
        <v>67</v>
      </c>
      <c r="B46" s="0" t="s">
        <v>60</v>
      </c>
      <c r="C46" s="11">
        <v>8</v>
      </c>
      <c r="D46" s="11"/>
      <c r="E46" s="11"/>
      <c r="F46" s="11"/>
      <c r="G46" s="11"/>
      <c r="I46" s="13"/>
    </row>
    <row r="47" outlineLevel="2">
      <c r="A47" s="10" t="s">
        <v>68</v>
      </c>
      <c r="B47" s="0" t="s">
        <v>60</v>
      </c>
      <c r="C47" s="11">
        <v>15.6</v>
      </c>
      <c r="D47" s="11"/>
      <c r="E47" s="11"/>
      <c r="F47" s="11"/>
      <c r="G47" s="11"/>
      <c r="I47" s="13"/>
    </row>
    <row r="48" outlineLevel="2">
      <c r="A48" s="10" t="s">
        <v>69</v>
      </c>
      <c r="B48" s="0" t="s">
        <v>60</v>
      </c>
      <c r="C48" s="11">
        <v>10</v>
      </c>
      <c r="D48" s="11"/>
      <c r="E48" s="11"/>
      <c r="F48" s="11"/>
      <c r="G48" s="11"/>
      <c r="I48" s="13"/>
    </row>
    <row r="49" outlineLevel="2">
      <c r="A49" s="10" t="s">
        <v>70</v>
      </c>
      <c r="B49" s="0" t="s">
        <v>60</v>
      </c>
      <c r="C49" s="11">
        <v>0.24</v>
      </c>
      <c r="D49" s="11"/>
      <c r="E49" s="11"/>
      <c r="F49" s="11"/>
      <c r="G49" s="11"/>
      <c r="I49" s="13"/>
    </row>
    <row r="50" outlineLevel="2">
      <c r="A50" s="10" t="s">
        <v>71</v>
      </c>
      <c r="B50" s="0" t="s">
        <v>72</v>
      </c>
      <c r="C50" s="12">
        <v>2.04</v>
      </c>
      <c r="D50" s="12"/>
      <c r="E50" s="12"/>
      <c r="F50" s="12"/>
      <c r="G50" s="12"/>
      <c r="I50" s="13"/>
    </row>
    <row r="51">
      <c r="I51" s="13"/>
    </row>
    <row r="5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https://phyllis.nl/Biomass/View/81</dc:description>
  <dcterms:created xsi:type="dcterms:W3CDTF">2026-03-19T04:08:28Z</dcterms:created>
  <dc:title>Phyllis2 #81 wood, particle board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