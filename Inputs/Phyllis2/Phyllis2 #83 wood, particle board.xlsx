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3 wood, particle boa" sheetId="1" r:id="rId1"/>
  </sheets>
  <definedNames>
    <definedName name="w" localSheetId="0">IF(ISBLANK('Phyllis2 #83 wood, particle boa'!$C$19),#N/A,'Phyllis2 #83 wood, particle boa'!$C$19/100)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<sst xmlns="http://schemas.openxmlformats.org/spreadsheetml/2006/main" count="76" uniqueCount="76">
  <si>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</si>
  <si>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https://phyllis.nl/Biomass/View/83</t>
  </si>
  <si>
    <t>wood, particle board (#83)</t>
  </si>
  <si>
    <t>ID-number</t>
  </si>
  <si>
    <t>#83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</si>
  <si>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</si>
  <si>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</si>
  <si>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</si>
  <si>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</si>
  <si>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</si>
  <si>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</si>
  <si>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</si>
  <si>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</si>
  <si>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</si>
  <si>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Remarks</t>
  </si>
  <si>
    <t>pressed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</si>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</sst>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35</v>
      </c>
      <c r="C20" s="11">
        <f>IFERROR(0.9*(1-w),"")</f>
        <v/>
      </c>
      <c r="D20" s="11">
        <v>0.9</v>
      </c>
      <c r="E20" s="11">
        <v/>
      </c>
      <c r="F20" s="11"/>
      <c r="G20" s="11"/>
      <c r="I20" s="16"/>
    </row>
    <row r="21" outlineLevel="1">
      <c r="A21" s="9" t="s">
        <v>36</v>
      </c>
      <c r="I21" s="16"/>
    </row>
    <row r="22" outlineLevel="2">
      <c r="A22" s="10" t="s">
        <v>37</v>
      </c>
      <c r="B22" s="0" t="s">
        <v>35</v>
      </c>
      <c r="C22" s="11">
        <f>IFERROR(49*(1-w),"")</f>
        <v/>
      </c>
      <c r="D22" s="11">
        <v>49</v>
      </c>
      <c r="E22" s="11">
        <v>49.445005045408678</v>
      </c>
      <c r="F22" s="11"/>
      <c r="G22" s="11"/>
      <c r="I22" s="16"/>
      <c r="J22" s="0" t="s">
        <v>38</v>
      </c>
    </row>
    <row r="23" outlineLevel="2">
      <c r="A23" s="10" t="s">
        <v>39</v>
      </c>
      <c r="B23" s="0" t="s">
        <v>35</v>
      </c>
      <c r="C23" s="11">
        <f>IFERROR(5.89*(1-w),"")</f>
        <v/>
      </c>
      <c r="D23" s="11">
        <v>5.89</v>
      </c>
      <c r="E23" s="11">
        <v>5.9434914228052467</v>
      </c>
      <c r="F23" s="11"/>
      <c r="G23" s="11"/>
      <c r="I23" s="16"/>
      <c r="J23" s="0" t="s">
        <v>38</v>
      </c>
    </row>
    <row r="24" outlineLevel="2">
      <c r="A24" s="10" t="s">
        <v>40</v>
      </c>
      <c r="B24" s="0" t="s">
        <v>35</v>
      </c>
      <c r="C24" s="11">
        <f>IFERROR(38.14*(1-w),"")</f>
        <v/>
      </c>
      <c r="D24" s="11">
        <v>38.14</v>
      </c>
      <c r="E24" s="11">
        <v>38.486377396569125</v>
      </c>
      <c r="F24" s="11"/>
      <c r="G24" s="11"/>
      <c r="I24" s="16"/>
      <c r="J24" s="0" t="s">
        <v>41</v>
      </c>
    </row>
    <row r="25" outlineLevel="2">
      <c r="A25" s="10" t="s">
        <v>42</v>
      </c>
      <c r="B25" s="0" t="s">
        <v>35</v>
      </c>
      <c r="C25" s="11">
        <f>IFERROR(5.93*(1-w),"")</f>
        <v/>
      </c>
      <c r="D25" s="11">
        <v>5.93</v>
      </c>
      <c r="E25" s="11">
        <v>5.9838546922300706</v>
      </c>
      <c r="F25" s="11"/>
      <c r="G25" s="11"/>
      <c r="I25" s="16"/>
      <c r="J25" s="0" t="s">
        <v>38</v>
      </c>
    </row>
    <row r="26" outlineLevel="2">
      <c r="A26" s="10" t="s">
        <v>43</v>
      </c>
      <c r="B26" s="0" t="s">
        <v>35</v>
      </c>
      <c r="C26" s="11">
        <f>IFERROR(0.13*(1-w),"")</f>
        <v/>
      </c>
      <c r="D26" s="11">
        <v>0.13</v>
      </c>
      <c r="E26" s="11">
        <v>0.13118062563067609</v>
      </c>
      <c r="F26" s="11"/>
      <c r="G26" s="11"/>
      <c r="I26" s="16"/>
      <c r="J26" s="0" t="s">
        <v>38</v>
      </c>
    </row>
    <row r="27" outlineLevel="2">
      <c r="A27" s="10" t="s">
        <v>44</v>
      </c>
      <c r="B27" s="0" t="s">
        <v>35</v>
      </c>
      <c r="C27" s="11">
        <f>IFERROR(99.9967*(1-w)+w*100,"")</f>
        <v/>
      </c>
      <c r="D27" s="11">
        <v>99.9967</v>
      </c>
      <c r="E27" s="11">
        <v>99.996670030272455</v>
      </c>
      <c r="F27" s="11"/>
      <c r="G27" s="11"/>
      <c r="I27" s="16"/>
      <c r="J27" s="0" t="s">
        <v>41</v>
      </c>
    </row>
    <row r="28" outlineLevel="1">
      <c r="A28" s="9" t="s">
        <v>45</v>
      </c>
      <c r="I28" s="16"/>
    </row>
    <row r="29" outlineLevel="2">
      <c r="A29" s="10" t="s">
        <v>46</v>
      </c>
      <c r="B29" s="0" t="s">
        <v>47</v>
      </c>
      <c r="C29" s="12">
        <f>IFERROR(67*(1-w),"")</f>
        <v/>
      </c>
      <c r="D29" s="12">
        <v>67</v>
      </c>
      <c r="E29" s="12">
        <v>67.608476286579219</v>
      </c>
      <c r="F29" s="12"/>
      <c r="G29" s="12"/>
      <c r="I29" s="16"/>
      <c r="J29" s="0" t="s">
        <v>38</v>
      </c>
    </row>
    <row r="30" outlineLevel="1">
      <c r="A30" s="9" t="s">
        <v>48</v>
      </c>
      <c r="I30" s="16"/>
    </row>
    <row r="31" outlineLevel="2">
      <c r="A31" s="10" t="s">
        <v>49</v>
      </c>
      <c r="B31" s="0" t="s">
        <v>50</v>
      </c>
      <c r="C31" s="11">
        <f>IFERROR(17.2*(1-w)-w*2.443,"")</f>
        <v/>
      </c>
      <c r="D31" s="11">
        <v>17.2</v>
      </c>
      <c r="E31" s="11">
        <v>17.356205852674066</v>
      </c>
      <c r="F31" s="11"/>
      <c r="G31" s="11"/>
      <c r="I31" s="16"/>
    </row>
    <row r="32" outlineLevel="2">
      <c r="A32" s="10" t="s">
        <v>51</v>
      </c>
      <c r="B32" s="0" t="s">
        <v>50</v>
      </c>
      <c r="C32" s="11">
        <f>IFERROR(18.6*(1-w),"")</f>
        <v/>
      </c>
      <c r="D32" s="11">
        <v>18.6</v>
      </c>
      <c r="E32" s="11">
        <v>18.768920282542886</v>
      </c>
      <c r="F32" s="11"/>
      <c r="G32" s="11"/>
      <c r="I32" s="16"/>
    </row>
    <row r="33" outlineLevel="2">
      <c r="A33" s="10" t="s">
        <v>52</v>
      </c>
      <c r="B33" s="0" t="s">
        <v>50</v>
      </c>
      <c r="C33" s="11">
        <f>IFERROR(19.20245193*(1-w),"")</f>
        <v/>
      </c>
      <c r="D33" s="11">
        <v>19.202451930000002</v>
      </c>
      <c r="E33" s="11">
        <v>19.37684352169526</v>
      </c>
      <c r="F33" s="11"/>
      <c r="G33" s="11"/>
      <c r="I33" s="16"/>
      <c r="J33" s="0" t="s">
        <v>41</v>
      </c>
    </row>
    <row r="34" outlineLevel="1">
      <c r="A34" s="9" t="s">
        <v>53</v>
      </c>
      <c r="I34" s="16"/>
    </row>
    <row r="35" outlineLevel="2">
      <c r="A35" s="13" t="s">
        <v>54</v>
      </c>
      <c r="I35" s="16"/>
    </row>
    <row r="36" outlineLevel="3">
      <c r="A36" s="14" t="s">
        <v>55</v>
      </c>
      <c r="B36" s="0" t="s">
        <v>56</v>
      </c>
      <c r="C36" s="15">
        <v>1160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56</v>
      </c>
      <c r="C37" s="15">
        <v>1180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56</v>
      </c>
      <c r="C38" s="15">
        <v>1230</v>
      </c>
      <c r="D38" s="15"/>
      <c r="E38" s="15"/>
      <c r="F38" s="15"/>
      <c r="G38" s="15"/>
      <c r="I38" s="16"/>
    </row>
    <row r="39" outlineLevel="3">
      <c r="A39" s="14" t="s">
        <v>59</v>
      </c>
      <c r="B39" s="0" t="s">
        <v>56</v>
      </c>
      <c r="C39" s="15">
        <v>1240</v>
      </c>
      <c r="D39" s="15"/>
      <c r="E39" s="15"/>
      <c r="F39" s="15"/>
      <c r="G39" s="15"/>
      <c r="I39" s="16"/>
    </row>
    <row r="40">
      <c r="A40" s="5" t="s">
        <v>60</v>
      </c>
      <c r="I40" s="16"/>
    </row>
    <row r="41" outlineLevel="1">
      <c r="A41" s="9" t="s">
        <v>61</v>
      </c>
      <c r="I41" s="16"/>
    </row>
    <row r="42" outlineLevel="2">
      <c r="A42" s="10" t="s">
        <v>62</v>
      </c>
      <c r="B42" s="0" t="s">
        <v>63</v>
      </c>
      <c r="C42" s="11">
        <v>2.12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63</v>
      </c>
      <c r="C43" s="11">
        <v>34.3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63</v>
      </c>
      <c r="C44" s="11">
        <v>4.04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63</v>
      </c>
      <c r="C45" s="11">
        <v>6.55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63</v>
      </c>
      <c r="C46" s="11">
        <v>27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63</v>
      </c>
      <c r="C47" s="11">
        <v>4.68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63</v>
      </c>
      <c r="C48" s="11">
        <v>2.56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63</v>
      </c>
      <c r="C49" s="11">
        <v>7.63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72</v>
      </c>
      <c r="C50" s="12">
        <v>26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72</v>
      </c>
      <c r="C51" s="12">
        <v>0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72</v>
      </c>
      <c r="C52" s="12">
        <v>559</v>
      </c>
      <c r="D52" s="12"/>
      <c r="E52" s="12"/>
      <c r="F52" s="12"/>
      <c r="G52" s="12"/>
      <c r="I52" s="16"/>
    </row>
    <row r="53" outlineLevel="2">
      <c r="A53" s="10" t="s">
        <v>75</v>
      </c>
      <c r="B53" s="0" t="s">
        <v>72</v>
      </c>
      <c r="C53" s="12">
        <v>160</v>
      </c>
      <c r="D53" s="12"/>
      <c r="E53" s="12"/>
      <c r="F53" s="12"/>
      <c r="G53" s="12"/>
      <c r="I53" s="16"/>
    </row>
    <row r="54">
      <c r="I54" s="16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https://phyllis.nl/Biomass/View/83</dc:description>
  <dcterms:created xsi:type="dcterms:W3CDTF">2026-03-19T04:10:32Z</dcterms:created>
  <dc:title>Phyllis2 #83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