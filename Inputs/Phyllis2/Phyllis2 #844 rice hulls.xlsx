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44 rice hulls" sheetId="1" r:id="rId1"/>
  </sheets>
  <definedNames>
    <definedName name="w" localSheetId="0">IF(ISBLANK('Phyllis2 #844 rice hulls'!$C$18),#N/A,'Phyllis2 #844 rice hulls'!$C$18/100)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<sst xmlns="http://schemas.openxmlformats.org/spreadsheetml/2006/main" count="47" uniqueCount="47">
  <si>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</si>
  <si>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https://phyllis.nl/Biomass/View/844</t>
  </si>
  <si>
    <t>rice hulls (#844)</t>
  </si>
  <si>
    <t>ID-number</t>
  </si>
  <si>
    <t>#844</t>
  </si>
  <si>
    <t>Material</t>
  </si>
  <si>
    <t>rice hulls</t>
  </si>
  <si>
    <t>Classification</t>
  </si>
  <si>
    <t>ECN Phyllis classification &gt; husk/shell/pit &gt; rice &gt; rice hulls</t>
  </si>
  <si>
    <t>NTA 8003 classification &gt; [500] biomassa uit de industrie &gt; [520] schillen/vliezen/pitten &gt; [523] rijstvliezen</t>
  </si>
  <si>
    <t>Submitter organisation</t>
  </si>
  <si>
    <t>ECN (Netherlands)</t>
  </si>
  <si>
    <t>Remarks</t>
  </si>
  <si>
    <t>volatiles determined at 600, 650 and 700 degC: 77.6, 76.1 and 77.4 resp. Char has composition: C: 23.7-25.1%, H: 0.97-0.77%, O: 1.1-3.5% and ash: 71.5-72.9%</t>
  </si>
  <si>
    <t>Literature</t>
  </si>
  <si>
    <t>Min-Hon Rei, Fwu-Shing Lin and Tien-Bau Su: Catalytic gasification of rice hull. (II) the steam reforming reaction. Applied Catalysis (Nr. 26) pp. 27-28 (1986).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</si>
  <si>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</si>
  <si>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</si>
  <si>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</si>
  <si>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</si>
  <si>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</si>
  <si>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</si>
  <si>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</si>
  <si>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</si>
  <si>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</si>
  <si>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</si>
  <si>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</si>
  <si>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</si>
  <si>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</si>
  <si>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</si>
  <si>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</si>
  <si>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</si>
  <si>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</si>
  <si>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</si>
  <si>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</si>
  <si>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</si>
  <si>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</si>
  <si>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</si>
  <si>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</si>
  <si>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</si>
  <si>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</si>
  <si>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</si>
  <si>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Unknown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</si>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</sst>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4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2"/>
    </row>
    <row r="17" outlineLevel="1">
      <c r="A17" s="9" t="s">
        <v>29</v>
      </c>
      <c r="I17" s="12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2"/>
    </row>
    <row r="19" outlineLevel="2">
      <c r="A19" s="10" t="s">
        <v>32</v>
      </c>
      <c r="B19" s="0" t="s">
        <v>33</v>
      </c>
      <c r="C19" s="11">
        <f>IFERROR(16.5*(1-w),"")</f>
        <v/>
      </c>
      <c r="D19" s="11">
        <v>16.5</v>
      </c>
      <c r="E19" s="11">
        <v/>
      </c>
      <c r="F19" s="11"/>
      <c r="G19" s="11"/>
      <c r="I19" s="12"/>
    </row>
    <row r="20" outlineLevel="2">
      <c r="A20" s="10" t="s">
        <v>34</v>
      </c>
      <c r="B20" s="0" t="s">
        <v>33</v>
      </c>
      <c r="C20" s="11">
        <f>IFERROR(77.6*(1-w),"")</f>
        <v/>
      </c>
      <c r="D20" s="11">
        <v>77.6</v>
      </c>
      <c r="E20" s="11">
        <v>92.934131736526936</v>
      </c>
      <c r="F20" s="11"/>
      <c r="G20" s="11"/>
      <c r="I20" s="12"/>
    </row>
    <row r="21" outlineLevel="2">
      <c r="A21" s="10" t="s">
        <v>35</v>
      </c>
      <c r="B21" s="0" t="s">
        <v>33</v>
      </c>
      <c r="C21" s="11">
        <f>IFERROR(5.90000000000001*(1-w),"")</f>
        <v/>
      </c>
      <c r="D21" s="11">
        <v>5.9000000000000057</v>
      </c>
      <c r="E21" s="11">
        <v>7.0658682634730612</v>
      </c>
      <c r="F21" s="11"/>
      <c r="G21" s="11"/>
      <c r="I21" s="12"/>
      <c r="J21" s="0" t="s">
        <v>36</v>
      </c>
    </row>
    <row r="22" outlineLevel="1">
      <c r="A22" s="9" t="s">
        <v>37</v>
      </c>
      <c r="I22" s="12"/>
    </row>
    <row r="23" outlineLevel="2">
      <c r="A23" s="10" t="s">
        <v>38</v>
      </c>
      <c r="B23" s="0" t="s">
        <v>33</v>
      </c>
      <c r="C23" s="11">
        <f>IFERROR(39.5*(1-w),"")</f>
        <v/>
      </c>
      <c r="D23" s="11">
        <v>39.5</v>
      </c>
      <c r="E23" s="11">
        <v>47.305389221556887</v>
      </c>
      <c r="F23" s="11"/>
      <c r="G23" s="11"/>
      <c r="I23" s="12"/>
      <c r="J23" s="0" t="s">
        <v>39</v>
      </c>
    </row>
    <row r="24" outlineLevel="2">
      <c r="A24" s="10" t="s">
        <v>40</v>
      </c>
      <c r="B24" s="0" t="s">
        <v>33</v>
      </c>
      <c r="C24" s="11">
        <f>IFERROR(5.5*(1-w),"")</f>
        <v/>
      </c>
      <c r="D24" s="11">
        <v>5.5</v>
      </c>
      <c r="E24" s="11">
        <v>6.5868263473053892</v>
      </c>
      <c r="F24" s="11"/>
      <c r="G24" s="11"/>
      <c r="I24" s="12"/>
      <c r="J24" s="0" t="s">
        <v>39</v>
      </c>
    </row>
    <row r="25" outlineLevel="2">
      <c r="A25" s="10" t="s">
        <v>41</v>
      </c>
      <c r="B25" s="0" t="s">
        <v>33</v>
      </c>
      <c r="C25" s="11">
        <f>IFERROR(37.7*(1-w),"")</f>
        <v/>
      </c>
      <c r="D25" s="11">
        <v>37.7</v>
      </c>
      <c r="E25" s="11">
        <v>45.1497005988024</v>
      </c>
      <c r="F25" s="11"/>
      <c r="G25" s="11"/>
      <c r="I25" s="12"/>
      <c r="J25" s="0" t="s">
        <v>42</v>
      </c>
    </row>
    <row r="26" outlineLevel="2">
      <c r="A26" s="10" t="s">
        <v>43</v>
      </c>
      <c r="B26" s="0" t="s">
        <v>33</v>
      </c>
      <c r="C26" s="11">
        <f>IFERROR(99.2*(1-w)+w*100,"")</f>
        <v/>
      </c>
      <c r="D26" s="11">
        <v>99.2</v>
      </c>
      <c r="E26" s="11">
        <v>99.041916167664681</v>
      </c>
      <c r="F26" s="11"/>
      <c r="G26" s="11"/>
      <c r="I26" s="12"/>
      <c r="J26" s="0" t="s">
        <v>36</v>
      </c>
    </row>
    <row r="27" outlineLevel="1">
      <c r="A27" s="9" t="s">
        <v>44</v>
      </c>
      <c r="I27" s="12"/>
    </row>
    <row r="28" outlineLevel="2">
      <c r="A28" s="10" t="s">
        <v>45</v>
      </c>
      <c r="B28" s="0" t="s">
        <v>46</v>
      </c>
      <c r="C28" s="11">
        <f>IFERROR(16.00570425*(1-w),"")</f>
        <v/>
      </c>
      <c r="D28" s="11">
        <v>16.005704250000004</v>
      </c>
      <c r="E28" s="11">
        <v>19.168508083832339</v>
      </c>
      <c r="F28" s="11"/>
      <c r="G28" s="11"/>
      <c r="I28" s="12"/>
      <c r="J28" s="0" t="s">
        <v>36</v>
      </c>
    </row>
    <row r="29">
      <c r="I29" s="12"/>
    </row>
    <row r="30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https://phyllis.nl/Biomass/View/844</dc:description>
  <dcterms:created xsi:type="dcterms:W3CDTF">2026-03-17T05:47:06Z</dcterms:created>
  <dc:title>Phyllis2 #844 rice hulls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