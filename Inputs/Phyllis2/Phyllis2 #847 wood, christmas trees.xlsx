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47 wood, christmas t" sheetId="1" r:id="rId1"/>
  </sheets>
  <definedNames>
    <definedName name="w" localSheetId="0">IF(ISBLANK('Phyllis2 #847 wood, christmas t'!$C$19),#N/A,'Phyllis2 #847 wood, christmas 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<sst xmlns="http://schemas.openxmlformats.org/spreadsheetml/2006/main" count="64" uniqueCount="64">
  <si>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</si>
  <si>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https://phyllis.nl/Biomass/View/847</t>
  </si>
  <si>
    <t>wood, christmas trees (#847)</t>
  </si>
  <si>
    <t>ID-number</t>
  </si>
  <si>
    <t>#847</t>
  </si>
  <si>
    <t>Material</t>
  </si>
  <si>
    <t>wood, christmas trees</t>
  </si>
  <si>
    <t>Classification</t>
  </si>
  <si>
    <t>ECN Phyllis classification &gt; untreated wood &gt; other soft wood</t>
  </si>
  <si>
    <t>NTA 8003 classification &gt; [100] hout &gt; [110] vers hout &gt; [130] naaldhout &gt; [132] naaldhout met schors</t>
  </si>
  <si>
    <t>Ash type</t>
  </si>
  <si>
    <t>ASTM D1102 600 oC</t>
  </si>
  <si>
    <t>Submitter organisation</t>
  </si>
  <si>
    <t>ECN (Netherlands)</t>
  </si>
  <si>
    <t>Remarks</t>
  </si>
  <si>
    <t>Marysville, CA, Sithe, seasonal problem fuel.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</si>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</sst>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37.81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IFERROR(5.21*(1-w),"")</f>
        <v>3.2400989999999994</v>
      </c>
      <c r="D20" s="11">
        <v>5.21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IFERROR(73.99*(1-w),"")</f>
        <v>46.014380999999986</v>
      </c>
      <c r="D21" s="11">
        <v>73.99</v>
      </c>
      <c r="E21" s="11">
        <v>78.056757041882051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IFERROR(20.8*(1-w),"")</f>
        <v>12.935520000000006</v>
      </c>
      <c r="D22" s="11">
        <v>20.800000000000011</v>
      </c>
      <c r="E22" s="11">
        <v>21.943242958117956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IFERROR(51.59*(1-w),"")</f>
        <v>32.083821</v>
      </c>
      <c r="D24" s="11">
        <v>51.59</v>
      </c>
      <c r="E24" s="11">
        <v>54.425572317755041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IFERROR(5.58*(1-w),"")</f>
        <v>3.4702019999999996</v>
      </c>
      <c r="D25" s="11">
        <v>5.58</v>
      </c>
      <c r="E25" s="11">
        <v>5.8866969089566412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IFERROR(36.7*(1-w),"")</f>
        <v>22.823729999999998</v>
      </c>
      <c r="D26" s="11">
        <v>36.7</v>
      </c>
      <c r="E26" s="11">
        <v>38.717164257833112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IFERROR(0.52*(1-w),"")</f>
        <v>0.32338799999999995</v>
      </c>
      <c r="D27" s="11">
        <v>0.52</v>
      </c>
      <c r="E27" s="11">
        <v>0.54858107395294864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IFERROR(0.4*(1-w),"")</f>
        <v>0.24875999999999998</v>
      </c>
      <c r="D28" s="11">
        <v>0.4</v>
      </c>
      <c r="E28" s="11">
        <v>0.42198544150226819</v>
      </c>
      <c r="F28" s="11"/>
      <c r="G28" s="11"/>
      <c r="I28" s="12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100.00000000000001</v>
      </c>
      <c r="F29" s="11"/>
      <c r="G29" s="11"/>
      <c r="I29" s="12"/>
      <c r="J29" s="0" t="s">
        <v>37</v>
      </c>
    </row>
    <row r="30" outlineLevel="1">
      <c r="A30" s="9" t="s">
        <v>46</v>
      </c>
      <c r="I30" s="12"/>
    </row>
    <row r="31" outlineLevel="2">
      <c r="A31" s="10" t="s">
        <v>47</v>
      </c>
      <c r="B31" s="0" t="s">
        <v>48</v>
      </c>
      <c r="C31" s="11">
        <f>IFERROR(19.73728*(1-w)-w*2.443,"")</f>
        <v>11.350916131999996</v>
      </c>
      <c r="D31" s="11">
        <v>19.73728</v>
      </c>
      <c r="E31" s="11">
        <v>20.822112037134719</v>
      </c>
      <c r="F31" s="11"/>
      <c r="G31" s="11"/>
      <c r="I31" s="12"/>
    </row>
    <row r="32" outlineLevel="2">
      <c r="A32" s="10" t="s">
        <v>49</v>
      </c>
      <c r="B32" s="0" t="s">
        <v>48</v>
      </c>
      <c r="C32" s="11">
        <f>IFERROR(20.95493*(1-w),"")</f>
        <v>13.031870966999998</v>
      </c>
      <c r="D32" s="11">
        <v>20.95493</v>
      </c>
      <c r="E32" s="11">
        <v>22.106688469247814</v>
      </c>
      <c r="F32" s="11"/>
      <c r="G32" s="11"/>
      <c r="I32" s="12"/>
    </row>
    <row r="33" outlineLevel="2">
      <c r="A33" s="10" t="s">
        <v>50</v>
      </c>
      <c r="B33" s="0" t="s">
        <v>48</v>
      </c>
      <c r="C33" s="11">
        <f>IFERROR(20.4544300473*(1-w),"")</f>
        <v>12.720610046415866</v>
      </c>
      <c r="D33" s="11">
        <v>20.454430047299997</v>
      </c>
      <c r="E33" s="11">
        <v>21.578679235467874</v>
      </c>
      <c r="F33" s="11"/>
      <c r="G33" s="11"/>
      <c r="I33" s="12"/>
      <c r="J33" s="0" t="s">
        <v>37</v>
      </c>
    </row>
    <row r="34">
      <c r="A34" s="5" t="s">
        <v>51</v>
      </c>
      <c r="I34" s="12"/>
    </row>
    <row r="35" outlineLevel="1">
      <c r="A35" s="9" t="s">
        <v>52</v>
      </c>
      <c r="I35" s="12"/>
    </row>
    <row r="36" outlineLevel="2">
      <c r="A36" s="10" t="s">
        <v>53</v>
      </c>
      <c r="B36" s="0" t="s">
        <v>54</v>
      </c>
      <c r="C36" s="11">
        <v>11.36</v>
      </c>
      <c r="D36" s="11"/>
      <c r="E36" s="11"/>
      <c r="F36" s="11"/>
      <c r="G36" s="11"/>
      <c r="I36" s="12"/>
    </row>
    <row r="37" outlineLevel="2">
      <c r="A37" s="10" t="s">
        <v>55</v>
      </c>
      <c r="B37" s="0" t="s">
        <v>54</v>
      </c>
      <c r="C37" s="11">
        <v>2.4</v>
      </c>
      <c r="D37" s="11"/>
      <c r="E37" s="11"/>
      <c r="F37" s="11"/>
      <c r="G37" s="11"/>
      <c r="I37" s="12"/>
    </row>
    <row r="38" outlineLevel="2">
      <c r="A38" s="10" t="s">
        <v>56</v>
      </c>
      <c r="B38" s="0" t="s">
        <v>54</v>
      </c>
      <c r="C38" s="11">
        <v>38.89</v>
      </c>
      <c r="D38" s="11"/>
      <c r="E38" s="11"/>
      <c r="F38" s="11"/>
      <c r="G38" s="11"/>
      <c r="I38" s="12"/>
    </row>
    <row r="39" outlineLevel="2">
      <c r="A39" s="10" t="s">
        <v>57</v>
      </c>
      <c r="B39" s="0" t="s">
        <v>54</v>
      </c>
      <c r="C39" s="11">
        <v>9.3</v>
      </c>
      <c r="D39" s="11"/>
      <c r="E39" s="11"/>
      <c r="F39" s="11"/>
      <c r="G39" s="11"/>
      <c r="I39" s="12"/>
    </row>
    <row r="40" outlineLevel="2">
      <c r="A40" s="10" t="s">
        <v>58</v>
      </c>
      <c r="B40" s="0" t="s">
        <v>54</v>
      </c>
      <c r="C40" s="11">
        <v>14.74</v>
      </c>
      <c r="D40" s="11"/>
      <c r="E40" s="11"/>
      <c r="F40" s="11"/>
      <c r="G40" s="11"/>
      <c r="I40" s="12"/>
    </row>
    <row r="41" outlineLevel="2">
      <c r="A41" s="10" t="s">
        <v>59</v>
      </c>
      <c r="B41" s="0" t="s">
        <v>54</v>
      </c>
      <c r="C41" s="11">
        <v>9.5</v>
      </c>
      <c r="D41" s="11"/>
      <c r="E41" s="11"/>
      <c r="F41" s="11"/>
      <c r="G41" s="11"/>
      <c r="I41" s="12"/>
    </row>
    <row r="42" outlineLevel="2">
      <c r="A42" s="10" t="s">
        <v>60</v>
      </c>
      <c r="B42" s="0" t="s">
        <v>54</v>
      </c>
      <c r="C42" s="11">
        <v>2.52</v>
      </c>
      <c r="D42" s="11"/>
      <c r="E42" s="11"/>
      <c r="F42" s="11"/>
      <c r="G42" s="11"/>
      <c r="I42" s="12"/>
    </row>
    <row r="43" outlineLevel="2">
      <c r="A43" s="10" t="s">
        <v>61</v>
      </c>
      <c r="B43" s="0" t="s">
        <v>54</v>
      </c>
      <c r="C43" s="11">
        <v>0.53</v>
      </c>
      <c r="D43" s="11"/>
      <c r="E43" s="11"/>
      <c r="F43" s="11"/>
      <c r="G43" s="11"/>
      <c r="I43" s="12"/>
    </row>
    <row r="44" outlineLevel="2">
      <c r="A44" s="10" t="s">
        <v>62</v>
      </c>
      <c r="B44" s="0" t="s">
        <v>54</v>
      </c>
      <c r="C44" s="11">
        <v>7.86</v>
      </c>
      <c r="D44" s="11"/>
      <c r="E44" s="11"/>
      <c r="F44" s="11"/>
      <c r="G44" s="11"/>
      <c r="I44" s="12"/>
    </row>
    <row r="45" outlineLevel="2">
      <c r="A45" s="10" t="s">
        <v>63</v>
      </c>
      <c r="B45" s="0" t="s">
        <v>54</v>
      </c>
      <c r="C45" s="11">
        <v>0.36</v>
      </c>
      <c r="D45" s="11"/>
      <c r="E45" s="11"/>
      <c r="F45" s="11"/>
      <c r="G45" s="11"/>
      <c r="I45" s="12"/>
    </row>
    <row r="46">
      <c r="I46" s="12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37.8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https://phyllis.nl/Biomass/View/847</dc:description>
  <dcterms:created xsi:type="dcterms:W3CDTF">2026-03-19T07:19:23Z</dcterms:created>
  <dc:title>Phyllis2 #847 wood, christmas trees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