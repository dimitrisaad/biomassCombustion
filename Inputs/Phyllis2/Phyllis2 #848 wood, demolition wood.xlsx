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48 wood, demolition " sheetId="1" r:id="rId1"/>
  </sheets>
  <definedNames>
    <definedName name="w" localSheetId="0">IF(ISBLANK('Phyllis2 #848 wood, demolition '!$C$19),#N/A,'Phyllis2 #848 wood, demolition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<sst xmlns="http://schemas.openxmlformats.org/spreadsheetml/2006/main" count="67" uniqueCount="67">
  <si>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</si>
  <si>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https://phyllis.nl/Biomass/View/848</t>
  </si>
  <si>
    <t>wood, demolition wood (#848)</t>
  </si>
  <si>
    <t>ID-number</t>
  </si>
  <si>
    <t>#848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</si>
  <si>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</si>
  <si>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</si>
  <si>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</si>
  <si>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</si>
  <si>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</t>
  </si>
  <si>
    <t>Ash type</t>
  </si>
  <si>
    <t>ASTM D1102 600 oC</t>
  </si>
  <si>
    <t>Submitter organisation</t>
  </si>
  <si>
    <t>ECN (Netherlands)</t>
  </si>
  <si>
    <t>Remarks</t>
  </si>
  <si>
    <t>Florida, Wheelabrator, building demolition waste.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</si>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</sst>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9.01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IFERROR(13.12*(1-w),"")</f>
        <v>11.937888</v>
      </c>
      <c r="D20" s="11">
        <v>13.12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IFERROR(74.56*(1-w),"")</f>
        <v>67.842144</v>
      </c>
      <c r="D21" s="11">
        <v>74.56</v>
      </c>
      <c r="E21" s="11">
        <v>85.8195211786372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IFERROR(12.32*(1-w),"")</f>
        <v>11.209967999999995</v>
      </c>
      <c r="D22" s="11">
        <v>12.319999999999993</v>
      </c>
      <c r="E22" s="11">
        <v>14.180478821362792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IFERROR(46.3*(1-w),"")</f>
        <v>42.12837</v>
      </c>
      <c r="D24" s="11">
        <v>46.3</v>
      </c>
      <c r="E24" s="11">
        <v>53.29189686924493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IFERROR(5.39*(1-w),"")</f>
        <v>4.904361</v>
      </c>
      <c r="D25" s="11">
        <v>5.39</v>
      </c>
      <c r="E25" s="11">
        <v>6.2039594843462238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IFERROR(34.45*(1-w),"")</f>
        <v>31.346055000000003</v>
      </c>
      <c r="D26" s="11">
        <v>34.45</v>
      </c>
      <c r="E26" s="11">
        <v>39.652394106814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IFERROR(0.57*(1-w),"")</f>
        <v>0.518643</v>
      </c>
      <c r="D27" s="11">
        <v>0.57</v>
      </c>
      <c r="E27" s="11">
        <v>0.65607734806629825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IFERROR(0.12*(1-w),"")</f>
        <v>0.10918800000000001</v>
      </c>
      <c r="D28" s="11">
        <v>0.12</v>
      </c>
      <c r="E28" s="11">
        <v>0.13812154696132595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100.00000000000001</v>
      </c>
      <c r="D29" s="11">
        <v>100</v>
      </c>
      <c r="E29" s="11">
        <v>99.999999999999986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IFERROR(500*(1-w),"")</f>
        <v>454.95000000000005</v>
      </c>
      <c r="D31" s="12">
        <v>500</v>
      </c>
      <c r="E31" s="12">
        <v>575.50644567219149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IFERROR(17.23643*(1-w)-w*2.443,"")</f>
        <v>15.463313356999999</v>
      </c>
      <c r="D33" s="11">
        <v>17.23643</v>
      </c>
      <c r="E33" s="11">
        <v>19.839353130755061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IFERROR(18.41262*(1-w),"")</f>
        <v>16.753642938000002</v>
      </c>
      <c r="D34" s="11">
        <v>18.41262</v>
      </c>
      <c r="E34" s="11">
        <v>21.193162983425413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IFERROR(18.5453125632*(1-w),"")</f>
        <v>16.874379901255679</v>
      </c>
      <c r="D35" s="11">
        <v>18.5453125632</v>
      </c>
      <c r="E35" s="11">
        <v>21.345893834254142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2.45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0.94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45.91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12.02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15.55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13.51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2.55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1.13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2.14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2.09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9.0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https://phyllis.nl/Biomass/View/848</dc:description>
  <dcterms:created xsi:type="dcterms:W3CDTF">2026-03-19T04:02:27Z</dcterms:created>
  <dc:title>Phyllis2 #848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