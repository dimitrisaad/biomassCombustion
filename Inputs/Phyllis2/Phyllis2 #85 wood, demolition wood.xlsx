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5 wood, demolition w" sheetId="1" r:id="rId1"/>
  </sheets>
  <definedNames>
    <definedName name="w" localSheetId="0">IF(ISBLANK('Phyllis2 #85 wood, demolition w'!$C$17),#N/A,'Phyllis2 #85 wood, demolition w'!$C$17/100)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<sst xmlns="http://schemas.openxmlformats.org/spreadsheetml/2006/main" count="46" uniqueCount="46">
  <si>
    <t>Phyllis2</t>
  </si>
  <si>
    <t>https://phyllis.nl/Biomass/View/85</t>
  </si>
  <si>
    <t>wood, demolition wood (#85)</t>
  </si>
  <si>
    <t>ID-number</t>
  </si>
  <si>
    <t>#85</t>
  </si>
  <si>
    <t>Material</t>
  </si>
  <si>
    <t>wood, demolition wood</t>
  </si>
  <si>
    <t>Classification</t>
  </si>
  <si>
    <t>ECN Phyllis classification &gt; treated wood &gt; demolition wood &gt; wood, demolition wood</t>
  </si>
  <si>
    <t>NTA 8003 classification &gt; [100] hout &gt; [150] verwerkt 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</si>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</sst>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IFERROR(0.82*(1-w),"")</f>
        <v/>
      </c>
      <c r="D18" s="11">
        <v>0.82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IFERROR(49.11768*(1-w),"")</f>
        <v/>
      </c>
      <c r="D20" s="11">
        <v>49.11768</v>
      </c>
      <c r="E20" s="11">
        <v>49.523774954627946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IFERROR(5.827092*(1-w),"")</f>
        <v/>
      </c>
      <c r="D21" s="11">
        <v>5.827092</v>
      </c>
      <c r="E21" s="11">
        <v>5.8752692075015123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IFERROR(44.09558*(1-w),"")</f>
        <v/>
      </c>
      <c r="D22" s="11">
        <v>44.09558</v>
      </c>
      <c r="E22" s="11">
        <v>44.460153256704977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IFERROR(0.1396471*(1-w),"")</f>
        <v/>
      </c>
      <c r="D23" s="11">
        <v>0.1396471</v>
      </c>
      <c r="E23" s="11">
        <v>0.14080167372454122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IFERROR(99.9999991*(1-w)+w*100,"")</f>
        <v/>
      </c>
      <c r="D24" s="11">
        <v>99.9999991</v>
      </c>
      <c r="E24" s="11">
        <v>99.99999909255898</v>
      </c>
      <c r="F24" s="11"/>
      <c r="G24" s="11"/>
      <c r="I24" s="12"/>
      <c r="J24" s="0" t="s">
        <v>38</v>
      </c>
    </row>
    <row r="25" outlineLevel="1">
      <c r="A25" s="9" t="s">
        <v>41</v>
      </c>
      <c r="I25" s="12"/>
    </row>
    <row r="26" outlineLevel="2">
      <c r="A26" s="10" t="s">
        <v>42</v>
      </c>
      <c r="B26" s="0" t="s">
        <v>43</v>
      </c>
      <c r="C26" s="11">
        <f>IFERROR(17.81263*(1-w)-w*2.443,"")</f>
        <v/>
      </c>
      <c r="D26" s="11">
        <v>17.81263</v>
      </c>
      <c r="E26" s="11">
        <v>17.959901189755996</v>
      </c>
      <c r="F26" s="11"/>
      <c r="G26" s="11"/>
      <c r="I26" s="12"/>
    </row>
    <row r="27" outlineLevel="2">
      <c r="A27" s="10" t="s">
        <v>44</v>
      </c>
      <c r="B27" s="0" t="s">
        <v>43</v>
      </c>
      <c r="C27" s="11">
        <f>IFERROR(19.086*(1-w),"")</f>
        <v/>
      </c>
      <c r="D27" s="11">
        <v>19.086</v>
      </c>
      <c r="E27" s="11">
        <v>19.243799153055051</v>
      </c>
      <c r="F27" s="11"/>
      <c r="G27" s="11"/>
      <c r="I27" s="12"/>
    </row>
    <row r="28" outlineLevel="2">
      <c r="A28" s="10" t="s">
        <v>45</v>
      </c>
      <c r="B28" s="0" t="s">
        <v>43</v>
      </c>
      <c r="C28" s="11">
        <f>IFERROR(19.1318741292*(1-w),"")</f>
        <v/>
      </c>
      <c r="D28" s="11">
        <v>19.1318741292</v>
      </c>
      <c r="E28" s="11">
        <v>19.290052560193587</v>
      </c>
      <c r="F28" s="11"/>
      <c r="G28" s="11"/>
      <c r="I28" s="12"/>
      <c r="J28" s="0" t="s">
        <v>38</v>
      </c>
    </row>
    <row r="29">
      <c r="I29" s="12"/>
    </row>
    <row r="30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https://phyllis.nl/Biomass/View/85</dc:description>
  <dcterms:created xsi:type="dcterms:W3CDTF">2026-03-19T04:02:19Z</dcterms:created>
  <dc:title>Phyllis2 #85 wood, demolition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