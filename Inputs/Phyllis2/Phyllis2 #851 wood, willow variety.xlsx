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51 wood, willow vari" sheetId="1" r:id="rId1"/>
  </sheets>
  <definedNames>
    <definedName name="w" localSheetId="0">IF(ISBLANK('Phyllis2 #851 wood, willow vari'!$C$19),#N/A,'Phyllis2 #851 wood, willow vari'!$C$19/100)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<sst xmlns="http://schemas.openxmlformats.org/spreadsheetml/2006/main" count="68" uniqueCount="68">
  <si>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</si>
  <si>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https://phyllis.nl/Biomass/View/851</t>
  </si>
  <si>
    <t>wood, willow variety (#851)</t>
  </si>
  <si>
    <t>ID-number</t>
  </si>
  <si>
    <t>#851</t>
  </si>
  <si>
    <t>Material</t>
  </si>
  <si>
    <t>wood, willow variety</t>
  </si>
  <si>
    <t>Classification</t>
  </si>
  <si>
    <t>ECN Phyllis classification &gt; untreated wood &gt; willow &gt; wood, willow variety</t>
  </si>
  <si>
    <t>NTA 8003 classification &gt; [100] hout &gt; [110] vers hout &gt; [120] loofhout &gt; [122] zacht loofhout</t>
  </si>
  <si>
    <t>Ash type</t>
  </si>
  <si>
    <t>ASTM D1102 600 oC</t>
  </si>
  <si>
    <t>Submitter organisation</t>
  </si>
  <si>
    <t>ECN (Netherlands)</t>
  </si>
  <si>
    <t>Remarks</t>
  </si>
  <si>
    <t>State University of New York, Syracuse, air dried samples, stems, no leaves or fines, Salix clone SV1 1-year-old, 5/16 to 3/4 inch diameter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</si>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</sst>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13.58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IFERROR(1.1*(1-w),"")</f>
        <v>0.95062</v>
      </c>
      <c r="D20" s="11">
        <v>1.1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IFERROR(84.91*(1-w),"")</f>
        <v>73.379222</v>
      </c>
      <c r="D21" s="11">
        <v>84.91</v>
      </c>
      <c r="E21" s="11">
        <v>85.854398382204238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IFERROR(13.99*(1-w),"")</f>
        <v>12.090158000000008</v>
      </c>
      <c r="D22" s="11">
        <v>13.990000000000009</v>
      </c>
      <c r="E22" s="11">
        <v>14.145601617795762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IFERROR(47.94*(1-w),"")</f>
        <v>41.429748</v>
      </c>
      <c r="D24" s="11">
        <v>47.94</v>
      </c>
      <c r="E24" s="11">
        <v>48.4732052578362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IFERROR(5.84*(1-w),"")</f>
        <v>5.0469279999999994</v>
      </c>
      <c r="D25" s="11">
        <v>5.84</v>
      </c>
      <c r="E25" s="11">
        <v>5.9049544994944387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IFERROR(44.42*(1-w),"")</f>
        <v>38.387764</v>
      </c>
      <c r="D26" s="11">
        <v>44.42</v>
      </c>
      <c r="E26" s="11">
        <v>44.914054600606676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IFERROR(0.63*(1-w),"")</f>
        <v>0.544446</v>
      </c>
      <c r="D27" s="11">
        <v>0.63</v>
      </c>
      <c r="E27" s="11">
        <v>0.63700707785642063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IFERROR(0.06*(1-w),"")</f>
        <v>0.051851999999999995</v>
      </c>
      <c r="D28" s="11">
        <v>0.06</v>
      </c>
      <c r="E28" s="11">
        <v>0.060667340748230533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99.991357999999991</v>
      </c>
      <c r="D29" s="11">
        <v>99.99</v>
      </c>
      <c r="E29" s="11">
        <v>99.98988877654196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IFERROR(18.08956*(1-w)-w*2.443,"")</f>
        <v>15.301238351999999</v>
      </c>
      <c r="D33" s="11">
        <v>18.08956</v>
      </c>
      <c r="E33" s="11">
        <v>18.290758341759354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IFERROR(19.36395*(1-w),"")</f>
        <v>16.734325589999997</v>
      </c>
      <c r="D34" s="11">
        <v>19.36395</v>
      </c>
      <c r="E34" s="11">
        <v>19.579322548028312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IFERROR(18.64949113*(1-w),"")</f>
        <v>16.116890234546002</v>
      </c>
      <c r="D35" s="11">
        <v>18.649491130000005</v>
      </c>
      <c r="E35" s="11">
        <v>18.856917219413553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17.58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1.7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10.36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16.76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0.85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3.01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34.86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2.46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3.05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12.2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0.07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13.5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https://phyllis.nl/Biomass/View/851</dc:description>
  <dcterms:created xsi:type="dcterms:W3CDTF">2026-03-19T07:30:13Z</dcterms:created>
  <dc:title>Phyllis2 #851 wood, willow variety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