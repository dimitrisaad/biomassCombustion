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852 wood, willow vari" sheetId="1" r:id="rId1"/>
  </sheets>
  <definedNames>
    <definedName name="w" localSheetId="0">IF(ISBLANK('Phyllis2 #852 wood, willow vari'!$C$19),#N/A,'Phyllis2 #852 wood, willow vari'!$C$19/100)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<sst xmlns="http://schemas.openxmlformats.org/spreadsheetml/2006/main" count="68" uniqueCount="68">
  <si>
    <t>Phyllis2</t>
  </si>
  <si>
    <t>https://phyllis.nl/Biomass/View/852</t>
  </si>
  <si>
    <t>wood, willow variety (#852)</t>
  </si>
  <si>
    <t>ID-number</t>
  </si>
  <si>
    <t>#852</t>
  </si>
  <si>
    <t>Material</t>
  </si>
  <si>
    <t>wood, willow variety</t>
  </si>
  <si>
    <t>Classification</t>
  </si>
  <si>
    <t>ECN Phyllis classification &gt; untreated wood &gt; willow &gt; wood, willow variety</t>
  </si>
  <si>
    <t>NTA 8003 classification &gt; [100] hout &gt; [110] vers hout &gt; [120] loofhout &gt; [122] zacht loofhout</t>
  </si>
  <si>
    <t>Ash type</t>
  </si>
  <si>
    <t>ASTM D1102 600 oC</t>
  </si>
  <si>
    <t>Submitter organisation</t>
  </si>
  <si>
    <t>ECN (Netherlands)</t>
  </si>
  <si>
    <t>Remarks</t>
  </si>
  <si>
    <t>State University of New York, Syracuse, air dried samples, stems, no leaves or fines, Salix clone SP3, 1-year-old, 3/16 to 5/16 inch diameter</t>
  </si>
  <si>
    <t>Literature</t>
  </si>
  <si>
    <t>T. R. Miles, T. R. Miles,Jr, L. Baxter, R. W. Bryers, B. M. Jenkins and L. L. Oden: Alkali deposits found in biomass power plants. A preliminary investigation of their extend and nature, NREL/TP-433-8142, 82 p. (1995).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</si>
  <si>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</si>
  <si>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</si>
  <si>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</si>
  <si>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</si>
  <si>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</si>
  <si>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</si>
  <si>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</si>
  <si>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</si>
  <si>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</si>
  <si>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</si>
  <si>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</si>
  <si>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</si>
  <si>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</si>
  <si>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</si>
  <si>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</si>
  <si>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</si>
  <si>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</si>
  <si>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</si>
  <si>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</si>
  <si>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</si>
  <si>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</si>
  <si>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</si>
  <si>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</si>
  <si>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</si>
  <si>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</si>
  <si>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</si>
  <si>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</si>
  <si>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</si>
  <si>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</si>
  <si>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</si>
  <si>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 (dry)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</si>
  <si>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</si>
  <si>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</si>
  <si>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</si>
  <si>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</si>
  <si>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</si>
  <si>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</si>
  <si>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</si>
  <si>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CO2</t>
  </si>
  <si>
    <t>wt% (ash)</t>
  </si>
  <si>
    <t>SO3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</si>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</sst>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85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3"/>
    </row>
    <row r="18" outlineLevel="1">
      <c r="A18" s="9" t="s">
        <v>31</v>
      </c>
      <c r="I18" s="13"/>
    </row>
    <row r="19" outlineLevel="2">
      <c r="A19" s="10" t="s">
        <v>32</v>
      </c>
      <c r="B19" s="0" t="s">
        <v>33</v>
      </c>
      <c r="C19" s="11">
        <v>9.71</v>
      </c>
      <c r="D19" s="11"/>
      <c r="E19" s="11"/>
      <c r="F19" s="11"/>
      <c r="G19" s="11"/>
      <c r="I19" s="13"/>
    </row>
    <row r="20" outlineLevel="2">
      <c r="A20" s="10" t="s">
        <v>34</v>
      </c>
      <c r="B20" s="0" t="s">
        <v>33</v>
      </c>
      <c r="C20" s="11">
        <f>IFERROR(1.2*(1-w),"")</f>
        <v>1.08348</v>
      </c>
      <c r="D20" s="11">
        <v>1.2</v>
      </c>
      <c r="E20" s="11">
        <v/>
      </c>
      <c r="F20" s="11"/>
      <c r="G20" s="11"/>
      <c r="I20" s="13"/>
    </row>
    <row r="21" outlineLevel="2">
      <c r="A21" s="10" t="s">
        <v>35</v>
      </c>
      <c r="B21" s="0" t="s">
        <v>33</v>
      </c>
      <c r="C21" s="11">
        <f>IFERROR(83.05*(1-w),"")</f>
        <v>74.985845</v>
      </c>
      <c r="D21" s="11">
        <v>83.05</v>
      </c>
      <c r="E21" s="11">
        <v>84.0587044534413</v>
      </c>
      <c r="F21" s="11"/>
      <c r="G21" s="11"/>
      <c r="I21" s="13"/>
    </row>
    <row r="22" outlineLevel="2">
      <c r="A22" s="10" t="s">
        <v>36</v>
      </c>
      <c r="B22" s="0" t="s">
        <v>33</v>
      </c>
      <c r="C22" s="11">
        <f>IFERROR(15.75*(1-w),"")</f>
        <v>14.220675</v>
      </c>
      <c r="D22" s="11">
        <v>15.75</v>
      </c>
      <c r="E22" s="11">
        <v>15.941295546558704</v>
      </c>
      <c r="F22" s="11"/>
      <c r="G22" s="11"/>
      <c r="I22" s="13"/>
      <c r="J22" s="0" t="s">
        <v>37</v>
      </c>
    </row>
    <row r="23" outlineLevel="1">
      <c r="A23" s="9" t="s">
        <v>38</v>
      </c>
      <c r="I23" s="13"/>
    </row>
    <row r="24" outlineLevel="2">
      <c r="A24" s="10" t="s">
        <v>39</v>
      </c>
      <c r="B24" s="0" t="s">
        <v>33</v>
      </c>
      <c r="C24" s="11">
        <f>IFERROR(50.29*(1-w),"")</f>
        <v>45.406841</v>
      </c>
      <c r="D24" s="11">
        <v>50.29</v>
      </c>
      <c r="E24" s="11">
        <v>50.900809716599191</v>
      </c>
      <c r="F24" s="11"/>
      <c r="G24" s="11"/>
      <c r="I24" s="13"/>
      <c r="J24" s="0" t="s">
        <v>40</v>
      </c>
    </row>
    <row r="25" outlineLevel="2">
      <c r="A25" s="10" t="s">
        <v>41</v>
      </c>
      <c r="B25" s="0" t="s">
        <v>33</v>
      </c>
      <c r="C25" s="11">
        <f>IFERROR(6.01*(1-w),"")</f>
        <v>5.426429</v>
      </c>
      <c r="D25" s="11">
        <v>6.01</v>
      </c>
      <c r="E25" s="11">
        <v>6.0829959514170042</v>
      </c>
      <c r="F25" s="11"/>
      <c r="G25" s="11"/>
      <c r="I25" s="13"/>
      <c r="J25" s="0" t="s">
        <v>40</v>
      </c>
    </row>
    <row r="26" outlineLevel="2">
      <c r="A26" s="10" t="s">
        <v>42</v>
      </c>
      <c r="B26" s="0" t="s">
        <v>33</v>
      </c>
      <c r="C26" s="11">
        <f>IFERROR(41.92*(1-w),"")</f>
        <v>37.849568000000005</v>
      </c>
      <c r="D26" s="11">
        <v>41.92</v>
      </c>
      <c r="E26" s="11">
        <v>42.429149797570851</v>
      </c>
      <c r="F26" s="11"/>
      <c r="G26" s="11"/>
      <c r="I26" s="13"/>
      <c r="J26" s="0" t="s">
        <v>37</v>
      </c>
    </row>
    <row r="27" outlineLevel="2">
      <c r="A27" s="10" t="s">
        <v>43</v>
      </c>
      <c r="B27" s="0" t="s">
        <v>33</v>
      </c>
      <c r="C27" s="11">
        <f>IFERROR(0.5*(1-w),"")</f>
        <v>0.45145</v>
      </c>
      <c r="D27" s="11">
        <v>0.5</v>
      </c>
      <c r="E27" s="11">
        <v>0.50607287449392713</v>
      </c>
      <c r="F27" s="11"/>
      <c r="G27" s="11"/>
      <c r="I27" s="13"/>
      <c r="J27" s="0" t="s">
        <v>40</v>
      </c>
    </row>
    <row r="28" outlineLevel="2">
      <c r="A28" s="10" t="s">
        <v>44</v>
      </c>
      <c r="B28" s="0" t="s">
        <v>33</v>
      </c>
      <c r="C28" s="11">
        <f>IFERROR(0.07*(1-w),"")</f>
        <v>0.063203000000000009</v>
      </c>
      <c r="D28" s="11">
        <v>0.07</v>
      </c>
      <c r="E28" s="11">
        <v>0.0708502024291498</v>
      </c>
      <c r="F28" s="11"/>
      <c r="G28" s="11"/>
      <c r="I28" s="13"/>
      <c r="J28" s="0" t="s">
        <v>40</v>
      </c>
    </row>
    <row r="29" outlineLevel="2">
      <c r="A29" s="10" t="s">
        <v>45</v>
      </c>
      <c r="B29" s="0" t="s">
        <v>33</v>
      </c>
      <c r="C29" s="11">
        <f>IFERROR(99.99*(1-w)+w*100,"")</f>
        <v>99.990971</v>
      </c>
      <c r="D29" s="11">
        <v>99.99</v>
      </c>
      <c r="E29" s="11">
        <v>99.989878542510112</v>
      </c>
      <c r="F29" s="11"/>
      <c r="G29" s="11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2"/>
      <c r="D31" s="12"/>
      <c r="E31" s="12"/>
      <c r="F31" s="12"/>
      <c r="G31" s="12">
        <v>100</v>
      </c>
      <c r="I31" s="13"/>
    </row>
    <row r="32" outlineLevel="1">
      <c r="A32" s="9" t="s">
        <v>49</v>
      </c>
      <c r="I32" s="13"/>
    </row>
    <row r="33" outlineLevel="2">
      <c r="A33" s="10" t="s">
        <v>50</v>
      </c>
      <c r="B33" s="0" t="s">
        <v>51</v>
      </c>
      <c r="C33" s="11">
        <f>IFERROR(18.90378*(1-w)-w*2.443,"")</f>
        <v>16.831007662</v>
      </c>
      <c r="D33" s="11">
        <v>18.90378</v>
      </c>
      <c r="E33" s="11">
        <v>19.13338056680162</v>
      </c>
      <c r="F33" s="11"/>
      <c r="G33" s="11"/>
      <c r="I33" s="13"/>
    </row>
    <row r="34" outlineLevel="2">
      <c r="A34" s="10" t="s">
        <v>52</v>
      </c>
      <c r="B34" s="0" t="s">
        <v>51</v>
      </c>
      <c r="C34" s="11">
        <f>IFERROR(20.21527*(1-w),"")</f>
        <v>18.252367283</v>
      </c>
      <c r="D34" s="11">
        <v>20.21527</v>
      </c>
      <c r="E34" s="11">
        <v>20.4607995951417</v>
      </c>
      <c r="F34" s="11"/>
      <c r="G34" s="11"/>
      <c r="I34" s="13"/>
    </row>
    <row r="35" outlineLevel="2">
      <c r="A35" s="10" t="s">
        <v>53</v>
      </c>
      <c r="B35" s="0" t="s">
        <v>51</v>
      </c>
      <c r="C35" s="11">
        <f>IFERROR(19.99037232*(1-w),"")</f>
        <v>18.049307167728</v>
      </c>
      <c r="D35" s="11">
        <v>19.99037232</v>
      </c>
      <c r="E35" s="11">
        <v>20.233170364372469</v>
      </c>
      <c r="F35" s="11"/>
      <c r="G35" s="11"/>
      <c r="I35" s="13"/>
      <c r="J35" s="0" t="s">
        <v>37</v>
      </c>
    </row>
    <row r="36">
      <c r="A36" s="5" t="s">
        <v>54</v>
      </c>
      <c r="I36" s="13"/>
    </row>
    <row r="37" outlineLevel="1">
      <c r="A37" s="9" t="s">
        <v>55</v>
      </c>
      <c r="I37" s="13"/>
    </row>
    <row r="38" outlineLevel="2">
      <c r="A38" s="10" t="s">
        <v>56</v>
      </c>
      <c r="B38" s="0" t="s">
        <v>57</v>
      </c>
      <c r="C38" s="11">
        <v>19.85</v>
      </c>
      <c r="D38" s="11"/>
      <c r="E38" s="11"/>
      <c r="F38" s="11"/>
      <c r="G38" s="11"/>
      <c r="I38" s="13"/>
    </row>
    <row r="39" outlineLevel="2">
      <c r="A39" s="10" t="s">
        <v>58</v>
      </c>
      <c r="B39" s="0" t="s">
        <v>57</v>
      </c>
      <c r="C39" s="11">
        <v>1.94</v>
      </c>
      <c r="D39" s="11"/>
      <c r="E39" s="11"/>
      <c r="F39" s="11"/>
      <c r="G39" s="11"/>
      <c r="I39" s="13"/>
    </row>
    <row r="40" outlineLevel="2">
      <c r="A40" s="10" t="s">
        <v>59</v>
      </c>
      <c r="B40" s="0" t="s">
        <v>57</v>
      </c>
      <c r="C40" s="11">
        <v>12.9</v>
      </c>
      <c r="D40" s="11"/>
      <c r="E40" s="11"/>
      <c r="F40" s="11"/>
      <c r="G40" s="11"/>
      <c r="I40" s="13"/>
    </row>
    <row r="41" outlineLevel="2">
      <c r="A41" s="10" t="s">
        <v>60</v>
      </c>
      <c r="B41" s="0" t="s">
        <v>57</v>
      </c>
      <c r="C41" s="11">
        <v>2.83</v>
      </c>
      <c r="D41" s="11"/>
      <c r="E41" s="11"/>
      <c r="F41" s="11"/>
      <c r="G41" s="11"/>
      <c r="I41" s="13"/>
    </row>
    <row r="42" outlineLevel="2">
      <c r="A42" s="10" t="s">
        <v>61</v>
      </c>
      <c r="B42" s="0" t="s">
        <v>57</v>
      </c>
      <c r="C42" s="11">
        <v>0.42</v>
      </c>
      <c r="D42" s="11"/>
      <c r="E42" s="11"/>
      <c r="F42" s="11"/>
      <c r="G42" s="11"/>
      <c r="I42" s="13"/>
    </row>
    <row r="43" outlineLevel="2">
      <c r="A43" s="10" t="s">
        <v>62</v>
      </c>
      <c r="B43" s="0" t="s">
        <v>57</v>
      </c>
      <c r="C43" s="11">
        <v>0.12</v>
      </c>
      <c r="D43" s="11"/>
      <c r="E43" s="11"/>
      <c r="F43" s="11"/>
      <c r="G43" s="11"/>
      <c r="I43" s="13"/>
    </row>
    <row r="44" outlineLevel="2">
      <c r="A44" s="10" t="s">
        <v>63</v>
      </c>
      <c r="B44" s="0" t="s">
        <v>57</v>
      </c>
      <c r="C44" s="11">
        <v>36.51</v>
      </c>
      <c r="D44" s="11"/>
      <c r="E44" s="11"/>
      <c r="F44" s="11"/>
      <c r="G44" s="11"/>
      <c r="I44" s="13"/>
    </row>
    <row r="45" outlineLevel="2">
      <c r="A45" s="10" t="s">
        <v>64</v>
      </c>
      <c r="B45" s="0" t="s">
        <v>57</v>
      </c>
      <c r="C45" s="11">
        <v>1.54</v>
      </c>
      <c r="D45" s="11"/>
      <c r="E45" s="11"/>
      <c r="F45" s="11"/>
      <c r="G45" s="11"/>
      <c r="I45" s="13"/>
    </row>
    <row r="46" outlineLevel="2">
      <c r="A46" s="10" t="s">
        <v>65</v>
      </c>
      <c r="B46" s="0" t="s">
        <v>57</v>
      </c>
      <c r="C46" s="11">
        <v>1.97</v>
      </c>
      <c r="D46" s="11"/>
      <c r="E46" s="11"/>
      <c r="F46" s="11"/>
      <c r="G46" s="11"/>
      <c r="I46" s="13"/>
    </row>
    <row r="47" outlineLevel="2">
      <c r="A47" s="10" t="s">
        <v>66</v>
      </c>
      <c r="B47" s="0" t="s">
        <v>57</v>
      </c>
      <c r="C47" s="11">
        <v>19.9</v>
      </c>
      <c r="D47" s="11"/>
      <c r="E47" s="11"/>
      <c r="F47" s="11"/>
      <c r="G47" s="11"/>
      <c r="I47" s="13"/>
    </row>
    <row r="48" outlineLevel="2">
      <c r="A48" s="10" t="s">
        <v>67</v>
      </c>
      <c r="B48" s="0" t="s">
        <v>57</v>
      </c>
      <c r="C48" s="11">
        <v>0.06</v>
      </c>
      <c r="D48" s="11"/>
      <c r="E48" s="11"/>
      <c r="F48" s="11"/>
      <c r="G48" s="11"/>
      <c r="I48" s="13"/>
    </row>
    <row r="49">
      <c r="I49" s="13"/>
    </row>
    <row r="50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1:E31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</mergeCells>
  <dataValidations count="1">
    <dataValidation type="decimal" sqref="C19" errorStyle="stop" promptTitle="Enter moisture content" errorTitle="Invalid moisture content" prompt="Value should be between 0 and 100.&#10;Original value: 9.7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https://phyllis.nl/Biomass/View/852</dc:description>
  <dcterms:created xsi:type="dcterms:W3CDTF">2026-03-19T07:30:52Z</dcterms:created>
  <dc:title>Phyllis2 #852 wood, willow variety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