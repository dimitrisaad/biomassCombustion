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2 wood, briquettes," sheetId="1" r:id="rId1"/>
  </sheets>
  <definedNames>
    <definedName name="w" localSheetId="0">IF(ISBLANK('Phyllis2 #862 wood, briquettes,'!$C$19),#N/A,'Phyllis2 #862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<sst xmlns="http://schemas.openxmlformats.org/spreadsheetml/2006/main" count="49" uniqueCount="49">
  <si>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</si>
  <si>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https://phyllis.nl/Biomass/View/862</t>
  </si>
  <si>
    <t>wood, briquettes, Ecoblok, Almelo, the Netherlands (#862)</t>
  </si>
  <si>
    <t>ID-number</t>
  </si>
  <si>
    <t>#862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</si>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</sst>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5.26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IFERROR(0.41*(1-w),"")</f>
        <v>0.388434</v>
      </c>
      <c r="D20" s="11">
        <v>0.41</v>
      </c>
      <c r="E20" s="11">
        <v/>
      </c>
      <c r="F20" s="11"/>
      <c r="G20" s="11"/>
      <c r="I20" s="12"/>
    </row>
    <row r="21" outlineLevel="1">
      <c r="A21" s="9" t="s">
        <v>35</v>
      </c>
      <c r="I21" s="12"/>
    </row>
    <row r="22" outlineLevel="2">
      <c r="A22" s="10" t="s">
        <v>36</v>
      </c>
      <c r="B22" s="0" t="s">
        <v>33</v>
      </c>
      <c r="C22" s="11">
        <f>IFERROR(51.48*(1-w),"")</f>
        <v>48.772152</v>
      </c>
      <c r="D22" s="11">
        <v>51.48</v>
      </c>
      <c r="E22" s="11">
        <v>51.691936941459986</v>
      </c>
      <c r="F22" s="11"/>
      <c r="G22" s="11"/>
      <c r="I22" s="12"/>
      <c r="J22" s="0" t="s">
        <v>37</v>
      </c>
    </row>
    <row r="23" outlineLevel="2">
      <c r="A23" s="10" t="s">
        <v>38</v>
      </c>
      <c r="B23" s="0" t="s">
        <v>33</v>
      </c>
      <c r="C23" s="11">
        <f>IFERROR(5.93*(1-w),"")</f>
        <v>5.618082</v>
      </c>
      <c r="D23" s="11">
        <v>5.93</v>
      </c>
      <c r="E23" s="11">
        <v>5.9544130936841047</v>
      </c>
      <c r="F23" s="11"/>
      <c r="G23" s="11"/>
      <c r="I23" s="12"/>
      <c r="J23" s="0" t="s">
        <v>37</v>
      </c>
    </row>
    <row r="24" outlineLevel="2">
      <c r="A24" s="10" t="s">
        <v>39</v>
      </c>
      <c r="B24" s="0" t="s">
        <v>33</v>
      </c>
      <c r="C24" s="11">
        <f>IFERROR(42*(1-w),"")</f>
        <v>39.790800000000004</v>
      </c>
      <c r="D24" s="11">
        <v>42</v>
      </c>
      <c r="E24" s="11">
        <v>42.172908926599057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IFERROR(0.15*(1-w),"")</f>
        <v>0.14211</v>
      </c>
      <c r="D25" s="11">
        <v>0.15</v>
      </c>
      <c r="E25" s="11">
        <v>0.15061753188071092</v>
      </c>
      <c r="F25" s="11"/>
      <c r="G25" s="11"/>
      <c r="I25" s="12"/>
      <c r="J25" s="0" t="s">
        <v>37</v>
      </c>
    </row>
    <row r="26" outlineLevel="2">
      <c r="A26" s="10" t="s">
        <v>42</v>
      </c>
      <c r="B26" s="0" t="s">
        <v>33</v>
      </c>
      <c r="C26" s="11">
        <f>IFERROR(0.03*(1-w),"")</f>
        <v>0.028422</v>
      </c>
      <c r="D26" s="11">
        <v>0.03</v>
      </c>
      <c r="E26" s="11">
        <v>0.030123506376142181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</v>
      </c>
      <c r="E27" s="11">
        <v>100</v>
      </c>
      <c r="F27" s="11"/>
      <c r="G27" s="11"/>
      <c r="I27" s="12"/>
      <c r="J27" s="0" t="s">
        <v>40</v>
      </c>
    </row>
    <row r="28" outlineLevel="1">
      <c r="A28" s="9" t="s">
        <v>44</v>
      </c>
      <c r="I28" s="12"/>
    </row>
    <row r="29" outlineLevel="2">
      <c r="A29" s="10" t="s">
        <v>45</v>
      </c>
      <c r="B29" s="0" t="s">
        <v>46</v>
      </c>
      <c r="C29" s="11">
        <f>IFERROR(18.90197*(1-w)-w*2.443,"")</f>
        <v>17.779224578</v>
      </c>
      <c r="D29" s="11">
        <v>18.90197</v>
      </c>
      <c r="E29" s="11">
        <v>18.979787127221606</v>
      </c>
      <c r="F29" s="11"/>
      <c r="G29" s="11"/>
      <c r="I29" s="12"/>
    </row>
    <row r="30" outlineLevel="2">
      <c r="A30" s="10" t="s">
        <v>47</v>
      </c>
      <c r="B30" s="0" t="s">
        <v>46</v>
      </c>
      <c r="C30" s="11">
        <f>IFERROR(20.196*(1-w),"")</f>
        <v>19.133690400000003</v>
      </c>
      <c r="D30" s="11">
        <v>20.196</v>
      </c>
      <c r="E30" s="11">
        <v>20.279144492418919</v>
      </c>
      <c r="F30" s="11"/>
      <c r="G30" s="11"/>
      <c r="I30" s="12"/>
    </row>
    <row r="31" outlineLevel="2">
      <c r="A31" s="10" t="s">
        <v>48</v>
      </c>
      <c r="B31" s="0" t="s">
        <v>46</v>
      </c>
      <c r="C31" s="11">
        <f>IFERROR(20.3319507193*(1-w),"")</f>
        <v>19.262490111464825</v>
      </c>
      <c r="D31" s="11">
        <v>20.331950719300004</v>
      </c>
      <c r="E31" s="11">
        <v>20.415654904408076</v>
      </c>
      <c r="F31" s="11"/>
      <c r="G31" s="11"/>
      <c r="I31" s="12"/>
      <c r="J31" s="0" t="s">
        <v>40</v>
      </c>
    </row>
    <row r="32">
      <c r="I32" s="12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.2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https://phyllis.nl/Biomass/View/862</dc:description>
  <dcterms:created xsi:type="dcterms:W3CDTF">2026-03-19T07:13:09Z</dcterms:created>
  <dc:title>Phyllis2 #862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