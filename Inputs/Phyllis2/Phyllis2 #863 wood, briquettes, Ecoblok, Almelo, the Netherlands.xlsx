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3 wood, briquettes," sheetId="1" r:id="rId1"/>
  </sheets>
  <definedNames>
    <definedName name="w" localSheetId="0">IF(ISBLANK('Phyllis2 #863 wood, briquettes,'!$C$19),#N/A,'Phyllis2 #863 wood, briquettes,'!$C$19/100)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<sst xmlns="http://schemas.openxmlformats.org/spreadsheetml/2006/main" count="56" uniqueCount="56">
  <si>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</si>
  <si>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https://phyllis.nl/Biomass/View/863</t>
  </si>
  <si>
    <t>wood, briquettes, Ecoblok, Almelo, the Netherlands (#863)</t>
  </si>
  <si>
    <t>ID-number</t>
  </si>
  <si>
    <t>#863</t>
  </si>
  <si>
    <t>Material</t>
  </si>
  <si>
    <t>wood, briquettes, Ecoblok, Almelo, the Netherlands</t>
  </si>
  <si>
    <t>Classification</t>
  </si>
  <si>
    <t>ECN Phyllis classification &gt; untreated wood &gt; other hard wood &gt; wood, briquettes, Ecoblok, Almelo, the Netherlands</t>
  </si>
  <si>
    <t>NTA 8003 classification &gt; [100] hout &gt; [110] vers hout &gt; [120] loofhout &gt; [125] hard loofhout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</si>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</sst>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3.93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IFERROR(0.44*(1-w),"")</f>
        <v>0.42270800000000003</v>
      </c>
      <c r="D20" s="11">
        <v>0.44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IFERROR(78.8*(1-w),"")</f>
        <v>75.70316</v>
      </c>
      <c r="D21" s="11">
        <v>78.8</v>
      </c>
      <c r="E21" s="11">
        <v>79.148252310164722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IFERROR(20.76*(1-w),"")</f>
        <v>19.944132000000003</v>
      </c>
      <c r="D22" s="11">
        <v>20.760000000000005</v>
      </c>
      <c r="E22" s="11">
        <v>20.851747689835278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IFERROR(51.78*(1-w),"")</f>
        <v>49.745046</v>
      </c>
      <c r="D24" s="11">
        <v>51.78</v>
      </c>
      <c r="E24" s="11">
        <v>52.008838891120931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IFERROR(5.9*(1-w),"")</f>
        <v>5.6681300000000006</v>
      </c>
      <c r="D25" s="11">
        <v>5.9</v>
      </c>
      <c r="E25" s="11">
        <v>5.92607472880675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IFERROR(41.73*(1-w),"")</f>
        <v>40.090011</v>
      </c>
      <c r="D26" s="11">
        <v>41.73</v>
      </c>
      <c r="E26" s="11">
        <v>41.914423463238244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IFERROR(0.136*(1-w),"")</f>
        <v>0.1306552</v>
      </c>
      <c r="D27" s="11">
        <v>0.136</v>
      </c>
      <c r="E27" s="11">
        <v>0.13660104459622338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IFERROR(0.002*(1-w),"")</f>
        <v>0.0019214</v>
      </c>
      <c r="D28" s="11">
        <v>0.002</v>
      </c>
      <c r="E28" s="11">
        <v>0.002008838891120932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IFERROR(100.0016*(1-w)+w*100,"")</f>
        <v>100.00153712</v>
      </c>
      <c r="D29" s="11">
        <v>100.00159999999998</v>
      </c>
      <c r="E29" s="11">
        <v>100.00160707111287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IFERROR(136*(1-w),"")</f>
        <v>130.6552</v>
      </c>
      <c r="D31" s="12">
        <v>136</v>
      </c>
      <c r="E31" s="12">
        <v>136.60104459622337</v>
      </c>
      <c r="F31" s="12"/>
      <c r="G31" s="12"/>
      <c r="I31" s="13"/>
      <c r="J31" s="0" t="s">
        <v>40</v>
      </c>
    </row>
    <row r="32" outlineLevel="2">
      <c r="A32" s="10" t="s">
        <v>49</v>
      </c>
      <c r="B32" s="0" t="s">
        <v>50</v>
      </c>
      <c r="C32" s="12"/>
      <c r="D32" s="12"/>
      <c r="E32" s="12"/>
      <c r="F32" s="12"/>
      <c r="G32" s="12">
        <v>10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1">
        <f>IFERROR(19.12252*(1-w)-w*2.443,"")</f>
        <v>18.274995064000002</v>
      </c>
      <c r="D34" s="11">
        <v>19.12252</v>
      </c>
      <c r="E34" s="11">
        <v>19.207030936118922</v>
      </c>
      <c r="F34" s="11"/>
      <c r="G34" s="11"/>
      <c r="I34" s="13"/>
    </row>
    <row r="35" outlineLevel="2">
      <c r="A35" s="10" t="s">
        <v>54</v>
      </c>
      <c r="B35" s="0" t="s">
        <v>53</v>
      </c>
      <c r="C35" s="11">
        <f>IFERROR(20.41*(1-w),"")</f>
        <v>19.607887</v>
      </c>
      <c r="D35" s="11">
        <v>20.41</v>
      </c>
      <c r="E35" s="11">
        <v>20.500200883889111</v>
      </c>
      <c r="F35" s="11"/>
      <c r="G35" s="11"/>
      <c r="I35" s="13"/>
    </row>
    <row r="36" outlineLevel="2">
      <c r="A36" s="10" t="s">
        <v>55</v>
      </c>
      <c r="B36" s="0" t="s">
        <v>53</v>
      </c>
      <c r="C36" s="11">
        <f>IFERROR(20.4262948208*(1-w),"")</f>
        <v>19.623541434342563</v>
      </c>
      <c r="D36" s="11">
        <v>20.426294820800003</v>
      </c>
      <c r="E36" s="11">
        <v>20.516567718762555</v>
      </c>
      <c r="F36" s="11"/>
      <c r="G36" s="11"/>
      <c r="I36" s="13"/>
      <c r="J36" s="0" t="s">
        <v>37</v>
      </c>
    </row>
    <row r="37">
      <c r="I37" s="13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</mergeCells>
  <dataValidations count="1">
    <dataValidation type="decimal" sqref="C19" errorStyle="stop" promptTitle="Enter moisture content" errorTitle="Invalid moisture content" prompt="Value should be between 0 and 100.&#10;Original value: 3.9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https://phyllis.nl/Biomass/View/863</dc:description>
  <dcterms:created xsi:type="dcterms:W3CDTF">2026-03-19T07:13:11Z</dcterms:created>
  <dc:title>Phyllis2 #863 wood, briquettes, Ecoblok, Almelo,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