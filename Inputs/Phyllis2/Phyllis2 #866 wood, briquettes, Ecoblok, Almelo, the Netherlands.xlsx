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66 wood, briquettes," sheetId="1" r:id="rId1"/>
  </sheets>
  <definedNames>
    <definedName name="w" localSheetId="0">IF(ISBLANK('Phyllis2 #866 wood, briquettes,'!$C$19),#N/A,'Phyllis2 #866 wood, briquettes,'!$C$19/100)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<sst xmlns="http://schemas.openxmlformats.org/spreadsheetml/2006/main" count="56" uniqueCount="56">
  <si>
    <t>Phyllis2</t>
  </si>
  <si>
    <t>https://phyllis.nl/Biomass/View/866</t>
  </si>
  <si>
    <t>wood, briquettes, Ecoblok, Almelo, the Netherlands (#866)</t>
  </si>
  <si>
    <t>ID-number</t>
  </si>
  <si>
    <t>#866</t>
  </si>
  <si>
    <t>Material</t>
  </si>
  <si>
    <t>wood, briquettes, Ecoblok, Almelo, the Netherlands</t>
  </si>
  <si>
    <t>Classification</t>
  </si>
  <si>
    <t>ECN Phyllis classification &gt; untreated wood &gt; other hard wood &gt; wood, briquettes, Ecoblok, Almelo, the Netherlands</t>
  </si>
  <si>
    <t>NTA 8003 classification &gt; [100] hout &gt; [110] vers hout &gt; [120] loofhout &gt; [125] hard loofhout</t>
  </si>
  <si>
    <t>Ash type</t>
  </si>
  <si>
    <t>ISO 1171 (815 degC)</t>
  </si>
  <si>
    <t>Submitter organisation</t>
  </si>
  <si>
    <t>ECN (Netherlands)</t>
  </si>
  <si>
    <t>Remarks</t>
  </si>
  <si>
    <t>tested in ECN CFB gasifier (BIVKIN)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</si>
  <si>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</si>
  <si>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</si>
  <si>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</si>
  <si>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</si>
  <si>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</si>
  <si>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</si>
  <si>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</si>
  <si>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</si>
  <si>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</si>
  <si>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</si>
  <si>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</si>
  <si>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</si>
  <si>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</si>
  <si>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</si>
  <si>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</si>
  <si>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</si>
  <si>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</si>
  <si>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</si>
  <si>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</si>
  <si>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</si>
  <si>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</si>
  <si>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</si>
  <si>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</si>
  <si>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</si>
  <si>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</si>
  <si>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</si>
  <si>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</si>
  <si>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</si>
  <si>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</si>
  <si>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</si>
  <si>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</si>
  <si>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</si>
  <si>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</si>
  <si>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</si>
  <si>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mg/kg (dry)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</si>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</sst>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6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3.8</v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33</v>
      </c>
      <c r="C20" s="11">
        <f>IFERROR(0.28*(1-w),"")</f>
        <v>0.26936000000000004</v>
      </c>
      <c r="D20" s="11">
        <v>0.28</v>
      </c>
      <c r="E20" s="11">
        <v/>
      </c>
      <c r="F20" s="11"/>
      <c r="G20" s="11"/>
      <c r="I20" s="13"/>
    </row>
    <row r="21" outlineLevel="2">
      <c r="A21" s="10" t="s">
        <v>35</v>
      </c>
      <c r="B21" s="0" t="s">
        <v>33</v>
      </c>
      <c r="C21" s="11">
        <f>IFERROR(78.3*(1-w),"")</f>
        <v>75.32459999999999</v>
      </c>
      <c r="D21" s="11">
        <v>78.3</v>
      </c>
      <c r="E21" s="11">
        <v>78.519855595667863</v>
      </c>
      <c r="F21" s="11"/>
      <c r="G21" s="11"/>
      <c r="I21" s="13"/>
    </row>
    <row r="22" outlineLevel="2">
      <c r="A22" s="10" t="s">
        <v>36</v>
      </c>
      <c r="B22" s="0" t="s">
        <v>33</v>
      </c>
      <c r="C22" s="11">
        <f>IFERROR(21.42*(1-w),"")</f>
        <v>20.60604</v>
      </c>
      <c r="D22" s="11">
        <v>21.42</v>
      </c>
      <c r="E22" s="11">
        <v>21.480144404332133</v>
      </c>
      <c r="F22" s="11"/>
      <c r="G22" s="11"/>
      <c r="I22" s="13"/>
      <c r="J22" s="0" t="s">
        <v>37</v>
      </c>
    </row>
    <row r="23" outlineLevel="1">
      <c r="A23" s="9" t="s">
        <v>38</v>
      </c>
      <c r="I23" s="13"/>
    </row>
    <row r="24" outlineLevel="2">
      <c r="A24" s="10" t="s">
        <v>39</v>
      </c>
      <c r="B24" s="0" t="s">
        <v>33</v>
      </c>
      <c r="C24" s="11">
        <f>IFERROR(52.1*(1-w),"")</f>
        <v>50.1202</v>
      </c>
      <c r="D24" s="11">
        <v>52.1</v>
      </c>
      <c r="E24" s="11">
        <v>52.246289610910551</v>
      </c>
      <c r="F24" s="11"/>
      <c r="G24" s="11"/>
      <c r="I24" s="13"/>
      <c r="J24" s="0" t="s">
        <v>40</v>
      </c>
    </row>
    <row r="25" outlineLevel="2">
      <c r="A25" s="10" t="s">
        <v>41</v>
      </c>
      <c r="B25" s="0" t="s">
        <v>33</v>
      </c>
      <c r="C25" s="11">
        <f>IFERROR(5.93*(1-w),"")</f>
        <v>5.70466</v>
      </c>
      <c r="D25" s="11">
        <v>5.93</v>
      </c>
      <c r="E25" s="11">
        <v>5.9466506217408739</v>
      </c>
      <c r="F25" s="11"/>
      <c r="G25" s="11"/>
      <c r="I25" s="13"/>
      <c r="J25" s="0" t="s">
        <v>40</v>
      </c>
    </row>
    <row r="26" outlineLevel="2">
      <c r="A26" s="10" t="s">
        <v>42</v>
      </c>
      <c r="B26" s="0" t="s">
        <v>33</v>
      </c>
      <c r="C26" s="11">
        <f>IFERROR(41.54*(1-w),"")</f>
        <v>39.961479999999995</v>
      </c>
      <c r="D26" s="11">
        <v>41.54</v>
      </c>
      <c r="E26" s="11">
        <v>41.656638588046533</v>
      </c>
      <c r="F26" s="11"/>
      <c r="G26" s="11"/>
      <c r="I26" s="13"/>
      <c r="J26" s="0" t="s">
        <v>37</v>
      </c>
    </row>
    <row r="27" outlineLevel="2">
      <c r="A27" s="10" t="s">
        <v>43</v>
      </c>
      <c r="B27" s="0" t="s">
        <v>33</v>
      </c>
      <c r="C27" s="11">
        <f>IFERROR(0.134*(1-w),"")</f>
        <v>0.128908</v>
      </c>
      <c r="D27" s="11">
        <v>0.134</v>
      </c>
      <c r="E27" s="11">
        <v>0.13437625350982751</v>
      </c>
      <c r="F27" s="11"/>
      <c r="G27" s="11"/>
      <c r="I27" s="13"/>
      <c r="J27" s="0" t="s">
        <v>40</v>
      </c>
    </row>
    <row r="28" outlineLevel="2">
      <c r="A28" s="10" t="s">
        <v>44</v>
      </c>
      <c r="B28" s="0" t="s">
        <v>33</v>
      </c>
      <c r="C28" s="11">
        <f>IFERROR(0.0015*(1-w),"")</f>
        <v>0.001443</v>
      </c>
      <c r="D28" s="11">
        <v>0.0015</v>
      </c>
      <c r="E28" s="11">
        <v>0.0015042117930204573</v>
      </c>
      <c r="F28" s="11"/>
      <c r="G28" s="11"/>
      <c r="I28" s="13"/>
      <c r="J28" s="0" t="s">
        <v>40</v>
      </c>
    </row>
    <row r="29" outlineLevel="2">
      <c r="A29" s="10" t="s">
        <v>45</v>
      </c>
      <c r="B29" s="0" t="s">
        <v>33</v>
      </c>
      <c r="C29" s="11">
        <f>IFERROR(99.9978*(1-w)+w*100,"")</f>
        <v>99.99788359999998</v>
      </c>
      <c r="D29" s="11">
        <v>99.997799999999984</v>
      </c>
      <c r="E29" s="11">
        <v>99.997793822703557</v>
      </c>
      <c r="F29" s="11"/>
      <c r="G29" s="11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2">
        <f>IFERROR(123*(1-w),"")</f>
        <v>118.326</v>
      </c>
      <c r="D31" s="12">
        <v>123</v>
      </c>
      <c r="E31" s="12">
        <v>123.3453670276775</v>
      </c>
      <c r="F31" s="12"/>
      <c r="G31" s="12"/>
      <c r="I31" s="13"/>
      <c r="J31" s="0" t="s">
        <v>40</v>
      </c>
    </row>
    <row r="32" outlineLevel="2">
      <c r="A32" s="10" t="s">
        <v>49</v>
      </c>
      <c r="B32" s="0" t="s">
        <v>50</v>
      </c>
      <c r="C32" s="12"/>
      <c r="D32" s="12"/>
      <c r="E32" s="12"/>
      <c r="F32" s="12"/>
      <c r="G32" s="12">
        <v>10</v>
      </c>
      <c r="I32" s="13"/>
    </row>
    <row r="33" outlineLevel="1">
      <c r="A33" s="9" t="s">
        <v>51</v>
      </c>
      <c r="I33" s="13"/>
    </row>
    <row r="34" outlineLevel="2">
      <c r="A34" s="10" t="s">
        <v>52</v>
      </c>
      <c r="B34" s="0" t="s">
        <v>53</v>
      </c>
      <c r="C34" s="11">
        <f>IFERROR(19.16597*(1-w)-w*2.443,"")</f>
        <v>18.34482914</v>
      </c>
      <c r="D34" s="11">
        <v>19.16597</v>
      </c>
      <c r="E34" s="11">
        <v>19.21978539911753</v>
      </c>
      <c r="F34" s="11"/>
      <c r="G34" s="11"/>
      <c r="I34" s="13"/>
    </row>
    <row r="35" outlineLevel="2">
      <c r="A35" s="10" t="s">
        <v>54</v>
      </c>
      <c r="B35" s="0" t="s">
        <v>53</v>
      </c>
      <c r="C35" s="11">
        <f>IFERROR(20.46*(1-w),"")</f>
        <v>19.68252</v>
      </c>
      <c r="D35" s="11">
        <v>20.46</v>
      </c>
      <c r="E35" s="11">
        <v>20.517448856799039</v>
      </c>
      <c r="F35" s="11"/>
      <c r="G35" s="11"/>
      <c r="I35" s="13"/>
    </row>
    <row r="36" outlineLevel="2">
      <c r="A36" s="10" t="s">
        <v>55</v>
      </c>
      <c r="B36" s="0" t="s">
        <v>53</v>
      </c>
      <c r="C36" s="11">
        <f>IFERROR(20.6005108952*(1-w),"")</f>
        <v>19.8176914811824</v>
      </c>
      <c r="D36" s="11">
        <v>20.600510895200003</v>
      </c>
      <c r="E36" s="11">
        <v>20.658354287204176</v>
      </c>
      <c r="F36" s="11"/>
      <c r="G36" s="11"/>
      <c r="I36" s="13"/>
      <c r="J36" s="0" t="s">
        <v>37</v>
      </c>
    </row>
    <row r="37">
      <c r="I37" s="13"/>
    </row>
    <row r="38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2:E32"/>
  </mergeCells>
  <dataValidations count="1">
    <dataValidation type="decimal" sqref="C19" errorStyle="stop" promptTitle="Enter moisture content" errorTitle="Invalid moisture content" prompt="Value should be between 0 and 100.&#10;Original value: 3.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https://phyllis.nl/Biomass/View/866</dc:description>
  <dcterms:created xsi:type="dcterms:W3CDTF">2026-03-19T07:13:18Z</dcterms:created>
  <dc:title>Phyllis2 #866 wood, briquettes, Ecoblok, Almelo, the Netherlands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