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7 wood, willow vari" sheetId="1" r:id="rId1"/>
  </sheets>
  <definedNames>
    <definedName name="w" localSheetId="0">IF(ISBLANK('Phyllis2 #867 wood, willow vari'!$C$19),#N/A,'Phyllis2 #867 wood, willow vari'!$C$19/100)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<sst xmlns="http://schemas.openxmlformats.org/spreadsheetml/2006/main" count="68" uniqueCount="68">
  <si>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</si>
  <si>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https://phyllis.nl/Biomass/View/867</t>
  </si>
  <si>
    <t>wood, willow variety (#867)</t>
  </si>
  <si>
    <t>ID-number</t>
  </si>
  <si>
    <t>#867</t>
  </si>
  <si>
    <t>Material</t>
  </si>
  <si>
    <t>wood, willow variety</t>
  </si>
  <si>
    <t>Classification</t>
  </si>
  <si>
    <t>ECN Phyllis classification &gt; untreated wood &gt; willow &gt; wood, willow variety</t>
  </si>
  <si>
    <t>NTA 8003 classification &gt; [100] hout &gt; [110] vers hout &gt; [120] loofhout &gt; [122] zacht loofhout</t>
  </si>
  <si>
    <t>Ash type</t>
  </si>
  <si>
    <t>ASTM D1102 600 oC</t>
  </si>
  <si>
    <t>Submitter organisation</t>
  </si>
  <si>
    <t>ECN (Netherlands)</t>
  </si>
  <si>
    <t>Remarks</t>
  </si>
  <si>
    <t>State University of New York, Syracuse, air dried samples, stems, no leaves or fines, principal diameter shown, Salix clone SH3, 1-year-old, 5/16 to 3/4 inch diameter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</si>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</sst>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12.68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IFERROR(1.7*(1-w),"")</f>
        <v>1.48444</v>
      </c>
      <c r="D20" s="11">
        <v>1.7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IFERROR(82.16*(1-w),"")</f>
        <v>71.742111999999992</v>
      </c>
      <c r="D21" s="11">
        <v>82.16</v>
      </c>
      <c r="E21" s="11">
        <v>83.580874872838251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IFERROR(16.14*(1-w),"")</f>
        <v>14.093448</v>
      </c>
      <c r="D22" s="11">
        <v>16.14</v>
      </c>
      <c r="E22" s="11">
        <v>16.419125127161749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IFERROR(48.85*(1-w),"")</f>
        <v>42.65582</v>
      </c>
      <c r="D24" s="11">
        <v>48.85</v>
      </c>
      <c r="E24" s="11">
        <v>49.694811800610381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IFERROR(6.04*(1-w),"")</f>
        <v>5.274128</v>
      </c>
      <c r="D25" s="11">
        <v>6.04</v>
      </c>
      <c r="E25" s="11">
        <v>6.1444557477110884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IFERROR(42.63*(1-w),"")</f>
        <v>37.224516</v>
      </c>
      <c r="D26" s="11">
        <v>42.63</v>
      </c>
      <c r="E26" s="11">
        <v>43.367243133265518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IFERROR(0.71*(1-w),"")</f>
        <v>0.619972</v>
      </c>
      <c r="D27" s="11">
        <v>0.71</v>
      </c>
      <c r="E27" s="11">
        <v>0.72227873855544245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IFERROR(0.06*(1-w),"")</f>
        <v>0.052391999999999994</v>
      </c>
      <c r="D28" s="11">
        <v>0.06</v>
      </c>
      <c r="E28" s="11">
        <v>0.061037639877924717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100.00000000000001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IFERROR(100*(1-w),"")</f>
        <v>87.32</v>
      </c>
      <c r="D31" s="12">
        <v>100</v>
      </c>
      <c r="E31" s="12">
        <v>101.7293997965412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IFERROR(18.32039*(1-w)-w*2.443,"")</f>
        <v>15.687592148</v>
      </c>
      <c r="D33" s="11">
        <v>18.32039</v>
      </c>
      <c r="E33" s="11">
        <v>18.637222787385554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IFERROR(19.63842*(1-w),"")</f>
        <v>17.148268343999998</v>
      </c>
      <c r="D34" s="11">
        <v>19.63842</v>
      </c>
      <c r="E34" s="11">
        <v>19.978046795523905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IFERROR(19.42047817*(1-w),"")</f>
        <v>16.957961538044003</v>
      </c>
      <c r="D35" s="11">
        <v>19.420478170000003</v>
      </c>
      <c r="E35" s="11">
        <v>19.756335879959313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27.1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1.7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8.16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1.11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0.21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0.09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40.48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3.04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0.77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13.9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12.6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https://phyllis.nl/Biomass/View/867</dc:description>
  <dcterms:created xsi:type="dcterms:W3CDTF">2026-03-19T07:30:55Z</dcterms:created>
  <dc:title>Phyllis2 #867 wood, willow variety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