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69 wood, willow vari" sheetId="1" r:id="rId1"/>
  </sheets>
  <definedNames>
    <definedName name="w" localSheetId="0">IF(ISBLANK('Phyllis2 #869 wood, willow vari'!$C$19),#N/A,'Phyllis2 #869 wood, willow vari'!$C$19/100)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<sst xmlns="http://schemas.openxmlformats.org/spreadsheetml/2006/main" count="68" uniqueCount="68">
  <si>
    <t>Phyllis2</t>
  </si>
  <si>
    <t>https://phyllis.nl/Biomass/View/869</t>
  </si>
  <si>
    <t>wood, willow variety (#869)</t>
  </si>
  <si>
    <t>ID-number</t>
  </si>
  <si>
    <t>#869</t>
  </si>
  <si>
    <t>Material</t>
  </si>
  <si>
    <t>wood, willow variety</t>
  </si>
  <si>
    <t>Classification</t>
  </si>
  <si>
    <t>ECN Phyllis classification &gt; untreated wood &gt; willow &gt; wood, willow variety</t>
  </si>
  <si>
    <t>NTA 8003 classification &gt; [100] hout &gt; [110] vers hout &gt; [120] loofhout &gt; [122] zacht loofhout</t>
  </si>
  <si>
    <t>Ash type</t>
  </si>
  <si>
    <t>ASTM D1102 600 oC</t>
  </si>
  <si>
    <t>Submitter organisation</t>
  </si>
  <si>
    <t>ECN (Netherlands)</t>
  </si>
  <si>
    <t>Remarks</t>
  </si>
  <si>
    <t>State University of New York, Syracuse, air dried samples, stems, no leaves or fines, principal diameter shown, Salix clone SA22, 3-year-old, 1/2 to 2 inch diameter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</si>
  <si>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</si>
  <si>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</si>
  <si>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</si>
  <si>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</si>
  <si>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</si>
  <si>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</si>
  <si>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</si>
  <si>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</si>
  <si>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</si>
  <si>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</si>
  <si>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</si>
  <si>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</si>
  <si>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</si>
  <si>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</si>
  <si>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</si>
  <si>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</si>
  <si>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</si>
  <si>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</si>
  <si>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</si>
  <si>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</si>
  <si>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</si>
  <si>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</si>
  <si>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</si>
  <si>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</si>
  <si>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</si>
  <si>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</si>
  <si>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</si>
  <si>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</si>
  <si>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</si>
  <si>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</si>
  <si>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</si>
  <si>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</si>
  <si>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 (dry)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</si>
  <si>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</si>
  <si>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</si>
  <si>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</si>
  <si>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</si>
  <si>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</si>
  <si>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</si>
  <si>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</si>
  <si>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CO2</t>
  </si>
  <si>
    <t>wt% (ash)</t>
  </si>
  <si>
    <t>SO3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</si>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</sst>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6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9.98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IFERROR(1.71*(1-w),"")</f>
        <v>1.539342</v>
      </c>
      <c r="D20" s="11">
        <v>1.71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IFERROR(82.22*(1-w),"")</f>
        <v>74.014444</v>
      </c>
      <c r="D21" s="11">
        <v>82.22</v>
      </c>
      <c r="E21" s="11">
        <v>83.650422219961342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IFERROR(16.07*(1-w),"")</f>
        <v>14.466214000000006</v>
      </c>
      <c r="D22" s="11">
        <v>16.070000000000007</v>
      </c>
      <c r="E22" s="11">
        <v>16.349577780038668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IFERROR(49.9*(1-w),"")</f>
        <v>44.919979999999995</v>
      </c>
      <c r="D24" s="11">
        <v>49.9</v>
      </c>
      <c r="E24" s="11">
        <v>50.768135110387625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IFERROR(5.9*(1-w),"")</f>
        <v>5.31118</v>
      </c>
      <c r="D25" s="11">
        <v>5.9</v>
      </c>
      <c r="E25" s="11">
        <v>6.0026452334927258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IFERROR(41.8*(1-w),"")</f>
        <v>37.62836</v>
      </c>
      <c r="D26" s="11">
        <v>41.8</v>
      </c>
      <c r="E26" s="11">
        <v>42.527215383050155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IFERROR(0.61*(1-w),"")</f>
        <v>0.549122</v>
      </c>
      <c r="D27" s="11">
        <v>0.61</v>
      </c>
      <c r="E27" s="11">
        <v>0.6206124732933157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IFERROR(0.07*(1-w),"")</f>
        <v>0.063014</v>
      </c>
      <c r="D28" s="11">
        <v>0.07</v>
      </c>
      <c r="E28" s="11">
        <v>0.071217824804151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IFERROR(99.99*(1-w)+w*100,"")</f>
        <v>99.99099799999999</v>
      </c>
      <c r="D29" s="11">
        <v>99.989999999999981</v>
      </c>
      <c r="E29" s="11">
        <v>99.989826025027966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/>
      <c r="D31" s="12"/>
      <c r="E31" s="12"/>
      <c r="F31" s="12"/>
      <c r="G31" s="12">
        <v>100</v>
      </c>
      <c r="I31" s="13"/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IFERROR(18.30674*(1-w)-w*2.443,"")</f>
        <v>16.235915948000002</v>
      </c>
      <c r="D33" s="11">
        <v>18.30674</v>
      </c>
      <c r="E33" s="11">
        <v>18.625231457930614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IFERROR(19.59422*(1-w),"")</f>
        <v>17.638716844</v>
      </c>
      <c r="D34" s="11">
        <v>19.59422</v>
      </c>
      <c r="E34" s="11">
        <v>19.935110387628445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IFERROR(19.7055863873*(1-w),"")</f>
        <v>17.738968865847461</v>
      </c>
      <c r="D35" s="11">
        <v>19.705586387300002</v>
      </c>
      <c r="E35" s="11">
        <v>20.048414271339915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18.24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1.83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7.4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2.35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0.73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1.41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41.2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2.47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0.94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15</v>
      </c>
      <c r="D47" s="11"/>
      <c r="E47" s="11"/>
      <c r="F47" s="11"/>
      <c r="G47" s="11"/>
      <c r="I47" s="13"/>
    </row>
    <row r="48" outlineLevel="2">
      <c r="A48" s="10" t="s">
        <v>67</v>
      </c>
      <c r="B48" s="0" t="s">
        <v>57</v>
      </c>
      <c r="C48" s="11">
        <v>0.05</v>
      </c>
      <c r="D48" s="11"/>
      <c r="E48" s="11"/>
      <c r="F48" s="11"/>
      <c r="G48" s="11"/>
      <c r="I48" s="13"/>
    </row>
    <row r="49">
      <c r="I49" s="13"/>
    </row>
    <row r="50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1:E31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</mergeCells>
  <dataValidations count="1">
    <dataValidation type="decimal" sqref="C19" errorStyle="stop" promptTitle="Enter moisture content" errorTitle="Invalid moisture content" prompt="Value should be between 0 and 100.&#10;Original value: 9.9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https://phyllis.nl/Biomass/View/869</dc:description>
  <dcterms:created xsi:type="dcterms:W3CDTF">2026-03-19T07:31:01Z</dcterms:created>
  <dc:title>Phyllis2 #869 wood, willow variety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