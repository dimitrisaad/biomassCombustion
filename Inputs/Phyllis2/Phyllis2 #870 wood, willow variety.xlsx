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70 wood, willow vari" sheetId="1" r:id="rId1"/>
  </sheets>
  <definedNames>
    <definedName name="w" localSheetId="0">IF(ISBLANK('Phyllis2 #870 wood, willow vari'!$C$19),#N/A,'Phyllis2 #870 wood, willow vari'!$C$19/100)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<sst xmlns="http://schemas.openxmlformats.org/spreadsheetml/2006/main" count="68" uniqueCount="68">
  <si>
    <t>Phyllis2</t>
  </si>
  <si>
    <t>https://phyllis.nl/Biomass/View/870</t>
  </si>
  <si>
    <t>wood, willow variety (#870)</t>
  </si>
  <si>
    <t>ID-number</t>
  </si>
  <si>
    <t>#870</t>
  </si>
  <si>
    <t>Material</t>
  </si>
  <si>
    <t>wood, willow variety</t>
  </si>
  <si>
    <t>Classification</t>
  </si>
  <si>
    <t>ECN Phyllis classification &gt; untreated wood &gt; willow &gt; wood, willow variety</t>
  </si>
  <si>
    <t>NTA 8003 classification &gt; [100] hout &gt; [110] vers hout &gt; [120] loofhout &gt; [122] zacht loofhout</t>
  </si>
  <si>
    <t>Ash type</t>
  </si>
  <si>
    <t>ASTM D1102 600 oC</t>
  </si>
  <si>
    <t>Submitter organisation</t>
  </si>
  <si>
    <t>ECN (Netherlands)</t>
  </si>
  <si>
    <t>Remarks</t>
  </si>
  <si>
    <t>State University of New York, Syracuse, air dried samples, stems, no leaves or fines, principal diameter shown, Salix clone SA22, 3-year-old, Butt only, 1 to 2 inch.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</si>
  <si>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</si>
  <si>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</si>
  <si>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</si>
  <si>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</si>
  <si>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</si>
  <si>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</si>
  <si>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</si>
  <si>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</si>
  <si>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</si>
  <si>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</si>
  <si>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</si>
  <si>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</si>
  <si>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</si>
  <si>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</si>
  <si>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</si>
  <si>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</si>
  <si>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</si>
  <si>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</si>
  <si>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</si>
  <si>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</si>
  <si>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</si>
  <si>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</si>
  <si>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</si>
  <si>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</si>
  <si>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</si>
  <si>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</si>
  <si>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</si>
  <si>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</si>
  <si>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</si>
  <si>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</si>
  <si>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</si>
  <si>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</si>
  <si>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</si>
  <si>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</si>
  <si>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</si>
  <si>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</si>
  <si>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</si>
  <si>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</si>
  <si>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</si>
  <si>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</si>
  <si>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CO2</t>
  </si>
  <si>
    <t>wt% (ash)</t>
  </si>
  <si>
    <t>SO3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</si>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</sst>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7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11.06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IFERROR(1.06*(1-w),"")</f>
        <v>0.942764</v>
      </c>
      <c r="D20" s="11">
        <v>1.06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IFERROR(84.13*(1-w),"")</f>
        <v>74.825222</v>
      </c>
      <c r="D21" s="11">
        <v>84.13</v>
      </c>
      <c r="E21" s="11">
        <v>85.03133212047706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IFERROR(14.81*(1-w),"")</f>
        <v>13.172014</v>
      </c>
      <c r="D22" s="11">
        <v>14.810000000000002</v>
      </c>
      <c r="E22" s="11">
        <v>14.968667879522947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IFERROR(48.95*(1-w),"")</f>
        <v>43.53613</v>
      </c>
      <c r="D24" s="11">
        <v>48.95</v>
      </c>
      <c r="E24" s="11">
        <v>49.474428946836476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IFERROR(6.05*(1-w),"")</f>
        <v>5.38087</v>
      </c>
      <c r="D25" s="11">
        <v>6.05</v>
      </c>
      <c r="E25" s="11">
        <v>6.114817060844957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IFERROR(43.53*(1-w),"")</f>
        <v>38.715582</v>
      </c>
      <c r="D26" s="11">
        <v>43.53</v>
      </c>
      <c r="E26" s="11">
        <v>43.996361431170406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IFERROR(0.36*(1-w),"")</f>
        <v>0.32018399999999997</v>
      </c>
      <c r="D27" s="11">
        <v>0.36</v>
      </c>
      <c r="E27" s="11">
        <v>0.3638568829593693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IFERROR(0.04*(1-w),"")</f>
        <v>0.035575999999999997</v>
      </c>
      <c r="D28" s="11">
        <v>0.04</v>
      </c>
      <c r="E28" s="11">
        <v>0.040428542551041037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IFERROR(100*(1-w)+w*100,"")</f>
        <v>100.00000000000001</v>
      </c>
      <c r="D29" s="11">
        <v>100.00000000000001</v>
      </c>
      <c r="E29" s="11">
        <v>100.00000000000001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>
        <f>IFERROR(100*(1-w),"")</f>
        <v>88.94</v>
      </c>
      <c r="D31" s="12">
        <v>100</v>
      </c>
      <c r="E31" s="12">
        <v>101.0713563776026</v>
      </c>
      <c r="F31" s="12"/>
      <c r="G31" s="12"/>
      <c r="I31" s="13"/>
      <c r="J31" s="0" t="s">
        <v>40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IFERROR(18.04606*(1-w)-w*2.443,"")</f>
        <v>15.779969964</v>
      </c>
      <c r="D33" s="11">
        <v>18.04606</v>
      </c>
      <c r="E33" s="11">
        <v>18.23939761471599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IFERROR(19.36628*(1-w),"")</f>
        <v>17.224369432</v>
      </c>
      <c r="D34" s="11">
        <v>19.36628</v>
      </c>
      <c r="E34" s="11">
        <v>19.573761875884376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IFERROR(19.4099479108*(1-w),"")</f>
        <v>17.263207671865526</v>
      </c>
      <c r="D35" s="11">
        <v>19.409947910800007</v>
      </c>
      <c r="E35" s="11">
        <v>19.617897625631706</v>
      </c>
      <c r="F35" s="11"/>
      <c r="G35" s="11"/>
      <c r="I35" s="13"/>
      <c r="J35" s="0" t="s">
        <v>37</v>
      </c>
    </row>
    <row r="36">
      <c r="A36" s="5" t="s">
        <v>54</v>
      </c>
      <c r="I36" s="13"/>
    </row>
    <row r="37" outlineLevel="1">
      <c r="A37" s="9" t="s">
        <v>55</v>
      </c>
      <c r="I37" s="13"/>
    </row>
    <row r="38" outlineLevel="2">
      <c r="A38" s="10" t="s">
        <v>56</v>
      </c>
      <c r="B38" s="0" t="s">
        <v>57</v>
      </c>
      <c r="C38" s="11">
        <v>18.34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57</v>
      </c>
      <c r="C39" s="11">
        <v>2.33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57</v>
      </c>
      <c r="C40" s="11">
        <v>7.18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57</v>
      </c>
      <c r="C41" s="11">
        <v>1.82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57</v>
      </c>
      <c r="C42" s="11">
        <v>0.49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57</v>
      </c>
      <c r="C43" s="11">
        <v>1.48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57</v>
      </c>
      <c r="C44" s="11">
        <v>44.68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57</v>
      </c>
      <c r="C45" s="11">
        <v>2.16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57</v>
      </c>
      <c r="C46" s="11">
        <v>0.86</v>
      </c>
      <c r="D46" s="11"/>
      <c r="E46" s="11"/>
      <c r="F46" s="11"/>
      <c r="G46" s="11"/>
      <c r="I46" s="13"/>
    </row>
    <row r="47" outlineLevel="2">
      <c r="A47" s="10" t="s">
        <v>66</v>
      </c>
      <c r="B47" s="0" t="s">
        <v>57</v>
      </c>
      <c r="C47" s="11">
        <v>15.3</v>
      </c>
      <c r="D47" s="11"/>
      <c r="E47" s="11"/>
      <c r="F47" s="11"/>
      <c r="G47" s="11"/>
      <c r="I47" s="13"/>
    </row>
    <row r="48" outlineLevel="2">
      <c r="A48" s="10" t="s">
        <v>67</v>
      </c>
      <c r="B48" s="0" t="s">
        <v>57</v>
      </c>
      <c r="C48" s="11">
        <v>0.05</v>
      </c>
      <c r="D48" s="11"/>
      <c r="E48" s="11"/>
      <c r="F48" s="11"/>
      <c r="G48" s="11"/>
      <c r="I48" s="13"/>
    </row>
    <row r="49">
      <c r="I49" s="13"/>
    </row>
    <row r="50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</mergeCells>
  <dataValidations count="1">
    <dataValidation type="decimal" sqref="C19" errorStyle="stop" promptTitle="Enter moisture content" errorTitle="Invalid moisture content" prompt="Value should be between 0 and 100.&#10;Original value: 11.0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https://phyllis.nl/Biomass/View/870</dc:description>
  <dcterms:created xsi:type="dcterms:W3CDTF">2026-03-19T07:31:04Z</dcterms:created>
  <dc:title>Phyllis2 #870 wood, willow variety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