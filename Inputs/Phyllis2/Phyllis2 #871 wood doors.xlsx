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71 wood doors" sheetId="1" r:id="rId1"/>
  </sheets>
  <definedNames>
    <definedName name="w" localSheetId="0">IF(ISBLANK('Phyllis2 #871 wood doors'!$C$19),#N/A,'Phyllis2 #871 wood doors'!$C$19/100)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<sst xmlns="http://schemas.openxmlformats.org/spreadsheetml/2006/main" count="70" uniqueCount="70">
  <si>
    <t>Phyllis2</t>
  </si>
  <si>
    <t>https://phyllis.nl/Biomass/View/871</t>
  </si>
  <si>
    <t>wood doors (#871)</t>
  </si>
  <si>
    <t>ID-number</t>
  </si>
  <si>
    <t>#871</t>
  </si>
  <si>
    <t>Material</t>
  </si>
  <si>
    <t>wood doors</t>
  </si>
  <si>
    <t>Classification</t>
  </si>
  <si>
    <t>ECN Phyllis classification &gt; treated wood &gt; demolition wood</t>
  </si>
  <si>
    <t>NTA 8003 classification &gt; [100] hout &gt; [150] verwerkt hout</t>
  </si>
  <si>
    <t>Ash type</t>
  </si>
  <si>
    <t>815 degC ISO 1171</t>
  </si>
  <si>
    <t>Submitter organisation</t>
  </si>
  <si>
    <t>ECN (Netherlands)</t>
  </si>
  <si>
    <t>Remarks</t>
  </si>
  <si>
    <t>moisture ISO 589; ash 815 C ISO 1171; cal. value ISO 1928; ash deformation temperatuur ISO 540</t>
  </si>
  <si>
    <t>Literature</t>
  </si>
  <si>
    <t>PNEM, PGEM and BFI: Thermische houtbewerking (confidential report, in Dutch) (1993).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</si>
  <si>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</si>
  <si>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</si>
  <si>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</si>
  <si>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</si>
  <si>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</si>
  <si>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</si>
  <si>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</si>
  <si>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</si>
  <si>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</si>
  <si>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</si>
  <si>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</si>
  <si>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</si>
  <si>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</si>
  <si>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</si>
  <si>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</si>
  <si>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</si>
  <si>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</si>
  <si>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</si>
  <si>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</si>
  <si>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</si>
  <si>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</si>
  <si>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</si>
  <si>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</si>
  <si>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</si>
  <si>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</si>
  <si>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</si>
  <si>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</si>
  <si>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</si>
  <si>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</si>
  <si>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</si>
  <si>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mg/kg (dry)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</si>
  <si>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</si>
  <si>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</si>
  <si>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</si>
  <si>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</si>
  <si>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</si>
  <si>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</si>
  <si>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Arsenic (As)</t>
  </si>
  <si>
    <t>Cadmium (Cd)</t>
  </si>
  <si>
    <t>Chromium (Cr)</t>
  </si>
  <si>
    <t>Copper (Cu)</t>
  </si>
  <si>
    <t>Mercury (Hg)</t>
  </si>
  <si>
    <t>Lead (Pb)</t>
  </si>
  <si>
    <t>Antimony (Sb)</t>
  </si>
  <si>
    <t>Tin (Sn)</t>
  </si>
  <si>
    <t>Zinc (Zn)</t>
  </si>
  <si>
    <t>Ash melting behaviour</t>
  </si>
  <si>
    <t>American standard method, measured in reducing conditions</t>
  </si>
  <si>
    <t>SOT (softening or spherical temperature)</t>
  </si>
  <si>
    <t>°C</t>
  </si>
  <si>
    <t>HT (hemispherical temperature)</t>
  </si>
  <si>
    <t>FT (fluid temperature)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</si>
</sst>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7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4465370178223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6"/>
    </row>
    <row r="18" outlineLevel="1">
      <c r="A18" s="9" t="s">
        <v>31</v>
      </c>
      <c r="I18" s="16"/>
    </row>
    <row r="19" outlineLevel="2">
      <c r="A19" s="10" t="s">
        <v>32</v>
      </c>
      <c r="B19" s="0" t="s">
        <v>33</v>
      </c>
      <c r="C19" s="11">
        <v>9</v>
      </c>
      <c r="D19" s="11"/>
      <c r="E19" s="11"/>
      <c r="F19" s="11"/>
      <c r="G19" s="11"/>
      <c r="I19" s="16"/>
    </row>
    <row r="20" outlineLevel="2">
      <c r="A20" s="10" t="s">
        <v>34</v>
      </c>
      <c r="B20" s="0" t="s">
        <v>33</v>
      </c>
      <c r="C20" s="11">
        <f>IFERROR(2.75*(1-w),"")</f>
        <v>2.5025</v>
      </c>
      <c r="D20" s="11">
        <v>2.75</v>
      </c>
      <c r="E20" s="11">
        <v/>
      </c>
      <c r="F20" s="11"/>
      <c r="G20" s="11"/>
      <c r="I20" s="16"/>
    </row>
    <row r="21" outlineLevel="1">
      <c r="A21" s="9" t="s">
        <v>35</v>
      </c>
      <c r="I21" s="16"/>
    </row>
    <row r="22" outlineLevel="2">
      <c r="A22" s="10" t="s">
        <v>36</v>
      </c>
      <c r="B22" s="0" t="s">
        <v>33</v>
      </c>
      <c r="C22" s="11">
        <f>IFERROR(48.13187*(1-w),"")</f>
        <v>43.8000017</v>
      </c>
      <c r="D22" s="11">
        <v>48.13187</v>
      </c>
      <c r="E22" s="11">
        <v>49.492925449871464</v>
      </c>
      <c r="F22" s="11"/>
      <c r="G22" s="11"/>
      <c r="I22" s="16"/>
      <c r="J22" s="0" t="s">
        <v>37</v>
      </c>
    </row>
    <row r="23" outlineLevel="2">
      <c r="A23" s="10" t="s">
        <v>38</v>
      </c>
      <c r="B23" s="0" t="s">
        <v>33</v>
      </c>
      <c r="C23" s="11">
        <f>IFERROR(5.934066*(1-w),"")</f>
        <v>5.40000006</v>
      </c>
      <c r="D23" s="11">
        <v>5.934066</v>
      </c>
      <c r="E23" s="11">
        <v>6.1018673521850895</v>
      </c>
      <c r="F23" s="11"/>
      <c r="G23" s="11"/>
      <c r="I23" s="16"/>
      <c r="J23" s="0" t="s">
        <v>37</v>
      </c>
    </row>
    <row r="24" outlineLevel="2">
      <c r="A24" s="10" t="s">
        <v>39</v>
      </c>
      <c r="B24" s="0" t="s">
        <v>33</v>
      </c>
      <c r="C24" s="11">
        <f>IFERROR(42.63736*(1-w),"")</f>
        <v>38.799997600000005</v>
      </c>
      <c r="D24" s="11">
        <v>42.63736</v>
      </c>
      <c r="E24" s="11">
        <v>43.843043701799488</v>
      </c>
      <c r="F24" s="11"/>
      <c r="G24" s="11"/>
      <c r="I24" s="16"/>
      <c r="J24" s="0" t="s">
        <v>40</v>
      </c>
    </row>
    <row r="25" outlineLevel="2">
      <c r="A25" s="10" t="s">
        <v>41</v>
      </c>
      <c r="B25" s="0" t="s">
        <v>33</v>
      </c>
      <c r="C25" s="11">
        <f>IFERROR(0.4725275*(1-w),"")</f>
        <v>0.430000025</v>
      </c>
      <c r="D25" s="11">
        <v>0.4725275</v>
      </c>
      <c r="E25" s="11">
        <v>0.48588946015424161</v>
      </c>
      <c r="F25" s="11"/>
      <c r="G25" s="11"/>
      <c r="I25" s="16"/>
      <c r="J25" s="0" t="s">
        <v>37</v>
      </c>
    </row>
    <row r="26" outlineLevel="2">
      <c r="A26" s="10" t="s">
        <v>42</v>
      </c>
      <c r="B26" s="0" t="s">
        <v>33</v>
      </c>
      <c r="C26" s="11">
        <f>IFERROR(0.1098901*(1-w),"")</f>
        <v>0.09999999100000001</v>
      </c>
      <c r="D26" s="11">
        <v>0.1098901</v>
      </c>
      <c r="E26" s="11">
        <v>0.1129975321336761</v>
      </c>
      <c r="F26" s="11"/>
      <c r="G26" s="11"/>
      <c r="I26" s="16"/>
      <c r="J26" s="0" t="s">
        <v>37</v>
      </c>
    </row>
    <row r="27" outlineLevel="2">
      <c r="A27" s="10" t="s">
        <v>43</v>
      </c>
      <c r="B27" s="0" t="s">
        <v>33</v>
      </c>
      <c r="C27" s="11">
        <f>IFERROR(100.05329602*(1-w)+w*100,"")</f>
        <v>100.04849937819999</v>
      </c>
      <c r="D27" s="11">
        <v>100.05329601999999</v>
      </c>
      <c r="E27" s="11">
        <v>100.05480310539845</v>
      </c>
      <c r="F27" s="11"/>
      <c r="G27" s="11"/>
      <c r="I27" s="16"/>
      <c r="J27" s="0" t="s">
        <v>40</v>
      </c>
    </row>
    <row r="28" outlineLevel="1">
      <c r="A28" s="9" t="s">
        <v>44</v>
      </c>
      <c r="I28" s="16"/>
    </row>
    <row r="29" outlineLevel="2">
      <c r="A29" s="10" t="s">
        <v>45</v>
      </c>
      <c r="B29" s="0" t="s">
        <v>46</v>
      </c>
      <c r="C29" s="12">
        <f>IFERROR(175.8242*(1-w),"")</f>
        <v>160.000022</v>
      </c>
      <c r="D29" s="12">
        <v>175.8242</v>
      </c>
      <c r="E29" s="12">
        <v>180.79609254498712</v>
      </c>
      <c r="F29" s="12"/>
      <c r="G29" s="12"/>
      <c r="I29" s="16"/>
      <c r="J29" s="0" t="s">
        <v>37</v>
      </c>
    </row>
    <row r="30" outlineLevel="2">
      <c r="A30" s="10" t="s">
        <v>47</v>
      </c>
      <c r="B30" s="0" t="s">
        <v>48</v>
      </c>
      <c r="C30" s="12"/>
      <c r="D30" s="12"/>
      <c r="E30" s="12"/>
      <c r="F30" s="12"/>
      <c r="G30" s="12">
        <v>0.2967033</v>
      </c>
      <c r="I30" s="16"/>
    </row>
    <row r="31" outlineLevel="1">
      <c r="A31" s="9" t="s">
        <v>49</v>
      </c>
      <c r="I31" s="16"/>
    </row>
    <row r="32" outlineLevel="2">
      <c r="A32" s="10" t="s">
        <v>50</v>
      </c>
      <c r="B32" s="0" t="s">
        <v>51</v>
      </c>
      <c r="C32" s="11">
        <f>IFERROR(17.90509*(1-w)-w*2.443,"")</f>
        <v>16.0737619</v>
      </c>
      <c r="D32" s="11">
        <v>17.90509</v>
      </c>
      <c r="E32" s="11">
        <v>18.411403598971724</v>
      </c>
      <c r="F32" s="11"/>
      <c r="G32" s="11"/>
      <c r="I32" s="16"/>
    </row>
    <row r="33" outlineLevel="2">
      <c r="A33" s="10" t="s">
        <v>52</v>
      </c>
      <c r="B33" s="0" t="s">
        <v>51</v>
      </c>
      <c r="C33" s="11">
        <f>IFERROR(19.2*(1-w),"")</f>
        <v>17.472</v>
      </c>
      <c r="D33" s="11">
        <v>19.2</v>
      </c>
      <c r="E33" s="11">
        <v>19.74293059125964</v>
      </c>
      <c r="F33" s="11"/>
      <c r="G33" s="11"/>
      <c r="I33" s="16"/>
    </row>
    <row r="34" outlineLevel="2">
      <c r="A34" s="10" t="s">
        <v>53</v>
      </c>
      <c r="B34" s="0" t="s">
        <v>51</v>
      </c>
      <c r="C34" s="11">
        <f>IFERROR(19.05123694536*(1-w),"")</f>
        <v>17.336625620277605</v>
      </c>
      <c r="D34" s="11">
        <v>19.051236945360003</v>
      </c>
      <c r="E34" s="11">
        <v>19.589960869264782</v>
      </c>
      <c r="F34" s="11"/>
      <c r="G34" s="11"/>
      <c r="I34" s="16"/>
      <c r="J34" s="0" t="s">
        <v>40</v>
      </c>
    </row>
    <row r="35" outlineLevel="1">
      <c r="A35" s="9" t="s">
        <v>54</v>
      </c>
      <c r="I35" s="16"/>
    </row>
    <row r="36" outlineLevel="2">
      <c r="A36" s="10" t="s">
        <v>55</v>
      </c>
      <c r="B36" s="0" t="s">
        <v>48</v>
      </c>
      <c r="C36" s="12">
        <v>13</v>
      </c>
      <c r="D36" s="12"/>
      <c r="E36" s="12"/>
      <c r="F36" s="12"/>
      <c r="G36" s="12"/>
      <c r="I36" s="16"/>
      <c r="J36" s="0" t="s">
        <v>37</v>
      </c>
    </row>
    <row r="37" outlineLevel="2">
      <c r="A37" s="10" t="s">
        <v>56</v>
      </c>
      <c r="B37" s="0" t="s">
        <v>48</v>
      </c>
      <c r="C37" s="12">
        <v>0.33</v>
      </c>
      <c r="D37" s="12"/>
      <c r="E37" s="12"/>
      <c r="F37" s="12"/>
      <c r="G37" s="12"/>
      <c r="I37" s="16"/>
      <c r="J37" s="0" t="s">
        <v>37</v>
      </c>
    </row>
    <row r="38" outlineLevel="2">
      <c r="A38" s="10" t="s">
        <v>57</v>
      </c>
      <c r="B38" s="0" t="s">
        <v>48</v>
      </c>
      <c r="C38" s="12">
        <v>33</v>
      </c>
      <c r="D38" s="12"/>
      <c r="E38" s="12"/>
      <c r="F38" s="12"/>
      <c r="G38" s="12"/>
      <c r="I38" s="16"/>
      <c r="J38" s="0" t="s">
        <v>37</v>
      </c>
    </row>
    <row r="39" outlineLevel="2">
      <c r="A39" s="10" t="s">
        <v>58</v>
      </c>
      <c r="B39" s="0" t="s">
        <v>48</v>
      </c>
      <c r="C39" s="12">
        <v>385</v>
      </c>
      <c r="D39" s="12"/>
      <c r="E39" s="12"/>
      <c r="F39" s="12"/>
      <c r="G39" s="12"/>
      <c r="I39" s="16"/>
      <c r="J39" s="0" t="s">
        <v>37</v>
      </c>
    </row>
    <row r="40" outlineLevel="2">
      <c r="A40" s="10" t="s">
        <v>59</v>
      </c>
      <c r="B40" s="0" t="s">
        <v>48</v>
      </c>
      <c r="C40" s="12"/>
      <c r="D40" s="12"/>
      <c r="E40" s="12"/>
      <c r="F40" s="12"/>
      <c r="G40" s="12">
        <v>0.1</v>
      </c>
      <c r="I40" s="16"/>
    </row>
    <row r="41" outlineLevel="2">
      <c r="A41" s="10" t="s">
        <v>60</v>
      </c>
      <c r="B41" s="0" t="s">
        <v>48</v>
      </c>
      <c r="C41" s="12">
        <v>275</v>
      </c>
      <c r="D41" s="12"/>
      <c r="E41" s="12"/>
      <c r="F41" s="12"/>
      <c r="G41" s="12"/>
      <c r="I41" s="16"/>
      <c r="J41" s="0" t="s">
        <v>37</v>
      </c>
    </row>
    <row r="42" outlineLevel="2">
      <c r="A42" s="10" t="s">
        <v>61</v>
      </c>
      <c r="B42" s="0" t="s">
        <v>48</v>
      </c>
      <c r="C42" s="12">
        <v>4</v>
      </c>
      <c r="D42" s="12"/>
      <c r="E42" s="12"/>
      <c r="F42" s="12"/>
      <c r="G42" s="12"/>
      <c r="I42" s="16"/>
      <c r="J42" s="0" t="s">
        <v>37</v>
      </c>
    </row>
    <row r="43" outlineLevel="2">
      <c r="A43" s="10" t="s">
        <v>62</v>
      </c>
      <c r="B43" s="0" t="s">
        <v>48</v>
      </c>
      <c r="C43" s="12">
        <v>1</v>
      </c>
      <c r="D43" s="12"/>
      <c r="E43" s="12"/>
      <c r="F43" s="12"/>
      <c r="G43" s="12"/>
      <c r="I43" s="16"/>
      <c r="J43" s="0" t="s">
        <v>37</v>
      </c>
    </row>
    <row r="44" outlineLevel="2">
      <c r="A44" s="10" t="s">
        <v>63</v>
      </c>
      <c r="B44" s="0" t="s">
        <v>48</v>
      </c>
      <c r="C44" s="12">
        <v>715</v>
      </c>
      <c r="D44" s="12"/>
      <c r="E44" s="12"/>
      <c r="F44" s="12"/>
      <c r="G44" s="12"/>
      <c r="I44" s="16"/>
      <c r="J44" s="0" t="s">
        <v>37</v>
      </c>
    </row>
    <row r="45" outlineLevel="1">
      <c r="A45" s="9" t="s">
        <v>64</v>
      </c>
      <c r="I45" s="16"/>
    </row>
    <row r="46" outlineLevel="2">
      <c r="A46" s="13" t="s">
        <v>65</v>
      </c>
      <c r="I46" s="16"/>
    </row>
    <row r="47" outlineLevel="3">
      <c r="A47" s="14" t="s">
        <v>66</v>
      </c>
      <c r="B47" s="0" t="s">
        <v>67</v>
      </c>
      <c r="C47" s="15">
        <v>1120</v>
      </c>
      <c r="D47" s="15"/>
      <c r="E47" s="15"/>
      <c r="F47" s="15"/>
      <c r="G47" s="15"/>
      <c r="I47" s="16"/>
    </row>
    <row r="48" outlineLevel="3">
      <c r="A48" s="14" t="s">
        <v>68</v>
      </c>
      <c r="B48" s="0" t="s">
        <v>67</v>
      </c>
      <c r="C48" s="15">
        <v>1160</v>
      </c>
      <c r="D48" s="15"/>
      <c r="E48" s="15"/>
      <c r="F48" s="15"/>
      <c r="G48" s="15"/>
      <c r="I48" s="16"/>
    </row>
    <row r="49" outlineLevel="3">
      <c r="A49" s="14" t="s">
        <v>69</v>
      </c>
      <c r="B49" s="0" t="s">
        <v>67</v>
      </c>
      <c r="C49" s="15">
        <v>1175</v>
      </c>
      <c r="D49" s="15"/>
      <c r="E49" s="15"/>
      <c r="F49" s="15"/>
      <c r="G49" s="15"/>
      <c r="I49" s="16"/>
    </row>
    <row r="50">
      <c r="I50" s="16"/>
    </row>
    <row r="51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0:E30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7:E47"/>
    <mergeCell ref="C48:E48"/>
    <mergeCell ref="C49:E49"/>
  </mergeCells>
  <dataValidations count="1">
    <dataValidation type="decimal" sqref="C19" errorStyle="stop" promptTitle="Enter moisture content" errorTitle="Invalid moisture content" prompt="Value should be between 0 and 100.&#10;Original value: 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https://phyllis.nl/Biomass/View/871</dc:description>
  <dcterms:created xsi:type="dcterms:W3CDTF">2026-03-19T04:03:14Z</dcterms:created>
  <dc:title>Phyllis2 #871 wood doors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