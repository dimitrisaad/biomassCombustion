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2 wood, softboard" sheetId="1" r:id="rId1"/>
  </sheets>
  <definedNames>
    <definedName name="w" localSheetId="0">IF(ISBLANK('Phyllis2 #872 wood, softboard'!$C$19),#N/A,'Phyllis2 #872 wood, softboard'!$C$19/100)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<sst xmlns="http://schemas.openxmlformats.org/spreadsheetml/2006/main" count="64" uniqueCount="64">
  <si>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</si>
  <si>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https://phyllis.nl/Biomass/View/872</t>
  </si>
  <si>
    <t>wood, softboard (#872)</t>
  </si>
  <si>
    <t>ID-number</t>
  </si>
  <si>
    <t>#872</t>
  </si>
  <si>
    <t>Material</t>
  </si>
  <si>
    <t>wood, softboard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</si>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</sst>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12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IFERROR(2.1*(1-w),"")</f>
        <v>1.848</v>
      </c>
      <c r="D20" s="11">
        <v>2.1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IFERROR(48.75*(1-w),"")</f>
        <v>42.9</v>
      </c>
      <c r="D22" s="11">
        <v>48.75</v>
      </c>
      <c r="E22" s="11">
        <v>49.795709908069462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IFERROR(6.022727*(1-w),"")</f>
        <v>5.2999997599999995</v>
      </c>
      <c r="D23" s="11">
        <v>6.022727</v>
      </c>
      <c r="E23" s="11">
        <v>6.151917262512768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IFERROR(42.61364*(1-w),"")</f>
        <v>37.500003199999995</v>
      </c>
      <c r="D24" s="11">
        <v>42.61364</v>
      </c>
      <c r="E24" s="11">
        <v>43.52772216547497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IFERROR(0.3409091*(1-w),"")</f>
        <v>0.30000000800000004</v>
      </c>
      <c r="D25" s="11">
        <v>0.3409091</v>
      </c>
      <c r="E25" s="11">
        <v>0.34822175689479062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IFERROR(0.04545454*(1-w),"")</f>
        <v>0.0399999952</v>
      </c>
      <c r="D26" s="11">
        <v>0.04545454</v>
      </c>
      <c r="E26" s="11">
        <v>0.04642956077630235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IFERROR(99.88182155*(1-w)+w*100,"")</f>
        <v>99.896002964</v>
      </c>
      <c r="D27" s="11">
        <v>99.88182155</v>
      </c>
      <c r="E27" s="11">
        <v>99.879286567926457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IFERROR(90.9091*(1-w),"")</f>
        <v>80.000008</v>
      </c>
      <c r="D29" s="12">
        <v>90.9091</v>
      </c>
      <c r="E29" s="12">
        <v>92.859141981613888</v>
      </c>
      <c r="F29" s="12"/>
      <c r="G29" s="12"/>
      <c r="I29" s="13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0.2954545</v>
      </c>
      <c r="I30" s="13"/>
    </row>
    <row r="31" outlineLevel="1">
      <c r="A31" s="9" t="s">
        <v>49</v>
      </c>
      <c r="I31" s="13"/>
    </row>
    <row r="32" outlineLevel="2">
      <c r="A32" s="10" t="s">
        <v>50</v>
      </c>
      <c r="B32" s="0" t="s">
        <v>51</v>
      </c>
      <c r="C32" s="11">
        <f>IFERROR(17.78574*(1-w)-w*2.443,"")</f>
        <v>15.3582912</v>
      </c>
      <c r="D32" s="11">
        <v>17.78574</v>
      </c>
      <c r="E32" s="11">
        <v>18.167252298263534</v>
      </c>
      <c r="F32" s="11"/>
      <c r="G32" s="11"/>
      <c r="I32" s="13"/>
    </row>
    <row r="33" outlineLevel="2">
      <c r="A33" s="10" t="s">
        <v>52</v>
      </c>
      <c r="B33" s="0" t="s">
        <v>51</v>
      </c>
      <c r="C33" s="11">
        <f>IFERROR(19.1*(1-w),"")</f>
        <v>16.808</v>
      </c>
      <c r="D33" s="11">
        <v>19.1</v>
      </c>
      <c r="E33" s="11">
        <v>19.509703779366703</v>
      </c>
      <c r="F33" s="11"/>
      <c r="G33" s="11"/>
      <c r="I33" s="13"/>
    </row>
    <row r="34" outlineLevel="2">
      <c r="A34" s="10" t="s">
        <v>53</v>
      </c>
      <c r="B34" s="0" t="s">
        <v>51</v>
      </c>
      <c r="C34" s="11">
        <f>IFERROR(19.402912113444*(1-w),"")</f>
        <v>17.074562659830722</v>
      </c>
      <c r="D34" s="11">
        <v>19.402912113444003</v>
      </c>
      <c r="E34" s="11">
        <v>19.819113496878451</v>
      </c>
      <c r="F34" s="11"/>
      <c r="G34" s="11"/>
      <c r="I34" s="13"/>
      <c r="J34" s="0" t="s">
        <v>40</v>
      </c>
    </row>
    <row r="35" outlineLevel="1">
      <c r="A35" s="9" t="s">
        <v>54</v>
      </c>
      <c r="I35" s="13"/>
    </row>
    <row r="36" outlineLevel="2">
      <c r="A36" s="10" t="s">
        <v>55</v>
      </c>
      <c r="B36" s="0" t="s">
        <v>48</v>
      </c>
      <c r="C36" s="12">
        <v>5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56</v>
      </c>
      <c r="B37" s="0" t="s">
        <v>48</v>
      </c>
      <c r="C37" s="12">
        <v>0.7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57</v>
      </c>
      <c r="B38" s="0" t="s">
        <v>48</v>
      </c>
      <c r="C38" s="12">
        <v>11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58</v>
      </c>
      <c r="B39" s="0" t="s">
        <v>48</v>
      </c>
      <c r="C39" s="12">
        <v>11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59</v>
      </c>
      <c r="B40" s="0" t="s">
        <v>48</v>
      </c>
      <c r="C40" s="12">
        <v>0.2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60</v>
      </c>
      <c r="B41" s="0" t="s">
        <v>48</v>
      </c>
      <c r="C41" s="12">
        <v>114</v>
      </c>
      <c r="D41" s="12"/>
      <c r="E41" s="12"/>
      <c r="F41" s="12"/>
      <c r="G41" s="12"/>
      <c r="I41" s="13"/>
      <c r="J41" s="0" t="s">
        <v>37</v>
      </c>
    </row>
    <row r="42" outlineLevel="2">
      <c r="A42" s="10" t="s">
        <v>61</v>
      </c>
      <c r="B42" s="0" t="s">
        <v>48</v>
      </c>
      <c r="C42" s="12">
        <v>5</v>
      </c>
      <c r="D42" s="12"/>
      <c r="E42" s="12"/>
      <c r="F42" s="12"/>
      <c r="G42" s="12"/>
      <c r="I42" s="13"/>
      <c r="J42" s="0" t="s">
        <v>37</v>
      </c>
    </row>
    <row r="43" outlineLevel="2">
      <c r="A43" s="10" t="s">
        <v>62</v>
      </c>
      <c r="B43" s="0" t="s">
        <v>48</v>
      </c>
      <c r="C43" s="12">
        <v>1</v>
      </c>
      <c r="D43" s="12"/>
      <c r="E43" s="12"/>
      <c r="F43" s="12"/>
      <c r="G43" s="12"/>
      <c r="I43" s="13"/>
      <c r="J43" s="0" t="s">
        <v>37</v>
      </c>
    </row>
    <row r="44" outlineLevel="2">
      <c r="A44" s="10" t="s">
        <v>63</v>
      </c>
      <c r="B44" s="0" t="s">
        <v>48</v>
      </c>
      <c r="C44" s="12">
        <v>1250</v>
      </c>
      <c r="D44" s="12"/>
      <c r="E44" s="12"/>
      <c r="F44" s="12"/>
      <c r="G44" s="12"/>
      <c r="I44" s="13"/>
      <c r="J44" s="0" t="s">
        <v>37</v>
      </c>
    </row>
    <row r="45">
      <c r="I45" s="13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1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https://phyllis.nl/Biomass/View/872</dc:description>
  <dcterms:created xsi:type="dcterms:W3CDTF">2026-03-19T04:11:23Z</dcterms:created>
  <dc:title>Phyllis2 #872 wood, softboard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