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3 wood, hardboard" sheetId="1" r:id="rId1"/>
  </sheets>
  <definedNames>
    <definedName name="w" localSheetId="0">IF(ISBLANK('Phyllis2 #873 wood, hardboard'!$C$19),#N/A,'Phyllis2 #873 wood, hardboard'!$C$19/100)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<sst xmlns="http://schemas.openxmlformats.org/spreadsheetml/2006/main" count="70" uniqueCount="70">
  <si>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</si>
  <si>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https://phyllis.nl/Biomass/View/873</t>
  </si>
  <si>
    <t>wood, hardboard (#873)</t>
  </si>
  <si>
    <t>ID-number</t>
  </si>
  <si>
    <t>#873</t>
  </si>
  <si>
    <t>Material</t>
  </si>
  <si>
    <t>wood, hardboard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</si>
  <si>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</si>
  <si>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</si>
  <si>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</si>
  <si>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</si>
  <si>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</si>
  <si>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</si>
  <si>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</si>
  <si>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</si>
  <si>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</si>
  <si>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</si>
  <si>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</si>
  <si>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</si>
  <si>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</si>
  <si>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</si>
  <si>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</si>
  <si>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</si>
  <si>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</si>
  <si>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</si>
  <si>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</si>
  <si>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</si>
  <si>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</si>
  <si>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</si>
  <si>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</si>
  <si>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</si>
  <si>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</si>
  <si>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</si>
  <si>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</si>
  <si>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</si>
  <si>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</si>
  <si>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</si>
  <si>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</si>
  <si>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</si>
  <si>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</si>
  <si>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</si>
  <si>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</si>
  <si>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</si>
  <si>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</si>
  <si>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</si>
  <si>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</si>
  <si>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</si>
  <si>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</si>
  <si>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</si>
  <si>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</si>
  <si>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</si>
  <si>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</si>
  <si>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</si>
  <si>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</si>
  <si>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</si>
  <si>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</si>
  <si>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</si>
  <si>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</si>
  <si>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</si>
  <si>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</si>
  <si>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</si>
  <si>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</si>
  <si>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</si>
  <si>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</si>
  <si>
    <t>Ash melting behaviour</t>
  </si>
  <si>
    <t>American standard method, measured in reducing conditions</t>
  </si>
  <si>
    <t>SOT (softening or spherical temperature)</t>
  </si>
  <si>
    <t>°C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</si>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</sst>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14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IFERROR(2.7*(1-w),"")</f>
        <v>2.322</v>
      </c>
      <c r="D20" s="11">
        <v>2.7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IFERROR(48.02325*(1-w),"")</f>
        <v>41.299994999999996</v>
      </c>
      <c r="D22" s="11">
        <v>48.02325</v>
      </c>
      <c r="E22" s="11">
        <v>49.355858170606368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IFERROR(6.046511*(1-w),"")</f>
        <v>5.19999946</v>
      </c>
      <c r="D23" s="11">
        <v>6.046511</v>
      </c>
      <c r="E23" s="11">
        <v>6.2142970195272351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IFERROR(42.32558*(1-w),"")</f>
        <v>36.3999988</v>
      </c>
      <c r="D24" s="11">
        <v>42.32558</v>
      </c>
      <c r="E24" s="11">
        <v>43.500082219938335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IFERROR(0.4883721*(1-w),"")</f>
        <v>0.420000006</v>
      </c>
      <c r="D25" s="11">
        <v>0.4883721</v>
      </c>
      <c r="E25" s="11">
        <v>0.501924049331963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IFERROR(0.1046512*(1-w),"")</f>
        <v>0.090000032</v>
      </c>
      <c r="D26" s="11">
        <v>0.1046512</v>
      </c>
      <c r="E26" s="11">
        <v>0.1075551901336074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IFERROR(99.73138755*(1-w)+w*100,"")</f>
        <v>99.768993293000023</v>
      </c>
      <c r="D27" s="11">
        <v>99.731387550000022</v>
      </c>
      <c r="E27" s="11">
        <v>99.723933761562208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IFERROR(430.2325*(1-w),"")</f>
        <v>369.99995</v>
      </c>
      <c r="D29" s="12">
        <v>430.2325</v>
      </c>
      <c r="E29" s="12">
        <v>442.17112024665983</v>
      </c>
      <c r="F29" s="12"/>
      <c r="G29" s="12"/>
      <c r="I29" s="16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0.3023256</v>
      </c>
      <c r="I30" s="16"/>
    </row>
    <row r="31" outlineLevel="1">
      <c r="A31" s="9" t="s">
        <v>49</v>
      </c>
      <c r="I31" s="16"/>
    </row>
    <row r="32" outlineLevel="2">
      <c r="A32" s="10" t="s">
        <v>50</v>
      </c>
      <c r="B32" s="0" t="s">
        <v>51</v>
      </c>
      <c r="C32" s="11">
        <f>IFERROR(17.88055*(1-w)-w*2.443,"")</f>
        <v>15.035252999999999</v>
      </c>
      <c r="D32" s="11">
        <v>17.88055</v>
      </c>
      <c r="E32" s="11">
        <v>18.376721479958888</v>
      </c>
      <c r="F32" s="11"/>
      <c r="G32" s="11"/>
      <c r="I32" s="16"/>
    </row>
    <row r="33" outlineLevel="2">
      <c r="A33" s="10" t="s">
        <v>52</v>
      </c>
      <c r="B33" s="0" t="s">
        <v>51</v>
      </c>
      <c r="C33" s="11">
        <f>IFERROR(19.2*(1-w),"")</f>
        <v>16.512</v>
      </c>
      <c r="D33" s="11">
        <v>19.2</v>
      </c>
      <c r="E33" s="11">
        <v>19.7327852004111</v>
      </c>
      <c r="F33" s="11"/>
      <c r="G33" s="11"/>
      <c r="I33" s="16"/>
    </row>
    <row r="34" outlineLevel="2">
      <c r="A34" s="10" t="s">
        <v>53</v>
      </c>
      <c r="B34" s="0" t="s">
        <v>51</v>
      </c>
      <c r="C34" s="11">
        <f>IFERROR(19.19872598232*(1-w),"")</f>
        <v>16.510904344795197</v>
      </c>
      <c r="D34" s="11">
        <v>19.198725982319996</v>
      </c>
      <c r="E34" s="11">
        <v>19.731475829722505</v>
      </c>
      <c r="F34" s="11"/>
      <c r="G34" s="11"/>
      <c r="I34" s="16"/>
      <c r="J34" s="0" t="s">
        <v>40</v>
      </c>
    </row>
    <row r="35" outlineLevel="1">
      <c r="A35" s="9" t="s">
        <v>54</v>
      </c>
      <c r="I35" s="16"/>
    </row>
    <row r="36" outlineLevel="2">
      <c r="A36" s="10" t="s">
        <v>55</v>
      </c>
      <c r="B36" s="0" t="s">
        <v>48</v>
      </c>
      <c r="C36" s="12">
        <v>1.9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48</v>
      </c>
      <c r="C37" s="12">
        <v>0.9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48</v>
      </c>
      <c r="C38" s="12">
        <v>12</v>
      </c>
      <c r="D38" s="12"/>
      <c r="E38" s="12"/>
      <c r="F38" s="12"/>
      <c r="G38" s="12"/>
      <c r="I38" s="16"/>
      <c r="J38" s="0" t="s">
        <v>37</v>
      </c>
    </row>
    <row r="39" outlineLevel="2">
      <c r="A39" s="10" t="s">
        <v>58</v>
      </c>
      <c r="B39" s="0" t="s">
        <v>48</v>
      </c>
      <c r="C39" s="12">
        <v>17</v>
      </c>
      <c r="D39" s="12"/>
      <c r="E39" s="12"/>
      <c r="F39" s="12"/>
      <c r="G39" s="12"/>
      <c r="I39" s="16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6"/>
    </row>
    <row r="41" outlineLevel="2">
      <c r="A41" s="10" t="s">
        <v>60</v>
      </c>
      <c r="B41" s="0" t="s">
        <v>48</v>
      </c>
      <c r="C41" s="12">
        <v>291</v>
      </c>
      <c r="D41" s="12"/>
      <c r="E41" s="12"/>
      <c r="F41" s="12"/>
      <c r="G41" s="12"/>
      <c r="I41" s="16"/>
      <c r="J41" s="0" t="s">
        <v>37</v>
      </c>
    </row>
    <row r="42" outlineLevel="2">
      <c r="A42" s="10" t="s">
        <v>61</v>
      </c>
      <c r="B42" s="0" t="s">
        <v>48</v>
      </c>
      <c r="C42" s="12">
        <v>2</v>
      </c>
      <c r="D42" s="12"/>
      <c r="E42" s="12"/>
      <c r="F42" s="12"/>
      <c r="G42" s="12"/>
      <c r="I42" s="16"/>
      <c r="J42" s="0" t="s">
        <v>37</v>
      </c>
    </row>
    <row r="43" outlineLevel="2">
      <c r="A43" s="10" t="s">
        <v>62</v>
      </c>
      <c r="B43" s="0" t="s">
        <v>48</v>
      </c>
      <c r="C43" s="12">
        <v>2</v>
      </c>
      <c r="D43" s="12"/>
      <c r="E43" s="12"/>
      <c r="F43" s="12"/>
      <c r="G43" s="12"/>
      <c r="I43" s="16"/>
      <c r="J43" s="0" t="s">
        <v>37</v>
      </c>
    </row>
    <row r="44" outlineLevel="2">
      <c r="A44" s="10" t="s">
        <v>63</v>
      </c>
      <c r="B44" s="0" t="s">
        <v>48</v>
      </c>
      <c r="C44" s="12">
        <v>523</v>
      </c>
      <c r="D44" s="12"/>
      <c r="E44" s="12"/>
      <c r="F44" s="12"/>
      <c r="G44" s="12"/>
      <c r="I44" s="16"/>
      <c r="J44" s="0" t="s">
        <v>37</v>
      </c>
    </row>
    <row r="45" outlineLevel="1">
      <c r="A45" s="9" t="s">
        <v>64</v>
      </c>
      <c r="I45" s="16"/>
    </row>
    <row r="46" outlineLevel="2">
      <c r="A46" s="13" t="s">
        <v>65</v>
      </c>
      <c r="I46" s="16"/>
    </row>
    <row r="47" outlineLevel="3">
      <c r="A47" s="14" t="s">
        <v>66</v>
      </c>
      <c r="B47" s="0" t="s">
        <v>67</v>
      </c>
      <c r="C47" s="15">
        <v>1145</v>
      </c>
      <c r="D47" s="15"/>
      <c r="E47" s="15"/>
      <c r="F47" s="15"/>
      <c r="G47" s="15"/>
      <c r="I47" s="16"/>
    </row>
    <row r="48" outlineLevel="3">
      <c r="A48" s="14" t="s">
        <v>68</v>
      </c>
      <c r="B48" s="0" t="s">
        <v>67</v>
      </c>
      <c r="C48" s="15">
        <v>1170</v>
      </c>
      <c r="D48" s="15"/>
      <c r="E48" s="15"/>
      <c r="F48" s="15"/>
      <c r="G48" s="15"/>
      <c r="I48" s="16"/>
    </row>
    <row r="49" outlineLevel="3">
      <c r="A49" s="14" t="s">
        <v>69</v>
      </c>
      <c r="B49" s="0" t="s">
        <v>67</v>
      </c>
      <c r="C49" s="15">
        <v>1195</v>
      </c>
      <c r="D49" s="15"/>
      <c r="E49" s="15"/>
      <c r="F49" s="15"/>
      <c r="G49" s="15"/>
      <c r="I49" s="16"/>
    </row>
    <row r="50">
      <c r="I50" s="16"/>
    </row>
    <row r="5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7:E47"/>
    <mergeCell ref="C48:E48"/>
    <mergeCell ref="C49:E49"/>
  </mergeCells>
  <dataValidations count="1">
    <dataValidation type="decimal" sqref="C19" errorStyle="stop" promptTitle="Enter moisture content" errorTitle="Invalid moisture content" prompt="Value should be between 0 and 100.&#10;Original value: 1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https://phyllis.nl/Biomass/View/873</dc:description>
  <dcterms:created xsi:type="dcterms:W3CDTF">2026-03-19T04:11:16Z</dcterms:created>
  <dc:title>Phyllis2 #873 wood, hardboard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