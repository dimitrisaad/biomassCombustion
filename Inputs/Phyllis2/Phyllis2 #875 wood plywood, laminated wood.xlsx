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75 wood plywood, lam" sheetId="1" r:id="rId1"/>
  </sheets>
  <definedNames>
    <definedName name="w" localSheetId="0">IF(ISBLANK('Phyllis2 #875 wood plywood, lam'!$C$19),#N/A,'Phyllis2 #875 wood plywood, lam'!$C$19/100)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<sst xmlns="http://schemas.openxmlformats.org/spreadsheetml/2006/main" count="64" uniqueCount="64">
  <si>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</si>
  <si>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https://phyllis.nl/Biomass/View/875</t>
  </si>
  <si>
    <t>wood plywood, laminated wood (#875)</t>
  </si>
  <si>
    <t>ID-number</t>
  </si>
  <si>
    <t>#875</t>
  </si>
  <si>
    <t>Material</t>
  </si>
  <si>
    <t>wood plywood, laminated wood</t>
  </si>
  <si>
    <t>Classification</t>
  </si>
  <si>
    <t>ECN Phyllis classification &gt; treated wood &gt; others</t>
  </si>
  <si>
    <t>NTA 8003 classification &gt; [100] hout &gt; [150] verwerkt hout &gt; [170] geverfd/verlijmd hout (B-hout) &gt; [172] plaatmateriaal/verlijmd hout</t>
  </si>
  <si>
    <t>Ash type</t>
  </si>
  <si>
    <t>815 degC ISO 1171</t>
  </si>
  <si>
    <t>Submitter organisation</t>
  </si>
  <si>
    <t>ECN (Netherlands)</t>
  </si>
  <si>
    <t>Remarks</t>
  </si>
  <si>
    <t>moisture ISO 589; ash 815 C ISO 1171; cal. value ISO 1928; ash deformation temperature ISO 540</t>
  </si>
  <si>
    <t>Literature</t>
  </si>
  <si>
    <t>PNEM, PGEM and BFI: Thermische houtbewerking (confidential report, in Dutch)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</si>
  <si>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</si>
  <si>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</si>
  <si>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</si>
  <si>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</si>
  <si>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</si>
  <si>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</si>
  <si>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</si>
  <si>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</si>
  <si>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</si>
  <si>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</si>
  <si>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</si>
  <si>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</si>
  <si>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</si>
  <si>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</si>
  <si>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</si>
  <si>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</si>
  <si>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</si>
  <si>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</si>
  <si>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</si>
  <si>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</si>
  <si>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</si>
  <si>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</si>
  <si>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</si>
  <si>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</si>
  <si>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</si>
  <si>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</si>
  <si>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</si>
  <si>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</si>
  <si>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</si>
  <si>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</si>
  <si>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</si>
  <si>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</si>
  <si>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</si>
  <si>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</si>
  <si>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</si>
  <si>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</si>
  <si>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</si>
  <si>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</si>
  <si>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Cadmium (Cd)</t>
  </si>
  <si>
    <t>Chromium (Cr)</t>
  </si>
  <si>
    <t>Copper (Cu)</t>
  </si>
  <si>
    <t>Mercury (Hg)</t>
  </si>
  <si>
    <t>Lead (Pb)</t>
  </si>
  <si>
    <t>Antimony (Sb)</t>
  </si>
  <si>
    <t>Tin (Sn)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</si>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</sst>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14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IFERROR(1.8*(1-w),"")</f>
        <v>1.548</v>
      </c>
      <c r="D20" s="11">
        <v>1.8</v>
      </c>
      <c r="E20" s="11">
        <v/>
      </c>
      <c r="F20" s="11"/>
      <c r="G20" s="11"/>
      <c r="I20" s="13"/>
    </row>
    <row r="21" outlineLevel="1">
      <c r="A21" s="9" t="s">
        <v>35</v>
      </c>
      <c r="I21" s="13"/>
    </row>
    <row r="22" outlineLevel="2">
      <c r="A22" s="10" t="s">
        <v>36</v>
      </c>
      <c r="B22" s="0" t="s">
        <v>33</v>
      </c>
      <c r="C22" s="11">
        <f>IFERROR(49.53488*(1-w),"")</f>
        <v>42.5999968</v>
      </c>
      <c r="D22" s="11">
        <v>49.53488</v>
      </c>
      <c r="E22" s="11">
        <v>50.442851323828926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33</v>
      </c>
      <c r="C23" s="11">
        <f>IFERROR(6.162791*(1-w),"")</f>
        <v>5.30000026</v>
      </c>
      <c r="D23" s="11">
        <v>6.162791</v>
      </c>
      <c r="E23" s="11">
        <v>6.2757545824847254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33</v>
      </c>
      <c r="C24" s="11">
        <f>IFERROR(41.97674*(1-w),"")</f>
        <v>36.0999964</v>
      </c>
      <c r="D24" s="11">
        <v>41.97674</v>
      </c>
      <c r="E24" s="11">
        <v>42.746171079429736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IFERROR(0.5813953*(1-w),"")</f>
        <v>0.49999995799999997</v>
      </c>
      <c r="D25" s="11">
        <v>0.5813953</v>
      </c>
      <c r="E25" s="11">
        <v>0.59205224032586556</v>
      </c>
      <c r="F25" s="11"/>
      <c r="G25" s="11"/>
      <c r="I25" s="13"/>
      <c r="J25" s="0" t="s">
        <v>37</v>
      </c>
    </row>
    <row r="26" outlineLevel="2">
      <c r="A26" s="10" t="s">
        <v>42</v>
      </c>
      <c r="B26" s="0" t="s">
        <v>33</v>
      </c>
      <c r="C26" s="11">
        <f>IFERROR(0.03488372*(1-w),"")</f>
        <v>0.0299999992</v>
      </c>
      <c r="D26" s="11">
        <v>0.03488372</v>
      </c>
      <c r="E26" s="11">
        <v>0.035523136456211815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IFERROR(100.12557374*(1-w)+w*100,"")</f>
        <v>100.10799341639998</v>
      </c>
      <c r="D27" s="11">
        <v>100.12557373999998</v>
      </c>
      <c r="E27" s="11">
        <v>100.12787549898165</v>
      </c>
      <c r="F27" s="11"/>
      <c r="G27" s="11"/>
      <c r="I27" s="13"/>
      <c r="J27" s="0" t="s">
        <v>40</v>
      </c>
    </row>
    <row r="28" outlineLevel="1">
      <c r="A28" s="9" t="s">
        <v>44</v>
      </c>
      <c r="I28" s="13"/>
    </row>
    <row r="29" outlineLevel="2">
      <c r="A29" s="10" t="s">
        <v>45</v>
      </c>
      <c r="B29" s="0" t="s">
        <v>46</v>
      </c>
      <c r="C29" s="12">
        <f>IFERROR(348.8372*(1-w),"")</f>
        <v>299.99999199999996</v>
      </c>
      <c r="D29" s="12">
        <v>348.8372</v>
      </c>
      <c r="E29" s="12">
        <v>355.23136456211813</v>
      </c>
      <c r="F29" s="12"/>
      <c r="G29" s="12"/>
      <c r="I29" s="13"/>
      <c r="J29" s="0" t="s">
        <v>37</v>
      </c>
    </row>
    <row r="30" outlineLevel="2">
      <c r="A30" s="10" t="s">
        <v>47</v>
      </c>
      <c r="B30" s="0" t="s">
        <v>48</v>
      </c>
      <c r="C30" s="12"/>
      <c r="D30" s="12"/>
      <c r="E30" s="12"/>
      <c r="F30" s="12"/>
      <c r="G30" s="12">
        <v>0.3023256</v>
      </c>
      <c r="I30" s="13"/>
    </row>
    <row r="31" outlineLevel="1">
      <c r="A31" s="9" t="s">
        <v>49</v>
      </c>
      <c r="I31" s="13"/>
    </row>
    <row r="32" outlineLevel="2">
      <c r="A32" s="10" t="s">
        <v>50</v>
      </c>
      <c r="B32" s="0" t="s">
        <v>51</v>
      </c>
      <c r="C32" s="11">
        <f>IFERROR(16.15517*(1-w)-w*2.443,"")</f>
        <v>13.551426199999998</v>
      </c>
      <c r="D32" s="11">
        <v>16.15517</v>
      </c>
      <c r="E32" s="11">
        <v>16.4512932790224</v>
      </c>
      <c r="F32" s="11"/>
      <c r="G32" s="11"/>
      <c r="I32" s="13"/>
    </row>
    <row r="33" outlineLevel="2">
      <c r="A33" s="10" t="s">
        <v>52</v>
      </c>
      <c r="B33" s="0" t="s">
        <v>51</v>
      </c>
      <c r="C33" s="11">
        <f>IFERROR(17.5*(1-w),"")</f>
        <v>15.049999999999999</v>
      </c>
      <c r="D33" s="11">
        <v>17.5</v>
      </c>
      <c r="E33" s="11">
        <v>17.820773930753564</v>
      </c>
      <c r="F33" s="11"/>
      <c r="G33" s="11"/>
      <c r="I33" s="13"/>
    </row>
    <row r="34" outlineLevel="2">
      <c r="A34" s="10" t="s">
        <v>53</v>
      </c>
      <c r="B34" s="0" t="s">
        <v>51</v>
      </c>
      <c r="C34" s="11">
        <f>IFERROR(19.906976289192*(1-w),"")</f>
        <v>17.119999608705125</v>
      </c>
      <c r="D34" s="11">
        <v>19.906976289192006</v>
      </c>
      <c r="E34" s="11">
        <v>20.271869948260697</v>
      </c>
      <c r="F34" s="11"/>
      <c r="G34" s="11"/>
      <c r="I34" s="13"/>
      <c r="J34" s="0" t="s">
        <v>40</v>
      </c>
    </row>
    <row r="35" outlineLevel="1">
      <c r="A35" s="9" t="s">
        <v>54</v>
      </c>
      <c r="I35" s="13"/>
    </row>
    <row r="36" outlineLevel="2">
      <c r="A36" s="10" t="s">
        <v>55</v>
      </c>
      <c r="B36" s="0" t="s">
        <v>48</v>
      </c>
      <c r="C36" s="12"/>
      <c r="D36" s="12"/>
      <c r="E36" s="12"/>
      <c r="F36" s="12"/>
      <c r="G36" s="12">
        <v>1</v>
      </c>
      <c r="I36" s="13"/>
    </row>
    <row r="37" outlineLevel="2">
      <c r="A37" s="10" t="s">
        <v>56</v>
      </c>
      <c r="B37" s="0" t="s">
        <v>48</v>
      </c>
      <c r="C37" s="12">
        <v>0.7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57</v>
      </c>
      <c r="B38" s="0" t="s">
        <v>48</v>
      </c>
      <c r="C38" s="12">
        <v>6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58</v>
      </c>
      <c r="B39" s="0" t="s">
        <v>48</v>
      </c>
      <c r="C39" s="12">
        <v>12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59</v>
      </c>
      <c r="B40" s="0" t="s">
        <v>48</v>
      </c>
      <c r="C40" s="12"/>
      <c r="D40" s="12"/>
      <c r="E40" s="12"/>
      <c r="F40" s="12"/>
      <c r="G40" s="12">
        <v>0.1</v>
      </c>
      <c r="I40" s="13"/>
    </row>
    <row r="41" outlineLevel="2">
      <c r="A41" s="10" t="s">
        <v>60</v>
      </c>
      <c r="B41" s="0" t="s">
        <v>48</v>
      </c>
      <c r="C41" s="12">
        <v>47</v>
      </c>
      <c r="D41" s="12"/>
      <c r="E41" s="12"/>
      <c r="F41" s="12"/>
      <c r="G41" s="12"/>
      <c r="I41" s="13"/>
      <c r="J41" s="0" t="s">
        <v>37</v>
      </c>
    </row>
    <row r="42" outlineLevel="2">
      <c r="A42" s="10" t="s">
        <v>61</v>
      </c>
      <c r="B42" s="0" t="s">
        <v>48</v>
      </c>
      <c r="C42" s="12"/>
      <c r="D42" s="12"/>
      <c r="E42" s="12"/>
      <c r="F42" s="12"/>
      <c r="G42" s="12">
        <v>2</v>
      </c>
      <c r="I42" s="13"/>
    </row>
    <row r="43" outlineLevel="2">
      <c r="A43" s="10" t="s">
        <v>62</v>
      </c>
      <c r="B43" s="0" t="s">
        <v>48</v>
      </c>
      <c r="C43" s="12"/>
      <c r="D43" s="12"/>
      <c r="E43" s="12"/>
      <c r="F43" s="12"/>
      <c r="G43" s="12">
        <v>1</v>
      </c>
      <c r="I43" s="13"/>
    </row>
    <row r="44" outlineLevel="2">
      <c r="A44" s="10" t="s">
        <v>63</v>
      </c>
      <c r="B44" s="0" t="s">
        <v>48</v>
      </c>
      <c r="C44" s="12">
        <v>116</v>
      </c>
      <c r="D44" s="12"/>
      <c r="E44" s="12"/>
      <c r="F44" s="12"/>
      <c r="G44" s="12"/>
      <c r="I44" s="13"/>
      <c r="J44" s="0" t="s">
        <v>37</v>
      </c>
    </row>
    <row r="45">
      <c r="I45" s="13"/>
    </row>
    <row r="4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0:E30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9" errorStyle="stop" promptTitle="Enter moisture content" errorTitle="Invalid moisture content" prompt="Value should be between 0 and 100.&#10;Original value: 1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https://phyllis.nl/Biomass/View/875</dc:description>
  <dcterms:created xsi:type="dcterms:W3CDTF">2026-03-19T04:07:45Z</dcterms:created>
  <dc:title>Phyllis2 #875 wood plywood, laminated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