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876 railroad ties, sl" sheetId="1" r:id="rId1"/>
  </sheets>
  <definedNames>
    <definedName name="w" localSheetId="0">IF(ISBLANK('Phyllis2 #876 railroad ties, sl'!$C$19),#N/A,'Phyllis2 #876 railroad ties, sl'!$C$19/100)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<sst xmlns="http://schemas.openxmlformats.org/spreadsheetml/2006/main" count="64" uniqueCount="64">
  <si>
    <t>Phyllis2</t>
  </si>
  <si>
    <t>https://phyllis.nl/Biomass/View/876</t>
  </si>
  <si>
    <t>railroad ties, sleepers (#876)</t>
  </si>
  <si>
    <t>ID-number</t>
  </si>
  <si>
    <t>#876</t>
  </si>
  <si>
    <t>Material</t>
  </si>
  <si>
    <t>railroad ties, sleepers</t>
  </si>
  <si>
    <t>Classification</t>
  </si>
  <si>
    <t>ECN Phyllis classification &gt; treated wood &gt; organic impregnated &gt; railroad ties, sleepers</t>
  </si>
  <si>
    <t>NTA 8003 classification &gt; [100] hout &gt; [150] verwerkt hout &gt; [180] geïmpregneerd hout (C-hout) &gt; [184] geïmpregneerd hout: organische middelen niet-gehalogeneerd</t>
  </si>
  <si>
    <t>Ash type</t>
  </si>
  <si>
    <t>815 degC ISO 1171</t>
  </si>
  <si>
    <t>Submitter organisation</t>
  </si>
  <si>
    <t>ECN (Netherlands)</t>
  </si>
  <si>
    <t>Remarks</t>
  </si>
  <si>
    <t>moisture ISO 589; ash 815 C ISO 1171; cal. value ISO 1928; ash deformation temperature ISO 540</t>
  </si>
  <si>
    <t>Literature</t>
  </si>
  <si>
    <t>PNEM, PGEM and BFI: Thermische houtbewerking (confidential report, in Dutch) (1993).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</si>
  <si>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</si>
  <si>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</si>
  <si>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</si>
  <si>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</si>
  <si>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</si>
  <si>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</si>
  <si>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</si>
  <si>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</si>
  <si>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</si>
  <si>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</si>
  <si>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</si>
  <si>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</si>
  <si>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</si>
  <si>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</si>
  <si>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</si>
  <si>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</si>
  <si>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</si>
  <si>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</si>
  <si>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</si>
  <si>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</si>
  <si>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</si>
  <si>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</si>
  <si>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</si>
  <si>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</si>
  <si>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</si>
  <si>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</si>
  <si>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</si>
  <si>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</si>
  <si>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</si>
  <si>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</si>
  <si>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mg/kg (dry)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</si>
  <si>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</si>
  <si>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</si>
  <si>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</si>
  <si>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</si>
  <si>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</si>
  <si>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</si>
  <si>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Arsenic (As)</t>
  </si>
  <si>
    <t>Cadmium (Cd)</t>
  </si>
  <si>
    <t>Chromium (Cr)</t>
  </si>
  <si>
    <t>Copper (Cu)</t>
  </si>
  <si>
    <t>Mercury (Hg)</t>
  </si>
  <si>
    <t>Lead (Pb)</t>
  </si>
  <si>
    <t>Antimony (Sb)</t>
  </si>
  <si>
    <t>Tin (Sn)</t>
  </si>
  <si>
    <t>Zinc (Zn)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</si>
</sst>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87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3"/>
    </row>
    <row r="18" outlineLevel="1">
      <c r="A18" s="9" t="s">
        <v>31</v>
      </c>
      <c r="I18" s="13"/>
    </row>
    <row r="19" outlineLevel="2">
      <c r="A19" s="10" t="s">
        <v>32</v>
      </c>
      <c r="B19" s="0" t="s">
        <v>33</v>
      </c>
      <c r="C19" s="11">
        <v>30</v>
      </c>
      <c r="D19" s="11"/>
      <c r="E19" s="11"/>
      <c r="F19" s="11"/>
      <c r="G19" s="11"/>
      <c r="I19" s="13"/>
    </row>
    <row r="20" outlineLevel="2">
      <c r="A20" s="10" t="s">
        <v>34</v>
      </c>
      <c r="B20" s="0" t="s">
        <v>33</v>
      </c>
      <c r="C20" s="11">
        <f>IFERROR(2.5*(1-w),"")</f>
        <v>1.75</v>
      </c>
      <c r="D20" s="11">
        <v>2.5</v>
      </c>
      <c r="E20" s="11">
        <v/>
      </c>
      <c r="F20" s="11"/>
      <c r="G20" s="11"/>
      <c r="I20" s="13"/>
    </row>
    <row r="21" outlineLevel="1">
      <c r="A21" s="9" t="s">
        <v>35</v>
      </c>
      <c r="I21" s="13"/>
    </row>
    <row r="22" outlineLevel="2">
      <c r="A22" s="10" t="s">
        <v>36</v>
      </c>
      <c r="B22" s="0" t="s">
        <v>33</v>
      </c>
      <c r="C22" s="11">
        <f>IFERROR(50.28572*(1-w),"")</f>
        <v>35.200003999999993</v>
      </c>
      <c r="D22" s="11">
        <v>50.28572</v>
      </c>
      <c r="E22" s="11">
        <v>51.575097435897433</v>
      </c>
      <c r="F22" s="11"/>
      <c r="G22" s="11"/>
      <c r="I22" s="13"/>
      <c r="J22" s="0" t="s">
        <v>37</v>
      </c>
    </row>
    <row r="23" outlineLevel="2">
      <c r="A23" s="10" t="s">
        <v>38</v>
      </c>
      <c r="B23" s="0" t="s">
        <v>33</v>
      </c>
      <c r="C23" s="11">
        <f>IFERROR(6*(1-w),"")</f>
        <v>4.1999999999999993</v>
      </c>
      <c r="D23" s="11">
        <v>6</v>
      </c>
      <c r="E23" s="11">
        <v>6.1538461538461542</v>
      </c>
      <c r="F23" s="11"/>
      <c r="G23" s="11"/>
      <c r="I23" s="13"/>
      <c r="J23" s="0" t="s">
        <v>37</v>
      </c>
    </row>
    <row r="24" outlineLevel="2">
      <c r="A24" s="10" t="s">
        <v>39</v>
      </c>
      <c r="B24" s="0" t="s">
        <v>33</v>
      </c>
      <c r="C24" s="11">
        <f>IFERROR(40.85714*(1-w),"")</f>
        <v>28.599998</v>
      </c>
      <c r="D24" s="11">
        <v>40.85714</v>
      </c>
      <c r="E24" s="11">
        <v>41.904758974358977</v>
      </c>
      <c r="F24" s="11"/>
      <c r="G24" s="11"/>
      <c r="I24" s="13"/>
      <c r="J24" s="0" t="s">
        <v>40</v>
      </c>
    </row>
    <row r="25" outlineLevel="2">
      <c r="A25" s="10" t="s">
        <v>41</v>
      </c>
      <c r="B25" s="0" t="s">
        <v>33</v>
      </c>
      <c r="C25" s="11">
        <f>IFERROR(0.2857143*(1-w),"")</f>
        <v>0.20000000999999998</v>
      </c>
      <c r="D25" s="11">
        <v>0.2857143</v>
      </c>
      <c r="E25" s="11">
        <v>0.29304030769230766</v>
      </c>
      <c r="F25" s="11"/>
      <c r="G25" s="11"/>
      <c r="I25" s="13"/>
      <c r="J25" s="0" t="s">
        <v>37</v>
      </c>
    </row>
    <row r="26" outlineLevel="2">
      <c r="A26" s="10" t="s">
        <v>42</v>
      </c>
      <c r="B26" s="0" t="s">
        <v>33</v>
      </c>
      <c r="C26" s="11">
        <f>IFERROR(0.05714286*(1-w),"")</f>
        <v>0.040000001999999993</v>
      </c>
      <c r="D26" s="11">
        <v>0.05714286</v>
      </c>
      <c r="E26" s="11">
        <v>0.058608061538461535</v>
      </c>
      <c r="F26" s="11"/>
      <c r="G26" s="11"/>
      <c r="I26" s="13"/>
      <c r="J26" s="0" t="s">
        <v>37</v>
      </c>
    </row>
    <row r="27" outlineLevel="2">
      <c r="A27" s="10" t="s">
        <v>43</v>
      </c>
      <c r="B27" s="0" t="s">
        <v>33</v>
      </c>
      <c r="C27" s="11">
        <f>IFERROR(100.01286002*(1-w)+w*100,"")</f>
        <v>100.00900201399999</v>
      </c>
      <c r="D27" s="11">
        <v>100.01286001999999</v>
      </c>
      <c r="E27" s="11">
        <v>100.01318976410256</v>
      </c>
      <c r="F27" s="11"/>
      <c r="G27" s="11"/>
      <c r="I27" s="13"/>
      <c r="J27" s="0" t="s">
        <v>40</v>
      </c>
    </row>
    <row r="28" outlineLevel="1">
      <c r="A28" s="9" t="s">
        <v>44</v>
      </c>
      <c r="I28" s="13"/>
    </row>
    <row r="29" outlineLevel="2">
      <c r="A29" s="10" t="s">
        <v>45</v>
      </c>
      <c r="B29" s="0" t="s">
        <v>46</v>
      </c>
      <c r="C29" s="12">
        <f>IFERROR(271.4286*(1-w),"")</f>
        <v>190.00002</v>
      </c>
      <c r="D29" s="12">
        <v>271.4286</v>
      </c>
      <c r="E29" s="12">
        <v>278.38830769230771</v>
      </c>
      <c r="F29" s="12"/>
      <c r="G29" s="12"/>
      <c r="I29" s="13"/>
      <c r="J29" s="0" t="s">
        <v>37</v>
      </c>
    </row>
    <row r="30" outlineLevel="2">
      <c r="A30" s="10" t="s">
        <v>47</v>
      </c>
      <c r="B30" s="0" t="s">
        <v>48</v>
      </c>
      <c r="C30" s="12"/>
      <c r="D30" s="12"/>
      <c r="E30" s="12"/>
      <c r="F30" s="12"/>
      <c r="G30" s="12">
        <v>0.3</v>
      </c>
      <c r="I30" s="13"/>
    </row>
    <row r="31" outlineLevel="1">
      <c r="A31" s="9" t="s">
        <v>49</v>
      </c>
      <c r="I31" s="13"/>
    </row>
    <row r="32" outlineLevel="2">
      <c r="A32" s="10" t="s">
        <v>50</v>
      </c>
      <c r="B32" s="0" t="s">
        <v>51</v>
      </c>
      <c r="C32" s="11">
        <f>IFERROR(15.6907*(1-w)-w*2.443,"")</f>
        <v>10.250589999999999</v>
      </c>
      <c r="D32" s="11">
        <v>15.6907</v>
      </c>
      <c r="E32" s="11">
        <v>16.09302564102564</v>
      </c>
      <c r="F32" s="11"/>
      <c r="G32" s="11"/>
      <c r="I32" s="13"/>
    </row>
    <row r="33" outlineLevel="2">
      <c r="A33" s="10" t="s">
        <v>52</v>
      </c>
      <c r="B33" s="0" t="s">
        <v>51</v>
      </c>
      <c r="C33" s="11">
        <f>IFERROR(17*(1-w),"")</f>
        <v>11.899999999999999</v>
      </c>
      <c r="D33" s="11">
        <v>17</v>
      </c>
      <c r="E33" s="11">
        <v>17.435897435897438</v>
      </c>
      <c r="F33" s="11"/>
      <c r="G33" s="11"/>
      <c r="I33" s="13"/>
    </row>
    <row r="34" outlineLevel="2">
      <c r="A34" s="10" t="s">
        <v>53</v>
      </c>
      <c r="B34" s="0" t="s">
        <v>51</v>
      </c>
      <c r="C34" s="11">
        <f>IFERROR(20.108914254196*(1-w),"")</f>
        <v>14.076239977937195</v>
      </c>
      <c r="D34" s="11">
        <v>20.108914254195994</v>
      </c>
      <c r="E34" s="11">
        <v>20.624527440201021</v>
      </c>
      <c r="F34" s="11"/>
      <c r="G34" s="11"/>
      <c r="I34" s="13"/>
      <c r="J34" s="0" t="s">
        <v>40</v>
      </c>
    </row>
    <row r="35" outlineLevel="1">
      <c r="A35" s="9" t="s">
        <v>54</v>
      </c>
      <c r="I35" s="13"/>
    </row>
    <row r="36" outlineLevel="2">
      <c r="A36" s="10" t="s">
        <v>55</v>
      </c>
      <c r="B36" s="0" t="s">
        <v>48</v>
      </c>
      <c r="C36" s="12">
        <v>1.1</v>
      </c>
      <c r="D36" s="12"/>
      <c r="E36" s="12"/>
      <c r="F36" s="12"/>
      <c r="G36" s="12"/>
      <c r="I36" s="13"/>
      <c r="J36" s="0" t="s">
        <v>37</v>
      </c>
    </row>
    <row r="37" outlineLevel="2">
      <c r="A37" s="10" t="s">
        <v>56</v>
      </c>
      <c r="B37" s="0" t="s">
        <v>48</v>
      </c>
      <c r="C37" s="12">
        <v>0.3</v>
      </c>
      <c r="D37" s="12"/>
      <c r="E37" s="12"/>
      <c r="F37" s="12"/>
      <c r="G37" s="12"/>
      <c r="I37" s="13"/>
      <c r="J37" s="0" t="s">
        <v>37</v>
      </c>
    </row>
    <row r="38" outlineLevel="2">
      <c r="A38" s="10" t="s">
        <v>57</v>
      </c>
      <c r="B38" s="0" t="s">
        <v>48</v>
      </c>
      <c r="C38" s="12">
        <v>7</v>
      </c>
      <c r="D38" s="12"/>
      <c r="E38" s="12"/>
      <c r="F38" s="12"/>
      <c r="G38" s="12"/>
      <c r="I38" s="13"/>
      <c r="J38" s="0" t="s">
        <v>37</v>
      </c>
    </row>
    <row r="39" outlineLevel="2">
      <c r="A39" s="10" t="s">
        <v>58</v>
      </c>
      <c r="B39" s="0" t="s">
        <v>48</v>
      </c>
      <c r="C39" s="12">
        <v>14</v>
      </c>
      <c r="D39" s="12"/>
      <c r="E39" s="12"/>
      <c r="F39" s="12"/>
      <c r="G39" s="12"/>
      <c r="I39" s="13"/>
      <c r="J39" s="0" t="s">
        <v>37</v>
      </c>
    </row>
    <row r="40" outlineLevel="2">
      <c r="A40" s="10" t="s">
        <v>59</v>
      </c>
      <c r="B40" s="0" t="s">
        <v>48</v>
      </c>
      <c r="C40" s="12"/>
      <c r="D40" s="12"/>
      <c r="E40" s="12"/>
      <c r="F40" s="12"/>
      <c r="G40" s="12">
        <v>0.1</v>
      </c>
      <c r="I40" s="13"/>
    </row>
    <row r="41" outlineLevel="2">
      <c r="A41" s="10" t="s">
        <v>60</v>
      </c>
      <c r="B41" s="0" t="s">
        <v>48</v>
      </c>
      <c r="C41" s="12">
        <v>79</v>
      </c>
      <c r="D41" s="12"/>
      <c r="E41" s="12"/>
      <c r="F41" s="12"/>
      <c r="G41" s="12"/>
      <c r="I41" s="13"/>
      <c r="J41" s="0" t="s">
        <v>37</v>
      </c>
    </row>
    <row r="42" outlineLevel="2">
      <c r="A42" s="10" t="s">
        <v>61</v>
      </c>
      <c r="B42" s="0" t="s">
        <v>48</v>
      </c>
      <c r="C42" s="12">
        <v>1</v>
      </c>
      <c r="D42" s="12"/>
      <c r="E42" s="12"/>
      <c r="F42" s="12"/>
      <c r="G42" s="12"/>
      <c r="I42" s="13"/>
      <c r="J42" s="0" t="s">
        <v>37</v>
      </c>
    </row>
    <row r="43" outlineLevel="2">
      <c r="A43" s="10" t="s">
        <v>62</v>
      </c>
      <c r="B43" s="0" t="s">
        <v>48</v>
      </c>
      <c r="C43" s="12">
        <v>1</v>
      </c>
      <c r="D43" s="12"/>
      <c r="E43" s="12"/>
      <c r="F43" s="12"/>
      <c r="G43" s="12"/>
      <c r="I43" s="13"/>
      <c r="J43" s="0" t="s">
        <v>37</v>
      </c>
    </row>
    <row r="44" outlineLevel="2">
      <c r="A44" s="10" t="s">
        <v>63</v>
      </c>
      <c r="B44" s="0" t="s">
        <v>48</v>
      </c>
      <c r="C44" s="12">
        <v>286</v>
      </c>
      <c r="D44" s="12"/>
      <c r="E44" s="12"/>
      <c r="F44" s="12"/>
      <c r="G44" s="12"/>
      <c r="I44" s="13"/>
      <c r="J44" s="0" t="s">
        <v>37</v>
      </c>
    </row>
    <row r="45">
      <c r="I45" s="13"/>
    </row>
    <row r="46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0:E30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</mergeCells>
  <dataValidations count="1">
    <dataValidation type="decimal" sqref="C19" errorStyle="stop" promptTitle="Enter moisture content" errorTitle="Invalid moisture content" prompt="Value should be between 0 and 100.&#10;Original value: 30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https://phyllis.nl/Biomass/View/876</dc:description>
  <dcterms:created xsi:type="dcterms:W3CDTF">2026-03-19T04:04:00Z</dcterms:created>
  <dc:title>Phyllis2 #876 railroad ties, sleepers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