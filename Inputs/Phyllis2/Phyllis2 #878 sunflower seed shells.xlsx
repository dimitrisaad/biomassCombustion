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8 sunflower seed sh" sheetId="1" r:id="rId1"/>
  </sheets>
  <definedNames>
    <definedName name="w" localSheetId="0">IF(ISBLANK('Phyllis2 #878 sunflower seed sh'!$C$18),#N/A,'Phyllis2 #878 sunflower seed sh'!$C$18/100)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<sst xmlns="http://schemas.openxmlformats.org/spreadsheetml/2006/main" count="66" uniqueCount="66">
  <si>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</si>
  <si>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https://phyllis.nl/Biomass/View/878</t>
  </si>
  <si>
    <t>sunflower seed shells (#878)</t>
  </si>
  <si>
    <t>ID-number</t>
  </si>
  <si>
    <t>#878</t>
  </si>
  <si>
    <t>Material</t>
  </si>
  <si>
    <t>sunflower seed shells</t>
  </si>
  <si>
    <t>Classification</t>
  </si>
  <si>
    <t>ECN Phyllis classification &gt; husk/shell/pit &gt; sunflower</t>
  </si>
  <si>
    <t>NTA 8003 classification &gt; [200] biomassa uit land- en tuinbouw &gt; [230] restproducten (doppen) &gt; [239] overige doppen</t>
  </si>
  <si>
    <t>Submitter organisation</t>
  </si>
  <si>
    <t>ECN (Netherlands)</t>
  </si>
  <si>
    <t>Remarks</t>
  </si>
  <si>
    <t>to be cofired with coal and straw in 80 MWth CFB Grenaa plant (Denmark), K and Na-concentrations are only water soluble (after bomb-combustion) contributions</t>
  </si>
  <si>
    <t>Literature</t>
  </si>
  <si>
    <t>B. Hansen: Combustion of sun flower seed shells. Private communication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</si>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</sst>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11.6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IFERROR(3.1*(1-w),"")</f>
        <v>2.7404</v>
      </c>
      <c r="D19" s="11">
        <v>3.1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IFERROR(70*(1-w),"")</f>
        <v>61.88</v>
      </c>
      <c r="D20" s="11">
        <v>70</v>
      </c>
      <c r="E20" s="11">
        <v>72.239422084623328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IFERROR(26.9*(1-w),"")</f>
        <v>23.779600000000006</v>
      </c>
      <c r="D21" s="11">
        <v>26.900000000000006</v>
      </c>
      <c r="E21" s="11">
        <v>27.760577915376683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IFERROR(50.79186*(1-w),"")</f>
        <v>44.90000424</v>
      </c>
      <c r="D23" s="11">
        <v>50.79186</v>
      </c>
      <c r="E23" s="11">
        <v>52.416780185758512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IFERROR(6*(1-w),"")</f>
        <v>5.304</v>
      </c>
      <c r="D24" s="11">
        <v>6</v>
      </c>
      <c r="E24" s="11">
        <v>6.1919504643962853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IFERROR(39.32*(1-w),"")</f>
        <v>34.75888</v>
      </c>
      <c r="D25" s="11">
        <v>39.32</v>
      </c>
      <c r="E25" s="11">
        <v>40.577915376676991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IFERROR(0.5882353*(1-w),"")</f>
        <v>0.5200000052</v>
      </c>
      <c r="D26" s="11">
        <v>0.5882353</v>
      </c>
      <c r="E26" s="11">
        <v>0.60705397316821463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IFERROR(0.1244344*(1-w),"")</f>
        <v>0.1100000096</v>
      </c>
      <c r="D27" s="11">
        <v>0.1244344</v>
      </c>
      <c r="E27" s="11">
        <v>0.12841527347781218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IFERROR(100.00371522*(1-w)+w*100,"")</f>
        <v>100.00328425447998</v>
      </c>
      <c r="D28" s="11">
        <v>100.00371521999999</v>
      </c>
      <c r="E28" s="11">
        <v>100.00383407636738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IFERROR(791.8552*(1-w),"")</f>
        <v>699.9999968</v>
      </c>
      <c r="D30" s="12">
        <v>791.8552</v>
      </c>
      <c r="E30" s="12">
        <v>817.18802889576887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IFERROR(18.91773*(1-w)-w*2.443,"")</f>
        <v>16.439885320000002</v>
      </c>
      <c r="D32" s="11">
        <v>18.91773</v>
      </c>
      <c r="E32" s="11">
        <v>19.522941176470589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IFERROR(20.22703*(1-w),"")</f>
        <v>17.88069452</v>
      </c>
      <c r="D33" s="11">
        <v>20.22703</v>
      </c>
      <c r="E33" s="11">
        <v>20.874127966976264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IFERROR(20.42561255384*(1-w),"")</f>
        <v>18.056241497594559</v>
      </c>
      <c r="D34" s="11">
        <v>20.42561255384</v>
      </c>
      <c r="E34" s="11">
        <v>21.079063523054696</v>
      </c>
      <c r="F34" s="11"/>
      <c r="G34" s="11"/>
      <c r="I34" s="13"/>
      <c r="J34" s="0" t="s">
        <v>35</v>
      </c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2">
        <v>4600</v>
      </c>
      <c r="D36" s="12"/>
      <c r="E36" s="12"/>
      <c r="F36" s="12"/>
      <c r="G36" s="12"/>
      <c r="I36" s="13"/>
      <c r="J36" s="0" t="s">
        <v>38</v>
      </c>
    </row>
    <row r="37" outlineLevel="2">
      <c r="A37" s="10" t="s">
        <v>55</v>
      </c>
      <c r="B37" s="0" t="s">
        <v>54</v>
      </c>
      <c r="C37" s="12">
        <v>200</v>
      </c>
      <c r="D37" s="12"/>
      <c r="E37" s="12"/>
      <c r="F37" s="12"/>
      <c r="G37" s="12"/>
      <c r="I37" s="13"/>
      <c r="J37" s="0" t="s">
        <v>38</v>
      </c>
    </row>
    <row r="38">
      <c r="A38" s="5" t="s">
        <v>56</v>
      </c>
      <c r="I38" s="13"/>
    </row>
    <row r="39" outlineLevel="1">
      <c r="A39" s="9" t="s">
        <v>57</v>
      </c>
      <c r="I39" s="13"/>
    </row>
    <row r="40" outlineLevel="2">
      <c r="A40" s="10" t="s">
        <v>58</v>
      </c>
      <c r="B40" s="0" t="s">
        <v>59</v>
      </c>
      <c r="C40" s="11">
        <v>5.4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59</v>
      </c>
      <c r="C41" s="11">
        <v>11.3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59</v>
      </c>
      <c r="C42" s="11">
        <v>2.6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59</v>
      </c>
      <c r="C43" s="11">
        <v>14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59</v>
      </c>
      <c r="C44" s="11">
        <v>11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59</v>
      </c>
      <c r="C45" s="11">
        <v>0.66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59</v>
      </c>
      <c r="C46" s="11">
        <v>29.8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11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https://phyllis.nl/Biomass/View/878</dc:description>
  <dcterms:created xsi:type="dcterms:W3CDTF">2026-03-17T05:48:34Z</dcterms:created>
  <dc:title>Phyllis2 #878 sunflower seed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