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80 wood, Jack pine w" sheetId="1" r:id="rId1"/>
  </sheets>
  <definedNames>
    <definedName name="w" localSheetId="0">IF(ISBLANK('Phyllis2 #880 wood, Jack pine w'!$C$18),#N/A,'Phyllis2 #880 wood, Jack pine 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<sst xmlns="http://schemas.openxmlformats.org/spreadsheetml/2006/main" count="64" uniqueCount="64">
  <si>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</si>
  <si>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https://phyllis.nl/Biomass/View/880</t>
  </si>
  <si>
    <t>wood, Jack pine waste (USA) (#880)</t>
  </si>
  <si>
    <t>ID-number</t>
  </si>
  <si>
    <t>#880</t>
  </si>
  <si>
    <t>Material</t>
  </si>
  <si>
    <t>wood, Jack pine waste (USA)</t>
  </si>
  <si>
    <t>Classification</t>
  </si>
  <si>
    <t>ECN Phyllis classification &gt; untreated wood &gt; fir/pine/spruce</t>
  </si>
  <si>
    <t>NTA 8003 classification &gt; [100] hout &gt; [110] vers hout &gt; [130] naaldhout &gt; [132] naaldhout met schors</t>
  </si>
  <si>
    <t>Ash type</t>
  </si>
  <si>
    <t>ashed at 815 degC</t>
  </si>
  <si>
    <t>Submitter organisation</t>
  </si>
  <si>
    <t>ECN (Netherlands)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</si>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</sst>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5"/>
    </row>
    <row r="17" outlineLevel="1">
      <c r="A17" s="9" t="s">
        <v>30</v>
      </c>
      <c r="I17" s="15"/>
    </row>
    <row r="18" outlineLevel="2">
      <c r="A18" s="10" t="s">
        <v>31</v>
      </c>
      <c r="B18" s="0" t="s">
        <v>32</v>
      </c>
      <c r="C18" s="11">
        <v>40</v>
      </c>
      <c r="D18" s="11"/>
      <c r="E18" s="11"/>
      <c r="F18" s="11"/>
      <c r="G18" s="11"/>
      <c r="I18" s="15"/>
    </row>
    <row r="19" outlineLevel="2">
      <c r="A19" s="10" t="s">
        <v>33</v>
      </c>
      <c r="B19" s="0" t="s">
        <v>32</v>
      </c>
      <c r="C19" s="11">
        <f>IFERROR(2.17*(1-w),"")</f>
        <v>1.3019999999999998</v>
      </c>
      <c r="D19" s="11">
        <v>2.17</v>
      </c>
      <c r="E19" s="11">
        <v/>
      </c>
      <c r="F19" s="11"/>
      <c r="G19" s="11"/>
      <c r="I19" s="15"/>
    </row>
    <row r="20" outlineLevel="2">
      <c r="A20" s="10" t="s">
        <v>34</v>
      </c>
      <c r="B20" s="0" t="s">
        <v>32</v>
      </c>
      <c r="C20" s="11">
        <f>IFERROR(74.33*(1-w),"")</f>
        <v>44.598</v>
      </c>
      <c r="D20" s="11">
        <v>74.33</v>
      </c>
      <c r="E20" s="11">
        <v>75.978738628232648</v>
      </c>
      <c r="F20" s="11"/>
      <c r="G20" s="11"/>
      <c r="I20" s="15"/>
    </row>
    <row r="21" outlineLevel="2">
      <c r="A21" s="10" t="s">
        <v>35</v>
      </c>
      <c r="B21" s="0" t="s">
        <v>32</v>
      </c>
      <c r="C21" s="11">
        <f>IFERROR(23.5*(1-w),"")</f>
        <v>14.1</v>
      </c>
      <c r="D21" s="11">
        <v>23.5</v>
      </c>
      <c r="E21" s="11">
        <v>24.021261371767352</v>
      </c>
      <c r="F21" s="11"/>
      <c r="G21" s="11"/>
      <c r="I21" s="15"/>
      <c r="J21" s="0" t="s">
        <v>36</v>
      </c>
    </row>
    <row r="22" outlineLevel="1">
      <c r="A22" s="9" t="s">
        <v>37</v>
      </c>
      <c r="I22" s="15"/>
    </row>
    <row r="23" outlineLevel="2">
      <c r="A23" s="10" t="s">
        <v>38</v>
      </c>
      <c r="B23" s="0" t="s">
        <v>32</v>
      </c>
      <c r="C23" s="11">
        <f>IFERROR(52.24122*(1-w),"")</f>
        <v>31.344731999999997</v>
      </c>
      <c r="D23" s="11">
        <v>52.24122</v>
      </c>
      <c r="E23" s="11">
        <v>53.4</v>
      </c>
      <c r="F23" s="11"/>
      <c r="G23" s="11"/>
      <c r="I23" s="15"/>
      <c r="J23" s="0" t="s">
        <v>39</v>
      </c>
    </row>
    <row r="24" outlineLevel="2">
      <c r="A24" s="10" t="s">
        <v>40</v>
      </c>
      <c r="B24" s="0" t="s">
        <v>32</v>
      </c>
      <c r="C24" s="11">
        <f>IFERROR(5.77197*(1-w),"")</f>
        <v>3.4631819999999998</v>
      </c>
      <c r="D24" s="11">
        <v>5.77197</v>
      </c>
      <c r="E24" s="11">
        <v>5.8999999999999995</v>
      </c>
      <c r="F24" s="11"/>
      <c r="G24" s="11"/>
      <c r="I24" s="15"/>
      <c r="J24" s="0" t="s">
        <v>39</v>
      </c>
    </row>
    <row r="25" outlineLevel="2">
      <c r="A25" s="10" t="s">
        <v>41</v>
      </c>
      <c r="B25" s="0" t="s">
        <v>32</v>
      </c>
      <c r="C25" s="11">
        <f>IFERROR(39.71898*(1-w),"")</f>
        <v>23.831388</v>
      </c>
      <c r="D25" s="11">
        <v>39.71898</v>
      </c>
      <c r="E25" s="11">
        <v>40.6</v>
      </c>
      <c r="F25" s="11"/>
      <c r="G25" s="11"/>
      <c r="I25" s="15"/>
      <c r="J25" s="0" t="s">
        <v>36</v>
      </c>
    </row>
    <row r="26" outlineLevel="2">
      <c r="A26" s="10" t="s">
        <v>42</v>
      </c>
      <c r="B26" s="0" t="s">
        <v>32</v>
      </c>
      <c r="C26" s="11">
        <f>IFERROR(0.09783*(1-w),"")</f>
        <v>0.058698</v>
      </c>
      <c r="D26" s="11">
        <v>0.09783</v>
      </c>
      <c r="E26" s="11">
        <v>0.1</v>
      </c>
      <c r="F26" s="11"/>
      <c r="G26" s="11"/>
      <c r="I26" s="15"/>
      <c r="J26" s="0" t="s">
        <v>39</v>
      </c>
    </row>
    <row r="27" outlineLevel="2">
      <c r="A27" s="10" t="s">
        <v>43</v>
      </c>
      <c r="B27" s="0" t="s">
        <v>32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5"/>
      <c r="J27" s="0" t="s">
        <v>36</v>
      </c>
    </row>
    <row r="28" outlineLevel="1">
      <c r="A28" s="9" t="s">
        <v>44</v>
      </c>
      <c r="I28" s="15"/>
    </row>
    <row r="29" outlineLevel="2">
      <c r="A29" s="10" t="s">
        <v>45</v>
      </c>
      <c r="B29" s="0" t="s">
        <v>46</v>
      </c>
      <c r="C29" s="11">
        <f>IFERROR(19.04507*(1-w)-w*2.443,"")</f>
        <v>10.449841999999999</v>
      </c>
      <c r="D29" s="11">
        <v>19.04507</v>
      </c>
      <c r="E29" s="11">
        <v>19.467515077174692</v>
      </c>
      <c r="F29" s="11"/>
      <c r="G29" s="11"/>
      <c r="I29" s="15"/>
    </row>
    <row r="30" outlineLevel="2">
      <c r="A30" s="10" t="s">
        <v>47</v>
      </c>
      <c r="B30" s="0" t="s">
        <v>46</v>
      </c>
      <c r="C30" s="11">
        <f>IFERROR(20.30462*(1-w),"")</f>
        <v>12.182772</v>
      </c>
      <c r="D30" s="11">
        <v>20.30462</v>
      </c>
      <c r="E30" s="11">
        <v>20.755003577634675</v>
      </c>
      <c r="F30" s="11"/>
      <c r="G30" s="11"/>
      <c r="I30" s="15"/>
    </row>
    <row r="31" outlineLevel="2">
      <c r="A31" s="10" t="s">
        <v>48</v>
      </c>
      <c r="B31" s="0" t="s">
        <v>46</v>
      </c>
      <c r="C31" s="11">
        <f>IFERROR(20.6343026217*(1-w),"")</f>
        <v>12.38058157302</v>
      </c>
      <c r="D31" s="11">
        <v>20.6343026217</v>
      </c>
      <c r="E31" s="11">
        <v>21.091999</v>
      </c>
      <c r="F31" s="11"/>
      <c r="G31" s="11"/>
      <c r="I31" s="15"/>
      <c r="J31" s="0" t="s">
        <v>36</v>
      </c>
    </row>
    <row r="32" outlineLevel="1">
      <c r="A32" s="9" t="s">
        <v>49</v>
      </c>
      <c r="I32" s="15"/>
    </row>
    <row r="33" outlineLevel="2">
      <c r="A33" s="12" t="s">
        <v>50</v>
      </c>
      <c r="I33" s="15"/>
    </row>
    <row r="34" outlineLevel="3">
      <c r="A34" s="13" t="s">
        <v>51</v>
      </c>
      <c r="B34" s="0" t="s">
        <v>52</v>
      </c>
      <c r="C34" s="14">
        <v>1343</v>
      </c>
      <c r="D34" s="14"/>
      <c r="E34" s="14"/>
      <c r="F34" s="14"/>
      <c r="G34" s="14"/>
      <c r="I34" s="15"/>
    </row>
    <row r="35" outlineLevel="3">
      <c r="A35" s="13" t="s">
        <v>53</v>
      </c>
      <c r="B35" s="0" t="s">
        <v>52</v>
      </c>
      <c r="C35" s="14">
        <v>1400</v>
      </c>
      <c r="D35" s="14"/>
      <c r="E35" s="14"/>
      <c r="F35" s="14"/>
      <c r="G35" s="14"/>
      <c r="I35" s="15"/>
    </row>
    <row r="36" outlineLevel="3">
      <c r="A36" s="13" t="s">
        <v>54</v>
      </c>
      <c r="B36" s="0" t="s">
        <v>52</v>
      </c>
      <c r="C36" s="14">
        <v>1400</v>
      </c>
      <c r="D36" s="14"/>
      <c r="E36" s="14"/>
      <c r="F36" s="14"/>
      <c r="G36" s="14"/>
      <c r="I36" s="15"/>
    </row>
    <row r="37">
      <c r="A37" s="5" t="s">
        <v>55</v>
      </c>
      <c r="I37" s="15"/>
    </row>
    <row r="38" outlineLevel="1">
      <c r="A38" s="9" t="s">
        <v>56</v>
      </c>
      <c r="I38" s="15"/>
    </row>
    <row r="39" outlineLevel="2">
      <c r="A39" s="10" t="s">
        <v>57</v>
      </c>
      <c r="B39" s="0" t="s">
        <v>58</v>
      </c>
      <c r="C39" s="11">
        <v>16</v>
      </c>
      <c r="D39" s="11"/>
      <c r="E39" s="11"/>
      <c r="F39" s="11"/>
      <c r="G39" s="11"/>
      <c r="I39" s="15"/>
    </row>
    <row r="40" outlineLevel="2">
      <c r="A40" s="10" t="s">
        <v>59</v>
      </c>
      <c r="B40" s="0" t="s">
        <v>58</v>
      </c>
      <c r="C40" s="11">
        <v>5</v>
      </c>
      <c r="D40" s="11"/>
      <c r="E40" s="11"/>
      <c r="F40" s="11"/>
      <c r="G40" s="11"/>
      <c r="I40" s="15"/>
    </row>
    <row r="41" outlineLevel="2">
      <c r="A41" s="10" t="s">
        <v>60</v>
      </c>
      <c r="B41" s="0" t="s">
        <v>58</v>
      </c>
      <c r="C41" s="11">
        <v>6.3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58</v>
      </c>
      <c r="C42" s="11">
        <v>51.6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58</v>
      </c>
      <c r="C43" s="11">
        <v>5.5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58</v>
      </c>
      <c r="C44" s="11">
        <v>4.1</v>
      </c>
      <c r="D44" s="11"/>
      <c r="E44" s="11"/>
      <c r="F44" s="11"/>
      <c r="G44" s="11"/>
      <c r="I44" s="15"/>
    </row>
    <row r="45">
      <c r="I45" s="15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4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https://phyllis.nl/Biomass/View/880</dc:description>
  <dcterms:created xsi:type="dcterms:W3CDTF">2026-03-19T07:07:10Z</dcterms:created>
  <dc:title>Phyllis2 #880 wood, Jack pine waste (USA)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