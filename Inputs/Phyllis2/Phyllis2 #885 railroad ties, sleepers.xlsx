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85 railroad ties, sl" sheetId="1" r:id="rId1"/>
  </sheets>
  <definedNames>
    <definedName name="w" localSheetId="0">IF(ISBLANK('Phyllis2 #885 railroad ties, sl'!$C$19),#N/A,'Phyllis2 #885 railroad ties, sl'!$C$19/100)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<sst xmlns="http://schemas.openxmlformats.org/spreadsheetml/2006/main" count="59" uniqueCount="59">
  <si>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</si>
  <si>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https://phyllis.nl/Biomass/View/885</t>
  </si>
  <si>
    <t>railroad ties, sleepers (#885)</t>
  </si>
  <si>
    <t>ID-number</t>
  </si>
  <si>
    <t>#885</t>
  </si>
  <si>
    <t>Material</t>
  </si>
  <si>
    <t>railroad ties, sleepers</t>
  </si>
  <si>
    <t>Classification</t>
  </si>
  <si>
    <t>ECN Phyllis classification &gt; treated wood &gt; organic impregnated &gt; railroad ties, sleepers</t>
  </si>
  <si>
    <t>NTA 8003 classification &gt; [100] hout &gt; [150] verwerkt hout &gt; [180] geïmpregneerd hout (C-hout) &gt; [184] geïmpregneerd hout: organische middelen niet-gehalogeneerd</t>
  </si>
  <si>
    <t>Ash type</t>
  </si>
  <si>
    <t>ISO 1171 (815 degC)</t>
  </si>
  <si>
    <t>Submitter organisation</t>
  </si>
  <si>
    <t>ECN (Netherlands)</t>
  </si>
  <si>
    <t>Remarks</t>
  </si>
  <si>
    <t>tested in ECN CFB gasifier (BIVKIN)</t>
  </si>
  <si>
    <t>Literature</t>
  </si>
  <si>
    <t>J. W. Vermeulen and A. van der Drift: Brandstoffen uit reststromen voor circulerend wervelbedvergassing, rapportage fase 2, (non-confidential version, in Dutch), Haarlem, NV Afvalzorg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</si>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</sst>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4"/>
    </row>
    <row r="18" outlineLevel="1">
      <c r="A18" s="9" t="s">
        <v>31</v>
      </c>
      <c r="I18" s="14"/>
    </row>
    <row r="19" outlineLevel="2">
      <c r="A19" s="10" t="s">
        <v>32</v>
      </c>
      <c r="B19" s="0" t="s">
        <v>33</v>
      </c>
      <c r="C19" s="11">
        <v>10.6</v>
      </c>
      <c r="D19" s="11"/>
      <c r="E19" s="11"/>
      <c r="F19" s="11"/>
      <c r="G19" s="11"/>
      <c r="I19" s="14"/>
    </row>
    <row r="20" outlineLevel="2">
      <c r="A20" s="10" t="s">
        <v>34</v>
      </c>
      <c r="B20" s="0" t="s">
        <v>33</v>
      </c>
      <c r="C20" s="11">
        <f>IFERROR(2.6*(1-w),"")</f>
        <v>2.3244000000000002</v>
      </c>
      <c r="D20" s="11">
        <v>2.6</v>
      </c>
      <c r="E20" s="11">
        <v/>
      </c>
      <c r="F20" s="11"/>
      <c r="G20" s="11"/>
      <c r="I20" s="14"/>
    </row>
    <row r="21" outlineLevel="2">
      <c r="A21" s="10" t="s">
        <v>35</v>
      </c>
      <c r="B21" s="0" t="s">
        <v>33</v>
      </c>
      <c r="C21" s="11">
        <f>IFERROR(79.15*(1-w),"")</f>
        <v>70.760100000000008</v>
      </c>
      <c r="D21" s="11">
        <v>79.15</v>
      </c>
      <c r="E21" s="11">
        <v>81.262833675564693</v>
      </c>
      <c r="F21" s="11"/>
      <c r="G21" s="11"/>
      <c r="I21" s="14"/>
    </row>
    <row r="22" outlineLevel="2">
      <c r="A22" s="10" t="s">
        <v>36</v>
      </c>
      <c r="B22" s="0" t="s">
        <v>33</v>
      </c>
      <c r="C22" s="11">
        <f>IFERROR(18.25*(1-w),"")</f>
        <v>16.3155</v>
      </c>
      <c r="D22" s="11">
        <v>18.25</v>
      </c>
      <c r="E22" s="11">
        <v>18.737166324435318</v>
      </c>
      <c r="F22" s="11"/>
      <c r="G22" s="11"/>
      <c r="I22" s="14"/>
      <c r="J22" s="0" t="s">
        <v>37</v>
      </c>
    </row>
    <row r="23" outlineLevel="1">
      <c r="A23" s="9" t="s">
        <v>38</v>
      </c>
      <c r="I23" s="14"/>
    </row>
    <row r="24" outlineLevel="2">
      <c r="A24" s="10" t="s">
        <v>39</v>
      </c>
      <c r="B24" s="0" t="s">
        <v>33</v>
      </c>
      <c r="C24" s="11">
        <f>IFERROR(53*(1-w),"")</f>
        <v>47.382</v>
      </c>
      <c r="D24" s="11">
        <v>53</v>
      </c>
      <c r="E24" s="11">
        <v>54.414784394250518</v>
      </c>
      <c r="F24" s="11"/>
      <c r="G24" s="11"/>
      <c r="I24" s="14"/>
      <c r="J24" s="0" t="s">
        <v>40</v>
      </c>
    </row>
    <row r="25" outlineLevel="2">
      <c r="A25" s="10" t="s">
        <v>41</v>
      </c>
      <c r="B25" s="0" t="s">
        <v>33</v>
      </c>
      <c r="C25" s="11">
        <f>IFERROR(5.63*(1-w),"")</f>
        <v>5.03322</v>
      </c>
      <c r="D25" s="11">
        <v>5.63</v>
      </c>
      <c r="E25" s="11">
        <v>5.7802874743326491</v>
      </c>
      <c r="F25" s="11"/>
      <c r="G25" s="11"/>
      <c r="I25" s="14"/>
      <c r="J25" s="0" t="s">
        <v>40</v>
      </c>
    </row>
    <row r="26" outlineLevel="2">
      <c r="A26" s="10" t="s">
        <v>42</v>
      </c>
      <c r="B26" s="0" t="s">
        <v>33</v>
      </c>
      <c r="C26" s="11">
        <f>IFERROR(38.39*(1-w),"")</f>
        <v>34.320660000000004</v>
      </c>
      <c r="D26" s="11">
        <v>38.39</v>
      </c>
      <c r="E26" s="11">
        <v>39.414784394250518</v>
      </c>
      <c r="F26" s="11"/>
      <c r="G26" s="11"/>
      <c r="I26" s="14"/>
      <c r="J26" s="0" t="s">
        <v>37</v>
      </c>
    </row>
    <row r="27" outlineLevel="2">
      <c r="A27" s="10" t="s">
        <v>43</v>
      </c>
      <c r="B27" s="0" t="s">
        <v>33</v>
      </c>
      <c r="C27" s="11">
        <f>IFERROR(0.259*(1-w),"")</f>
        <v>0.231546</v>
      </c>
      <c r="D27" s="11">
        <v>0.259</v>
      </c>
      <c r="E27" s="11">
        <v>0.26591375770020537</v>
      </c>
      <c r="F27" s="11"/>
      <c r="G27" s="11"/>
      <c r="I27" s="14"/>
      <c r="J27" s="0" t="s">
        <v>40</v>
      </c>
    </row>
    <row r="28" outlineLevel="2">
      <c r="A28" s="10" t="s">
        <v>44</v>
      </c>
      <c r="B28" s="0" t="s">
        <v>33</v>
      </c>
      <c r="C28" s="11">
        <f>IFERROR(0.1016*(1-w),"")</f>
        <v>0.090830399999999992</v>
      </c>
      <c r="D28" s="11">
        <v>0.1016</v>
      </c>
      <c r="E28" s="11">
        <v>0.10431211498973306</v>
      </c>
      <c r="F28" s="11"/>
      <c r="G28" s="11"/>
      <c r="I28" s="14"/>
      <c r="J28" s="0" t="s">
        <v>40</v>
      </c>
    </row>
    <row r="29" outlineLevel="2">
      <c r="A29" s="10" t="s">
        <v>45</v>
      </c>
      <c r="B29" s="0" t="s">
        <v>33</v>
      </c>
      <c r="C29" s="11">
        <f>IFERROR(99.99793*(1-w)+w*100,"")</f>
        <v>99.99814942</v>
      </c>
      <c r="D29" s="11">
        <v>99.997930000000011</v>
      </c>
      <c r="E29" s="11">
        <v>99.9978747433265</v>
      </c>
      <c r="F29" s="11"/>
      <c r="G29" s="11"/>
      <c r="I29" s="14"/>
      <c r="J29" s="0" t="s">
        <v>37</v>
      </c>
    </row>
    <row r="30" outlineLevel="1">
      <c r="A30" s="9" t="s">
        <v>46</v>
      </c>
      <c r="I30" s="14"/>
    </row>
    <row r="31" outlineLevel="2">
      <c r="A31" s="10" t="s">
        <v>47</v>
      </c>
      <c r="B31" s="0" t="s">
        <v>48</v>
      </c>
      <c r="C31" s="12">
        <f>IFERROR(157*(1-w),"")</f>
        <v>140.358</v>
      </c>
      <c r="D31" s="12">
        <v>157</v>
      </c>
      <c r="E31" s="12">
        <v>161.19096509240248</v>
      </c>
      <c r="F31" s="12"/>
      <c r="G31" s="12"/>
      <c r="I31" s="14"/>
      <c r="J31" s="0" t="s">
        <v>40</v>
      </c>
    </row>
    <row r="32" outlineLevel="2">
      <c r="A32" s="10" t="s">
        <v>49</v>
      </c>
      <c r="B32" s="0" t="s">
        <v>48</v>
      </c>
      <c r="C32" s="12">
        <f>IFERROR(16.3*(1-w),"")</f>
        <v>14.5722</v>
      </c>
      <c r="D32" s="12">
        <v>16.3</v>
      </c>
      <c r="E32" s="12">
        <v>16.735112936344969</v>
      </c>
      <c r="F32" s="12"/>
      <c r="G32" s="12"/>
      <c r="I32" s="14"/>
      <c r="J32" s="0" t="s">
        <v>40</v>
      </c>
    </row>
    <row r="33" outlineLevel="1">
      <c r="A33" s="9" t="s">
        <v>50</v>
      </c>
      <c r="I33" s="14"/>
    </row>
    <row r="34" outlineLevel="2">
      <c r="A34" s="10" t="s">
        <v>51</v>
      </c>
      <c r="B34" s="0" t="s">
        <v>52</v>
      </c>
      <c r="C34" s="11">
        <f>IFERROR(19.86344*(1-w)-w*2.443,"")</f>
        <v>17.498957360000002</v>
      </c>
      <c r="D34" s="11">
        <v>19.86344</v>
      </c>
      <c r="E34" s="11">
        <v>20.393675564681725</v>
      </c>
      <c r="F34" s="11"/>
      <c r="G34" s="11"/>
      <c r="I34" s="14"/>
    </row>
    <row r="35" outlineLevel="2">
      <c r="A35" s="10" t="s">
        <v>53</v>
      </c>
      <c r="B35" s="0" t="s">
        <v>52</v>
      </c>
      <c r="C35" s="11">
        <f>IFERROR(21.092*(1-w),"")</f>
        <v>18.856248</v>
      </c>
      <c r="D35" s="11">
        <v>21.092</v>
      </c>
      <c r="E35" s="11">
        <v>21.655030800821354</v>
      </c>
      <c r="F35" s="11"/>
      <c r="G35" s="11"/>
      <c r="I35" s="14"/>
    </row>
    <row r="36" outlineLevel="2">
      <c r="A36" s="10" t="s">
        <v>54</v>
      </c>
      <c r="B36" s="0" t="s">
        <v>52</v>
      </c>
      <c r="C36" s="11">
        <f>IFERROR(20.84620404*(1-w),"")</f>
        <v>18.636506411760003</v>
      </c>
      <c r="D36" s="11">
        <v>20.846204040000003</v>
      </c>
      <c r="E36" s="11">
        <v>21.4026735523614</v>
      </c>
      <c r="F36" s="11"/>
      <c r="G36" s="11"/>
      <c r="I36" s="14"/>
      <c r="J36" s="0" t="s">
        <v>37</v>
      </c>
    </row>
    <row r="37">
      <c r="A37" s="5" t="s">
        <v>55</v>
      </c>
      <c r="I37" s="14"/>
    </row>
    <row r="38" outlineLevel="1">
      <c r="A38" s="9" t="s">
        <v>56</v>
      </c>
      <c r="I38" s="14"/>
    </row>
    <row r="39" outlineLevel="2">
      <c r="A39" s="10" t="s">
        <v>57</v>
      </c>
      <c r="B39" s="0" t="s">
        <v>58</v>
      </c>
      <c r="C39" s="13">
        <v>170</v>
      </c>
      <c r="D39" s="13"/>
      <c r="E39" s="13"/>
      <c r="F39" s="13"/>
      <c r="G39" s="13"/>
      <c r="I39" s="14"/>
    </row>
    <row r="40">
      <c r="I40" s="14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9:E39"/>
  </mergeCells>
  <dataValidations count="1">
    <dataValidation type="decimal" sqref="C19" errorStyle="stop" promptTitle="Enter moisture content" errorTitle="Invalid moisture content" prompt="Value should be between 0 and 100.&#10;Original value: 10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https://phyllis.nl/Biomass/View/885</dc:description>
  <dcterms:created xsi:type="dcterms:W3CDTF">2026-03-19T04:04:02Z</dcterms:created>
  <dc:title>Phyllis2 #885 railroad ties, sleepers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