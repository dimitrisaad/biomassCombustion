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89 corn stover" sheetId="1" r:id="rId1"/>
  </sheets>
  <definedNames>
    <definedName name="w" localSheetId="0">IF(ISBLANK('Phyllis2 #889 corn stover'!$C$19),#N/A,'Phyllis2 #889 corn stover'!$C$19/100)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<sst xmlns="http://schemas.openxmlformats.org/spreadsheetml/2006/main" count="74" uniqueCount="74">
  <si>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</si>
  <si>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https://phyllis.nl/Biomass/View/889</t>
  </si>
  <si>
    <t>corn stover (#889)</t>
  </si>
  <si>
    <t>ID-number</t>
  </si>
  <si>
    <t>#889</t>
  </si>
  <si>
    <t>Material</t>
  </si>
  <si>
    <t>corn stover</t>
  </si>
  <si>
    <t>Classification</t>
  </si>
  <si>
    <t>ECN Phyllis classification &gt; straw (stalk/cob/ear) &gt; maize/corn &gt; corn stover</t>
  </si>
  <si>
    <t>NTA 8003 classification &gt; [200] biomassa uit land- en tuinbouw &gt; [240] gewassen &gt; [241] mais</t>
  </si>
  <si>
    <t>Sample lot size</t>
  </si>
  <si>
    <t>mesh -4+16 (tot 1.2 mm)</t>
  </si>
  <si>
    <t>Submitter organisation</t>
  </si>
  <si>
    <t>ECN (Netherlands)</t>
  </si>
  <si>
    <t>Remarks</t>
  </si>
  <si>
    <t>biochem. comp.: 13.5% rest (extractives) and 7.4% ash.</t>
  </si>
  <si>
    <t>Literature</t>
  </si>
  <si>
    <t>R. J. Evans, A. R. Knight, M. Onischak and S. P. Babu: Development of biomass gasification to produce substitute fuels, Richland, Washington, USA, Pacific Northwest Laboratory (PNL), PNL--6518, 14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</si>
  <si>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</si>
  <si>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</si>
  <si>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</si>
  <si>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</si>
  <si>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</si>
  <si>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</si>
  <si>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</si>
  <si>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</si>
  <si>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</si>
  <si>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</si>
  <si>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</si>
  <si>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</si>
  <si>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</si>
  <si>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</si>
  <si>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</si>
  <si>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</si>
  <si>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</si>
  <si>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</si>
  <si>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</si>
  <si>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</si>
  <si>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</si>
  <si>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</si>
  <si>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</si>
  <si>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</si>
  <si>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</si>
  <si>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</si>
  <si>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</si>
  <si>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</si>
  <si>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</si>
  <si>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</si>
  <si>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</si>
  <si>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</si>
  <si>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</si>
  <si>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</si>
  <si>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</si>
  <si>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</si>
  <si>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</si>
  <si>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</si>
  <si>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</si>
  <si>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</si>
  <si>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</si>
  <si>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</si>
  <si>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</si>
  <si>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American standard method, measured in reducing conditions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</si>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</sst>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5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IFERROR(7.35*(1-w),"")</f>
        <v>6.982499999999999</v>
      </c>
      <c r="D20" s="11">
        <v>7.35</v>
      </c>
      <c r="E20" s="11">
        <v/>
      </c>
      <c r="F20" s="11"/>
      <c r="G20" s="11"/>
      <c r="I20" s="16"/>
    </row>
    <row r="21" outlineLevel="2">
      <c r="A21" s="10" t="s">
        <v>35</v>
      </c>
      <c r="B21" s="0" t="s">
        <v>33</v>
      </c>
      <c r="C21" s="11">
        <f>IFERROR(78.1*(1-w),"")</f>
        <v>74.195</v>
      </c>
      <c r="D21" s="11">
        <v>78.1</v>
      </c>
      <c r="E21" s="11">
        <v>84.29573664328116</v>
      </c>
      <c r="F21" s="11"/>
      <c r="G21" s="11"/>
      <c r="I21" s="16"/>
    </row>
    <row r="22" outlineLevel="2">
      <c r="A22" s="10" t="s">
        <v>36</v>
      </c>
      <c r="B22" s="0" t="s">
        <v>33</v>
      </c>
      <c r="C22" s="11">
        <f>IFERROR(14.55*(1-w),"")</f>
        <v>13.82250000000001</v>
      </c>
      <c r="D22" s="11">
        <v>14.550000000000011</v>
      </c>
      <c r="E22" s="11">
        <v>15.704263356718847</v>
      </c>
      <c r="F22" s="11"/>
      <c r="G22" s="11"/>
      <c r="I22" s="16"/>
      <c r="J22" s="0" t="s">
        <v>37</v>
      </c>
    </row>
    <row r="23" outlineLevel="1">
      <c r="A23" s="9" t="s">
        <v>38</v>
      </c>
      <c r="I23" s="16"/>
    </row>
    <row r="24" outlineLevel="2">
      <c r="A24" s="10" t="s">
        <v>39</v>
      </c>
      <c r="B24" s="0" t="s">
        <v>33</v>
      </c>
      <c r="C24" s="11">
        <f>IFERROR(46.5*(1-w),"")</f>
        <v>44.175</v>
      </c>
      <c r="D24" s="11">
        <v>46.5</v>
      </c>
      <c r="E24" s="11">
        <v>50.188882892606586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IFERROR(5.81*(1-w),"")</f>
        <v>5.519499999999999</v>
      </c>
      <c r="D25" s="11">
        <v>5.81</v>
      </c>
      <c r="E25" s="11">
        <v>6.2709120345385854</v>
      </c>
      <c r="F25" s="11"/>
      <c r="G25" s="11"/>
      <c r="I25" s="16"/>
      <c r="J25" s="0" t="s">
        <v>40</v>
      </c>
    </row>
    <row r="26" outlineLevel="2">
      <c r="A26" s="10" t="s">
        <v>42</v>
      </c>
      <c r="B26" s="0" t="s">
        <v>33</v>
      </c>
      <c r="C26" s="11">
        <f>IFERROR(39.67*(1-w),"")</f>
        <v>37.6865</v>
      </c>
      <c r="D26" s="11">
        <v>39.67</v>
      </c>
      <c r="E26" s="11">
        <v>42.81705342687534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IFERROR(0.56*(1-w),"")</f>
        <v>0.532</v>
      </c>
      <c r="D27" s="11">
        <v>0.56</v>
      </c>
      <c r="E27" s="11">
        <v>0.60442525634106858</v>
      </c>
      <c r="F27" s="11"/>
      <c r="G27" s="11"/>
      <c r="I27" s="16"/>
      <c r="J27" s="0" t="s">
        <v>40</v>
      </c>
    </row>
    <row r="28" outlineLevel="2">
      <c r="A28" s="10" t="s">
        <v>44</v>
      </c>
      <c r="B28" s="0" t="s">
        <v>33</v>
      </c>
      <c r="C28" s="11">
        <f>IFERROR(0.11*(1-w),"")</f>
        <v>0.1045</v>
      </c>
      <c r="D28" s="11">
        <v>0.11</v>
      </c>
      <c r="E28" s="11">
        <v>0.11872638963842418</v>
      </c>
      <c r="F28" s="11"/>
      <c r="G28" s="11"/>
      <c r="I28" s="16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100.00000000000001</v>
      </c>
      <c r="F29" s="11"/>
      <c r="G29" s="11"/>
      <c r="I29" s="16"/>
      <c r="J29" s="0" t="s">
        <v>37</v>
      </c>
    </row>
    <row r="30" outlineLevel="1">
      <c r="A30" s="9" t="s">
        <v>46</v>
      </c>
      <c r="I30" s="16"/>
    </row>
    <row r="31" outlineLevel="2">
      <c r="A31" s="10" t="s">
        <v>47</v>
      </c>
      <c r="B31" s="0" t="s">
        <v>48</v>
      </c>
      <c r="C31" s="12">
        <f>IFERROR(0*(1-w),"")</f>
        <v>0</v>
      </c>
      <c r="D31" s="12">
        <v>0</v>
      </c>
      <c r="E31" s="12">
        <v>0</v>
      </c>
      <c r="F31" s="12"/>
      <c r="G31" s="12"/>
      <c r="I31" s="16"/>
      <c r="J31" s="0" t="s">
        <v>40</v>
      </c>
    </row>
    <row r="32" outlineLevel="1">
      <c r="A32" s="9" t="s">
        <v>49</v>
      </c>
      <c r="I32" s="16"/>
    </row>
    <row r="33" outlineLevel="2">
      <c r="A33" s="10" t="s">
        <v>50</v>
      </c>
      <c r="B33" s="0" t="s">
        <v>51</v>
      </c>
      <c r="C33" s="11">
        <f>IFERROR(17.72816*(1-w)-w*2.443,"")</f>
        <v>16.719602</v>
      </c>
      <c r="D33" s="11">
        <v>17.72816</v>
      </c>
      <c r="E33" s="11">
        <v>19.134549379384779</v>
      </c>
      <c r="F33" s="11"/>
      <c r="G33" s="11"/>
      <c r="I33" s="16"/>
    </row>
    <row r="34" outlineLevel="2">
      <c r="A34" s="10" t="s">
        <v>52</v>
      </c>
      <c r="B34" s="0" t="s">
        <v>51</v>
      </c>
      <c r="C34" s="11">
        <f>IFERROR(18.996*(1-w),"")</f>
        <v>18.0462</v>
      </c>
      <c r="D34" s="11">
        <v>18.996</v>
      </c>
      <c r="E34" s="11">
        <v>20.502968159740959</v>
      </c>
      <c r="F34" s="11"/>
      <c r="G34" s="11"/>
      <c r="I34" s="16"/>
    </row>
    <row r="35" outlineLevel="2">
      <c r="A35" s="10" t="s">
        <v>53</v>
      </c>
      <c r="B35" s="0" t="s">
        <v>51</v>
      </c>
      <c r="C35" s="11">
        <f>IFERROR(18.6130764425*(1-w),"")</f>
        <v>17.682422620374997</v>
      </c>
      <c r="D35" s="11">
        <v>18.6130764425</v>
      </c>
      <c r="E35" s="11">
        <v>20.089666964382083</v>
      </c>
      <c r="F35" s="11"/>
      <c r="G35" s="11"/>
      <c r="I35" s="16"/>
      <c r="J35" s="0" t="s">
        <v>37</v>
      </c>
    </row>
    <row r="36" outlineLevel="1">
      <c r="A36" s="9" t="s">
        <v>54</v>
      </c>
      <c r="I36" s="16"/>
    </row>
    <row r="37" outlineLevel="2">
      <c r="A37" s="13" t="s">
        <v>55</v>
      </c>
      <c r="I37" s="16"/>
    </row>
    <row r="38" outlineLevel="3">
      <c r="A38" s="14" t="s">
        <v>56</v>
      </c>
      <c r="B38" s="0" t="s">
        <v>57</v>
      </c>
      <c r="C38" s="15">
        <v>1277</v>
      </c>
      <c r="D38" s="15"/>
      <c r="E38" s="15"/>
      <c r="F38" s="15"/>
      <c r="G38" s="15"/>
      <c r="I38" s="16"/>
    </row>
    <row r="39" outlineLevel="3">
      <c r="A39" s="14" t="s">
        <v>58</v>
      </c>
      <c r="B39" s="0" t="s">
        <v>57</v>
      </c>
      <c r="C39" s="15">
        <v>1500</v>
      </c>
      <c r="D39" s="15"/>
      <c r="E39" s="15"/>
      <c r="F39" s="15"/>
      <c r="G39" s="15"/>
      <c r="I39" s="16"/>
    </row>
    <row r="40" outlineLevel="3">
      <c r="A40" s="14" t="s">
        <v>59</v>
      </c>
      <c r="B40" s="0" t="s">
        <v>57</v>
      </c>
      <c r="C40" s="15">
        <v>1500</v>
      </c>
      <c r="D40" s="15"/>
      <c r="E40" s="15"/>
      <c r="F40" s="15"/>
      <c r="G40" s="15"/>
      <c r="I40" s="16"/>
    </row>
    <row r="41" outlineLevel="3">
      <c r="A41" s="14" t="s">
        <v>60</v>
      </c>
      <c r="B41" s="0" t="s">
        <v>57</v>
      </c>
      <c r="C41" s="15">
        <v>1500</v>
      </c>
      <c r="D41" s="15"/>
      <c r="E41" s="15"/>
      <c r="F41" s="15"/>
      <c r="G41" s="15"/>
      <c r="I41" s="16"/>
    </row>
    <row r="42" outlineLevel="2">
      <c r="A42" s="13" t="s">
        <v>61</v>
      </c>
      <c r="I42" s="16"/>
    </row>
    <row r="43" outlineLevel="3">
      <c r="A43" s="14" t="s">
        <v>56</v>
      </c>
      <c r="B43" s="0" t="s">
        <v>57</v>
      </c>
      <c r="C43" s="15">
        <v>1232</v>
      </c>
      <c r="D43" s="15"/>
      <c r="E43" s="15"/>
      <c r="F43" s="15"/>
      <c r="G43" s="15"/>
      <c r="I43" s="16"/>
    </row>
    <row r="44" outlineLevel="3">
      <c r="A44" s="14" t="s">
        <v>58</v>
      </c>
      <c r="B44" s="0" t="s">
        <v>57</v>
      </c>
      <c r="C44" s="15">
        <v>1500</v>
      </c>
      <c r="D44" s="15"/>
      <c r="E44" s="15"/>
      <c r="F44" s="15"/>
      <c r="G44" s="15"/>
      <c r="I44" s="16"/>
    </row>
    <row r="45" outlineLevel="3">
      <c r="A45" s="14" t="s">
        <v>59</v>
      </c>
      <c r="B45" s="0" t="s">
        <v>57</v>
      </c>
      <c r="C45" s="15">
        <v>1500</v>
      </c>
      <c r="D45" s="15"/>
      <c r="E45" s="15"/>
      <c r="F45" s="15"/>
      <c r="G45" s="15"/>
      <c r="I45" s="16"/>
    </row>
    <row r="46" outlineLevel="3">
      <c r="A46" s="14" t="s">
        <v>60</v>
      </c>
      <c r="B46" s="0" t="s">
        <v>57</v>
      </c>
      <c r="C46" s="15">
        <v>1500</v>
      </c>
      <c r="D46" s="15"/>
      <c r="E46" s="15"/>
      <c r="F46" s="15"/>
      <c r="G46" s="15"/>
      <c r="I46" s="16"/>
    </row>
    <row r="47" outlineLevel="1">
      <c r="A47" s="9" t="s">
        <v>62</v>
      </c>
      <c r="I47" s="16"/>
    </row>
    <row r="48" outlineLevel="2">
      <c r="A48" s="13" t="s">
        <v>63</v>
      </c>
      <c r="I48" s="16"/>
    </row>
    <row r="49" outlineLevel="3">
      <c r="A49" s="14" t="s">
        <v>64</v>
      </c>
      <c r="B49" s="0" t="s">
        <v>65</v>
      </c>
      <c r="C49" s="11">
        <v>36.8</v>
      </c>
      <c r="D49" s="11"/>
      <c r="E49" s="11"/>
      <c r="F49" s="11"/>
      <c r="G49" s="11"/>
      <c r="I49" s="16"/>
      <c r="J49" s="0" t="s">
        <v>40</v>
      </c>
    </row>
    <row r="50" outlineLevel="3">
      <c r="A50" s="14" t="s">
        <v>66</v>
      </c>
      <c r="B50" s="0" t="s">
        <v>65</v>
      </c>
      <c r="C50" s="11">
        <v>25.4</v>
      </c>
      <c r="D50" s="11"/>
      <c r="E50" s="11"/>
      <c r="F50" s="11"/>
      <c r="G50" s="11"/>
      <c r="I50" s="16"/>
      <c r="J50" s="0" t="s">
        <v>40</v>
      </c>
    </row>
    <row r="51" outlineLevel="3">
      <c r="A51" s="14" t="s">
        <v>67</v>
      </c>
      <c r="B51" s="0" t="s">
        <v>65</v>
      </c>
      <c r="C51" s="11">
        <v>16.9</v>
      </c>
      <c r="D51" s="11"/>
      <c r="E51" s="11"/>
      <c r="F51" s="11"/>
      <c r="G51" s="11"/>
      <c r="I51" s="16"/>
      <c r="J51" s="0" t="s">
        <v>40</v>
      </c>
    </row>
    <row r="52" outlineLevel="2">
      <c r="A52" s="13" t="s">
        <v>68</v>
      </c>
      <c r="I52" s="16"/>
    </row>
    <row r="53" outlineLevel="3">
      <c r="A53" s="14" t="s">
        <v>69</v>
      </c>
      <c r="B53" s="0" t="s">
        <v>65</v>
      </c>
      <c r="C53" s="11">
        <v>86.449999999999989</v>
      </c>
      <c r="D53" s="11"/>
      <c r="E53" s="11"/>
      <c r="F53" s="11"/>
      <c r="G53" s="11"/>
      <c r="I53" s="16"/>
      <c r="J53" s="0" t="s">
        <v>37</v>
      </c>
    </row>
    <row r="54">
      <c r="A54" s="5" t="s">
        <v>70</v>
      </c>
      <c r="I54" s="16"/>
    </row>
    <row r="55" outlineLevel="1">
      <c r="A55" s="9" t="s">
        <v>71</v>
      </c>
      <c r="I55" s="16"/>
    </row>
    <row r="56" outlineLevel="2">
      <c r="A56" s="10" t="s">
        <v>72</v>
      </c>
      <c r="B56" s="0" t="s">
        <v>73</v>
      </c>
      <c r="C56" s="15">
        <v>126</v>
      </c>
      <c r="D56" s="15"/>
      <c r="E56" s="15"/>
      <c r="F56" s="15"/>
      <c r="G56" s="15"/>
      <c r="I56" s="16"/>
    </row>
    <row r="57">
      <c r="I57" s="16"/>
    </row>
    <row r="5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3:E43"/>
    <mergeCell ref="C44:E44"/>
    <mergeCell ref="C45:E45"/>
    <mergeCell ref="C46:E46"/>
    <mergeCell ref="C49:E49"/>
    <mergeCell ref="C50:E50"/>
    <mergeCell ref="C51:E51"/>
    <mergeCell ref="C53:E53"/>
    <mergeCell ref="C56:E56"/>
  </mergeCells>
  <dataValidations count="1">
    <dataValidation type="decimal" sqref="C19" errorStyle="stop" promptTitle="Enter moisture content" errorTitle="Invalid moisture content" prompt="Value should be between 0 and 100.&#10;Original value: 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https://phyllis.nl/Biomass/View/889</dc:description>
  <dcterms:created xsi:type="dcterms:W3CDTF">2026-03-17T06:05:58Z</dcterms:created>
  <dc:title>Phyllis2 #889 corn stover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