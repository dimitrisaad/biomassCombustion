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90 corn stover, dens" sheetId="1" r:id="rId1"/>
  </sheets>
  <definedNames>
    <definedName name="w" localSheetId="0">IF(ISBLANK('Phyllis2 #890 corn stover, dens'!$C$20),#N/A,'Phyllis2 #890 corn stover, dens'!$C$20/100)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<sst xmlns="http://schemas.openxmlformats.org/spreadsheetml/2006/main" count="73" uniqueCount="73">
  <si>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</si>
  <si>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https://phyllis.nl/Biomass/View/890</t>
  </si>
  <si>
    <t>corn stover, densified (no binder) (#890)</t>
  </si>
  <si>
    <t>ID-number</t>
  </si>
  <si>
    <t>#890</t>
  </si>
  <si>
    <t>Material</t>
  </si>
  <si>
    <t>corn stover, densified (no binder)</t>
  </si>
  <si>
    <t>Description</t>
  </si>
  <si>
    <t>densified</t>
  </si>
  <si>
    <t>Classification</t>
  </si>
  <si>
    <t>ECN Phyllis classification &gt; straw (stalk/cob/ear) &gt; maize/corn</t>
  </si>
  <si>
    <t>NTA 8003 classification &gt; [200] biomassa uit land- en tuinbouw &gt; [240] gewassen &gt; [241] mais</t>
  </si>
  <si>
    <t>Sample lot size</t>
  </si>
  <si>
    <t>mesh -4+16 (tot 1.2 mm)</t>
  </si>
  <si>
    <t>Submitter organisation</t>
  </si>
  <si>
    <t>ECN (Netherlands)</t>
  </si>
  <si>
    <t>Remarks</t>
  </si>
  <si>
    <t>biochem. comp.: 8.6% rest (extractives) and 21.57% ash.</t>
  </si>
  <si>
    <t>Literature</t>
  </si>
  <si>
    <t>R. J. Evans, A. R. Knight, M. Onischak and S. P. Babu: Development of biomass gasification to produce substitute fuels, Richland, Washington, USA, Pacific Northwest Laboratory (PNL), PNL--6518, 14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</si>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</sst>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5" t="s">
        <v>7</v>
      </c>
      <c r="B7" s="0" t="s">
        <v>8</v>
      </c>
    </row>
    <row r="8" outlineLevel="1">
      <c r="A8" s="6" t="s">
        <v>9</v>
      </c>
      <c r="B8" s="0" t="s">
        <v>10</v>
      </c>
    </row>
    <row r="9" outlineLevel="1">
      <c r="A9" s="6"/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 outlineLevel="1">
      <c r="A13" s="5" t="s">
        <v>18</v>
      </c>
      <c r="B13" s="0" t="s">
        <v>19</v>
      </c>
    </row>
    <row r="14">
      <c r="A14" s="5"/>
    </row>
    <row r="15" s="1" customFormat="1">
      <c r="A15" s="7" t="s">
        <v>20</v>
      </c>
    </row>
    <row r="16" s="1" customFormat="1">
      <c r="A16" s="8" t="s">
        <v>21</v>
      </c>
      <c r="B16" s="8" t="s">
        <v>22</v>
      </c>
      <c r="C16" s="8" t="s">
        <v>23</v>
      </c>
      <c r="D16" s="8"/>
      <c r="E16" s="8"/>
      <c r="F16" s="8" t="s">
        <v>24</v>
      </c>
      <c r="G16" s="8" t="s">
        <v>25</v>
      </c>
      <c r="H16" s="8" t="s">
        <v>26</v>
      </c>
      <c r="I16" s="8" t="s">
        <v>27</v>
      </c>
      <c r="J16" s="8" t="s">
        <v>28</v>
      </c>
      <c r="K16" s="8" t="s">
        <v>16</v>
      </c>
      <c r="L16" s="8"/>
    </row>
    <row r="17" s="1" customFormat="1">
      <c r="A17" s="8"/>
      <c r="B17" s="8"/>
      <c r="C17" s="8" t="s">
        <v>29</v>
      </c>
      <c r="D17" s="8" t="s">
        <v>30</v>
      </c>
      <c r="E17" s="8" t="s">
        <v>31</v>
      </c>
      <c r="F17" s="8"/>
      <c r="G17" s="8"/>
      <c r="H17" s="8"/>
      <c r="I17" s="8"/>
      <c r="J17" s="8"/>
      <c r="K17" s="8"/>
      <c r="L17" s="8"/>
    </row>
    <row r="18">
      <c r="A18" s="5" t="s">
        <v>32</v>
      </c>
      <c r="I18" s="15"/>
    </row>
    <row r="19" outlineLevel="1">
      <c r="A19" s="9" t="s">
        <v>33</v>
      </c>
      <c r="I19" s="15"/>
    </row>
    <row r="20" outlineLevel="2">
      <c r="A20" s="10" t="s">
        <v>34</v>
      </c>
      <c r="B20" s="0" t="s">
        <v>35</v>
      </c>
      <c r="C20" s="11">
        <v>5.9</v>
      </c>
      <c r="D20" s="11"/>
      <c r="E20" s="11"/>
      <c r="F20" s="11"/>
      <c r="G20" s="11"/>
      <c r="I20" s="15"/>
    </row>
    <row r="21" outlineLevel="2">
      <c r="A21" s="10" t="s">
        <v>36</v>
      </c>
      <c r="B21" s="0" t="s">
        <v>35</v>
      </c>
      <c r="C21" s="11">
        <f>IFERROR(21.57*(1-w),"")</f>
        <v>20.29737</v>
      </c>
      <c r="D21" s="11">
        <v>21.57</v>
      </c>
      <c r="E21" s="11">
        <v/>
      </c>
      <c r="F21" s="11"/>
      <c r="G21" s="11"/>
      <c r="I21" s="15"/>
    </row>
    <row r="22" outlineLevel="2">
      <c r="A22" s="10" t="s">
        <v>37</v>
      </c>
      <c r="B22" s="0" t="s">
        <v>35</v>
      </c>
      <c r="C22" s="11">
        <f>IFERROR(63.9*(1-w),"")</f>
        <v>60.129899999999992</v>
      </c>
      <c r="D22" s="11">
        <v>63.9</v>
      </c>
      <c r="E22" s="11">
        <v>81.473925793701383</v>
      </c>
      <c r="F22" s="11"/>
      <c r="G22" s="11"/>
      <c r="I22" s="15"/>
    </row>
    <row r="23" outlineLevel="2">
      <c r="A23" s="10" t="s">
        <v>38</v>
      </c>
      <c r="B23" s="0" t="s">
        <v>35</v>
      </c>
      <c r="C23" s="11">
        <f>IFERROR(14.53*(1-w),"")</f>
        <v>13.672730000000007</v>
      </c>
      <c r="D23" s="11">
        <v>14.530000000000008</v>
      </c>
      <c r="E23" s="11">
        <v>18.52607420629862</v>
      </c>
      <c r="F23" s="11"/>
      <c r="G23" s="11"/>
      <c r="I23" s="15"/>
      <c r="J23" s="0" t="s">
        <v>39</v>
      </c>
    </row>
    <row r="24" outlineLevel="1">
      <c r="A24" s="9" t="s">
        <v>40</v>
      </c>
      <c r="I24" s="15"/>
    </row>
    <row r="25" outlineLevel="2">
      <c r="A25" s="10" t="s">
        <v>41</v>
      </c>
      <c r="B25" s="0" t="s">
        <v>35</v>
      </c>
      <c r="C25" s="11">
        <f>IFERROR(37.8*(1-w),"")</f>
        <v>35.569799999999994</v>
      </c>
      <c r="D25" s="11">
        <v>37.8</v>
      </c>
      <c r="E25" s="11">
        <v>48.195843427259973</v>
      </c>
      <c r="F25" s="11"/>
      <c r="G25" s="11"/>
      <c r="I25" s="15"/>
      <c r="J25" s="0" t="s">
        <v>42</v>
      </c>
    </row>
    <row r="26" outlineLevel="2">
      <c r="A26" s="10" t="s">
        <v>43</v>
      </c>
      <c r="B26" s="0" t="s">
        <v>35</v>
      </c>
      <c r="C26" s="11">
        <f>IFERROR(4.84*(1-w),"")</f>
        <v>4.55444</v>
      </c>
      <c r="D26" s="11">
        <v>4.84</v>
      </c>
      <c r="E26" s="11">
        <v>6.1711079943899021</v>
      </c>
      <c r="F26" s="11"/>
      <c r="G26" s="11"/>
      <c r="I26" s="15"/>
      <c r="J26" s="0" t="s">
        <v>42</v>
      </c>
    </row>
    <row r="27" outlineLevel="2">
      <c r="A27" s="10" t="s">
        <v>44</v>
      </c>
      <c r="B27" s="0" t="s">
        <v>35</v>
      </c>
      <c r="C27" s="11">
        <f>IFERROR(35.05*(1-w),"")</f>
        <v>32.982049999999994</v>
      </c>
      <c r="D27" s="11">
        <v>35.05</v>
      </c>
      <c r="E27" s="11">
        <v>44.689532066811168</v>
      </c>
      <c r="F27" s="11"/>
      <c r="G27" s="11"/>
      <c r="I27" s="15"/>
      <c r="J27" s="0" t="s">
        <v>42</v>
      </c>
    </row>
    <row r="28" outlineLevel="2">
      <c r="A28" s="10" t="s">
        <v>45</v>
      </c>
      <c r="B28" s="0" t="s">
        <v>35</v>
      </c>
      <c r="C28" s="11">
        <f>IFERROR(0.65*(1-w),"")</f>
        <v>0.61165</v>
      </c>
      <c r="D28" s="11">
        <v>0.65</v>
      </c>
      <c r="E28" s="11">
        <v>0.82876450337880914</v>
      </c>
      <c r="F28" s="11"/>
      <c r="G28" s="11"/>
      <c r="I28" s="15"/>
      <c r="J28" s="0" t="s">
        <v>42</v>
      </c>
    </row>
    <row r="29" outlineLevel="2">
      <c r="A29" s="10" t="s">
        <v>46</v>
      </c>
      <c r="B29" s="0" t="s">
        <v>35</v>
      </c>
      <c r="C29" s="11">
        <f>IFERROR(0.09*(1-w),"")</f>
        <v>0.084689999999999988</v>
      </c>
      <c r="D29" s="11">
        <v>0.09</v>
      </c>
      <c r="E29" s="11">
        <v>0.1147520081601428</v>
      </c>
      <c r="F29" s="11"/>
      <c r="G29" s="11"/>
      <c r="I29" s="15"/>
      <c r="J29" s="0" t="s">
        <v>42</v>
      </c>
    </row>
    <row r="30" outlineLevel="2">
      <c r="A30" s="10" t="s">
        <v>47</v>
      </c>
      <c r="B30" s="0" t="s">
        <v>35</v>
      </c>
      <c r="C30" s="11">
        <f>IFERROR(100*(1-w)+w*100,"")</f>
        <v>100</v>
      </c>
      <c r="D30" s="11">
        <v>100</v>
      </c>
      <c r="E30" s="11">
        <v>100.00000000000001</v>
      </c>
      <c r="F30" s="11"/>
      <c r="G30" s="11"/>
      <c r="I30" s="15"/>
      <c r="J30" s="0" t="s">
        <v>39</v>
      </c>
    </row>
    <row r="31" outlineLevel="1">
      <c r="A31" s="9" t="s">
        <v>48</v>
      </c>
      <c r="I31" s="15"/>
    </row>
    <row r="32" outlineLevel="2">
      <c r="A32" s="10" t="s">
        <v>49</v>
      </c>
      <c r="B32" s="0" t="s">
        <v>50</v>
      </c>
      <c r="C32" s="11">
        <f>IFERROR(13.43683*(1-w)-w*2.443,"")</f>
        <v>12.499920029999998</v>
      </c>
      <c r="D32" s="11">
        <v>13.43683</v>
      </c>
      <c r="E32" s="11">
        <v>17.13225806451613</v>
      </c>
      <c r="F32" s="11"/>
      <c r="G32" s="11"/>
      <c r="I32" s="15"/>
    </row>
    <row r="33" outlineLevel="2">
      <c r="A33" s="10" t="s">
        <v>51</v>
      </c>
      <c r="B33" s="0" t="s">
        <v>50</v>
      </c>
      <c r="C33" s="11">
        <f>IFERROR(14.493*(1-w),"")</f>
        <v>13.637913</v>
      </c>
      <c r="D33" s="11">
        <v>14.493</v>
      </c>
      <c r="E33" s="11">
        <v>18.478898380721663</v>
      </c>
      <c r="F33" s="11"/>
      <c r="G33" s="11"/>
      <c r="I33" s="15"/>
    </row>
    <row r="34" outlineLevel="2">
      <c r="A34" s="10" t="s">
        <v>52</v>
      </c>
      <c r="B34" s="0" t="s">
        <v>50</v>
      </c>
      <c r="C34" s="11">
        <f>IFERROR(14.7516185297*(1-w),"")</f>
        <v>13.8812730364477</v>
      </c>
      <c r="D34" s="11">
        <v>14.751618529700002</v>
      </c>
      <c r="E34" s="11">
        <v>18.808642776616093</v>
      </c>
      <c r="F34" s="11"/>
      <c r="G34" s="11"/>
      <c r="I34" s="15"/>
      <c r="J34" s="0" t="s">
        <v>39</v>
      </c>
    </row>
    <row r="35" outlineLevel="1">
      <c r="A35" s="9" t="s">
        <v>53</v>
      </c>
      <c r="I35" s="15"/>
    </row>
    <row r="36" outlineLevel="2">
      <c r="A36" s="12" t="s">
        <v>54</v>
      </c>
      <c r="I36" s="15"/>
    </row>
    <row r="37" outlineLevel="3">
      <c r="A37" s="13" t="s">
        <v>55</v>
      </c>
      <c r="B37" s="0" t="s">
        <v>56</v>
      </c>
      <c r="C37" s="14">
        <v>1188</v>
      </c>
      <c r="D37" s="14"/>
      <c r="E37" s="14"/>
      <c r="F37" s="14"/>
      <c r="G37" s="14"/>
      <c r="I37" s="15"/>
    </row>
    <row r="38" outlineLevel="3">
      <c r="A38" s="13" t="s">
        <v>57</v>
      </c>
      <c r="B38" s="0" t="s">
        <v>56</v>
      </c>
      <c r="C38" s="14">
        <v>1243</v>
      </c>
      <c r="D38" s="14"/>
      <c r="E38" s="14"/>
      <c r="F38" s="14"/>
      <c r="G38" s="14"/>
      <c r="I38" s="15"/>
    </row>
    <row r="39" outlineLevel="3">
      <c r="A39" s="13" t="s">
        <v>58</v>
      </c>
      <c r="B39" s="0" t="s">
        <v>56</v>
      </c>
      <c r="C39" s="14">
        <v>1343</v>
      </c>
      <c r="D39" s="14"/>
      <c r="E39" s="14"/>
      <c r="F39" s="14"/>
      <c r="G39" s="14"/>
      <c r="I39" s="15"/>
    </row>
    <row r="40" outlineLevel="3">
      <c r="A40" s="13" t="s">
        <v>59</v>
      </c>
      <c r="B40" s="0" t="s">
        <v>56</v>
      </c>
      <c r="C40" s="14">
        <v>1400</v>
      </c>
      <c r="D40" s="14"/>
      <c r="E40" s="14"/>
      <c r="F40" s="14"/>
      <c r="G40" s="14"/>
      <c r="I40" s="15"/>
    </row>
    <row r="41" outlineLevel="2">
      <c r="A41" s="12" t="s">
        <v>60</v>
      </c>
      <c r="I41" s="15"/>
    </row>
    <row r="42" outlineLevel="3">
      <c r="A42" s="13" t="s">
        <v>55</v>
      </c>
      <c r="B42" s="0" t="s">
        <v>56</v>
      </c>
      <c r="C42" s="14">
        <v>1149</v>
      </c>
      <c r="D42" s="14"/>
      <c r="E42" s="14"/>
      <c r="F42" s="14"/>
      <c r="G42" s="14"/>
      <c r="I42" s="15"/>
    </row>
    <row r="43" outlineLevel="3">
      <c r="A43" s="13" t="s">
        <v>57</v>
      </c>
      <c r="B43" s="0" t="s">
        <v>56</v>
      </c>
      <c r="C43" s="14">
        <v>1218</v>
      </c>
      <c r="D43" s="14"/>
      <c r="E43" s="14"/>
      <c r="F43" s="14"/>
      <c r="G43" s="14"/>
      <c r="I43" s="15"/>
    </row>
    <row r="44" outlineLevel="3">
      <c r="A44" s="13" t="s">
        <v>58</v>
      </c>
      <c r="B44" s="0" t="s">
        <v>56</v>
      </c>
      <c r="C44" s="14">
        <v>1260</v>
      </c>
      <c r="D44" s="14"/>
      <c r="E44" s="14"/>
      <c r="F44" s="14"/>
      <c r="G44" s="14"/>
      <c r="I44" s="15"/>
    </row>
    <row r="45" outlineLevel="3">
      <c r="A45" s="13" t="s">
        <v>59</v>
      </c>
      <c r="B45" s="0" t="s">
        <v>56</v>
      </c>
      <c r="C45" s="14">
        <v>1466</v>
      </c>
      <c r="D45" s="14"/>
      <c r="E45" s="14"/>
      <c r="F45" s="14"/>
      <c r="G45" s="14"/>
      <c r="I45" s="15"/>
    </row>
    <row r="46" outlineLevel="1">
      <c r="A46" s="9" t="s">
        <v>61</v>
      </c>
      <c r="I46" s="15"/>
    </row>
    <row r="47" outlineLevel="2">
      <c r="A47" s="12" t="s">
        <v>62</v>
      </c>
      <c r="I47" s="15"/>
    </row>
    <row r="48" outlineLevel="3">
      <c r="A48" s="13" t="s">
        <v>63</v>
      </c>
      <c r="B48" s="0" t="s">
        <v>64</v>
      </c>
      <c r="C48" s="11">
        <v>32.6</v>
      </c>
      <c r="D48" s="11"/>
      <c r="E48" s="11"/>
      <c r="F48" s="11"/>
      <c r="G48" s="11"/>
      <c r="I48" s="15"/>
      <c r="J48" s="0" t="s">
        <v>42</v>
      </c>
    </row>
    <row r="49" outlineLevel="3">
      <c r="A49" s="13" t="s">
        <v>65</v>
      </c>
      <c r="B49" s="0" t="s">
        <v>64</v>
      </c>
      <c r="C49" s="11">
        <v>23.6</v>
      </c>
      <c r="D49" s="11"/>
      <c r="E49" s="11"/>
      <c r="F49" s="11"/>
      <c r="G49" s="11"/>
      <c r="I49" s="15"/>
      <c r="J49" s="0" t="s">
        <v>42</v>
      </c>
    </row>
    <row r="50" outlineLevel="3">
      <c r="A50" s="13" t="s">
        <v>66</v>
      </c>
      <c r="B50" s="0" t="s">
        <v>64</v>
      </c>
      <c r="C50" s="11">
        <v>13.6</v>
      </c>
      <c r="D50" s="11"/>
      <c r="E50" s="11"/>
      <c r="F50" s="11"/>
      <c r="G50" s="11"/>
      <c r="I50" s="15"/>
      <c r="J50" s="0" t="s">
        <v>42</v>
      </c>
    </row>
    <row r="51" outlineLevel="2">
      <c r="A51" s="12" t="s">
        <v>67</v>
      </c>
      <c r="I51" s="15"/>
    </row>
    <row r="52" outlineLevel="3">
      <c r="A52" s="13" t="s">
        <v>68</v>
      </c>
      <c r="B52" s="0" t="s">
        <v>64</v>
      </c>
      <c r="C52" s="11">
        <v>91.37</v>
      </c>
      <c r="D52" s="11"/>
      <c r="E52" s="11"/>
      <c r="F52" s="11"/>
      <c r="G52" s="11"/>
      <c r="I52" s="15"/>
      <c r="J52" s="0" t="s">
        <v>39</v>
      </c>
    </row>
    <row r="53">
      <c r="A53" s="5" t="s">
        <v>69</v>
      </c>
      <c r="I53" s="15"/>
    </row>
    <row r="54" outlineLevel="1">
      <c r="A54" s="9" t="s">
        <v>70</v>
      </c>
      <c r="I54" s="15"/>
    </row>
    <row r="55" outlineLevel="2">
      <c r="A55" s="10" t="s">
        <v>71</v>
      </c>
      <c r="B55" s="0" t="s">
        <v>72</v>
      </c>
      <c r="C55" s="14">
        <v>272</v>
      </c>
      <c r="D55" s="14"/>
      <c r="E55" s="14"/>
      <c r="F55" s="14"/>
      <c r="G55" s="14"/>
      <c r="I55" s="15"/>
    </row>
    <row r="56">
      <c r="I56" s="15"/>
    </row>
    <row r="57" s="1" customFormat="1"/>
  </sheetData>
  <mergeCells>
    <mergeCell ref="A8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39:E39"/>
    <mergeCell ref="C40:E40"/>
    <mergeCell ref="C42:E42"/>
    <mergeCell ref="C43:E43"/>
    <mergeCell ref="C44:E44"/>
    <mergeCell ref="C45:E45"/>
    <mergeCell ref="C48:E48"/>
    <mergeCell ref="C49:E49"/>
    <mergeCell ref="C50:E50"/>
    <mergeCell ref="C52:E52"/>
    <mergeCell ref="C55:E55"/>
  </mergeCells>
  <dataValidations count="1">
    <dataValidation type="decimal" sqref="C20" errorStyle="stop" promptTitle="Enter moisture content" errorTitle="Invalid moisture content" prompt="Value should be between 0 and 100.&#10;Original value: 5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https://phyllis.nl/Biomass/View/890</dc:description>
  <dcterms:created xsi:type="dcterms:W3CDTF">2026-03-17T06:06:47Z</dcterms:created>
  <dc:title>Phyllis2 #890 corn stover, densified (no binder)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