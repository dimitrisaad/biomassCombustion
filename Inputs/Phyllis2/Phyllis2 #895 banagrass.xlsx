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95 banagrass" sheetId="1" r:id="rId1"/>
  </sheets>
  <definedNames>
    <definedName name="w" localSheetId="0">IF(ISBLANK('Phyllis2 #895 banagrass'!$C$19),#N/A,'Phyllis2 #895 banagrass'!$C$19/100)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<sst xmlns="http://schemas.openxmlformats.org/spreadsheetml/2006/main" count="68" uniqueCount="68">
  <si>
    <t>Phyllis2</t>
  </si>
  <si>
    <t>https://phyllis.nl/Biomass/View/895</t>
  </si>
  <si>
    <t>banagrass (#895)</t>
  </si>
  <si>
    <t>ID-number</t>
  </si>
  <si>
    <t>#895</t>
  </si>
  <si>
    <t>Material</t>
  </si>
  <si>
    <t>banagrass</t>
  </si>
  <si>
    <t>Classification</t>
  </si>
  <si>
    <t>ECN Phyllis classification &gt; grass/plant &gt; other grass &gt; banagrass</t>
  </si>
  <si>
    <t>NTA 8003 classification &gt; [200] biomassa uit land- en tuinbouw &gt; [210] gras &gt; [219] overig gras</t>
  </si>
  <si>
    <t>Ash type</t>
  </si>
  <si>
    <t>ASTM D1102 600 oC</t>
  </si>
  <si>
    <t>Submitter organisation</t>
  </si>
  <si>
    <t>ECN (Netherlands)</t>
  </si>
  <si>
    <t>Remarks</t>
  </si>
  <si>
    <t>Oahu, Hawaii, Hawaii Natural Energy Institute, 82.7% m.c., stalks and leaves, four month old, (typical harvest at 8 months), Hazen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</si>
  <si>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</si>
  <si>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</si>
  <si>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</si>
  <si>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</si>
  <si>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</si>
  <si>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</si>
  <si>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</si>
  <si>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</si>
  <si>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</si>
  <si>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</si>
  <si>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</si>
  <si>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</si>
  <si>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</si>
  <si>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</si>
  <si>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</si>
  <si>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</si>
  <si>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</si>
  <si>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</si>
  <si>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</si>
  <si>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</si>
  <si>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</si>
  <si>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</si>
  <si>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</si>
  <si>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</si>
  <si>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</si>
  <si>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</si>
  <si>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</si>
  <si>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</si>
  <si>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</si>
  <si>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</si>
  <si>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</si>
  <si>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</si>
  <si>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</si>
  <si>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</si>
  <si>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</si>
  <si>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</si>
  <si>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</si>
  <si>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</si>
  <si>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</si>
  <si>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</si>
  <si>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CO2</t>
  </si>
  <si>
    <t>wt% (ash)</t>
  </si>
  <si>
    <t>SO3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</si>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</sst>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9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4.51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IFERROR(9.88*(1-w),"")</f>
        <v>9.434412</v>
      </c>
      <c r="D20" s="11">
        <v>9.88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IFERROR(73.44*(1-w),"")</f>
        <v>70.127856</v>
      </c>
      <c r="D21" s="11">
        <v>73.44</v>
      </c>
      <c r="E21" s="11">
        <v>81.491344873502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IFERROR(16.68*(1-w),"")</f>
        <v>15.927732000000006</v>
      </c>
      <c r="D22" s="11">
        <v>16.680000000000007</v>
      </c>
      <c r="E22" s="11">
        <v>18.508655126498009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IFERROR(45.06*(1-w),"")</f>
        <v>43.027794</v>
      </c>
      <c r="D24" s="11">
        <v>45.06</v>
      </c>
      <c r="E24" s="11">
        <v>50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IFERROR(5.42*(1-w),"")</f>
        <v>5.175558</v>
      </c>
      <c r="D25" s="11">
        <v>5.42</v>
      </c>
      <c r="E25" s="11">
        <v>6.0142032845095423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IFERROR(37.86*(1-w),"")</f>
        <v>36.152514</v>
      </c>
      <c r="D26" s="11">
        <v>37.86</v>
      </c>
      <c r="E26" s="11">
        <v>42.010652463382158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IFERROR(0.84*(1-w),"")</f>
        <v>0.80211599999999994</v>
      </c>
      <c r="D27" s="11">
        <v>0.84</v>
      </c>
      <c r="E27" s="11">
        <v>0.93209054593874829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IFERROR(0.11*(1-w),"")</f>
        <v>0.105039</v>
      </c>
      <c r="D28" s="11">
        <v>0.11</v>
      </c>
      <c r="E28" s="11">
        <v>0.12205947625388371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IFERROR(100*(1-w)+w*100,"")</f>
        <v>100</v>
      </c>
      <c r="D29" s="11">
        <v>100</v>
      </c>
      <c r="E29" s="11">
        <v>100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>
        <f>IFERROR(8300*(1-w),"")</f>
        <v>7925.67</v>
      </c>
      <c r="D31" s="12">
        <v>8300</v>
      </c>
      <c r="E31" s="12">
        <v>9209.94229915668</v>
      </c>
      <c r="F31" s="12"/>
      <c r="G31" s="12"/>
      <c r="I31" s="13"/>
      <c r="J31" s="0" t="s">
        <v>40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IFERROR(16.33902*(1-w)-w*2.443,"")</f>
        <v>15.491950898</v>
      </c>
      <c r="D33" s="11">
        <v>16.33902</v>
      </c>
      <c r="E33" s="11">
        <v>18.130292942743012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IFERROR(17.52176*(1-w),"")</f>
        <v>16.731528624</v>
      </c>
      <c r="D34" s="11">
        <v>17.52176</v>
      </c>
      <c r="E34" s="11">
        <v>19.442698624056813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IFERROR(17.7580170032*(1-w),"")</f>
        <v>16.957130436355676</v>
      </c>
      <c r="D35" s="11">
        <v>17.758017003199996</v>
      </c>
      <c r="E35" s="11">
        <v>19.70485686107412</v>
      </c>
      <c r="F35" s="11"/>
      <c r="G35" s="11"/>
      <c r="I35" s="13"/>
      <c r="J35" s="0" t="s">
        <v>37</v>
      </c>
    </row>
    <row r="36">
      <c r="A36" s="5" t="s">
        <v>54</v>
      </c>
      <c r="I36" s="13"/>
    </row>
    <row r="37" outlineLevel="1">
      <c r="A37" s="9" t="s">
        <v>55</v>
      </c>
      <c r="I37" s="13"/>
    </row>
    <row r="38" outlineLevel="2">
      <c r="A38" s="10" t="s">
        <v>56</v>
      </c>
      <c r="B38" s="0" t="s">
        <v>57</v>
      </c>
      <c r="C38" s="11">
        <v>8.97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57</v>
      </c>
      <c r="C39" s="11">
        <v>0.85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57</v>
      </c>
      <c r="C40" s="11">
        <v>2.74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57</v>
      </c>
      <c r="C41" s="11">
        <v>33.65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57</v>
      </c>
      <c r="C42" s="11">
        <v>0.63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57</v>
      </c>
      <c r="C43" s="11">
        <v>0.8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57</v>
      </c>
      <c r="C44" s="11">
        <v>3.57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57</v>
      </c>
      <c r="C45" s="11">
        <v>1.71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57</v>
      </c>
      <c r="C46" s="11">
        <v>0.38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57</v>
      </c>
      <c r="C47" s="11">
        <v>42.8</v>
      </c>
      <c r="D47" s="11"/>
      <c r="E47" s="11"/>
      <c r="F47" s="11"/>
      <c r="G47" s="11"/>
      <c r="I47" s="13"/>
    </row>
    <row r="48" outlineLevel="2">
      <c r="A48" s="10" t="s">
        <v>67</v>
      </c>
      <c r="B48" s="0" t="s">
        <v>57</v>
      </c>
      <c r="C48" s="11">
        <v>0.07</v>
      </c>
      <c r="D48" s="11"/>
      <c r="E48" s="11"/>
      <c r="F48" s="11"/>
      <c r="G48" s="11"/>
      <c r="I48" s="13"/>
    </row>
    <row r="49">
      <c r="I49" s="13"/>
    </row>
    <row r="50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</mergeCells>
  <dataValidations count="1">
    <dataValidation type="decimal" sqref="C19" errorStyle="stop" promptTitle="Enter moisture content" errorTitle="Invalid moisture content" prompt="Value should be between 0 and 100.&#10;Original value: 4.5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https://phyllis.nl/Biomass/View/895</dc:description>
  <dcterms:created xsi:type="dcterms:W3CDTF">2026-03-04T04:17:03Z</dcterms:created>
  <dc:title>Phyllis2 #895 banagrass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