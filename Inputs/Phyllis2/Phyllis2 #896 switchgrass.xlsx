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96 switchgrass" sheetId="1" r:id="rId1"/>
  </sheets>
  <definedNames>
    <definedName name="w" localSheetId="0">IF(ISBLANK('Phyllis2 #896 switchgrass'!$C$19),#N/A,'Phyllis2 #896 switchgrass'!$C$19/100)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<sst xmlns="http://schemas.openxmlformats.org/spreadsheetml/2006/main" count="68" uniqueCount="68">
  <si>
    <t>Phyllis2</t>
  </si>
  <si>
    <t>https://phyllis.nl/Biomass/View/896</t>
  </si>
  <si>
    <t>switchgrass (#896)</t>
  </si>
  <si>
    <t>ID-number</t>
  </si>
  <si>
    <t>#896</t>
  </si>
  <si>
    <t>Material</t>
  </si>
  <si>
    <t>switchgrass</t>
  </si>
  <si>
    <t>Classification</t>
  </si>
  <si>
    <t>ECN Phyllis classification &gt; grass/plant &gt; switch grass &gt; switchgrass</t>
  </si>
  <si>
    <t>NTA 8003 classification &gt; [200] biomassa uit land- en tuinbouw &gt; [210] gras &gt; [219] overig gras</t>
  </si>
  <si>
    <t>Ash type</t>
  </si>
  <si>
    <t>ASTM D1102 600 oC</t>
  </si>
  <si>
    <t>Submitter organisation</t>
  </si>
  <si>
    <t>ECN (Netherlands)</t>
  </si>
  <si>
    <t>Remarks</t>
  </si>
  <si>
    <t>Battelle Columbus Laboratories, gasification test fuel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</si>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</sst>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9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9.84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IFERROR(8.97*(1-w),"")</f>
        <v>8.087352000000001</v>
      </c>
      <c r="D20" s="11">
        <v>8.97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IFERROR(76.69*(1-w),"")</f>
        <v>69.143704</v>
      </c>
      <c r="D21" s="11">
        <v>76.69</v>
      </c>
      <c r="E21" s="11">
        <v>84.2469515544326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IFERROR(14.34*(1-w),"")</f>
        <v>12.928944000000003</v>
      </c>
      <c r="D22" s="11">
        <v>14.340000000000003</v>
      </c>
      <c r="E22" s="11">
        <v>15.7530484455674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IFERROR(46.68*(1-w),"")</f>
        <v>42.086687999999995</v>
      </c>
      <c r="D24" s="11">
        <v>46.68</v>
      </c>
      <c r="E24" s="11">
        <v>51.27979786883445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IFERROR(5.82*(1-w),"")</f>
        <v>5.247312</v>
      </c>
      <c r="D25" s="11">
        <v>5.82</v>
      </c>
      <c r="E25" s="11">
        <v>6.3934966494562238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IFERROR(37.38*(1-w),"")</f>
        <v>33.701808</v>
      </c>
      <c r="D26" s="11">
        <v>37.38</v>
      </c>
      <c r="E26" s="11">
        <v>41.063385697022966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IFERROR(0.77*(1-w),"")</f>
        <v>0.694232</v>
      </c>
      <c r="D27" s="11">
        <v>0.77</v>
      </c>
      <c r="E27" s="11">
        <v>0.84587498626826318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IFERROR(0.19*(1-w),"")</f>
        <v>0.17130399999999998</v>
      </c>
      <c r="D28" s="11">
        <v>0.19</v>
      </c>
      <c r="E28" s="11">
        <v>0.20872239920905197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IFERROR(100*(1-w)+w*100,"")</f>
        <v>99.999999999999986</v>
      </c>
      <c r="D29" s="11">
        <v>99.999999999999986</v>
      </c>
      <c r="E29" s="11">
        <v>99.999999999999986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>
        <f>IFERROR(1900*(1-w),"")</f>
        <v>1713.04</v>
      </c>
      <c r="D31" s="12">
        <v>1900</v>
      </c>
      <c r="E31" s="12">
        <v>2087.2239920905195</v>
      </c>
      <c r="F31" s="12"/>
      <c r="G31" s="12"/>
      <c r="I31" s="13"/>
      <c r="J31" s="0" t="s">
        <v>40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IFERROR(16.79369*(1-w)-w*2.443,"")</f>
        <v>14.900799704</v>
      </c>
      <c r="D33" s="11">
        <v>16.79369</v>
      </c>
      <c r="E33" s="11">
        <v>18.448522465121389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IFERROR(18.06372*(1-w),"")</f>
        <v>16.286249952</v>
      </c>
      <c r="D34" s="11">
        <v>18.06372</v>
      </c>
      <c r="E34" s="11">
        <v>19.843699879160717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IFERROR(18.9220235177*(1-w),"")</f>
        <v>17.060096403558319</v>
      </c>
      <c r="D35" s="11">
        <v>18.9220235177</v>
      </c>
      <c r="E35" s="11">
        <v>20.786579718444472</v>
      </c>
      <c r="F35" s="11"/>
      <c r="G35" s="11"/>
      <c r="I35" s="13"/>
      <c r="J35" s="0" t="s">
        <v>37</v>
      </c>
    </row>
    <row r="36">
      <c r="A36" s="5" t="s">
        <v>54</v>
      </c>
      <c r="I36" s="13"/>
    </row>
    <row r="37" outlineLevel="1">
      <c r="A37" s="9" t="s">
        <v>55</v>
      </c>
      <c r="I37" s="13"/>
    </row>
    <row r="38" outlineLevel="2">
      <c r="A38" s="10" t="s">
        <v>56</v>
      </c>
      <c r="B38" s="0" t="s">
        <v>57</v>
      </c>
      <c r="C38" s="11">
        <v>0.44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57</v>
      </c>
      <c r="C39" s="11">
        <v>0.1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57</v>
      </c>
      <c r="C40" s="11">
        <v>4.5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57</v>
      </c>
      <c r="C41" s="11">
        <v>65.18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57</v>
      </c>
      <c r="C42" s="11">
        <v>2.03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57</v>
      </c>
      <c r="C43" s="11">
        <v>4.51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57</v>
      </c>
      <c r="C44" s="11">
        <v>5.6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57</v>
      </c>
      <c r="C45" s="11">
        <v>3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57</v>
      </c>
      <c r="C46" s="11">
        <v>0.58</v>
      </c>
      <c r="D46" s="11"/>
      <c r="E46" s="11"/>
      <c r="F46" s="11"/>
      <c r="G46" s="11"/>
      <c r="I46" s="13"/>
    </row>
    <row r="47" outlineLevel="2">
      <c r="A47" s="10" t="s">
        <v>66</v>
      </c>
      <c r="B47" s="0" t="s">
        <v>57</v>
      </c>
      <c r="C47" s="11">
        <v>11.6</v>
      </c>
      <c r="D47" s="11"/>
      <c r="E47" s="11"/>
      <c r="F47" s="11"/>
      <c r="G47" s="11"/>
      <c r="I47" s="13"/>
    </row>
    <row r="48" outlineLevel="2">
      <c r="A48" s="10" t="s">
        <v>67</v>
      </c>
      <c r="B48" s="0" t="s">
        <v>57</v>
      </c>
      <c r="C48" s="11">
        <v>0.24</v>
      </c>
      <c r="D48" s="11"/>
      <c r="E48" s="11"/>
      <c r="F48" s="11"/>
      <c r="G48" s="11"/>
      <c r="I48" s="13"/>
    </row>
    <row r="49">
      <c r="I49" s="13"/>
    </row>
    <row r="50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</mergeCells>
  <dataValidations count="1">
    <dataValidation type="decimal" sqref="C19" errorStyle="stop" promptTitle="Enter moisture content" errorTitle="Invalid moisture content" prompt="Value should be between 0 and 100.&#10;Original value: 9.8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https://phyllis.nl/Biomass/View/896</dc:description>
  <dcterms:created xsi:type="dcterms:W3CDTF">2026-03-04T04:39:22Z</dcterms:created>
  <dc:title>Phyllis2 #896 switchgrass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