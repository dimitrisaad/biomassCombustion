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98 miscanthus sinens" sheetId="1" r:id="rId1"/>
  </sheets>
  <definedNames>
    <definedName name="w" localSheetId="0">IF(ISBLANK('Phyllis2 #898 miscanthus sinens'!$C$19),#N/A,'Phyllis2 #898 miscanthus sinens'!$C$19/100)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<sst xmlns="http://schemas.openxmlformats.org/spreadsheetml/2006/main" count="67" uniqueCount="67">
  <si>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</si>
  <si>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https://phyllis.nl/Biomass/View/898</t>
  </si>
  <si>
    <t>miscanthus sinensis gracillimus, Oregon (#898)</t>
  </si>
  <si>
    <t>ID-number</t>
  </si>
  <si>
    <t>#898</t>
  </si>
  <si>
    <t>Material</t>
  </si>
  <si>
    <t>miscanthus sinensis gracillimus, Oregon</t>
  </si>
  <si>
    <t>Classification</t>
  </si>
  <si>
    <t>ECN Phyllis classification &gt; grass/plant &gt; miscanthus</t>
  </si>
  <si>
    <t>NTA 8003 classification &gt; [200] biomassa uit land- en tuinbouw &gt; [210] gras &gt; [212] olifantsgras/miscanthus</t>
  </si>
  <si>
    <t>Ash type</t>
  </si>
  <si>
    <t>ASTM D1102 600 oC</t>
  </si>
  <si>
    <t>Submitter organisation</t>
  </si>
  <si>
    <t>ECN (Netherlands)</t>
  </si>
  <si>
    <t>Remarks</t>
  </si>
  <si>
    <t>6-7 ft high leaf fraction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</si>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</sst>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12.51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IFERROR(3.36*(1-w),"")</f>
        <v>2.939664</v>
      </c>
      <c r="D20" s="11">
        <v>3.36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IFERROR(80.34*(1-w),"")</f>
        <v>70.289466</v>
      </c>
      <c r="D21" s="11">
        <v>80.34</v>
      </c>
      <c r="E21" s="11">
        <v>83.133278145695371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IFERROR(16.3*(1-w),"")</f>
        <v>14.260869999999997</v>
      </c>
      <c r="D22" s="11">
        <v>16.299999999999997</v>
      </c>
      <c r="E22" s="11">
        <v>16.866721854304632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IFERROR(47.66*(1-w),"")</f>
        <v>41.697734</v>
      </c>
      <c r="D24" s="11">
        <v>47.66</v>
      </c>
      <c r="E24" s="11">
        <v>49.317052980132445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IFERROR(5.75*(1-w),"")</f>
        <v>5.0306750000000005</v>
      </c>
      <c r="D25" s="11">
        <v>5.75</v>
      </c>
      <c r="E25" s="11">
        <v>5.949917218543046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IFERROR(42.65*(1-w),"")</f>
        <v>37.314485</v>
      </c>
      <c r="D26" s="11">
        <v>42.65</v>
      </c>
      <c r="E26" s="11">
        <v>44.13286423841059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IFERROR(0.45*(1-w),"")</f>
        <v>0.393705</v>
      </c>
      <c r="D27" s="11">
        <v>0.45</v>
      </c>
      <c r="E27" s="11">
        <v>0.46564569536423839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IFERROR(0.05*(1-w),"")</f>
        <v>0.043745000000000006</v>
      </c>
      <c r="D28" s="11">
        <v>0.05</v>
      </c>
      <c r="E28" s="11">
        <v>0.051738410596026491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IFERROR(800*(1-w),"")</f>
        <v>699.92</v>
      </c>
      <c r="D31" s="12">
        <v>800</v>
      </c>
      <c r="E31" s="12">
        <v>827.81456953642385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IFERROR(17.70215*(1-w)-w*2.443,"")</f>
        <v>15.181991735</v>
      </c>
      <c r="D33" s="11">
        <v>17.70215</v>
      </c>
      <c r="E33" s="11">
        <v>18.317622102649004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IFERROR(18.9569*(1-w),"")</f>
        <v>16.58539181</v>
      </c>
      <c r="D34" s="11">
        <v>18.9569</v>
      </c>
      <c r="E34" s="11">
        <v>19.615997516556291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IFERROR(18.6353093088*(1-w),"")</f>
        <v>16.30403211426912</v>
      </c>
      <c r="D35" s="11">
        <v>18.6353093088</v>
      </c>
      <c r="E35" s="11">
        <v>19.28322569205298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1.7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6.24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56.07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0.93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0.78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13.62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1.07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0.27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18.7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0.02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12.5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https://phyllis.nl/Biomass/View/898</dc:description>
  <dcterms:created xsi:type="dcterms:W3CDTF">2026-03-04T04:15:59Z</dcterms:created>
  <dc:title>Phyllis2 #898 miscanthus sinensis gracillimus, Oregon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