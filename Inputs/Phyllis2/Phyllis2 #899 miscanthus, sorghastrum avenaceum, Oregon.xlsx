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99 miscanthus, sorgh" sheetId="1" r:id="rId1"/>
  </sheets>
  <definedNames>
    <definedName name="w" localSheetId="0">IF(ISBLANK('Phyllis2 #899 miscanthus, sorgh'!$C$19),#N/A,'Phyllis2 #899 miscanthus, sorgh'!$C$19/100)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<sst xmlns="http://schemas.openxmlformats.org/spreadsheetml/2006/main" count="67" uniqueCount="67">
  <si>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</si>
  <si>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https://phyllis.nl/Biomass/View/899</t>
  </si>
  <si>
    <t>miscanthus, sorghastrum avenaceum, Oregon (#899)</t>
  </si>
  <si>
    <t>ID-number</t>
  </si>
  <si>
    <t>#899</t>
  </si>
  <si>
    <t>Material</t>
  </si>
  <si>
    <t>miscanthus, sorghastrum avenaceum, Oregon</t>
  </si>
  <si>
    <t>Classification</t>
  </si>
  <si>
    <t>ECN Phyllis classification &gt; grass/plant &gt; miscanthus</t>
  </si>
  <si>
    <t>NTA 8003 classification &gt; [200] biomassa uit land- en tuinbouw &gt; [210] gras &gt; [212] olifantsgras/miscanthus</t>
  </si>
  <si>
    <t>Ash type</t>
  </si>
  <si>
    <t>ASTM D1102 600 oC</t>
  </si>
  <si>
    <t>Submitter organisation</t>
  </si>
  <si>
    <t>ECN (Netherlands)</t>
  </si>
  <si>
    <t>Remarks</t>
  </si>
  <si>
    <t>3-4 ft, heavy leaf small stem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</si>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</sst>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11.33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IFERROR(4.15*(1-w),"")</f>
        <v>3.6798050000000004</v>
      </c>
      <c r="D20" s="11">
        <v>4.15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IFERROR(81.67*(1-w),"")</f>
        <v>72.416789000000009</v>
      </c>
      <c r="D21" s="11">
        <v>81.67</v>
      </c>
      <c r="E21" s="11">
        <v>85.206051121544078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IFERROR(14.18*(1-w),"")</f>
        <v>12.573405999999993</v>
      </c>
      <c r="D22" s="11">
        <v>14.179999999999993</v>
      </c>
      <c r="E22" s="11">
        <v>14.793948878455913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IFERROR(47.3*(1-w),"")</f>
        <v>41.94091</v>
      </c>
      <c r="D24" s="11">
        <v>47.3</v>
      </c>
      <c r="E24" s="11">
        <v>49.347939488784554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IFERROR(6.01*(1-w),"")</f>
        <v>5.329067</v>
      </c>
      <c r="D25" s="11">
        <v>6.01</v>
      </c>
      <c r="E25" s="11">
        <v>6.270213875847678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IFERROR(42.14*(1-w),"")</f>
        <v>37.365538</v>
      </c>
      <c r="D26" s="11">
        <v>42.14</v>
      </c>
      <c r="E26" s="11">
        <v>43.964527908189879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IFERROR(0.32*(1-w),"")</f>
        <v>0.283744</v>
      </c>
      <c r="D27" s="11">
        <v>0.32</v>
      </c>
      <c r="E27" s="11">
        <v>0.33385498174230571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IFERROR(0.04*(1-w),"")</f>
        <v>0.035468</v>
      </c>
      <c r="D28" s="11">
        <v>0.04</v>
      </c>
      <c r="E28" s="11">
        <v>0.041731872717788214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99.999999999999986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IFERROR(400*(1-w),"")</f>
        <v>354.68</v>
      </c>
      <c r="D31" s="12">
        <v>400</v>
      </c>
      <c r="E31" s="12">
        <v>417.31872717788212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IFERROR(17.39421*(1-w)-w*2.443,"")</f>
        <v>15.146654107000003</v>
      </c>
      <c r="D33" s="11">
        <v>17.39421</v>
      </c>
      <c r="E33" s="11">
        <v>18.147323943661974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IFERROR(18.70569*(1-w),"")</f>
        <v>16.586335323</v>
      </c>
      <c r="D34" s="11">
        <v>18.70569</v>
      </c>
      <c r="E34" s="11">
        <v>19.515586854460093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IFERROR(18.9212040425*(1-w),"")</f>
        <v>16.777431624484752</v>
      </c>
      <c r="D35" s="11">
        <v>18.9212040425</v>
      </c>
      <c r="E35" s="11">
        <v>19.740431969222744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1.08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4.3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71.05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0.92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1.78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6.81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2.14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0.24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8.7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0.02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11.3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https://phyllis.nl/Biomass/View/899</dc:description>
  <dcterms:created xsi:type="dcterms:W3CDTF">2026-03-04T04:16:30Z</dcterms:created>
  <dc:title>Phyllis2 #899 miscanthus, sorghastrum avenaceum, Oregon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