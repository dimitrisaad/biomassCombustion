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0 wood, mixed" sheetId="1" r:id="rId1"/>
  </sheets>
  <definedNames>
    <definedName name="w" localSheetId="0">IF(ISBLANK('Phyllis2 #900 wood, mixed'!$C$18),#N/A,'Phyllis2 #900 wood, mixed'!$C$18/100)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<sst xmlns="http://schemas.openxmlformats.org/spreadsheetml/2006/main" count="70" uniqueCount="70">
  <si>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</si>
  <si>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https://phyllis.nl/Biomass/View/900</t>
  </si>
  <si>
    <t>wood, mixed (#900)</t>
  </si>
  <si>
    <t>ID-number</t>
  </si>
  <si>
    <t>#900</t>
  </si>
  <si>
    <t>Material</t>
  </si>
  <si>
    <t>wood, mixed</t>
  </si>
  <si>
    <t>Classification</t>
  </si>
  <si>
    <t>ECN Phyllis classification &gt; untreated wood &gt; park waste wood</t>
  </si>
  <si>
    <t>NTA 8003 classification &gt; [100] hout &gt; [110] vers hout &gt; [119] overig vers hout</t>
  </si>
  <si>
    <t>Sample lot size</t>
  </si>
  <si>
    <t>6-30 cm</t>
  </si>
  <si>
    <t>Submitter organisation</t>
  </si>
  <si>
    <t>ECN (Netherlands)</t>
  </si>
  <si>
    <t>Literature</t>
  </si>
  <si>
    <t>P. Bruyn, A. Curvers and J. van Doorn: Monstername en analyse van park- en plantsoenafval in de provincie Noord-Holland (confidential), Petten, ECN, ECN-CX--95-097, 37 p.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</si>
  <si>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</si>
  <si>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</si>
  <si>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</si>
  <si>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</si>
  <si>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</si>
  <si>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</si>
  <si>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</si>
  <si>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</si>
  <si>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</si>
  <si>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</si>
  <si>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</si>
  <si>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</si>
  <si>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</si>
  <si>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</si>
  <si>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</si>
  <si>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</si>
  <si>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</si>
  <si>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</si>
  <si>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</si>
  <si>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</si>
  <si>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</si>
  <si>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</si>
  <si>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</si>
  <si>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</si>
  <si>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</si>
  <si>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</si>
  <si>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</si>
  <si>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</si>
  <si>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</si>
  <si>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</si>
  <si>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</si>
  <si>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</si>
  <si>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</si>
  <si>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</si>
  <si>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</si>
  <si>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</si>
  <si>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</si>
  <si>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</si>
  <si>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</si>
  <si>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</si>
  <si>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</si>
  <si>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</si>
  <si>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</si>
  <si>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</si>
  <si>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</si>
  <si>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</si>
  <si>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</si>
  <si>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</si>
  <si>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</si>
  <si>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</si>
  <si>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Tin (Sn)</t>
  </si>
  <si>
    <t>Tellurium (Te)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</si>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</sst>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>36.1</v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IFERROR(27.1*(1-w),"")</f>
        <v>17.3169</v>
      </c>
      <c r="D19" s="11">
        <v>27.1</v>
      </c>
      <c r="E19" s="11">
        <v/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IFERROR(57.2*(1-w),"")</f>
        <v>36.5508</v>
      </c>
      <c r="D20" s="11">
        <v>57.2</v>
      </c>
      <c r="E20" s="11">
        <v>78.46364883401921</v>
      </c>
      <c r="F20" s="11"/>
      <c r="G20" s="11"/>
      <c r="I20" s="13"/>
    </row>
    <row r="21" outlineLevel="2">
      <c r="A21" s="10" t="s">
        <v>35</v>
      </c>
      <c r="B21" s="0" t="s">
        <v>32</v>
      </c>
      <c r="C21" s="11">
        <f>IFERROR(15.7*(1-w),"")</f>
        <v>10.032300000000003</v>
      </c>
      <c r="D21" s="11">
        <v>15.700000000000003</v>
      </c>
      <c r="E21" s="11">
        <v>21.5363511659808</v>
      </c>
      <c r="F21" s="11"/>
      <c r="G21" s="11"/>
      <c r="I21" s="13"/>
      <c r="J21" s="0" t="s">
        <v>36</v>
      </c>
    </row>
    <row r="22" outlineLevel="1">
      <c r="A22" s="9" t="s">
        <v>37</v>
      </c>
      <c r="I22" s="13"/>
    </row>
    <row r="23" outlineLevel="2">
      <c r="A23" s="10" t="s">
        <v>38</v>
      </c>
      <c r="B23" s="0" t="s">
        <v>32</v>
      </c>
      <c r="C23" s="11">
        <f>IFERROR(34.1*(1-w),"")</f>
        <v>21.789900000000003</v>
      </c>
      <c r="D23" s="11">
        <v>34.1</v>
      </c>
      <c r="E23" s="11">
        <v>46.776406035665296</v>
      </c>
      <c r="F23" s="11"/>
      <c r="G23" s="11"/>
      <c r="I23" s="13"/>
      <c r="J23" s="0" t="s">
        <v>39</v>
      </c>
    </row>
    <row r="24" outlineLevel="2">
      <c r="A24" s="10" t="s">
        <v>40</v>
      </c>
      <c r="B24" s="0" t="s">
        <v>32</v>
      </c>
      <c r="C24" s="11">
        <f>IFERROR(3.32*(1-w),"")</f>
        <v>2.12148</v>
      </c>
      <c r="D24" s="11">
        <v>3.32</v>
      </c>
      <c r="E24" s="11">
        <v>4.554183813443073</v>
      </c>
      <c r="F24" s="11"/>
      <c r="G24" s="11"/>
      <c r="I24" s="13"/>
      <c r="J24" s="0" t="s">
        <v>39</v>
      </c>
    </row>
    <row r="25" outlineLevel="2">
      <c r="A25" s="10" t="s">
        <v>41</v>
      </c>
      <c r="B25" s="0" t="s">
        <v>32</v>
      </c>
      <c r="C25" s="11">
        <f>IFERROR(34.48*(1-w),"")</f>
        <v>22.032719999999998</v>
      </c>
      <c r="D25" s="11">
        <v>34.48</v>
      </c>
      <c r="E25" s="11">
        <v>47.297668038408773</v>
      </c>
      <c r="F25" s="11"/>
      <c r="G25" s="11"/>
      <c r="I25" s="13"/>
      <c r="J25" s="0" t="s">
        <v>39</v>
      </c>
    </row>
    <row r="26" outlineLevel="2">
      <c r="A26" s="10" t="s">
        <v>42</v>
      </c>
      <c r="B26" s="0" t="s">
        <v>32</v>
      </c>
      <c r="C26" s="11">
        <f>IFERROR(0.82*(1-w),"")</f>
        <v>0.52398</v>
      </c>
      <c r="D26" s="11">
        <v>0.82</v>
      </c>
      <c r="E26" s="11">
        <v>1.1248285322359397</v>
      </c>
      <c r="F26" s="11"/>
      <c r="G26" s="11"/>
      <c r="I26" s="13"/>
      <c r="J26" s="0" t="s">
        <v>39</v>
      </c>
    </row>
    <row r="27" outlineLevel="2">
      <c r="A27" s="10" t="s">
        <v>43</v>
      </c>
      <c r="B27" s="0" t="s">
        <v>32</v>
      </c>
      <c r="C27" s="11">
        <f>IFERROR(0.084*(1-w),"")</f>
        <v>0.053676</v>
      </c>
      <c r="D27" s="11">
        <v>0.084</v>
      </c>
      <c r="E27" s="11">
        <v>0.11522633744855969</v>
      </c>
      <c r="F27" s="11"/>
      <c r="G27" s="11"/>
      <c r="I27" s="13"/>
      <c r="J27" s="0" t="s">
        <v>39</v>
      </c>
    </row>
    <row r="28" outlineLevel="2">
      <c r="A28" s="10" t="s">
        <v>44</v>
      </c>
      <c r="B28" s="0" t="s">
        <v>32</v>
      </c>
      <c r="C28" s="11">
        <f>IFERROR(100.001*(1-w)+w*100,"")</f>
        <v>100.000639</v>
      </c>
      <c r="D28" s="11">
        <v>100.001</v>
      </c>
      <c r="E28" s="11">
        <v>100.0013717421125</v>
      </c>
      <c r="F28" s="11"/>
      <c r="G28" s="11"/>
      <c r="I28" s="13"/>
      <c r="J28" s="0" t="s">
        <v>36</v>
      </c>
    </row>
    <row r="29" outlineLevel="1">
      <c r="A29" s="9" t="s">
        <v>45</v>
      </c>
      <c r="I29" s="13"/>
    </row>
    <row r="30" outlineLevel="2">
      <c r="A30" s="10" t="s">
        <v>46</v>
      </c>
      <c r="B30" s="0" t="s">
        <v>47</v>
      </c>
      <c r="C30" s="12">
        <f>IFERROR(950*(1-w),"")</f>
        <v>607.05000000000007</v>
      </c>
      <c r="D30" s="12">
        <v>950</v>
      </c>
      <c r="E30" s="12">
        <v>1303.1550068587105</v>
      </c>
      <c r="F30" s="12"/>
      <c r="G30" s="12"/>
      <c r="I30" s="13"/>
      <c r="J30" s="0" t="s">
        <v>39</v>
      </c>
    </row>
    <row r="31" outlineLevel="2">
      <c r="A31" s="10" t="s">
        <v>48</v>
      </c>
      <c r="B31" s="0" t="s">
        <v>47</v>
      </c>
      <c r="C31" s="12">
        <f>IFERROR(20*(1-w),"")</f>
        <v>12.780000000000001</v>
      </c>
      <c r="D31" s="12">
        <v>20</v>
      </c>
      <c r="E31" s="12">
        <v>27.434842249657066</v>
      </c>
      <c r="F31" s="12"/>
      <c r="G31" s="12"/>
      <c r="I31" s="13"/>
      <c r="J31" s="0" t="s">
        <v>39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IFERROR(13.27988*(1-w)-w*2.443,"")</f>
        <v>7.60392032</v>
      </c>
      <c r="D33" s="11">
        <v>13.27988</v>
      </c>
      <c r="E33" s="11">
        <v>18.216570644718793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IFERROR(14*(1-w),"")</f>
        <v>8.946</v>
      </c>
      <c r="D34" s="11">
        <v>14</v>
      </c>
      <c r="E34" s="11">
        <v>19.204389574759947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IFERROR(11.48463713*(1-w),"")</f>
        <v>7.3386831260700012</v>
      </c>
      <c r="D35" s="11">
        <v>11.484637130000001</v>
      </c>
      <c r="E35" s="11">
        <v>15.753960397805214</v>
      </c>
      <c r="F35" s="11"/>
      <c r="G35" s="11"/>
      <c r="I35" s="13"/>
      <c r="J35" s="0" t="s">
        <v>36</v>
      </c>
    </row>
    <row r="36" outlineLevel="1">
      <c r="A36" s="9" t="s">
        <v>54</v>
      </c>
      <c r="I36" s="13"/>
    </row>
    <row r="37" outlineLevel="2">
      <c r="A37" s="10" t="s">
        <v>55</v>
      </c>
      <c r="B37" s="0" t="s">
        <v>56</v>
      </c>
      <c r="C37" s="12">
        <v>2.4</v>
      </c>
      <c r="D37" s="12"/>
      <c r="E37" s="12"/>
      <c r="F37" s="12"/>
      <c r="G37" s="12"/>
      <c r="I37" s="13"/>
      <c r="J37" s="0" t="s">
        <v>39</v>
      </c>
    </row>
    <row r="38" outlineLevel="2">
      <c r="A38" s="10" t="s">
        <v>57</v>
      </c>
      <c r="B38" s="0" t="s">
        <v>56</v>
      </c>
      <c r="C38" s="12"/>
      <c r="D38" s="12"/>
      <c r="E38" s="12"/>
      <c r="F38" s="12"/>
      <c r="G38" s="12">
        <v>1.5</v>
      </c>
      <c r="I38" s="13"/>
    </row>
    <row r="39" outlineLevel="2">
      <c r="A39" s="10" t="s">
        <v>58</v>
      </c>
      <c r="B39" s="0" t="s">
        <v>56</v>
      </c>
      <c r="C39" s="12">
        <v>2.6</v>
      </c>
      <c r="D39" s="12"/>
      <c r="E39" s="12"/>
      <c r="F39" s="12"/>
      <c r="G39" s="12"/>
      <c r="I39" s="13"/>
      <c r="J39" s="0" t="s">
        <v>39</v>
      </c>
    </row>
    <row r="40" outlineLevel="2">
      <c r="A40" s="10" t="s">
        <v>59</v>
      </c>
      <c r="B40" s="0" t="s">
        <v>56</v>
      </c>
      <c r="C40" s="12">
        <v>68</v>
      </c>
      <c r="D40" s="12"/>
      <c r="E40" s="12"/>
      <c r="F40" s="12"/>
      <c r="G40" s="12"/>
      <c r="I40" s="13"/>
      <c r="J40" s="0" t="s">
        <v>39</v>
      </c>
    </row>
    <row r="41" outlineLevel="2">
      <c r="A41" s="10" t="s">
        <v>60</v>
      </c>
      <c r="B41" s="0" t="s">
        <v>56</v>
      </c>
      <c r="C41" s="12">
        <v>13</v>
      </c>
      <c r="D41" s="12"/>
      <c r="E41" s="12"/>
      <c r="F41" s="12"/>
      <c r="G41" s="12"/>
      <c r="I41" s="13"/>
      <c r="J41" s="0" t="s">
        <v>39</v>
      </c>
    </row>
    <row r="42" outlineLevel="2">
      <c r="A42" s="10" t="s">
        <v>61</v>
      </c>
      <c r="B42" s="0" t="s">
        <v>56</v>
      </c>
      <c r="C42" s="12">
        <v>0.09</v>
      </c>
      <c r="D42" s="12"/>
      <c r="E42" s="12"/>
      <c r="F42" s="12"/>
      <c r="G42" s="12"/>
      <c r="I42" s="13"/>
      <c r="J42" s="0" t="s">
        <v>39</v>
      </c>
    </row>
    <row r="43" outlineLevel="2">
      <c r="A43" s="10" t="s">
        <v>62</v>
      </c>
      <c r="B43" s="0" t="s">
        <v>56</v>
      </c>
      <c r="C43" s="12">
        <v>115</v>
      </c>
      <c r="D43" s="12"/>
      <c r="E43" s="12"/>
      <c r="F43" s="12"/>
      <c r="G43" s="12"/>
      <c r="I43" s="13"/>
      <c r="J43" s="0" t="s">
        <v>39</v>
      </c>
    </row>
    <row r="44" outlineLevel="2">
      <c r="A44" s="10" t="s">
        <v>63</v>
      </c>
      <c r="B44" s="0" t="s">
        <v>56</v>
      </c>
      <c r="C44" s="12">
        <v>23</v>
      </c>
      <c r="D44" s="12"/>
      <c r="E44" s="12"/>
      <c r="F44" s="12"/>
      <c r="G44" s="12"/>
      <c r="I44" s="13"/>
      <c r="J44" s="0" t="s">
        <v>39</v>
      </c>
    </row>
    <row r="45" outlineLevel="2">
      <c r="A45" s="10" t="s">
        <v>64</v>
      </c>
      <c r="B45" s="0" t="s">
        <v>56</v>
      </c>
      <c r="C45" s="12">
        <v>62</v>
      </c>
      <c r="D45" s="12"/>
      <c r="E45" s="12"/>
      <c r="F45" s="12"/>
      <c r="G45" s="12"/>
      <c r="I45" s="13"/>
      <c r="J45" s="0" t="s">
        <v>39</v>
      </c>
    </row>
    <row r="46" outlineLevel="2">
      <c r="A46" s="10" t="s">
        <v>65</v>
      </c>
      <c r="B46" s="0" t="s">
        <v>56</v>
      </c>
      <c r="C46" s="12">
        <v>0.6</v>
      </c>
      <c r="D46" s="12"/>
      <c r="E46" s="12"/>
      <c r="F46" s="12"/>
      <c r="G46" s="12"/>
      <c r="I46" s="13"/>
      <c r="J46" s="0" t="s">
        <v>39</v>
      </c>
    </row>
    <row r="47" outlineLevel="2">
      <c r="A47" s="10" t="s">
        <v>66</v>
      </c>
      <c r="B47" s="0" t="s">
        <v>56</v>
      </c>
      <c r="C47" s="12"/>
      <c r="D47" s="12"/>
      <c r="E47" s="12"/>
      <c r="F47" s="12"/>
      <c r="G47" s="12">
        <v>0.9</v>
      </c>
      <c r="I47" s="13"/>
    </row>
    <row r="48" outlineLevel="2">
      <c r="A48" s="10" t="s">
        <v>67</v>
      </c>
      <c r="B48" s="0" t="s">
        <v>56</v>
      </c>
      <c r="C48" s="12"/>
      <c r="D48" s="12"/>
      <c r="E48" s="12"/>
      <c r="F48" s="12"/>
      <c r="G48" s="12">
        <v>2.4</v>
      </c>
      <c r="I48" s="13"/>
    </row>
    <row r="49" outlineLevel="2">
      <c r="A49" s="10" t="s">
        <v>68</v>
      </c>
      <c r="B49" s="0" t="s">
        <v>56</v>
      </c>
      <c r="C49" s="12">
        <v>7.1</v>
      </c>
      <c r="D49" s="12"/>
      <c r="E49" s="12"/>
      <c r="F49" s="12"/>
      <c r="G49" s="12"/>
      <c r="I49" s="13"/>
      <c r="J49" s="0" t="s">
        <v>39</v>
      </c>
    </row>
    <row r="50" outlineLevel="2">
      <c r="A50" s="10" t="s">
        <v>69</v>
      </c>
      <c r="B50" s="0" t="s">
        <v>56</v>
      </c>
      <c r="C50" s="12">
        <v>124</v>
      </c>
      <c r="D50" s="12"/>
      <c r="E50" s="12"/>
      <c r="F50" s="12"/>
      <c r="G50" s="12"/>
      <c r="I50" s="13"/>
      <c r="J50" s="0" t="s">
        <v>39</v>
      </c>
    </row>
    <row r="51">
      <c r="I51" s="13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36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https://phyllis.nl/Biomass/View/900</dc:description>
  <dcterms:created xsi:type="dcterms:W3CDTF">2026-03-19T07:24:06Z</dcterms:created>
  <dc:title>Phyllis2 #900 wood, mixed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