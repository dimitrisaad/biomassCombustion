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1 wood" sheetId="1" r:id="rId1"/>
  </sheets>
  <definedNames>
    <definedName name="w" localSheetId="0">IF(ISBLANK('Phyllis2 #901 wood'!$C$18),#N/A,'Phyllis2 #901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<sst xmlns="http://schemas.openxmlformats.org/spreadsheetml/2006/main" count="70" uniqueCount="70">
  <si>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</si>
  <si>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https://phyllis.nl/Biomass/View/901</t>
  </si>
  <si>
    <t>wood (#901)</t>
  </si>
  <si>
    <t>ID-number</t>
  </si>
  <si>
    <t>#901</t>
  </si>
  <si>
    <t>Material</t>
  </si>
  <si>
    <t>wood</t>
  </si>
  <si>
    <t>Classification</t>
  </si>
  <si>
    <t>ECN Phyllis classification &gt; untreated wood &gt; park waste wood &gt; wood</t>
  </si>
  <si>
    <t>NTA 8003 classification &gt; [100] hout &gt; [110] vers hout &gt; [119] overig vers hout</t>
  </si>
  <si>
    <t>Sample lot size</t>
  </si>
  <si>
    <t>6-12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</si>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</sst>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33.9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IFERROR(20.4*(1-w),"")</f>
        <v>13.484399999999999</v>
      </c>
      <c r="D19" s="11">
        <v>20.4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IFERROR(64*(1-w),"")</f>
        <v>42.304</v>
      </c>
      <c r="D20" s="11">
        <v>64</v>
      </c>
      <c r="E20" s="11">
        <v>80.402010050251249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IFERROR(15.6*(1-w),"")</f>
        <v>10.311599999999997</v>
      </c>
      <c r="D21" s="11">
        <v>15.599999999999994</v>
      </c>
      <c r="E21" s="11">
        <v>19.597989949748737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IFERROR(40.19*(1-w),"")</f>
        <v>26.56559</v>
      </c>
      <c r="D23" s="11">
        <v>40.19</v>
      </c>
      <c r="E23" s="11">
        <v>50.489949748743712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IFERROR(4.42*(1-w),"")</f>
        <v>2.92162</v>
      </c>
      <c r="D24" s="11">
        <v>4.42</v>
      </c>
      <c r="E24" s="11">
        <v>5.5527638190954773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IFERROR(34.39*(1-w),"")</f>
        <v>22.73179</v>
      </c>
      <c r="D25" s="11">
        <v>34.39</v>
      </c>
      <c r="E25" s="11">
        <v>43.2035175879397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IFERROR(0.45*(1-w),"")</f>
        <v>0.29745000000000005</v>
      </c>
      <c r="D26" s="11">
        <v>0.45</v>
      </c>
      <c r="E26" s="11">
        <v>0.5653266331658291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IFERROR(0.083*(1-w),"")</f>
        <v>0.054863000000000009</v>
      </c>
      <c r="D27" s="11">
        <v>0.083</v>
      </c>
      <c r="E27" s="11">
        <v>0.10427135678391959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IFERROR(99.999*(1-w)+w*100,"")</f>
        <v>99.999338999999992</v>
      </c>
      <c r="D28" s="11">
        <v>99.999</v>
      </c>
      <c r="E28" s="11">
        <v>99.998743718592948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IFERROR(644*(1-w),"")</f>
        <v>425.684</v>
      </c>
      <c r="D30" s="12">
        <v>644</v>
      </c>
      <c r="E30" s="12">
        <v>809.04522613065319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IFERROR(16*(1-w),"")</f>
        <v>10.576</v>
      </c>
      <c r="D31" s="12">
        <v>16</v>
      </c>
      <c r="E31" s="12">
        <v>20.100502512562812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IFERROR(15.83984*(1-w)-w*2.443,"")</f>
        <v>9.64195724</v>
      </c>
      <c r="D33" s="11">
        <v>15.83984</v>
      </c>
      <c r="E33" s="11">
        <v>19.899296482412058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IFERROR(16.8*(1-w),"")</f>
        <v>11.104800000000001</v>
      </c>
      <c r="D34" s="11">
        <v>16.8</v>
      </c>
      <c r="E34" s="11">
        <v>21.105527638190953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IFERROR(15.12447628*(1-w),"")</f>
        <v>9.9972788210800019</v>
      </c>
      <c r="D35" s="11">
        <v>15.124476280000003</v>
      </c>
      <c r="E35" s="11">
        <v>19.000598341708546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6.8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>
        <v>6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92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21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0.06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319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27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24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0.5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>
        <v>23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69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33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https://phyllis.nl/Biomass/View/901</dc:description>
  <dcterms:created xsi:type="dcterms:W3CDTF">2026-03-19T07:23:30Z</dcterms:created>
  <dc:title>Phyllis2 #901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