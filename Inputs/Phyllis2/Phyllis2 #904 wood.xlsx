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4 wood" sheetId="1" r:id="rId1"/>
  </sheets>
  <definedNames>
    <definedName name="w" localSheetId="0">IF(ISBLANK('Phyllis2 #904 wood'!$C$18),#N/A,'Phyllis2 #904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<sst xmlns="http://schemas.openxmlformats.org/spreadsheetml/2006/main" count="70" uniqueCount="70">
  <si>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</si>
  <si>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https://phyllis.nl/Biomass/View/904</t>
  </si>
  <si>
    <t>wood (#904)</t>
  </si>
  <si>
    <t>ID-number</t>
  </si>
  <si>
    <t>#904</t>
  </si>
  <si>
    <t>Material</t>
  </si>
  <si>
    <t>wood</t>
  </si>
  <si>
    <t>Classification</t>
  </si>
  <si>
    <t>ECN Phyllis classification &gt; untreated wood &gt; park waste wood &gt; wood</t>
  </si>
  <si>
    <t>NTA 8003 classification &gt; [100] hout &gt; [110] vers hout &gt; [119] overig vers hout</t>
  </si>
  <si>
    <t>Sample lot size</t>
  </si>
  <si>
    <t>8-15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</si>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</sst>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43.3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IFERROR(12.4*(1-w),"")</f>
        <v>7.0307999999999993</v>
      </c>
      <c r="D19" s="11">
        <v>12.4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IFERROR(69.6*(1-w),"")</f>
        <v>39.463199999999993</v>
      </c>
      <c r="D20" s="11">
        <v>69.6</v>
      </c>
      <c r="E20" s="11">
        <v>79.452054794520535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IFERROR(18*(1-w),"")</f>
        <v>10.206</v>
      </c>
      <c r="D21" s="11">
        <v>18</v>
      </c>
      <c r="E21" s="11">
        <v>20.547945205479451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IFERROR(44.6*(1-w),"")</f>
        <v>25.2882</v>
      </c>
      <c r="D23" s="11">
        <v>44.6</v>
      </c>
      <c r="E23" s="11">
        <v>50.913242009132425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IFERROR(4.85*(1-w),"")</f>
        <v>2.7499499999999997</v>
      </c>
      <c r="D24" s="11">
        <v>4.85</v>
      </c>
      <c r="E24" s="11">
        <v>5.5365296803652964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IFERROR(37.4*(1-w),"")</f>
        <v>21.205799999999996</v>
      </c>
      <c r="D25" s="11">
        <v>37.4</v>
      </c>
      <c r="E25" s="11">
        <v>42.694063926940636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IFERROR(0.61*(1-w),"")</f>
        <v>0.34586999999999996</v>
      </c>
      <c r="D26" s="11">
        <v>0.61</v>
      </c>
      <c r="E26" s="11">
        <v>0.69634703196347025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IFERROR(0.0636*(1-w),"")</f>
        <v>0.0360612</v>
      </c>
      <c r="D27" s="11">
        <v>0.0636</v>
      </c>
      <c r="E27" s="11">
        <v>0.0726027397260274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IFERROR(99.9996*(1-w)+w*100,"")</f>
        <v>99.999773199999993</v>
      </c>
      <c r="D28" s="11">
        <v>99.999599999999987</v>
      </c>
      <c r="E28" s="11">
        <v>99.999543378995412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IFERROR(739*(1-w),"")</f>
        <v>419.013</v>
      </c>
      <c r="D30" s="12">
        <v>739</v>
      </c>
      <c r="E30" s="12">
        <v>843.60730593607309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IFERROR(21*(1-w),"")</f>
        <v>11.906999999999998</v>
      </c>
      <c r="D31" s="12">
        <v>21</v>
      </c>
      <c r="E31" s="12">
        <v>23.972602739726028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IFERROR(17.73074*(1-w)-w*2.443,"")</f>
        <v>8.99551058</v>
      </c>
      <c r="D33" s="11">
        <v>17.73074</v>
      </c>
      <c r="E33" s="11">
        <v>20.240570776255709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IFERROR(18.8*(1-w),"")</f>
        <v>10.6596</v>
      </c>
      <c r="D34" s="11">
        <v>18.8</v>
      </c>
      <c r="E34" s="11">
        <v>21.461187214611872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IFERROR(16.89726824*(1-w),"")</f>
        <v>9.58075109208</v>
      </c>
      <c r="D35" s="11">
        <v>16.897268240000002</v>
      </c>
      <c r="E35" s="11">
        <v>19.289118995433792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2.2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/>
      <c r="D39" s="12"/>
      <c r="E39" s="12"/>
      <c r="F39" s="12"/>
      <c r="G39" s="12">
        <v>2.5</v>
      </c>
      <c r="I39" s="13"/>
    </row>
    <row r="40" outlineLevel="2">
      <c r="A40" s="10" t="s">
        <v>59</v>
      </c>
      <c r="B40" s="0" t="s">
        <v>56</v>
      </c>
      <c r="C40" s="12">
        <v>48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8.2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0.05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118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16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24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0.3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>
        <v>7.8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107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43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https://phyllis.nl/Biomass/View/904</dc:description>
  <dcterms:created xsi:type="dcterms:W3CDTF">2026-03-19T07:23:33Z</dcterms:created>
  <dc:title>Phyllis2 #904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