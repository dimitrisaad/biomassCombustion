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6 wood, stems" sheetId="1" r:id="rId1"/>
  </sheets>
  <definedNames>
    <definedName name="w" localSheetId="0">IF(ISBLANK('Phyllis2 #906 wood, stems'!$C$18),#N/A,'Phyllis2 #906 wood, stems'!$C$18/100)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<sst xmlns="http://schemas.openxmlformats.org/spreadsheetml/2006/main" count="70" uniqueCount="70">
  <si>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</si>
  <si>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https://phyllis.nl/Biomass/View/906</t>
  </si>
  <si>
    <t>wood, stems (#906)</t>
  </si>
  <si>
    <t>ID-number</t>
  </si>
  <si>
    <t>#906</t>
  </si>
  <si>
    <t>Material</t>
  </si>
  <si>
    <t>wood, stems</t>
  </si>
  <si>
    <t>Classification</t>
  </si>
  <si>
    <t>ECN Phyllis classification &gt; untreated wood &gt; park waste wood &gt; wood, stems</t>
  </si>
  <si>
    <t>NTA 8003 classification &gt; [100] hout &gt; [110] vers hout &gt; [119] overig vers hout</t>
  </si>
  <si>
    <t>Sample lot size</t>
  </si>
  <si>
    <t>4-8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</si>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</sst>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39.3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IFERROR(1.4*(1-w),"")</f>
        <v>0.84979999999999989</v>
      </c>
      <c r="D19" s="11">
        <v>1.4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IFERROR(81.5*(1-w),"")</f>
        <v>49.4705</v>
      </c>
      <c r="D20" s="11">
        <v>81.5</v>
      </c>
      <c r="E20" s="11">
        <v>82.657200811359033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IFERROR(17.1*(1-w),"")</f>
        <v>10.379699999999996</v>
      </c>
      <c r="D21" s="11">
        <v>17.099999999999994</v>
      </c>
      <c r="E21" s="11">
        <v>17.342799188640967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IFERROR(49.2*(1-w),"")</f>
        <v>29.8644</v>
      </c>
      <c r="D23" s="11">
        <v>49.2</v>
      </c>
      <c r="E23" s="11">
        <v>49.898580121703858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IFERROR(5.44*(1-w),"")</f>
        <v>3.30208</v>
      </c>
      <c r="D24" s="11">
        <v>5.44</v>
      </c>
      <c r="E24" s="11">
        <v>5.5172413793103452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IFERROR(43.63*(1-w),"")</f>
        <v>26.48341</v>
      </c>
      <c r="D25" s="11">
        <v>43.63</v>
      </c>
      <c r="E25" s="11">
        <v>44.249492900608523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IFERROR(0.27*(1-w),"")</f>
        <v>0.16389</v>
      </c>
      <c r="D26" s="11">
        <v>0.27</v>
      </c>
      <c r="E26" s="11">
        <v>0.27383367139959436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IFERROR(0.0379*(1-w),"")</f>
        <v>0.023005300000000003</v>
      </c>
      <c r="D27" s="11">
        <v>0.0379</v>
      </c>
      <c r="E27" s="11">
        <v>0.038438133874239354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IFERROR(99.9998*(1-w)+w*100,"")</f>
        <v>99.9998786</v>
      </c>
      <c r="D28" s="11">
        <v>99.999800000000008</v>
      </c>
      <c r="E28" s="11">
        <v>99.999797160243418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IFERROR(210*(1-w),"")</f>
        <v>127.47</v>
      </c>
      <c r="D30" s="12">
        <v>210</v>
      </c>
      <c r="E30" s="12">
        <v>212.98174442190668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IFERROR(9*(1-w),"")</f>
        <v>5.463</v>
      </c>
      <c r="D31" s="12">
        <v>9</v>
      </c>
      <c r="E31" s="12">
        <v>9.1277890466531435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IFERROR(18.92163*(1-w)-w*2.443,"")</f>
        <v>10.52533041</v>
      </c>
      <c r="D33" s="11">
        <v>18.92163</v>
      </c>
      <c r="E33" s="11">
        <v>19.19029411764706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IFERROR(20.1*(1-w),"")</f>
        <v>12.200700000000001</v>
      </c>
      <c r="D34" s="11">
        <v>20.1</v>
      </c>
      <c r="E34" s="11">
        <v>20.385395537525358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IFERROR(18.68235982*(1-w),"")</f>
        <v>11.34019241074</v>
      </c>
      <c r="D35" s="11">
        <v>18.682359820000002</v>
      </c>
      <c r="E35" s="11">
        <v>18.947626592292092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0.2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/>
      <c r="D39" s="12"/>
      <c r="E39" s="12"/>
      <c r="F39" s="12"/>
      <c r="G39" s="12">
        <v>2.5</v>
      </c>
      <c r="I39" s="13"/>
    </row>
    <row r="40" outlineLevel="2">
      <c r="A40" s="10" t="s">
        <v>59</v>
      </c>
      <c r="B40" s="0" t="s">
        <v>56</v>
      </c>
      <c r="C40" s="12">
        <v>6.5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4.1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0.02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12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3.6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8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/>
      <c r="D46" s="12"/>
      <c r="E46" s="12"/>
      <c r="F46" s="12"/>
      <c r="G46" s="12">
        <v>0.02</v>
      </c>
      <c r="I46" s="13"/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/>
      <c r="D49" s="12"/>
      <c r="E49" s="12"/>
      <c r="F49" s="12"/>
      <c r="G49" s="12">
        <v>1.5</v>
      </c>
      <c r="I49" s="13"/>
    </row>
    <row r="50" outlineLevel="2">
      <c r="A50" s="10" t="s">
        <v>69</v>
      </c>
      <c r="B50" s="0" t="s">
        <v>56</v>
      </c>
      <c r="C50" s="12">
        <v>33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39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https://phyllis.nl/Biomass/View/906</dc:description>
  <dcterms:created xsi:type="dcterms:W3CDTF">2026-03-19T07:23:51Z</dcterms:created>
  <dc:title>Phyllis2 #906 wood,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