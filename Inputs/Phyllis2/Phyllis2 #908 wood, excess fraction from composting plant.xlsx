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8 wood, excess frac" sheetId="1" r:id="rId1"/>
  </sheets>
  <definedNames>
    <definedName name="w" localSheetId="0">IF(ISBLANK('Phyllis2 #908 wood, excess frac'!$C$18),#N/A,'Phyllis2 #908 wood, excess frac'!$C$18/100)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<sst xmlns="http://schemas.openxmlformats.org/spreadsheetml/2006/main" count="70" uniqueCount="70">
  <si>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</si>
  <si>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https://phyllis.nl/Biomass/View/908</t>
  </si>
  <si>
    <t>wood, excess fraction from composting plant (#908)</t>
  </si>
  <si>
    <t>ID-number</t>
  </si>
  <si>
    <t>#908</t>
  </si>
  <si>
    <t>Material</t>
  </si>
  <si>
    <t>wood, excess fraction from composting plant</t>
  </si>
  <si>
    <t>Classification</t>
  </si>
  <si>
    <t>ECN Phyllis classification &gt; treated wood &gt; composted wood &gt; wood, excess fraction from composting plant</t>
  </si>
  <si>
    <t>NTA 8003 classification &gt; [100] hout &gt; [150] verwerkt hout &gt; [190] hout uit verwerking &gt; [192] hout uit compostering</t>
  </si>
  <si>
    <t>Sample lot size</t>
  </si>
  <si>
    <t>5-10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</si>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</sst>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50.3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IFERROR(20.14*(1-w),"")</f>
        <v>10.00958</v>
      </c>
      <c r="D19" s="11">
        <v>20.14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IFERROR(62.2*(1-w),"")</f>
        <v>30.913400000000003</v>
      </c>
      <c r="D20" s="11">
        <v>62.2</v>
      </c>
      <c r="E20" s="11">
        <v>77.8863010267969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IFERROR(17.66*(1-w),"")</f>
        <v>8.7770199999999985</v>
      </c>
      <c r="D21" s="11">
        <v>17.659999999999997</v>
      </c>
      <c r="E21" s="11">
        <v>22.113698973203103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IFERROR(40.2*(1-w),"")</f>
        <v>19.979400000000002</v>
      </c>
      <c r="D23" s="11">
        <v>40.2</v>
      </c>
      <c r="E23" s="11">
        <v>50.338091660405716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IFERROR(4.1*(1-w),"")</f>
        <v>2.0376999999999996</v>
      </c>
      <c r="D24" s="11">
        <v>4.1</v>
      </c>
      <c r="E24" s="11">
        <v>5.1339844728274473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IFERROR(34.59*(1-w),"")</f>
        <v>17.19123</v>
      </c>
      <c r="D25" s="11">
        <v>34.59</v>
      </c>
      <c r="E25" s="11">
        <v>43.313298271975967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IFERROR(0.69*(1-w),"")</f>
        <v>0.34292999999999996</v>
      </c>
      <c r="D26" s="11">
        <v>0.69</v>
      </c>
      <c r="E26" s="11">
        <v>0.8640120210368144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IFERROR(0.1177*(1-w),"")</f>
        <v>0.0584969</v>
      </c>
      <c r="D27" s="11">
        <v>0.1177</v>
      </c>
      <c r="E27" s="11">
        <v>0.14738292011019283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IFERROR(100.0042*(1-w)+w*100,"")</f>
        <v>100.0020874</v>
      </c>
      <c r="D28" s="11">
        <v>100.00420000000001</v>
      </c>
      <c r="E28" s="11">
        <v>100.00525920360633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IFERROR(1647*(1-w),"")</f>
        <v>818.559</v>
      </c>
      <c r="D30" s="12">
        <v>1647</v>
      </c>
      <c r="E30" s="12">
        <v>2062.3591284748309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IFERROR(18*(1-w),"")</f>
        <v>8.946</v>
      </c>
      <c r="D31" s="12">
        <v>18</v>
      </c>
      <c r="E31" s="12">
        <v>22.539444027047335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IFERROR(16.10531*(1-w)-w*2.443,"")</f>
        <v>6.77551007</v>
      </c>
      <c r="D33" s="11">
        <v>16.10531</v>
      </c>
      <c r="E33" s="11">
        <v>20.166929626846983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IFERROR(17*(1-w),"")</f>
        <v>8.449</v>
      </c>
      <c r="D34" s="11">
        <v>17</v>
      </c>
      <c r="E34" s="11">
        <v>21.287252692211371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IFERROR(14.6567920188*(1-w),"")</f>
        <v>7.2844256333435986</v>
      </c>
      <c r="D35" s="11">
        <v>14.656792018799997</v>
      </c>
      <c r="E35" s="11">
        <v>18.353107962434258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4.2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>
        <v>3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36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16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0.07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161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15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20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1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/>
      <c r="D49" s="12"/>
      <c r="E49" s="12"/>
      <c r="F49" s="12"/>
      <c r="G49" s="12">
        <v>1.5</v>
      </c>
      <c r="I49" s="13"/>
    </row>
    <row r="50" outlineLevel="2">
      <c r="A50" s="10" t="s">
        <v>69</v>
      </c>
      <c r="B50" s="0" t="s">
        <v>56</v>
      </c>
      <c r="C50" s="12">
        <v>71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50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https://phyllis.nl/Biomass/View/908</dc:description>
  <dcterms:created xsi:type="dcterms:W3CDTF">2026-03-19T04:01:48Z</dcterms:created>
  <dc:title>Phyllis2 #908 wood, excess fraction from composting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