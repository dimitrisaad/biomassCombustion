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09 wood, stems" sheetId="1" r:id="rId1"/>
  </sheets>
  <definedNames>
    <definedName name="w" localSheetId="0">IF(ISBLANK('Phyllis2 #909 wood, stems'!$C$18),#N/A,'Phyllis2 #909 wood, stems'!$C$18/100)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<sst xmlns="http://schemas.openxmlformats.org/spreadsheetml/2006/main" count="70" uniqueCount="70">
  <si>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</si>
  <si>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https://phyllis.nl/Biomass/View/909</t>
  </si>
  <si>
    <t>wood, stems (#909)</t>
  </si>
  <si>
    <t>ID-number</t>
  </si>
  <si>
    <t>#909</t>
  </si>
  <si>
    <t>Material</t>
  </si>
  <si>
    <t>wood, stems</t>
  </si>
  <si>
    <t>Classification</t>
  </si>
  <si>
    <t>ECN Phyllis classification &gt; untreated wood &gt; park waste wood &gt; wood, stems</t>
  </si>
  <si>
    <t>NTA 8003 classification &gt; [100] hout &gt; [110] vers hout &gt; [119] overig vers hout</t>
  </si>
  <si>
    <t>Sample lot size</t>
  </si>
  <si>
    <t>4-6 cm</t>
  </si>
  <si>
    <t>Submitter organisation</t>
  </si>
  <si>
    <t>ECN (Netherlands)</t>
  </si>
  <si>
    <t>Literature</t>
  </si>
  <si>
    <t>P. Bruyn, A. Curvers and J. van Doorn: Monstername en analyse van park- en plantsoenafval in de provincie Noord-Holland (confidential), Petten, ECN, ECN-CX--95-097, 37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</si>
  <si>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</si>
  <si>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</si>
  <si>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</si>
  <si>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</si>
  <si>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</si>
  <si>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</si>
  <si>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</si>
  <si>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</si>
  <si>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</si>
  <si>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</si>
  <si>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</si>
  <si>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</si>
  <si>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</si>
  <si>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</si>
  <si>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</si>
  <si>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</si>
  <si>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</si>
  <si>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</si>
  <si>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</si>
  <si>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</si>
  <si>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</si>
  <si>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</si>
  <si>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</si>
  <si>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</si>
  <si>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</si>
  <si>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</si>
  <si>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</si>
  <si>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</si>
  <si>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</si>
  <si>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</si>
  <si>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</si>
  <si>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</si>
  <si>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</si>
  <si>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</si>
  <si>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</si>
  <si>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</si>
  <si>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</si>
  <si>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</si>
  <si>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</si>
  <si>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</si>
  <si>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</si>
  <si>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</si>
  <si>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</si>
  <si>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</si>
  <si>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</si>
  <si>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</si>
  <si>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Manganese (Mn)</t>
  </si>
  <si>
    <t>Nickel (Ni)</t>
  </si>
  <si>
    <t>Lead (Pb)</t>
  </si>
  <si>
    <t>Antimony (Sb)</t>
  </si>
  <si>
    <t>Tin (Sn)</t>
  </si>
  <si>
    <t>Tellurium (Te)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</si>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</sst>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0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43.5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IFERROR(3.1*(1-w),"")</f>
        <v>1.7514999999999998</v>
      </c>
      <c r="D19" s="11">
        <v>3.1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IFERROR(78.1*(1-w),"")</f>
        <v>44.126499999999993</v>
      </c>
      <c r="D20" s="11">
        <v>78.1</v>
      </c>
      <c r="E20" s="11">
        <v>80.5985552115583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IFERROR(18.8*(1-w),"")</f>
        <v>10.622000000000005</v>
      </c>
      <c r="D21" s="11">
        <v>18.800000000000011</v>
      </c>
      <c r="E21" s="11">
        <v>19.401444788441705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IFERROR(48.5*(1-w),"")</f>
        <v>27.402499999999996</v>
      </c>
      <c r="D23" s="11">
        <v>48.5</v>
      </c>
      <c r="E23" s="11">
        <v>50.051599587203306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IFERROR(5.5*(1-w),"")</f>
        <v>3.1075</v>
      </c>
      <c r="D24" s="11">
        <v>5.5</v>
      </c>
      <c r="E24" s="11">
        <v>5.6759545923632615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IFERROR(42.54*(1-w),"")</f>
        <v>24.035099999999996</v>
      </c>
      <c r="D25" s="11">
        <v>42.54</v>
      </c>
      <c r="E25" s="11">
        <v>43.900928792569658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IFERROR(0.27*(1-w),"")</f>
        <v>0.15255</v>
      </c>
      <c r="D26" s="11">
        <v>0.27</v>
      </c>
      <c r="E26" s="11">
        <v>0.27863777089783287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IFERROR(0.0534*(1-w),"")</f>
        <v>0.030171</v>
      </c>
      <c r="D27" s="11">
        <v>0.0534</v>
      </c>
      <c r="E27" s="11">
        <v>0.055108359133126943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IFERROR(99.9972*(1-w)+w*100,"")</f>
        <v>99.998417999999987</v>
      </c>
      <c r="D28" s="11">
        <v>99.997199999999978</v>
      </c>
      <c r="E28" s="11">
        <v>99.9971104231166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IFERROR(330*(1-w),"")</f>
        <v>186.45</v>
      </c>
      <c r="D30" s="12">
        <v>330</v>
      </c>
      <c r="E30" s="12">
        <v>340.55727554179566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IFERROR(8*(1-w),"")</f>
        <v>4.52</v>
      </c>
      <c r="D31" s="12">
        <v>8</v>
      </c>
      <c r="E31" s="12">
        <v>8.25593395252838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IFERROR(18.29981*(1-w)-w*2.443,"")</f>
        <v>9.27668765</v>
      </c>
      <c r="D33" s="11">
        <v>18.29981</v>
      </c>
      <c r="E33" s="11">
        <v>18.885252837977298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IFERROR(19.5*(1-w),"")</f>
        <v>11.017499999999998</v>
      </c>
      <c r="D34" s="11">
        <v>19.5</v>
      </c>
      <c r="E34" s="11">
        <v>20.123839009287927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IFERROR(18.63000357*(1-w),"")</f>
        <v>10.525952017050002</v>
      </c>
      <c r="D35" s="11">
        <v>18.630003570000007</v>
      </c>
      <c r="E35" s="11">
        <v>19.226009876160997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0.4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/>
      <c r="D38" s="12"/>
      <c r="E38" s="12"/>
      <c r="F38" s="12"/>
      <c r="G38" s="12">
        <v>1.5</v>
      </c>
      <c r="I38" s="13"/>
    </row>
    <row r="39" outlineLevel="2">
      <c r="A39" s="10" t="s">
        <v>58</v>
      </c>
      <c r="B39" s="0" t="s">
        <v>56</v>
      </c>
      <c r="C39" s="12"/>
      <c r="D39" s="12"/>
      <c r="E39" s="12"/>
      <c r="F39" s="12"/>
      <c r="G39" s="12">
        <v>2.5</v>
      </c>
      <c r="I39" s="13"/>
    </row>
    <row r="40" outlineLevel="2">
      <c r="A40" s="10" t="s">
        <v>59</v>
      </c>
      <c r="B40" s="0" t="s">
        <v>56</v>
      </c>
      <c r="C40" s="12">
        <v>18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>
        <v>4</v>
      </c>
      <c r="D41" s="12"/>
      <c r="E41" s="12"/>
      <c r="F41" s="12"/>
      <c r="G41" s="12"/>
      <c r="I41" s="13"/>
      <c r="J41" s="0" t="s">
        <v>39</v>
      </c>
    </row>
    <row r="42" outlineLevel="2">
      <c r="A42" s="10" t="s">
        <v>61</v>
      </c>
      <c r="B42" s="0" t="s">
        <v>56</v>
      </c>
      <c r="C42" s="12"/>
      <c r="D42" s="12"/>
      <c r="E42" s="12"/>
      <c r="F42" s="12"/>
      <c r="G42" s="12">
        <v>0.019</v>
      </c>
      <c r="I42" s="13"/>
    </row>
    <row r="43" outlineLevel="2">
      <c r="A43" s="10" t="s">
        <v>62</v>
      </c>
      <c r="B43" s="0" t="s">
        <v>56</v>
      </c>
      <c r="C43" s="12">
        <v>18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7.1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/>
      <c r="D45" s="12"/>
      <c r="E45" s="12"/>
      <c r="F45" s="12"/>
      <c r="G45" s="12">
        <v>7</v>
      </c>
      <c r="I45" s="13"/>
    </row>
    <row r="46" outlineLevel="2">
      <c r="A46" s="10" t="s">
        <v>65</v>
      </c>
      <c r="B46" s="0" t="s">
        <v>56</v>
      </c>
      <c r="C46" s="12">
        <v>0.1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/>
      <c r="D47" s="12"/>
      <c r="E47" s="12"/>
      <c r="F47" s="12"/>
      <c r="G47" s="12">
        <v>0.9</v>
      </c>
      <c r="I47" s="13"/>
    </row>
    <row r="48" outlineLevel="2">
      <c r="A48" s="10" t="s">
        <v>67</v>
      </c>
      <c r="B48" s="0" t="s">
        <v>56</v>
      </c>
      <c r="C48" s="12"/>
      <c r="D48" s="12"/>
      <c r="E48" s="12"/>
      <c r="F48" s="12"/>
      <c r="G48" s="12">
        <v>2.4</v>
      </c>
      <c r="I48" s="13"/>
    </row>
    <row r="49" outlineLevel="2">
      <c r="A49" s="10" t="s">
        <v>68</v>
      </c>
      <c r="B49" s="0" t="s">
        <v>56</v>
      </c>
      <c r="C49" s="12"/>
      <c r="D49" s="12"/>
      <c r="E49" s="12"/>
      <c r="F49" s="12"/>
      <c r="G49" s="12">
        <v>1.5</v>
      </c>
      <c r="I49" s="13"/>
    </row>
    <row r="50" outlineLevel="2">
      <c r="A50" s="10" t="s">
        <v>69</v>
      </c>
      <c r="B50" s="0" t="s">
        <v>56</v>
      </c>
      <c r="C50" s="12">
        <v>42</v>
      </c>
      <c r="D50" s="12"/>
      <c r="E50" s="12"/>
      <c r="F50" s="12"/>
      <c r="G50" s="12"/>
      <c r="I50" s="13"/>
      <c r="J50" s="0" t="s">
        <v>39</v>
      </c>
    </row>
    <row r="51">
      <c r="I51" s="13"/>
    </row>
    <row r="5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8" errorStyle="stop" promptTitle="Enter moisture content" errorTitle="Invalid moisture content" prompt="Value should be between 0 and 100.&#10;Original value: 43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https://phyllis.nl/Biomass/View/909</dc:description>
  <dcterms:created xsi:type="dcterms:W3CDTF">2026-03-19T07:23:54Z</dcterms:created>
  <dc:title>Phyllis2 #909 wood, stems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