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11 wood, category B " sheetId="1" r:id="rId1"/>
  </sheets>
  <definedNames>
    <definedName name="w" localSheetId="0">IF(ISBLANK('Phyllis2 #911 wood, category B '!$C$19),#N/A,'Phyllis2 #911 wood, category B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<sst xmlns="http://schemas.openxmlformats.org/spreadsheetml/2006/main" count="87" uniqueCount="87">
  <si>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</si>
  <si>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https://phyllis.nl/Biomass/View/911</t>
  </si>
  <si>
    <t>wood, category B (painted) (#911)</t>
  </si>
  <si>
    <t>ID-number</t>
  </si>
  <si>
    <t>#911</t>
  </si>
  <si>
    <t>Material</t>
  </si>
  <si>
    <t>wood, category B (painted)</t>
  </si>
  <si>
    <t>Classification</t>
  </si>
  <si>
    <t>ECN Phyllis classification &gt; treated wood &gt; demolition wood &gt; wood, category B (painted)</t>
  </si>
  <si>
    <t>NTA 8003 classification &gt; [100] hout &gt; [150] verwerkt hout &gt; [170] geverfd/verlijmd hout (B-hout)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</si>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</sst>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4"/>
    </row>
    <row r="18" outlineLevel="1">
      <c r="A18" s="9" t="s">
        <v>31</v>
      </c>
      <c r="I18" s="14"/>
    </row>
    <row r="19" outlineLevel="2">
      <c r="A19" s="10" t="s">
        <v>32</v>
      </c>
      <c r="B19" s="0" t="s">
        <v>33</v>
      </c>
      <c r="C19" s="11">
        <v>10.1</v>
      </c>
      <c r="D19" s="11"/>
      <c r="E19" s="11"/>
      <c r="F19" s="11"/>
      <c r="G19" s="11"/>
      <c r="I19" s="14"/>
    </row>
    <row r="20" outlineLevel="2">
      <c r="A20" s="10" t="s">
        <v>34</v>
      </c>
      <c r="B20" s="0" t="s">
        <v>33</v>
      </c>
      <c r="C20" s="11">
        <f>IFERROR(2.08*(1-w),"")</f>
        <v>1.86992</v>
      </c>
      <c r="D20" s="11">
        <v>2.08</v>
      </c>
      <c r="E20" s="11">
        <v/>
      </c>
      <c r="F20" s="11"/>
      <c r="G20" s="11"/>
      <c r="I20" s="14"/>
    </row>
    <row r="21" outlineLevel="2">
      <c r="A21" s="10" t="s">
        <v>35</v>
      </c>
      <c r="B21" s="0" t="s">
        <v>33</v>
      </c>
      <c r="C21" s="11">
        <f>IFERROR(78.37*(1-w),"")</f>
        <v>70.454630000000009</v>
      </c>
      <c r="D21" s="11">
        <v>78.37</v>
      </c>
      <c r="E21" s="11">
        <v>80.034722222222229</v>
      </c>
      <c r="F21" s="11"/>
      <c r="G21" s="11"/>
      <c r="I21" s="14"/>
    </row>
    <row r="22" outlineLevel="2">
      <c r="A22" s="10" t="s">
        <v>36</v>
      </c>
      <c r="B22" s="0" t="s">
        <v>33</v>
      </c>
      <c r="C22" s="11">
        <f>IFERROR(19.55*(1-w),"")</f>
        <v>17.575449999999996</v>
      </c>
      <c r="D22" s="11">
        <v>19.549999999999997</v>
      </c>
      <c r="E22" s="11">
        <v>19.965277777777775</v>
      </c>
      <c r="F22" s="11"/>
      <c r="G22" s="11"/>
      <c r="I22" s="14"/>
      <c r="J22" s="0" t="s">
        <v>37</v>
      </c>
    </row>
    <row r="23" outlineLevel="1">
      <c r="A23" s="9" t="s">
        <v>38</v>
      </c>
      <c r="I23" s="14"/>
    </row>
    <row r="24" outlineLevel="2">
      <c r="A24" s="10" t="s">
        <v>39</v>
      </c>
      <c r="B24" s="0" t="s">
        <v>33</v>
      </c>
      <c r="C24" s="11">
        <f>IFERROR(49.9*(1-w),"")</f>
        <v>44.8601</v>
      </c>
      <c r="D24" s="11">
        <v>49.9</v>
      </c>
      <c r="E24" s="11">
        <v>50.959967320261441</v>
      </c>
      <c r="F24" s="11"/>
      <c r="G24" s="11"/>
      <c r="I24" s="14"/>
      <c r="J24" s="0" t="s">
        <v>40</v>
      </c>
    </row>
    <row r="25" outlineLevel="2">
      <c r="A25" s="10" t="s">
        <v>41</v>
      </c>
      <c r="B25" s="0" t="s">
        <v>33</v>
      </c>
      <c r="C25" s="11">
        <f>IFERROR(5.43*(1-w),"")</f>
        <v>4.88157</v>
      </c>
      <c r="D25" s="11">
        <v>5.43</v>
      </c>
      <c r="E25" s="11">
        <v>5.5453431372549016</v>
      </c>
      <c r="F25" s="11"/>
      <c r="G25" s="11"/>
      <c r="I25" s="14"/>
      <c r="J25" s="0" t="s">
        <v>40</v>
      </c>
    </row>
    <row r="26" outlineLevel="2">
      <c r="A26" s="10" t="s">
        <v>42</v>
      </c>
      <c r="B26" s="0" t="s">
        <v>33</v>
      </c>
      <c r="C26" s="11">
        <f>IFERROR(42.02*(1-w),"")</f>
        <v>37.775980000000004</v>
      </c>
      <c r="D26" s="11">
        <v>42.02</v>
      </c>
      <c r="E26" s="11">
        <v>42.912581699346411</v>
      </c>
      <c r="F26" s="11"/>
      <c r="G26" s="11"/>
      <c r="I26" s="14"/>
      <c r="J26" s="0" t="s">
        <v>37</v>
      </c>
    </row>
    <row r="27" outlineLevel="2">
      <c r="A27" s="10" t="s">
        <v>43</v>
      </c>
      <c r="B27" s="0" t="s">
        <v>33</v>
      </c>
      <c r="C27" s="11">
        <f>IFERROR(0.45*(1-w),"")</f>
        <v>0.40455</v>
      </c>
      <c r="D27" s="11">
        <v>0.45</v>
      </c>
      <c r="E27" s="11">
        <v>0.4595588235294118</v>
      </c>
      <c r="F27" s="11"/>
      <c r="G27" s="11"/>
      <c r="I27" s="14"/>
      <c r="J27" s="0" t="s">
        <v>40</v>
      </c>
    </row>
    <row r="28" outlineLevel="2">
      <c r="A28" s="10" t="s">
        <v>44</v>
      </c>
      <c r="B28" s="0" t="s">
        <v>33</v>
      </c>
      <c r="C28" s="11">
        <f>IFERROR(0.042163*(1-w),"")</f>
        <v>0.037904537</v>
      </c>
      <c r="D28" s="11">
        <v>0.042163</v>
      </c>
      <c r="E28" s="11">
        <v>0.043058619281045755</v>
      </c>
      <c r="F28" s="11"/>
      <c r="G28" s="11"/>
      <c r="I28" s="14"/>
      <c r="J28" s="0" t="s">
        <v>40</v>
      </c>
    </row>
    <row r="29" outlineLevel="2">
      <c r="A29" s="10" t="s">
        <v>45</v>
      </c>
      <c r="B29" s="0" t="s">
        <v>33</v>
      </c>
      <c r="C29" s="11">
        <f>IFERROR(99.995629*(1-w)+w*100,"")</f>
        <v>99.996070471</v>
      </c>
      <c r="D29" s="11">
        <v>99.995629</v>
      </c>
      <c r="E29" s="11">
        <v>99.995536151960778</v>
      </c>
      <c r="F29" s="11"/>
      <c r="G29" s="11"/>
      <c r="I29" s="14"/>
      <c r="J29" s="0" t="s">
        <v>37</v>
      </c>
    </row>
    <row r="30" outlineLevel="1">
      <c r="A30" s="9" t="s">
        <v>46</v>
      </c>
      <c r="I30" s="14"/>
    </row>
    <row r="31" outlineLevel="2">
      <c r="A31" s="10" t="s">
        <v>47</v>
      </c>
      <c r="B31" s="0" t="s">
        <v>48</v>
      </c>
      <c r="C31" s="12">
        <f>IFERROR(711.5*(1-w),"")</f>
        <v>639.6385</v>
      </c>
      <c r="D31" s="12">
        <v>711.5</v>
      </c>
      <c r="E31" s="12">
        <v>726.61356209150335</v>
      </c>
      <c r="F31" s="12"/>
      <c r="G31" s="12"/>
      <c r="I31" s="14"/>
      <c r="J31" s="0" t="s">
        <v>40</v>
      </c>
    </row>
    <row r="32" outlineLevel="2">
      <c r="A32" s="10" t="s">
        <v>49</v>
      </c>
      <c r="B32" s="0" t="s">
        <v>48</v>
      </c>
      <c r="C32" s="12">
        <f>IFERROR(23.16*(1-w),"")</f>
        <v>20.82084</v>
      </c>
      <c r="D32" s="12">
        <v>23.16</v>
      </c>
      <c r="E32" s="12">
        <v>23.651960784313726</v>
      </c>
      <c r="F32" s="12"/>
      <c r="G32" s="12"/>
      <c r="I32" s="14"/>
      <c r="J32" s="0" t="s">
        <v>40</v>
      </c>
    </row>
    <row r="33" outlineLevel="1">
      <c r="A33" s="9" t="s">
        <v>50</v>
      </c>
      <c r="I33" s="14"/>
    </row>
    <row r="34" outlineLevel="2">
      <c r="A34" s="10" t="s">
        <v>51</v>
      </c>
      <c r="B34" s="0" t="s">
        <v>52</v>
      </c>
      <c r="C34" s="11">
        <f>IFERROR(18.66755*(1-w)-w*2.443,"")</f>
        <v>16.535384450000002</v>
      </c>
      <c r="D34" s="11">
        <v>18.66755</v>
      </c>
      <c r="E34" s="11">
        <v>19.0640829248366</v>
      </c>
      <c r="F34" s="11"/>
      <c r="G34" s="11"/>
      <c r="I34" s="14"/>
    </row>
    <row r="35" outlineLevel="2">
      <c r="A35" s="10" t="s">
        <v>53</v>
      </c>
      <c r="B35" s="0" t="s">
        <v>52</v>
      </c>
      <c r="C35" s="11">
        <f>IFERROR(19.85247*(1-w),"")</f>
        <v>17.84737053</v>
      </c>
      <c r="D35" s="11">
        <v>19.85247</v>
      </c>
      <c r="E35" s="11">
        <v>20.27417279411765</v>
      </c>
      <c r="F35" s="11"/>
      <c r="G35" s="11"/>
      <c r="I35" s="14"/>
    </row>
    <row r="36" outlineLevel="2">
      <c r="A36" s="10" t="s">
        <v>54</v>
      </c>
      <c r="B36" s="0" t="s">
        <v>52</v>
      </c>
      <c r="C36" s="11">
        <f>IFERROR(19.069690321*(1-w),"")</f>
        <v>17.143651598579</v>
      </c>
      <c r="D36" s="11">
        <v>19.069690321000003</v>
      </c>
      <c r="E36" s="11">
        <v>19.474765442197715</v>
      </c>
      <c r="F36" s="11"/>
      <c r="G36" s="11"/>
      <c r="I36" s="14"/>
      <c r="J36" s="0" t="s">
        <v>37</v>
      </c>
    </row>
    <row r="37" outlineLevel="1">
      <c r="A37" s="9" t="s">
        <v>55</v>
      </c>
      <c r="I37" s="14"/>
    </row>
    <row r="38" outlineLevel="2">
      <c r="A38" s="10" t="s">
        <v>56</v>
      </c>
      <c r="B38" s="0" t="s">
        <v>57</v>
      </c>
      <c r="C38" s="12">
        <v>340</v>
      </c>
      <c r="D38" s="12"/>
      <c r="E38" s="12"/>
      <c r="F38" s="12"/>
      <c r="G38" s="12"/>
      <c r="I38" s="14"/>
      <c r="J38" s="0" t="s">
        <v>40</v>
      </c>
    </row>
    <row r="39" outlineLevel="2">
      <c r="A39" s="10" t="s">
        <v>58</v>
      </c>
      <c r="B39" s="0" t="s">
        <v>57</v>
      </c>
      <c r="C39" s="12">
        <v>6.7</v>
      </c>
      <c r="D39" s="12"/>
      <c r="E39" s="12"/>
      <c r="F39" s="12"/>
      <c r="G39" s="12"/>
      <c r="I39" s="14"/>
      <c r="J39" s="0" t="s">
        <v>40</v>
      </c>
    </row>
    <row r="40" outlineLevel="2">
      <c r="A40" s="10" t="s">
        <v>59</v>
      </c>
      <c r="B40" s="0" t="s">
        <v>57</v>
      </c>
      <c r="C40" s="12">
        <v>6.7</v>
      </c>
      <c r="D40" s="12"/>
      <c r="E40" s="12"/>
      <c r="F40" s="12"/>
      <c r="G40" s="12"/>
      <c r="I40" s="14"/>
      <c r="J40" s="0" t="s">
        <v>40</v>
      </c>
    </row>
    <row r="41" outlineLevel="2">
      <c r="A41" s="10" t="s">
        <v>60</v>
      </c>
      <c r="B41" s="0" t="s">
        <v>57</v>
      </c>
      <c r="C41" s="12">
        <v>120</v>
      </c>
      <c r="D41" s="12"/>
      <c r="E41" s="12"/>
      <c r="F41" s="12"/>
      <c r="G41" s="12"/>
      <c r="I41" s="14"/>
      <c r="J41" s="0" t="s">
        <v>40</v>
      </c>
    </row>
    <row r="42" outlineLevel="2">
      <c r="A42" s="10" t="s">
        <v>61</v>
      </c>
      <c r="B42" s="0" t="s">
        <v>57</v>
      </c>
      <c r="C42" s="12">
        <v>3200</v>
      </c>
      <c r="D42" s="12"/>
      <c r="E42" s="12"/>
      <c r="F42" s="12"/>
      <c r="G42" s="12"/>
      <c r="I42" s="14"/>
      <c r="J42" s="0" t="s">
        <v>40</v>
      </c>
    </row>
    <row r="43" outlineLevel="2">
      <c r="A43" s="10" t="s">
        <v>62</v>
      </c>
      <c r="B43" s="0" t="s">
        <v>57</v>
      </c>
      <c r="C43" s="12">
        <v>0.6</v>
      </c>
      <c r="D43" s="12"/>
      <c r="E43" s="12"/>
      <c r="F43" s="12"/>
      <c r="G43" s="12"/>
      <c r="I43" s="14"/>
      <c r="J43" s="0" t="s">
        <v>40</v>
      </c>
    </row>
    <row r="44" outlineLevel="2">
      <c r="A44" s="10" t="s">
        <v>63</v>
      </c>
      <c r="B44" s="0" t="s">
        <v>57</v>
      </c>
      <c r="C44" s="12">
        <v>1</v>
      </c>
      <c r="D44" s="12"/>
      <c r="E44" s="12"/>
      <c r="F44" s="12"/>
      <c r="G44" s="12"/>
      <c r="I44" s="14"/>
      <c r="J44" s="0" t="s">
        <v>40</v>
      </c>
    </row>
    <row r="45" outlineLevel="2">
      <c r="A45" s="10" t="s">
        <v>64</v>
      </c>
      <c r="B45" s="0" t="s">
        <v>57</v>
      </c>
      <c r="C45" s="12">
        <v>41</v>
      </c>
      <c r="D45" s="12"/>
      <c r="E45" s="12"/>
      <c r="F45" s="12"/>
      <c r="G45" s="12"/>
      <c r="I45" s="14"/>
      <c r="J45" s="0" t="s">
        <v>40</v>
      </c>
    </row>
    <row r="46" outlineLevel="2">
      <c r="A46" s="10" t="s">
        <v>65</v>
      </c>
      <c r="B46" s="0" t="s">
        <v>57</v>
      </c>
      <c r="C46" s="12">
        <v>25</v>
      </c>
      <c r="D46" s="12"/>
      <c r="E46" s="12"/>
      <c r="F46" s="12"/>
      <c r="G46" s="12"/>
      <c r="I46" s="14"/>
      <c r="J46" s="0" t="s">
        <v>40</v>
      </c>
    </row>
    <row r="47" outlineLevel="2">
      <c r="A47" s="10" t="s">
        <v>66</v>
      </c>
      <c r="B47" s="0" t="s">
        <v>57</v>
      </c>
      <c r="C47" s="12">
        <v>420</v>
      </c>
      <c r="D47" s="12"/>
      <c r="E47" s="12"/>
      <c r="F47" s="12"/>
      <c r="G47" s="12"/>
      <c r="I47" s="14"/>
      <c r="J47" s="0" t="s">
        <v>40</v>
      </c>
    </row>
    <row r="48" outlineLevel="2">
      <c r="A48" s="10" t="s">
        <v>67</v>
      </c>
      <c r="B48" s="0" t="s">
        <v>57</v>
      </c>
      <c r="C48" s="12">
        <v>710</v>
      </c>
      <c r="D48" s="12"/>
      <c r="E48" s="12"/>
      <c r="F48" s="12"/>
      <c r="G48" s="12"/>
      <c r="I48" s="14"/>
      <c r="J48" s="0" t="s">
        <v>40</v>
      </c>
    </row>
    <row r="49" outlineLevel="2">
      <c r="A49" s="10" t="s">
        <v>68</v>
      </c>
      <c r="B49" s="0" t="s">
        <v>57</v>
      </c>
      <c r="C49" s="12">
        <v>330</v>
      </c>
      <c r="D49" s="12"/>
      <c r="E49" s="12"/>
      <c r="F49" s="12"/>
      <c r="G49" s="12"/>
      <c r="I49" s="14"/>
      <c r="J49" s="0" t="s">
        <v>40</v>
      </c>
    </row>
    <row r="50" outlineLevel="2">
      <c r="A50" s="10" t="s">
        <v>69</v>
      </c>
      <c r="B50" s="0" t="s">
        <v>57</v>
      </c>
      <c r="C50" s="12">
        <v>67</v>
      </c>
      <c r="D50" s="12"/>
      <c r="E50" s="12"/>
      <c r="F50" s="12"/>
      <c r="G50" s="12"/>
      <c r="I50" s="14"/>
      <c r="J50" s="0" t="s">
        <v>40</v>
      </c>
    </row>
    <row r="51" outlineLevel="2">
      <c r="A51" s="10" t="s">
        <v>70</v>
      </c>
      <c r="B51" s="0" t="s">
        <v>57</v>
      </c>
      <c r="C51" s="12">
        <v>0.6</v>
      </c>
      <c r="D51" s="12"/>
      <c r="E51" s="12"/>
      <c r="F51" s="12"/>
      <c r="G51" s="12"/>
      <c r="I51" s="14"/>
      <c r="J51" s="0" t="s">
        <v>40</v>
      </c>
    </row>
    <row r="52" outlineLevel="2">
      <c r="A52" s="10" t="s">
        <v>71</v>
      </c>
      <c r="B52" s="0" t="s">
        <v>57</v>
      </c>
      <c r="C52" s="12">
        <v>550</v>
      </c>
      <c r="D52" s="12"/>
      <c r="E52" s="12"/>
      <c r="F52" s="12"/>
      <c r="G52" s="12"/>
      <c r="I52" s="14"/>
      <c r="J52" s="0" t="s">
        <v>40</v>
      </c>
    </row>
    <row r="53" outlineLevel="2">
      <c r="A53" s="10" t="s">
        <v>72</v>
      </c>
      <c r="B53" s="0" t="s">
        <v>57</v>
      </c>
      <c r="C53" s="12">
        <v>6.4</v>
      </c>
      <c r="D53" s="12"/>
      <c r="E53" s="12"/>
      <c r="F53" s="12"/>
      <c r="G53" s="12"/>
      <c r="I53" s="14"/>
      <c r="J53" s="0" t="s">
        <v>40</v>
      </c>
    </row>
    <row r="54" outlineLevel="2">
      <c r="A54" s="10" t="s">
        <v>73</v>
      </c>
      <c r="B54" s="0" t="s">
        <v>57</v>
      </c>
      <c r="C54" s="12">
        <v>70</v>
      </c>
      <c r="D54" s="12"/>
      <c r="E54" s="12"/>
      <c r="F54" s="12"/>
      <c r="G54" s="12"/>
      <c r="I54" s="14"/>
      <c r="J54" s="0" t="s">
        <v>40</v>
      </c>
    </row>
    <row r="55" outlineLevel="2">
      <c r="A55" s="10" t="s">
        <v>74</v>
      </c>
      <c r="B55" s="0" t="s">
        <v>57</v>
      </c>
      <c r="C55" s="12">
        <v>170</v>
      </c>
      <c r="D55" s="12"/>
      <c r="E55" s="12"/>
      <c r="F55" s="12"/>
      <c r="G55" s="12"/>
      <c r="I55" s="14"/>
      <c r="J55" s="0" t="s">
        <v>40</v>
      </c>
    </row>
    <row r="56" outlineLevel="2">
      <c r="A56" s="10" t="s">
        <v>75</v>
      </c>
      <c r="B56" s="0" t="s">
        <v>57</v>
      </c>
      <c r="C56" s="12"/>
      <c r="D56" s="12"/>
      <c r="E56" s="12"/>
      <c r="F56" s="12"/>
      <c r="G56" s="12">
        <v>0.5</v>
      </c>
      <c r="I56" s="14"/>
    </row>
    <row r="57" outlineLevel="2">
      <c r="A57" s="10" t="s">
        <v>76</v>
      </c>
      <c r="B57" s="0" t="s">
        <v>57</v>
      </c>
      <c r="C57" s="12">
        <v>0.2</v>
      </c>
      <c r="D57" s="12"/>
      <c r="E57" s="12"/>
      <c r="F57" s="12"/>
      <c r="G57" s="12"/>
      <c r="I57" s="14"/>
      <c r="J57" s="0" t="s">
        <v>40</v>
      </c>
    </row>
    <row r="58" outlineLevel="2">
      <c r="A58" s="10" t="s">
        <v>77</v>
      </c>
      <c r="B58" s="0" t="s">
        <v>57</v>
      </c>
      <c r="C58" s="12">
        <v>3000</v>
      </c>
      <c r="D58" s="12"/>
      <c r="E58" s="12"/>
      <c r="F58" s="12"/>
      <c r="G58" s="12"/>
      <c r="I58" s="14"/>
      <c r="J58" s="0" t="s">
        <v>40</v>
      </c>
    </row>
    <row r="59" outlineLevel="2">
      <c r="A59" s="10" t="s">
        <v>78</v>
      </c>
      <c r="B59" s="0" t="s">
        <v>57</v>
      </c>
      <c r="C59" s="12"/>
      <c r="D59" s="12"/>
      <c r="E59" s="12"/>
      <c r="F59" s="12"/>
      <c r="G59" s="12">
        <v>0.6</v>
      </c>
      <c r="I59" s="14"/>
    </row>
    <row r="60" outlineLevel="2">
      <c r="A60" s="10" t="s">
        <v>79</v>
      </c>
      <c r="B60" s="0" t="s">
        <v>57</v>
      </c>
      <c r="C60" s="12">
        <v>12</v>
      </c>
      <c r="D60" s="12"/>
      <c r="E60" s="12"/>
      <c r="F60" s="12"/>
      <c r="G60" s="12"/>
      <c r="I60" s="14"/>
      <c r="J60" s="0" t="s">
        <v>40</v>
      </c>
    </row>
    <row r="61" outlineLevel="2">
      <c r="A61" s="10" t="s">
        <v>80</v>
      </c>
      <c r="B61" s="0" t="s">
        <v>57</v>
      </c>
      <c r="C61" s="12">
        <v>160</v>
      </c>
      <c r="D61" s="12"/>
      <c r="E61" s="12"/>
      <c r="F61" s="12"/>
      <c r="G61" s="12"/>
      <c r="I61" s="14"/>
      <c r="J61" s="0" t="s">
        <v>40</v>
      </c>
    </row>
    <row r="62" outlineLevel="2">
      <c r="A62" s="10" t="s">
        <v>81</v>
      </c>
      <c r="B62" s="0" t="s">
        <v>57</v>
      </c>
      <c r="C62" s="12">
        <v>0.7</v>
      </c>
      <c r="D62" s="12"/>
      <c r="E62" s="12"/>
      <c r="F62" s="12"/>
      <c r="G62" s="12"/>
      <c r="I62" s="14"/>
      <c r="J62" s="0" t="s">
        <v>40</v>
      </c>
    </row>
    <row r="63" outlineLevel="2">
      <c r="A63" s="10" t="s">
        <v>82</v>
      </c>
      <c r="B63" s="0" t="s">
        <v>57</v>
      </c>
      <c r="C63" s="12">
        <v>250</v>
      </c>
      <c r="D63" s="12"/>
      <c r="E63" s="12"/>
      <c r="F63" s="12"/>
      <c r="G63" s="12"/>
      <c r="I63" s="14"/>
      <c r="J63" s="0" t="s">
        <v>40</v>
      </c>
    </row>
    <row r="64">
      <c r="A64" s="5" t="s">
        <v>83</v>
      </c>
      <c r="I64" s="14"/>
    </row>
    <row r="65" outlineLevel="1">
      <c r="A65" s="9" t="s">
        <v>84</v>
      </c>
      <c r="I65" s="14"/>
    </row>
    <row r="66" outlineLevel="2">
      <c r="A66" s="10" t="s">
        <v>85</v>
      </c>
      <c r="B66" s="0" t="s">
        <v>86</v>
      </c>
      <c r="C66" s="13">
        <v>180</v>
      </c>
      <c r="D66" s="13"/>
      <c r="E66" s="13"/>
      <c r="F66" s="13"/>
      <c r="G66" s="13"/>
      <c r="I66" s="14"/>
    </row>
    <row r="67">
      <c r="I67" s="14"/>
    </row>
    <row r="6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</mergeCells>
  <dataValidations count="1">
    <dataValidation type="decimal" sqref="C19" errorStyle="stop" promptTitle="Enter moisture content" errorTitle="Invalid moisture content" prompt="Value should be between 0 and 100.&#10;Original value: 10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https://phyllis.nl/Biomass/View/911</dc:description>
  <dcterms:created xsi:type="dcterms:W3CDTF">2026-03-19T04:02:11Z</dcterms:created>
  <dc:title>Phyllis2 #911 wood, category B (painted)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