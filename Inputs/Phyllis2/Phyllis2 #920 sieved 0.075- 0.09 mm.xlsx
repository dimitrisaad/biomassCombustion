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20 sieved 0.075- 0.0" sheetId="1" r:id="rId1"/>
  </sheets>
  <definedNames>
    <definedName name="w" localSheetId="0">IF(ISBLANK('Phyllis2 #920 sieved 0.075- 0.0'!$C$18),#N/A,'Phyllis2 #920 sieved 0.075- 0.0'!$C$18/100)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<sst xmlns="http://schemas.openxmlformats.org/spreadsheetml/2006/main" count="74" uniqueCount="74">
  <si>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</si>
  <si>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https://phyllis.nl/Biomass/View/920</t>
  </si>
  <si>
    <t>sieved 0.075- 0.09 mm (#920)</t>
  </si>
  <si>
    <t>ID-number</t>
  </si>
  <si>
    <t>#920</t>
  </si>
  <si>
    <t>Material</t>
  </si>
  <si>
    <t>sieved 0.075- 0.09 mm</t>
  </si>
  <si>
    <t>Classification</t>
  </si>
  <si>
    <t>ECN Phyllis classification &gt; untreated wood &gt; willow</t>
  </si>
  <si>
    <t>NTA 8003 classification &gt; [100] hout &gt; [110] vers hout &gt; [120] loofhout &gt; [122] zacht loofhout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</si>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</sst>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3.7943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IFERROR(2.92*(1-w),"")</f>
        <v>2.80920644</v>
      </c>
      <c r="D19" s="11">
        <v>2.92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IFERROR(84*(1-w),"")</f>
        <v>80.812788</v>
      </c>
      <c r="D20" s="11">
        <v>84</v>
      </c>
      <c r="E20" s="11">
        <v>86.526576019777508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IFERROR(13.08*(1-w),"")</f>
        <v>12.583705559999999</v>
      </c>
      <c r="D21" s="11">
        <v>13.079999999999998</v>
      </c>
      <c r="E21" s="11">
        <v>13.473423980222496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IFERROR(49.15509*(1-w),"")</f>
        <v>47.289998420130004</v>
      </c>
      <c r="D23" s="11">
        <v>49.15509</v>
      </c>
      <c r="E23" s="11">
        <v>50.633590852904824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IFERROR(5.888424*(1-w),"")</f>
        <v>5.664999528168</v>
      </c>
      <c r="D24" s="11">
        <v>5.888424</v>
      </c>
      <c r="E24" s="11">
        <v>6.0655377008652653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IFERROR(38.25137*(1-w),"")</f>
        <v>36.79999826809</v>
      </c>
      <c r="D25" s="11">
        <v>38.25137</v>
      </c>
      <c r="E25" s="11">
        <v>39.401905644829007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IFERROR(1.450018*(1-w),"")</f>
        <v>1.394999967026</v>
      </c>
      <c r="D26" s="11">
        <v>1.450018</v>
      </c>
      <c r="E26" s="11">
        <v>1.4936320560362588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IFERROR(0.05716917*(1-w),"")</f>
        <v>0.05500000018269</v>
      </c>
      <c r="D27" s="11">
        <v>0.05716917</v>
      </c>
      <c r="E27" s="11">
        <v>0.058888720642768851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IFERROR(97.74111531*(1-w)+w*100,"")</f>
        <v>97.82682417179268</v>
      </c>
      <c r="D28" s="11">
        <v>97.74111531</v>
      </c>
      <c r="E28" s="11">
        <v>97.6731719303667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IFERROR(182.9414*(1-w),"")</f>
        <v>176.0000544598</v>
      </c>
      <c r="D30" s="12">
        <v>182.9414</v>
      </c>
      <c r="E30" s="12">
        <v>188.44396374124432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IFERROR(7.5*(1-w),"")</f>
        <v>7.2154275000000005</v>
      </c>
      <c r="D31" s="12">
        <v>7.5</v>
      </c>
      <c r="E31" s="12">
        <v>7.7255871446229918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IFERROR(19.798*(1-w)-w*2.443,"")</f>
        <v>18.954109737</v>
      </c>
      <c r="D33" s="11">
        <v>19.798</v>
      </c>
      <c r="E33" s="11">
        <v>20.393489905232794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IFERROR(21.08295*(1-w),"")</f>
        <v>20.28299962815</v>
      </c>
      <c r="D34" s="11">
        <v>21.08295</v>
      </c>
      <c r="E34" s="11">
        <v>21.717088998763906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IFERROR(19.742766002262*(1-w),"")</f>
        <v>18.993666231838176</v>
      </c>
      <c r="D35" s="11">
        <v>19.742766002262</v>
      </c>
      <c r="E35" s="11">
        <v>20.336594563516691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70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1.3</v>
      </c>
      <c r="I38" s="13"/>
    </row>
    <row r="39" outlineLevel="2">
      <c r="A39" s="10" t="s">
        <v>58</v>
      </c>
      <c r="B39" s="0" t="s">
        <v>56</v>
      </c>
      <c r="C39" s="12">
        <v>12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7700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/>
      <c r="D41" s="12"/>
      <c r="E41" s="12"/>
      <c r="F41" s="12"/>
      <c r="G41" s="12">
        <v>0.6</v>
      </c>
      <c r="I41" s="13"/>
    </row>
    <row r="42" outlineLevel="2">
      <c r="A42" s="10" t="s">
        <v>61</v>
      </c>
      <c r="B42" s="0" t="s">
        <v>56</v>
      </c>
      <c r="C42" s="12">
        <v>8.2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7.6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81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2700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600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11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190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25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860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220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2.8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/>
      <c r="D53" s="12"/>
      <c r="E53" s="12"/>
      <c r="F53" s="12"/>
      <c r="G53" s="12">
        <v>0.2</v>
      </c>
      <c r="I53" s="13"/>
    </row>
    <row r="54" outlineLevel="2">
      <c r="A54" s="10" t="s">
        <v>73</v>
      </c>
      <c r="B54" s="0" t="s">
        <v>56</v>
      </c>
      <c r="C54" s="12">
        <v>130</v>
      </c>
      <c r="D54" s="12"/>
      <c r="E54" s="12"/>
      <c r="F54" s="12"/>
      <c r="G54" s="12"/>
      <c r="I54" s="13"/>
      <c r="J54" s="0" t="s">
        <v>39</v>
      </c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3.794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https://phyllis.nl/Biomass/View/920</dc:description>
  <dcterms:created xsi:type="dcterms:W3CDTF">2026-03-19T07:31:06Z</dcterms:created>
  <dc:title>Phyllis2 #920 sieved 0.075- 0.09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