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921 sieved 0.125-0.18" sheetId="1" r:id="rId1"/>
  </sheets>
  <definedNames>
    <definedName name="w" localSheetId="0">IF(ISBLANK('Phyllis2 #921 sieved 0.125-0.18'!$C$18),#N/A,'Phyllis2 #921 sieved 0.125-0.18'!$C$18/100)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5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5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5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<sst xmlns="http://schemas.openxmlformats.org/spreadsheetml/2006/main" count="74" uniqueCount="74">
  <si>
    <t>Phyllis2</t>
  </si>
  <si>
    <t>https://phyllis.nl/Biomass/View/921</t>
  </si>
  <si>
    <t>sieved 0.125-0.18 mm (#921)</t>
  </si>
  <si>
    <t>ID-number</t>
  </si>
  <si>
    <t>#921</t>
  </si>
  <si>
    <t>Material</t>
  </si>
  <si>
    <t>sieved 0.125-0.18 mm</t>
  </si>
  <si>
    <t>Classification</t>
  </si>
  <si>
    <t>ECN Phyllis classification &gt; untreated wood &gt; willow</t>
  </si>
  <si>
    <t>NTA 8003 classification &gt; [100] hout &gt; [110] vers hout &gt; [120] loofhout &gt; [122] zacht loofhout</t>
  </si>
  <si>
    <t>Ash type</t>
  </si>
  <si>
    <t>ISO 1171 (815 degC)</t>
  </si>
  <si>
    <t>Submitter organisation</t>
  </si>
  <si>
    <t>ECN (Netherlands)</t>
  </si>
  <si>
    <t>Literature</t>
  </si>
  <si>
    <t>ECN laboratories.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</si>
  <si>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</si>
  <si>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</si>
  <si>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</si>
  <si>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</si>
  <si>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</si>
  <si>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</si>
  <si>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</si>
  <si>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</si>
  <si>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</si>
  <si>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</si>
  <si>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</si>
  <si>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</si>
  <si>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</si>
  <si>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</si>
  <si>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</si>
  <si>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</si>
  <si>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</si>
  <si>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</si>
  <si>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</si>
  <si>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</si>
  <si>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</si>
  <si>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</si>
  <si>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</si>
  <si>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</si>
  <si>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</si>
  <si>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</si>
  <si>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</si>
  <si>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Sulphur</t>
  </si>
  <si>
    <t>Total (with halides)</t>
  </si>
  <si>
    <t>Halides</t>
  </si>
  <si>
    <t>Chlorine (Cl)</t>
  </si>
  <si>
    <t>mg/kg</t>
  </si>
  <si>
    <t>Fluorine (F)</t>
  </si>
  <si>
    <t>Heating value</t>
  </si>
  <si>
    <t>Net calorific value (LHV)</t>
  </si>
  <si>
    <t>MJ/kg</t>
  </si>
  <si>
    <t>Gross calorific value (HHV)</t>
  </si>
  <si>
    <t>HHVMilne</t>
  </si>
  <si>
    <t>Trace elements composition</t>
  </si>
  <si>
    <t>Aluminium (Al)</t>
  </si>
  <si>
    <t>mg/kg (dry)</t>
  </si>
  <si>
    <t>Arsenic (As)</t>
  </si>
  <si>
    <t>Boron (B)</t>
  </si>
  <si>
    <t>Calcium (Ca)</t>
  </si>
  <si>
    <t>Cobalt (Co)</t>
  </si>
  <si>
    <t>Chromium (Cr)</t>
  </si>
  <si>
    <t>Copper (Cu)</t>
  </si>
  <si>
    <t>Iron (Fe)</t>
  </si>
  <si>
    <t>Potassium (K)</t>
  </si>
  <si>
    <t>Magnesium (Mg)</t>
  </si>
  <si>
    <t>Manganese (Mn)</t>
  </si>
  <si>
    <t>Sodium (Na)</t>
  </si>
  <si>
    <t>Nickel (Ni)</t>
  </si>
  <si>
    <t>Phosphorus (P)</t>
  </si>
  <si>
    <t>Silicon (Si)</t>
  </si>
  <si>
    <t>Titanium (Ti)</t>
  </si>
  <si>
    <t>Vanadium (V)</t>
  </si>
  <si>
    <t>Zinc (Zn)</t>
  </si>
</sst>
</file>

<file path=xl/styles.xml><?xml version="1.0" encoding="utf-8"?>
<styleSheet xmlns="http://schemas.openxmlformats.org/spreadsheetml/2006/main">
  <numFmts count="3">
    <numFmt numFmtId="164" formatCode="#,0.00"/>
    <numFmt numFmtId="165" formatCode="#,0.0"/>
    <numFmt numFmtId="166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4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921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55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 outlineLevel="1">
      <c r="A11" s="5" t="s">
        <v>14</v>
      </c>
      <c r="B11" s="0" t="s">
        <v>15</v>
      </c>
    </row>
    <row r="12">
      <c r="A12" s="5"/>
    </row>
    <row r="13" s="1" customFormat="1">
      <c r="A13" s="7" t="s">
        <v>16</v>
      </c>
    </row>
    <row r="14" s="1" customFormat="1">
      <c r="A14" s="8" t="s">
        <v>17</v>
      </c>
      <c r="B14" s="8" t="s">
        <v>18</v>
      </c>
      <c r="C14" s="8" t="s">
        <v>19</v>
      </c>
      <c r="D14" s="8"/>
      <c r="E14" s="8"/>
      <c r="F14" s="8" t="s">
        <v>20</v>
      </c>
      <c r="G14" s="8" t="s">
        <v>21</v>
      </c>
      <c r="H14" s="8" t="s">
        <v>22</v>
      </c>
      <c r="I14" s="8" t="s">
        <v>23</v>
      </c>
      <c r="J14" s="8" t="s">
        <v>24</v>
      </c>
      <c r="K14" s="8" t="s">
        <v>25</v>
      </c>
      <c r="L14" s="8"/>
    </row>
    <row r="15" s="1" customFormat="1">
      <c r="A15" s="8"/>
      <c r="B15" s="8"/>
      <c r="C15" s="8" t="s">
        <v>26</v>
      </c>
      <c r="D15" s="8" t="s">
        <v>27</v>
      </c>
      <c r="E15" s="8" t="s">
        <v>28</v>
      </c>
      <c r="F15" s="8"/>
      <c r="G15" s="8"/>
      <c r="H15" s="8"/>
      <c r="I15" s="8"/>
      <c r="J15" s="8"/>
      <c r="K15" s="8"/>
      <c r="L15" s="8"/>
    </row>
    <row r="16">
      <c r="A16" s="5" t="s">
        <v>29</v>
      </c>
      <c r="I16" s="13"/>
    </row>
    <row r="17" outlineLevel="1">
      <c r="A17" s="9" t="s">
        <v>30</v>
      </c>
      <c r="I17" s="13"/>
    </row>
    <row r="18" outlineLevel="2">
      <c r="A18" s="10" t="s">
        <v>31</v>
      </c>
      <c r="B18" s="0" t="s">
        <v>32</v>
      </c>
      <c r="C18" s="11">
        <v>2.7708</v>
      </c>
      <c r="D18" s="11"/>
      <c r="E18" s="11"/>
      <c r="F18" s="11"/>
      <c r="G18" s="11"/>
      <c r="I18" s="13"/>
    </row>
    <row r="19" outlineLevel="2">
      <c r="A19" s="10" t="s">
        <v>33</v>
      </c>
      <c r="B19" s="0" t="s">
        <v>32</v>
      </c>
      <c r="C19" s="11">
        <f>IFERROR(2.08*(1-w),"")</f>
        <v>2.02236736</v>
      </c>
      <c r="D19" s="11">
        <v>2.08</v>
      </c>
      <c r="E19" s="11">
        <v/>
      </c>
      <c r="F19" s="11"/>
      <c r="G19" s="11"/>
      <c r="I19" s="13"/>
    </row>
    <row r="20" outlineLevel="2">
      <c r="A20" s="10" t="s">
        <v>34</v>
      </c>
      <c r="B20" s="0" t="s">
        <v>32</v>
      </c>
      <c r="C20" s="11">
        <f>IFERROR(84.8*(1-w),"")</f>
        <v>82.450361600000008</v>
      </c>
      <c r="D20" s="11">
        <v>84.8</v>
      </c>
      <c r="E20" s="11">
        <v>86.601307189542482</v>
      </c>
      <c r="F20" s="11"/>
      <c r="G20" s="11"/>
      <c r="I20" s="13"/>
    </row>
    <row r="21" outlineLevel="2">
      <c r="A21" s="10" t="s">
        <v>35</v>
      </c>
      <c r="B21" s="0" t="s">
        <v>32</v>
      </c>
      <c r="C21" s="11">
        <f>IFERROR(13.12*(1-w),"")</f>
        <v>12.756471040000005</v>
      </c>
      <c r="D21" s="11">
        <v>13.120000000000005</v>
      </c>
      <c r="E21" s="11">
        <v>13.398692810457522</v>
      </c>
      <c r="F21" s="11"/>
      <c r="G21" s="11"/>
      <c r="I21" s="13"/>
      <c r="J21" s="0" t="s">
        <v>36</v>
      </c>
    </row>
    <row r="22" outlineLevel="1">
      <c r="A22" s="9" t="s">
        <v>37</v>
      </c>
      <c r="I22" s="13"/>
    </row>
    <row r="23" outlineLevel="2">
      <c r="A23" s="10" t="s">
        <v>38</v>
      </c>
      <c r="B23" s="0" t="s">
        <v>32</v>
      </c>
      <c r="C23" s="11">
        <f>IFERROR(48.5348*(1-w),"")</f>
        <v>47.1899977616</v>
      </c>
      <c r="D23" s="11">
        <v>48.5348</v>
      </c>
      <c r="E23" s="11">
        <v>49.565767973856211</v>
      </c>
      <c r="F23" s="11"/>
      <c r="G23" s="11"/>
      <c r="I23" s="13"/>
      <c r="J23" s="0" t="s">
        <v>39</v>
      </c>
    </row>
    <row r="24" outlineLevel="2">
      <c r="A24" s="10" t="s">
        <v>40</v>
      </c>
      <c r="B24" s="0" t="s">
        <v>32</v>
      </c>
      <c r="C24" s="11">
        <f>IFERROR(6.032138*(1-w),"")</f>
        <v>5.864999520296</v>
      </c>
      <c r="D24" s="11">
        <v>6.032138</v>
      </c>
      <c r="E24" s="11">
        <v>6.1602716503267976</v>
      </c>
      <c r="F24" s="11"/>
      <c r="G24" s="11"/>
      <c r="I24" s="13"/>
      <c r="J24" s="0" t="s">
        <v>39</v>
      </c>
    </row>
    <row r="25" outlineLevel="2">
      <c r="A25" s="10" t="s">
        <v>41</v>
      </c>
      <c r="B25" s="0" t="s">
        <v>32</v>
      </c>
      <c r="C25" s="11">
        <f>IFERROR(38.26011*(1-w),"")</f>
        <v>37.19999887212</v>
      </c>
      <c r="D25" s="11">
        <v>38.26011</v>
      </c>
      <c r="E25" s="11">
        <v>39.072824754901958</v>
      </c>
      <c r="F25" s="11"/>
      <c r="G25" s="11"/>
      <c r="I25" s="13"/>
      <c r="J25" s="0" t="s">
        <v>39</v>
      </c>
    </row>
    <row r="26" outlineLevel="2">
      <c r="A26" s="10" t="s">
        <v>42</v>
      </c>
      <c r="B26" s="0" t="s">
        <v>32</v>
      </c>
      <c r="C26" s="11">
        <f>IFERROR(0.8269121*(1-w),"")</f>
        <v>0.80400001953320011</v>
      </c>
      <c r="D26" s="11">
        <v>0.8269121</v>
      </c>
      <c r="E26" s="11">
        <v>0.84447722630718958</v>
      </c>
      <c r="F26" s="11"/>
      <c r="G26" s="11"/>
      <c r="I26" s="13"/>
      <c r="J26" s="0" t="s">
        <v>39</v>
      </c>
    </row>
    <row r="27" outlineLevel="2">
      <c r="A27" s="10" t="s">
        <v>43</v>
      </c>
      <c r="B27" s="0" t="s">
        <v>32</v>
      </c>
      <c r="C27" s="11">
        <f>IFERROR(0.0411399*(1-w),"")</f>
        <v>0.0399999956508</v>
      </c>
      <c r="D27" s="11">
        <v>0.0411399</v>
      </c>
      <c r="E27" s="11">
        <v>0.042013786764705886</v>
      </c>
      <c r="F27" s="11"/>
      <c r="G27" s="11"/>
      <c r="I27" s="13"/>
      <c r="J27" s="0" t="s">
        <v>39</v>
      </c>
    </row>
    <row r="28" outlineLevel="2">
      <c r="A28" s="10" t="s">
        <v>44</v>
      </c>
      <c r="B28" s="0" t="s">
        <v>32</v>
      </c>
      <c r="C28" s="11">
        <f>IFERROR(95.79071322*(1-w)+w*100,"")</f>
        <v>95.907344138100243</v>
      </c>
      <c r="D28" s="11">
        <v>95.79071322</v>
      </c>
      <c r="E28" s="11">
        <v>95.701300265522889</v>
      </c>
      <c r="F28" s="11"/>
      <c r="G28" s="11"/>
      <c r="I28" s="13"/>
      <c r="J28" s="0" t="s">
        <v>36</v>
      </c>
    </row>
    <row r="29" outlineLevel="1">
      <c r="A29" s="9" t="s">
        <v>45</v>
      </c>
      <c r="I29" s="13"/>
    </row>
    <row r="30" outlineLevel="2">
      <c r="A30" s="10" t="s">
        <v>46</v>
      </c>
      <c r="B30" s="0" t="s">
        <v>47</v>
      </c>
      <c r="C30" s="12">
        <f>IFERROR(149.1322*(1-w),"")</f>
        <v>145.00004500240001</v>
      </c>
      <c r="D30" s="12">
        <v>149.1322</v>
      </c>
      <c r="E30" s="12">
        <v>152.30004084967322</v>
      </c>
      <c r="F30" s="12"/>
      <c r="G30" s="12"/>
      <c r="I30" s="13"/>
      <c r="J30" s="0" t="s">
        <v>39</v>
      </c>
    </row>
    <row r="31" outlineLevel="2">
      <c r="A31" s="10" t="s">
        <v>48</v>
      </c>
      <c r="B31" s="0" t="s">
        <v>47</v>
      </c>
      <c r="C31" s="12">
        <f>IFERROR(7*(1-w),"")</f>
        <v>6.806044</v>
      </c>
      <c r="D31" s="12">
        <v>7</v>
      </c>
      <c r="E31" s="12">
        <v>7.1486928104575167</v>
      </c>
      <c r="F31" s="12"/>
      <c r="G31" s="12"/>
      <c r="I31" s="13"/>
      <c r="J31" s="0" t="s">
        <v>39</v>
      </c>
    </row>
    <row r="32" outlineLevel="1">
      <c r="A32" s="9" t="s">
        <v>49</v>
      </c>
      <c r="I32" s="13"/>
    </row>
    <row r="33" outlineLevel="2">
      <c r="A33" s="10" t="s">
        <v>50</v>
      </c>
      <c r="B33" s="0" t="s">
        <v>51</v>
      </c>
      <c r="C33" s="11">
        <f>IFERROR(18.13977*(1-w)-w*2.443,"")</f>
        <v>17.569462608840002</v>
      </c>
      <c r="D33" s="11">
        <v>18.13977</v>
      </c>
      <c r="E33" s="11">
        <v>18.525091911764704</v>
      </c>
      <c r="F33" s="11"/>
      <c r="G33" s="11"/>
      <c r="I33" s="13"/>
    </row>
    <row r="34" outlineLevel="2">
      <c r="A34" s="10" t="s">
        <v>52</v>
      </c>
      <c r="B34" s="0" t="s">
        <v>51</v>
      </c>
      <c r="C34" s="11">
        <f>IFERROR(19.45609*(1-w),"")</f>
        <v>18.91700065828</v>
      </c>
      <c r="D34" s="11">
        <v>19.45609</v>
      </c>
      <c r="E34" s="11">
        <v>19.86937295751634</v>
      </c>
      <c r="F34" s="11"/>
      <c r="G34" s="11"/>
      <c r="I34" s="13"/>
    </row>
    <row r="35" outlineLevel="2">
      <c r="A35" s="10" t="s">
        <v>53</v>
      </c>
      <c r="B35" s="0" t="s">
        <v>51</v>
      </c>
      <c r="C35" s="11">
        <f>IFERROR(19.80607072034*(1-w),"")</f>
        <v>19.257284112820827</v>
      </c>
      <c r="D35" s="11">
        <v>19.806070720340006</v>
      </c>
      <c r="E35" s="11">
        <v>20.22678790884396</v>
      </c>
      <c r="F35" s="11"/>
      <c r="G35" s="11"/>
      <c r="I35" s="13"/>
      <c r="J35" s="0" t="s">
        <v>36</v>
      </c>
    </row>
    <row r="36" outlineLevel="1">
      <c r="A36" s="9" t="s">
        <v>54</v>
      </c>
      <c r="I36" s="13"/>
    </row>
    <row r="37" outlineLevel="2">
      <c r="A37" s="10" t="s">
        <v>55</v>
      </c>
      <c r="B37" s="0" t="s">
        <v>56</v>
      </c>
      <c r="C37" s="12">
        <v>38</v>
      </c>
      <c r="D37" s="12"/>
      <c r="E37" s="12"/>
      <c r="F37" s="12"/>
      <c r="G37" s="12"/>
      <c r="I37" s="13"/>
      <c r="J37" s="0" t="s">
        <v>39</v>
      </c>
    </row>
    <row r="38" outlineLevel="2">
      <c r="A38" s="10" t="s">
        <v>57</v>
      </c>
      <c r="B38" s="0" t="s">
        <v>56</v>
      </c>
      <c r="C38" s="12"/>
      <c r="D38" s="12"/>
      <c r="E38" s="12"/>
      <c r="F38" s="12"/>
      <c r="G38" s="12">
        <v>1.3</v>
      </c>
      <c r="I38" s="13"/>
    </row>
    <row r="39" outlineLevel="2">
      <c r="A39" s="10" t="s">
        <v>58</v>
      </c>
      <c r="B39" s="0" t="s">
        <v>56</v>
      </c>
      <c r="C39" s="12">
        <v>8.8</v>
      </c>
      <c r="D39" s="12"/>
      <c r="E39" s="12"/>
      <c r="F39" s="12"/>
      <c r="G39" s="12"/>
      <c r="I39" s="13"/>
      <c r="J39" s="0" t="s">
        <v>39</v>
      </c>
    </row>
    <row r="40" outlineLevel="2">
      <c r="A40" s="10" t="s">
        <v>59</v>
      </c>
      <c r="B40" s="0" t="s">
        <v>56</v>
      </c>
      <c r="C40" s="12">
        <v>5600</v>
      </c>
      <c r="D40" s="12"/>
      <c r="E40" s="12"/>
      <c r="F40" s="12"/>
      <c r="G40" s="12"/>
      <c r="I40" s="13"/>
      <c r="J40" s="0" t="s">
        <v>39</v>
      </c>
    </row>
    <row r="41" outlineLevel="2">
      <c r="A41" s="10" t="s">
        <v>60</v>
      </c>
      <c r="B41" s="0" t="s">
        <v>56</v>
      </c>
      <c r="C41" s="12"/>
      <c r="D41" s="12"/>
      <c r="E41" s="12"/>
      <c r="F41" s="12"/>
      <c r="G41" s="12">
        <v>0.6</v>
      </c>
      <c r="I41" s="13"/>
    </row>
    <row r="42" outlineLevel="2">
      <c r="A42" s="10" t="s">
        <v>61</v>
      </c>
      <c r="B42" s="0" t="s">
        <v>56</v>
      </c>
      <c r="C42" s="12">
        <v>3.9</v>
      </c>
      <c r="D42" s="12"/>
      <c r="E42" s="12"/>
      <c r="F42" s="12"/>
      <c r="G42" s="12"/>
      <c r="I42" s="13"/>
      <c r="J42" s="0" t="s">
        <v>39</v>
      </c>
    </row>
    <row r="43" outlineLevel="2">
      <c r="A43" s="10" t="s">
        <v>62</v>
      </c>
      <c r="B43" s="0" t="s">
        <v>56</v>
      </c>
      <c r="C43" s="12">
        <v>3.6</v>
      </c>
      <c r="D43" s="12"/>
      <c r="E43" s="12"/>
      <c r="F43" s="12"/>
      <c r="G43" s="12"/>
      <c r="I43" s="13"/>
      <c r="J43" s="0" t="s">
        <v>39</v>
      </c>
    </row>
    <row r="44" outlineLevel="2">
      <c r="A44" s="10" t="s">
        <v>63</v>
      </c>
      <c r="B44" s="0" t="s">
        <v>56</v>
      </c>
      <c r="C44" s="12">
        <v>40</v>
      </c>
      <c r="D44" s="12"/>
      <c r="E44" s="12"/>
      <c r="F44" s="12"/>
      <c r="G44" s="12"/>
      <c r="I44" s="13"/>
      <c r="J44" s="0" t="s">
        <v>39</v>
      </c>
    </row>
    <row r="45" outlineLevel="2">
      <c r="A45" s="10" t="s">
        <v>64</v>
      </c>
      <c r="B45" s="0" t="s">
        <v>56</v>
      </c>
      <c r="C45" s="12">
        <v>2200</v>
      </c>
      <c r="D45" s="12"/>
      <c r="E45" s="12"/>
      <c r="F45" s="12"/>
      <c r="G45" s="12"/>
      <c r="I45" s="13"/>
      <c r="J45" s="0" t="s">
        <v>39</v>
      </c>
    </row>
    <row r="46" outlineLevel="2">
      <c r="A46" s="10" t="s">
        <v>65</v>
      </c>
      <c r="B46" s="0" t="s">
        <v>56</v>
      </c>
      <c r="C46" s="12">
        <v>450</v>
      </c>
      <c r="D46" s="12"/>
      <c r="E46" s="12"/>
      <c r="F46" s="12"/>
      <c r="G46" s="12"/>
      <c r="I46" s="13"/>
      <c r="J46" s="0" t="s">
        <v>39</v>
      </c>
    </row>
    <row r="47" outlineLevel="2">
      <c r="A47" s="10" t="s">
        <v>66</v>
      </c>
      <c r="B47" s="0" t="s">
        <v>56</v>
      </c>
      <c r="C47" s="12">
        <v>7.9</v>
      </c>
      <c r="D47" s="12"/>
      <c r="E47" s="12"/>
      <c r="F47" s="12"/>
      <c r="G47" s="12"/>
      <c r="I47" s="13"/>
      <c r="J47" s="0" t="s">
        <v>39</v>
      </c>
    </row>
    <row r="48" outlineLevel="2">
      <c r="A48" s="10" t="s">
        <v>67</v>
      </c>
      <c r="B48" s="0" t="s">
        <v>56</v>
      </c>
      <c r="C48" s="12">
        <v>150</v>
      </c>
      <c r="D48" s="12"/>
      <c r="E48" s="12"/>
      <c r="F48" s="12"/>
      <c r="G48" s="12"/>
      <c r="I48" s="13"/>
      <c r="J48" s="0" t="s">
        <v>39</v>
      </c>
    </row>
    <row r="49" outlineLevel="2">
      <c r="A49" s="10" t="s">
        <v>68</v>
      </c>
      <c r="B49" s="0" t="s">
        <v>56</v>
      </c>
      <c r="C49" s="12">
        <v>13</v>
      </c>
      <c r="D49" s="12"/>
      <c r="E49" s="12"/>
      <c r="F49" s="12"/>
      <c r="G49" s="12"/>
      <c r="I49" s="13"/>
      <c r="J49" s="0" t="s">
        <v>39</v>
      </c>
    </row>
    <row r="50" outlineLevel="2">
      <c r="A50" s="10" t="s">
        <v>69</v>
      </c>
      <c r="B50" s="0" t="s">
        <v>56</v>
      </c>
      <c r="C50" s="12">
        <v>680</v>
      </c>
      <c r="D50" s="12"/>
      <c r="E50" s="12"/>
      <c r="F50" s="12"/>
      <c r="G50" s="12"/>
      <c r="I50" s="13"/>
      <c r="J50" s="0" t="s">
        <v>39</v>
      </c>
    </row>
    <row r="51" outlineLevel="2">
      <c r="A51" s="10" t="s">
        <v>70</v>
      </c>
      <c r="B51" s="0" t="s">
        <v>56</v>
      </c>
      <c r="C51" s="12">
        <v>220</v>
      </c>
      <c r="D51" s="12"/>
      <c r="E51" s="12"/>
      <c r="F51" s="12"/>
      <c r="G51" s="12"/>
      <c r="I51" s="13"/>
      <c r="J51" s="0" t="s">
        <v>39</v>
      </c>
    </row>
    <row r="52" outlineLevel="2">
      <c r="A52" s="10" t="s">
        <v>71</v>
      </c>
      <c r="B52" s="0" t="s">
        <v>56</v>
      </c>
      <c r="C52" s="12">
        <v>2.8</v>
      </c>
      <c r="D52" s="12"/>
      <c r="E52" s="12"/>
      <c r="F52" s="12"/>
      <c r="G52" s="12"/>
      <c r="I52" s="13"/>
      <c r="J52" s="0" t="s">
        <v>39</v>
      </c>
    </row>
    <row r="53" outlineLevel="2">
      <c r="A53" s="10" t="s">
        <v>72</v>
      </c>
      <c r="B53" s="0" t="s">
        <v>56</v>
      </c>
      <c r="C53" s="12"/>
      <c r="D53" s="12"/>
      <c r="E53" s="12"/>
      <c r="F53" s="12"/>
      <c r="G53" s="12">
        <v>0.2</v>
      </c>
      <c r="I53" s="13"/>
    </row>
    <row r="54" outlineLevel="2">
      <c r="A54" s="10" t="s">
        <v>73</v>
      </c>
      <c r="B54" s="0" t="s">
        <v>56</v>
      </c>
      <c r="C54" s="12">
        <v>130</v>
      </c>
      <c r="D54" s="12"/>
      <c r="E54" s="12"/>
      <c r="F54" s="12"/>
      <c r="G54" s="12"/>
      <c r="I54" s="13"/>
      <c r="J54" s="0" t="s">
        <v>39</v>
      </c>
    </row>
    <row r="55">
      <c r="I55" s="13"/>
    </row>
    <row r="56" s="1" customFormat="1"/>
  </sheetData>
  <mergeCells>
    <mergeCell ref="A7:A8"/>
    <mergeCell ref="C14:E14"/>
    <mergeCell ref="A14:A15"/>
    <mergeCell ref="B14:B15"/>
    <mergeCell ref="F14:F15"/>
    <mergeCell ref="G14:G15"/>
    <mergeCell ref="H14:H15"/>
    <mergeCell ref="I14:I15"/>
    <mergeCell ref="J14:J15"/>
    <mergeCell ref="K14:K15"/>
    <mergeCell ref="C37:E37"/>
    <mergeCell ref="C38:E38"/>
    <mergeCell ref="C39:E39"/>
    <mergeCell ref="C40:E40"/>
    <mergeCell ref="C41:E41"/>
    <mergeCell ref="C42:E42"/>
    <mergeCell ref="C43:E43"/>
    <mergeCell ref="C44:E44"/>
    <mergeCell ref="C45:E45"/>
    <mergeCell ref="C46:E46"/>
    <mergeCell ref="C47:E47"/>
    <mergeCell ref="C48:E48"/>
    <mergeCell ref="C49:E49"/>
    <mergeCell ref="C50:E50"/>
    <mergeCell ref="C51:E51"/>
    <mergeCell ref="C52:E52"/>
    <mergeCell ref="C53:E53"/>
    <mergeCell ref="C54:E54"/>
  </mergeCells>
  <dataValidations count="1">
    <dataValidation type="decimal" sqref="C18" errorStyle="stop" promptTitle="Enter moisture content" errorTitle="Invalid moisture content" prompt="Value should be between 0 and 100.&#10;Original value: 2.7708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https://phyllis.nl/Biomass/View/921</dc:description>
  <dcterms:created xsi:type="dcterms:W3CDTF">2026-03-19T07:31:08Z</dcterms:created>
  <dc:title>Phyllis2 #921 sieved 0.125-0.18 mm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