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22 sieved 0.250-0.35" sheetId="1" r:id="rId1"/>
  </sheets>
  <definedNames>
    <definedName name="w" localSheetId="0">IF(ISBLANK('Phyllis2 #922 sieved 0.250-0.35'!$C$18),#N/A,'Phyllis2 #922 sieved 0.250-0.35'!$C$18/100)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<sst xmlns="http://schemas.openxmlformats.org/spreadsheetml/2006/main" count="74" uniqueCount="74">
  <si>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</si>
  <si>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https://phyllis.nl/Biomass/View/922</t>
  </si>
  <si>
    <t>sieved 0.250-0.35 mm (#922)</t>
  </si>
  <si>
    <t>ID-number</t>
  </si>
  <si>
    <t>#922</t>
  </si>
  <si>
    <t>Material</t>
  </si>
  <si>
    <t>sieved 0.250-0.35 mm</t>
  </si>
  <si>
    <t>Classification</t>
  </si>
  <si>
    <t>ECN Phyllis classification &gt; untreated wood &gt; willow</t>
  </si>
  <si>
    <t>NTA 8003 classification &gt; [100] hout &gt; [110] vers hout &gt; [120] loofhout &gt; [122] zacht loofhout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</si>
  <si>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</si>
  <si>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</si>
  <si>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</si>
  <si>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</si>
  <si>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</si>
  <si>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</si>
  <si>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</si>
  <si>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</si>
  <si>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</si>
  <si>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</si>
  <si>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</si>
  <si>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</si>
  <si>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</si>
  <si>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</si>
  <si>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</si>
  <si>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</si>
  <si>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</si>
  <si>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</si>
  <si>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</si>
  <si>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</si>
  <si>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</si>
  <si>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</si>
  <si>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</si>
  <si>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</si>
  <si>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</si>
  <si>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</si>
  <si>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</si>
  <si>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</si>
  <si>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</si>
  <si>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</si>
  <si>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</si>
  <si>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</si>
  <si>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</si>
  <si>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</si>
  <si>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</si>
  <si>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</si>
  <si>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</si>
  <si>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</si>
  <si>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</si>
  <si>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</si>
  <si>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</si>
  <si>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</si>
  <si>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</si>
  <si>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</si>
  <si>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</si>
  <si>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</si>
  <si>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</si>
  <si>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</si>
  <si>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</si>
  <si>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Calcium (Ca)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</si>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</sst>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4.0543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IFERROR(2.17*(1-w),"")</f>
        <v>2.08202169</v>
      </c>
      <c r="D19" s="11">
        <v>2.17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IFERROR(86.3*(1-w),"")</f>
        <v>82.8011391</v>
      </c>
      <c r="D20" s="11">
        <v>86.3</v>
      </c>
      <c r="E20" s="11">
        <v>88.214249207809473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IFERROR(11.53*(1-w),"")</f>
        <v>11.06253921</v>
      </c>
      <c r="D21" s="11">
        <v>11.530000000000001</v>
      </c>
      <c r="E21" s="11">
        <v>11.785750792190536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IFERROR(49.39252*(1-w),"")</f>
        <v>47.38999906164</v>
      </c>
      <c r="D23" s="11">
        <v>49.39252</v>
      </c>
      <c r="E23" s="11">
        <v>50.488112031074316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IFERROR(6.003396*(1-w),"")</f>
        <v>5.760000315972</v>
      </c>
      <c r="D24" s="11">
        <v>6.003396</v>
      </c>
      <c r="E24" s="11">
        <v>6.1365593376264957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IFERROR(38.98038*(1-w),"")</f>
        <v>37.39999845366</v>
      </c>
      <c r="D25" s="11">
        <v>38.98038</v>
      </c>
      <c r="E25" s="11">
        <v>39.845016865992022</v>
      </c>
      <c r="F25" s="11"/>
      <c r="G25" s="11"/>
      <c r="I25" s="13"/>
      <c r="J25" s="0" t="s">
        <v>39</v>
      </c>
    </row>
    <row r="26" outlineLevel="2">
      <c r="A26" s="10" t="s">
        <v>42</v>
      </c>
      <c r="B26" s="0" t="s">
        <v>32</v>
      </c>
      <c r="C26" s="11">
        <f>IFERROR(0.8702839*(1-w),"")</f>
        <v>0.8349999798423</v>
      </c>
      <c r="D26" s="11">
        <v>0.8702839</v>
      </c>
      <c r="E26" s="11">
        <v>0.88958795870387408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IFERROR(0.04690153*(1-w),"")</f>
        <v>0.04500000126921</v>
      </c>
      <c r="D27" s="11">
        <v>0.04690153</v>
      </c>
      <c r="E27" s="11">
        <v>0.047941868547480324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IFERROR(97.47853302*(1-w)+w*100,"")</f>
        <v>97.580760855770137</v>
      </c>
      <c r="D28" s="11">
        <v>97.47853302</v>
      </c>
      <c r="E28" s="11">
        <v>97.4226035163038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IFERROR(145.9159*(1-w),"")</f>
        <v>140.0000316663</v>
      </c>
      <c r="D30" s="12">
        <v>145.9159</v>
      </c>
      <c r="E30" s="12">
        <v>149.15250945517735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IFERROR(4.6*(1-w),"")</f>
        <v>4.4135022</v>
      </c>
      <c r="D31" s="12">
        <v>4.6</v>
      </c>
      <c r="E31" s="12">
        <v>4.702034140856588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IFERROR(19.52257*(1-w)-w*2.443,"")</f>
        <v>18.63201989549</v>
      </c>
      <c r="D33" s="11">
        <v>19.52257</v>
      </c>
      <c r="E33" s="11">
        <v>19.955606664622305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IFERROR(20.83262*(1-w),"")</f>
        <v>19.988003087339997</v>
      </c>
      <c r="D34" s="11">
        <v>20.83262</v>
      </c>
      <c r="E34" s="11">
        <v>21.29471532249821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IFERROR(19.967996070658*(1-w),"")</f>
        <v>19.158433605965321</v>
      </c>
      <c r="D35" s="11">
        <v>19.967996070658007</v>
      </c>
      <c r="E35" s="11">
        <v>20.410912880157426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30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1.3</v>
      </c>
      <c r="I38" s="13"/>
    </row>
    <row r="39" outlineLevel="2">
      <c r="A39" s="10" t="s">
        <v>58</v>
      </c>
      <c r="B39" s="0" t="s">
        <v>56</v>
      </c>
      <c r="C39" s="12">
        <v>9.2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6000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/>
      <c r="D41" s="12"/>
      <c r="E41" s="12"/>
      <c r="F41" s="12"/>
      <c r="G41" s="12">
        <v>0.6</v>
      </c>
      <c r="I41" s="13"/>
    </row>
    <row r="42" outlineLevel="2">
      <c r="A42" s="10" t="s">
        <v>61</v>
      </c>
      <c r="B42" s="0" t="s">
        <v>56</v>
      </c>
      <c r="C42" s="12">
        <v>2.9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3.6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39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2400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510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>
        <v>8.5</v>
      </c>
      <c r="D47" s="12"/>
      <c r="E47" s="12"/>
      <c r="F47" s="12"/>
      <c r="G47" s="12"/>
      <c r="I47" s="13"/>
      <c r="J47" s="0" t="s">
        <v>39</v>
      </c>
    </row>
    <row r="48" outlineLevel="2">
      <c r="A48" s="10" t="s">
        <v>67</v>
      </c>
      <c r="B48" s="0" t="s">
        <v>56</v>
      </c>
      <c r="C48" s="12">
        <v>170</v>
      </c>
      <c r="D48" s="12"/>
      <c r="E48" s="12"/>
      <c r="F48" s="12"/>
      <c r="G48" s="12"/>
      <c r="I48" s="13"/>
      <c r="J48" s="0" t="s">
        <v>39</v>
      </c>
    </row>
    <row r="49" outlineLevel="2">
      <c r="A49" s="10" t="s">
        <v>68</v>
      </c>
      <c r="B49" s="0" t="s">
        <v>56</v>
      </c>
      <c r="C49" s="12">
        <v>10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700</v>
      </c>
      <c r="D50" s="12"/>
      <c r="E50" s="12"/>
      <c r="F50" s="12"/>
      <c r="G50" s="12"/>
      <c r="I50" s="13"/>
      <c r="J50" s="0" t="s">
        <v>39</v>
      </c>
    </row>
    <row r="51" outlineLevel="2">
      <c r="A51" s="10" t="s">
        <v>70</v>
      </c>
      <c r="B51" s="0" t="s">
        <v>56</v>
      </c>
      <c r="C51" s="12">
        <v>88</v>
      </c>
      <c r="D51" s="12"/>
      <c r="E51" s="12"/>
      <c r="F51" s="12"/>
      <c r="G51" s="12"/>
      <c r="I51" s="13"/>
      <c r="J51" s="0" t="s">
        <v>39</v>
      </c>
    </row>
    <row r="52" outlineLevel="2">
      <c r="A52" s="10" t="s">
        <v>71</v>
      </c>
      <c r="B52" s="0" t="s">
        <v>56</v>
      </c>
      <c r="C52" s="12">
        <v>1.3</v>
      </c>
      <c r="D52" s="12"/>
      <c r="E52" s="12"/>
      <c r="F52" s="12"/>
      <c r="G52" s="12"/>
      <c r="I52" s="13"/>
      <c r="J52" s="0" t="s">
        <v>39</v>
      </c>
    </row>
    <row r="53" outlineLevel="2">
      <c r="A53" s="10" t="s">
        <v>72</v>
      </c>
      <c r="B53" s="0" t="s">
        <v>56</v>
      </c>
      <c r="C53" s="12"/>
      <c r="D53" s="12"/>
      <c r="E53" s="12"/>
      <c r="F53" s="12"/>
      <c r="G53" s="12">
        <v>0.2</v>
      </c>
      <c r="I53" s="13"/>
    </row>
    <row r="54" outlineLevel="2">
      <c r="A54" s="10" t="s">
        <v>73</v>
      </c>
      <c r="B54" s="0" t="s">
        <v>56</v>
      </c>
      <c r="C54" s="12">
        <v>100</v>
      </c>
      <c r="D54" s="12"/>
      <c r="E54" s="12"/>
      <c r="F54" s="12"/>
      <c r="G54" s="12"/>
      <c r="I54" s="13"/>
      <c r="J54" s="0" t="s">
        <v>39</v>
      </c>
    </row>
    <row r="55">
      <c r="I55" s="13"/>
    </row>
    <row r="5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&#10;Original value: 4.054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https://phyllis.nl/Biomass/View/922</dc:description>
  <dcterms:created xsi:type="dcterms:W3CDTF">2026-03-19T07:31:11Z</dcterms:created>
  <dc:title>Phyllis2 #922 sieved 0.250-0.35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