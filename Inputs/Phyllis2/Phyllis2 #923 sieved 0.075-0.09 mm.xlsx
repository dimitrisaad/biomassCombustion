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3 sieved 0.075-0.09" sheetId="1" r:id="rId1"/>
  </sheets>
  <definedNames>
    <definedName name="w" localSheetId="0">IF(ISBLANK('Phyllis2 #923 sieved 0.075-0.09'!$C$18),#N/A,'Phyllis2 #923 sieved 0.075-0.09'!$C$18/100)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<sst xmlns="http://schemas.openxmlformats.org/spreadsheetml/2006/main" count="74" uniqueCount="74">
  <si>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</si>
  <si>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https://phyllis.nl/Biomass/View/923</t>
  </si>
  <si>
    <t>sieved 0.075-0.09 mm (#923)</t>
  </si>
  <si>
    <t>ID-number</t>
  </si>
  <si>
    <t>#923</t>
  </si>
  <si>
    <t>Material</t>
  </si>
  <si>
    <t>sieved 0.075-0.09 mm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</si>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</sst>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3.3252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IFERROR(1.72*(1-w),"")</f>
        <v>1.66280656</v>
      </c>
      <c r="D19" s="11">
        <v>1.72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IFERROR(85.7*(1-w),"")</f>
        <v>82.8503036</v>
      </c>
      <c r="D20" s="11">
        <v>85.7</v>
      </c>
      <c r="E20" s="11">
        <v>87.1998371998372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IFERROR(12.58*(1-w),"")</f>
        <v>12.161689839999998</v>
      </c>
      <c r="D21" s="11">
        <v>12.579999999999998</v>
      </c>
      <c r="E21" s="11">
        <v>12.800162800162799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IFERROR(50.33369*(1-w),"")</f>
        <v>48.659994140119991</v>
      </c>
      <c r="D23" s="11">
        <v>50.33369</v>
      </c>
      <c r="E23" s="11">
        <v>51.214580789580786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IFERROR(6.040871*(1-w),"")</f>
        <v>5.839999957508</v>
      </c>
      <c r="D24" s="11">
        <v>6.040871</v>
      </c>
      <c r="E24" s="11">
        <v>6.1465923890923895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IFERROR(38.89328*(1-w),"")</f>
        <v>37.600000653439992</v>
      </c>
      <c r="D25" s="11">
        <v>38.89328</v>
      </c>
      <c r="E25" s="11">
        <v>39.573951973951971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IFERROR(0.248255*(1-w),"")</f>
        <v>0.24000002473999998</v>
      </c>
      <c r="D26" s="11">
        <v>0.248255</v>
      </c>
      <c r="E26" s="11">
        <v>0.25259971509971513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IFERROR(0.03103187*(1-w),"")</f>
        <v>0.02999999825876</v>
      </c>
      <c r="D27" s="11">
        <v>0.03103187</v>
      </c>
      <c r="E27" s="11">
        <v>0.0315749592999593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IFERROR(97.28732139*(1-w)+w*100,"")</f>
        <v>97.377523379139731</v>
      </c>
      <c r="D28" s="11">
        <v>97.287321390000017</v>
      </c>
      <c r="E28" s="11">
        <v>97.239846754171765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IFERROR(196.5352*(1-w),"")</f>
        <v>190.0000115296</v>
      </c>
      <c r="D30" s="12">
        <v>196.5352</v>
      </c>
      <c r="E30" s="12">
        <v>199.97476597476597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IFERROR(5.4*(1-w),"")</f>
        <v>5.2204392</v>
      </c>
      <c r="D31" s="12">
        <v>5.4</v>
      </c>
      <c r="E31" s="12">
        <v>5.4945054945054945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IFERROR(19.75035*(1-w)-w*2.443,"")</f>
        <v>19.0123767258</v>
      </c>
      <c r="D33" s="11">
        <v>19.75035</v>
      </c>
      <c r="E33" s="11">
        <v>20.09600122100122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IFERROR(21.06857*(1-w),"")</f>
        <v>20.36799791036</v>
      </c>
      <c r="D34" s="11">
        <v>21.06857</v>
      </c>
      <c r="E34" s="11">
        <v>21.437291412291412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IFERROR(20.429100973482*(1-w),"")</f>
        <v>19.749792507911778</v>
      </c>
      <c r="D35" s="11">
        <v>20.429100973482</v>
      </c>
      <c r="E35" s="11">
        <v>20.786631027148964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300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1.3</v>
      </c>
      <c r="I38" s="13"/>
    </row>
    <row r="39" outlineLevel="2">
      <c r="A39" s="10" t="s">
        <v>58</v>
      </c>
      <c r="B39" s="0" t="s">
        <v>56</v>
      </c>
      <c r="C39" s="12">
        <v>6.5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1900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/>
      <c r="D41" s="12"/>
      <c r="E41" s="12"/>
      <c r="F41" s="12"/>
      <c r="G41" s="12">
        <v>0.6</v>
      </c>
      <c r="I41" s="13"/>
    </row>
    <row r="42" outlineLevel="2">
      <c r="A42" s="10" t="s">
        <v>61</v>
      </c>
      <c r="B42" s="0" t="s">
        <v>56</v>
      </c>
      <c r="C42" s="12">
        <v>31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190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370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1700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300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22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170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65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240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1000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11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>
        <v>0.64</v>
      </c>
      <c r="D53" s="12"/>
      <c r="E53" s="12"/>
      <c r="F53" s="12"/>
      <c r="G53" s="12"/>
      <c r="I53" s="13"/>
      <c r="J53" s="0" t="s">
        <v>39</v>
      </c>
    </row>
    <row r="54" outlineLevel="2">
      <c r="A54" s="10" t="s">
        <v>73</v>
      </c>
      <c r="B54" s="0" t="s">
        <v>56</v>
      </c>
      <c r="C54" s="12">
        <v>27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3.325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https://phyllis.nl/Biomass/View/923</dc:description>
  <dcterms:created xsi:type="dcterms:W3CDTF">2026-03-19T07:23:59Z</dcterms:created>
  <dc:title>Phyllis2 #923 sieved 0.075-0.09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