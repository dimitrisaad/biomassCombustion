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24 sieved 0.125-0.18" sheetId="1" r:id="rId1"/>
  </sheets>
  <definedNames>
    <definedName name="w" localSheetId="0">IF(ISBLANK('Phyllis2 #924 sieved 0.125-0.18'!$C$18),#N/A,'Phyllis2 #924 sieved 0.125-0.18'!$C$18/100)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<sst xmlns="http://schemas.openxmlformats.org/spreadsheetml/2006/main" count="74" uniqueCount="74">
  <si>
    <t>Phyllis2</t>
  </si>
  <si>
    <t>https://phyllis.nl/Biomass/View/924</t>
  </si>
  <si>
    <t>sieved 0.125-0.18 mm (#924)</t>
  </si>
  <si>
    <t>ID-number</t>
  </si>
  <si>
    <t>#924</t>
  </si>
  <si>
    <t>Material</t>
  </si>
  <si>
    <t>sieved 0.125-0.18 mm</t>
  </si>
  <si>
    <t>Classification</t>
  </si>
  <si>
    <t>ECN Phyllis classification &gt; untreated wood &gt; park waste wood</t>
  </si>
  <si>
    <t>NTA 8003 classification &gt; [100] hout &gt; [110] vers hout &gt; [113] snoeihout (park en plantsoen)</t>
  </si>
  <si>
    <t>Ash type</t>
  </si>
  <si>
    <t>ISO 1171 (815 degC)</t>
  </si>
  <si>
    <t>Submitter organisation</t>
  </si>
  <si>
    <t>ECN (Netherlands)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</si>
  <si>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</si>
  <si>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</si>
  <si>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</si>
  <si>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</si>
  <si>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</si>
  <si>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</si>
  <si>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</si>
  <si>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</si>
  <si>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</si>
  <si>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</si>
  <si>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</si>
  <si>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</si>
  <si>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</si>
  <si>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</si>
  <si>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</si>
  <si>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</si>
  <si>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</si>
  <si>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</si>
  <si>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</si>
  <si>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</si>
  <si>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</si>
  <si>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</si>
  <si>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</si>
  <si>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</si>
  <si>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</si>
  <si>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</si>
  <si>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</si>
  <si>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</si>
  <si>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</si>
  <si>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</si>
  <si>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</si>
  <si>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</si>
  <si>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</si>
  <si>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</si>
  <si>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</si>
  <si>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</si>
  <si>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</si>
  <si>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</si>
  <si>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</si>
  <si>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</si>
  <si>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</si>
  <si>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</si>
  <si>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</si>
  <si>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</si>
  <si>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</si>
  <si>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Calcium (Ca)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</si>
  <si>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</si>
  <si>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</si>
  <si>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</si>
  <si>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</si>
  <si>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</si>
  <si>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</si>
  <si>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</si>
  <si>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</si>
  <si>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Nickel (Ni)</t>
  </si>
  <si>
    <t>Phosphorus (P)</t>
  </si>
  <si>
    <t>Silicon (Si)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</si>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</sst>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2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0.5686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IFERROR(1.13*(1-w),"")</f>
        <v>1.12357482</v>
      </c>
      <c r="D19" s="11">
        <v>1.13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IFERROR(83.3737*(1-w),"")</f>
        <v>82.8996371418</v>
      </c>
      <c r="D20" s="11">
        <v>83.3737</v>
      </c>
      <c r="E20" s="11">
        <v>84.326590472337415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IFERROR(15.4963*(1-w),"")</f>
        <v>15.408188038200006</v>
      </c>
      <c r="D21" s="11">
        <v>15.496300000000005</v>
      </c>
      <c r="E21" s="11">
        <v>15.673409527662592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IFERROR(47.43974*(1-w),"")</f>
        <v>47.16999763836</v>
      </c>
      <c r="D23" s="11">
        <v>47.43974</v>
      </c>
      <c r="E23" s="11">
        <v>47.981935875391926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IFERROR(5.923682*(1-w),"")</f>
        <v>5.889999944148</v>
      </c>
      <c r="D24" s="11">
        <v>5.923682</v>
      </c>
      <c r="E24" s="11">
        <v>5.9913846465055123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IFERROR(39.42417*(1-w),"")</f>
        <v>39.200004169379994</v>
      </c>
      <c r="D25" s="11">
        <v>39.42417</v>
      </c>
      <c r="E25" s="11">
        <v>39.87475472843127</v>
      </c>
      <c r="F25" s="11"/>
      <c r="G25" s="11"/>
      <c r="I25" s="13"/>
      <c r="J25" s="0" t="s">
        <v>39</v>
      </c>
    </row>
    <row r="26" outlineLevel="2">
      <c r="A26" s="10" t="s">
        <v>42</v>
      </c>
      <c r="B26" s="0" t="s">
        <v>32</v>
      </c>
      <c r="C26" s="11">
        <f>IFERROR(0.2041609*(1-w),"")</f>
        <v>0.2030000411226</v>
      </c>
      <c r="D26" s="11">
        <v>0.2041609</v>
      </c>
      <c r="E26" s="11">
        <v>0.20649428542530596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IFERROR(0.0264504*(1-w),"")</f>
        <v>0.0263000030256</v>
      </c>
      <c r="D27" s="11">
        <v>0.0264504</v>
      </c>
      <c r="E27" s="11">
        <v>0.02675270557297461</v>
      </c>
      <c r="F27" s="11"/>
      <c r="G27" s="11"/>
      <c r="I27" s="13"/>
      <c r="J27" s="0" t="s">
        <v>39</v>
      </c>
    </row>
    <row r="28" outlineLevel="2">
      <c r="A28" s="10" t="s">
        <v>44</v>
      </c>
      <c r="B28" s="0" t="s">
        <v>32</v>
      </c>
      <c r="C28" s="11">
        <f>IFERROR(94.16495537*(1-w)+w*100,"")</f>
        <v>94.198133433766174</v>
      </c>
      <c r="D28" s="11">
        <v>94.164955369999987</v>
      </c>
      <c r="E28" s="11">
        <v>94.098265773237571</v>
      </c>
      <c r="F28" s="11"/>
      <c r="G28" s="11"/>
      <c r="I28" s="13"/>
      <c r="J28" s="0" t="s">
        <v>36</v>
      </c>
    </row>
    <row r="29" outlineLevel="1">
      <c r="A29" s="9" t="s">
        <v>45</v>
      </c>
      <c r="I29" s="13"/>
    </row>
    <row r="30" outlineLevel="2">
      <c r="A30" s="10" t="s">
        <v>46</v>
      </c>
      <c r="B30" s="0" t="s">
        <v>47</v>
      </c>
      <c r="C30" s="12">
        <f>IFERROR(161.9207*(1-w),"")</f>
        <v>161.0000188998</v>
      </c>
      <c r="D30" s="12">
        <v>161.9207</v>
      </c>
      <c r="E30" s="12">
        <v>163.77131586932336</v>
      </c>
      <c r="F30" s="12"/>
      <c r="G30" s="12"/>
      <c r="I30" s="13"/>
      <c r="J30" s="0" t="s">
        <v>39</v>
      </c>
    </row>
    <row r="31" outlineLevel="2">
      <c r="A31" s="10" t="s">
        <v>48</v>
      </c>
      <c r="B31" s="0" t="s">
        <v>47</v>
      </c>
      <c r="C31" s="12">
        <f>IFERROR(5.6*(1-w),"")</f>
        <v>5.5681584</v>
      </c>
      <c r="D31" s="12">
        <v>5.6</v>
      </c>
      <c r="E31" s="12">
        <v>5.6640032365732775</v>
      </c>
      <c r="F31" s="12"/>
      <c r="G31" s="12"/>
      <c r="I31" s="13"/>
      <c r="J31" s="0" t="s">
        <v>39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IFERROR(18.70305*(1-w)-w*2.443,"")</f>
        <v>18.582813559700003</v>
      </c>
      <c r="D33" s="11">
        <v>18.70305</v>
      </c>
      <c r="E33" s="11">
        <v>18.916809952462831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IFERROR(19.9957*(1-w),"")</f>
        <v>19.8820044498</v>
      </c>
      <c r="D34" s="11">
        <v>19.9957</v>
      </c>
      <c r="E34" s="11">
        <v>20.224233842419338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IFERROR(19.23738009914*(1-w),"")</f>
        <v>19.127996355896286</v>
      </c>
      <c r="D35" s="11">
        <v>19.237380099139994</v>
      </c>
      <c r="E35" s="11">
        <v>19.457246990128446</v>
      </c>
      <c r="F35" s="11"/>
      <c r="G35" s="11"/>
      <c r="I35" s="13"/>
      <c r="J35" s="0" t="s">
        <v>36</v>
      </c>
    </row>
    <row r="36" outlineLevel="1">
      <c r="A36" s="9" t="s">
        <v>54</v>
      </c>
      <c r="I36" s="13"/>
    </row>
    <row r="37" outlineLevel="2">
      <c r="A37" s="10" t="s">
        <v>55</v>
      </c>
      <c r="B37" s="0" t="s">
        <v>56</v>
      </c>
      <c r="C37" s="12">
        <v>150</v>
      </c>
      <c r="D37" s="12"/>
      <c r="E37" s="12"/>
      <c r="F37" s="12"/>
      <c r="G37" s="12"/>
      <c r="I37" s="13"/>
      <c r="J37" s="0" t="s">
        <v>39</v>
      </c>
    </row>
    <row r="38" outlineLevel="2">
      <c r="A38" s="10" t="s">
        <v>57</v>
      </c>
      <c r="B38" s="0" t="s">
        <v>56</v>
      </c>
      <c r="C38" s="12">
        <v>1.7</v>
      </c>
      <c r="D38" s="12"/>
      <c r="E38" s="12"/>
      <c r="F38" s="12"/>
      <c r="G38" s="12"/>
      <c r="I38" s="13"/>
      <c r="J38" s="0" t="s">
        <v>39</v>
      </c>
    </row>
    <row r="39" outlineLevel="2">
      <c r="A39" s="10" t="s">
        <v>58</v>
      </c>
      <c r="B39" s="0" t="s">
        <v>56</v>
      </c>
      <c r="C39" s="12">
        <v>4.8</v>
      </c>
      <c r="D39" s="12"/>
      <c r="E39" s="12"/>
      <c r="F39" s="12"/>
      <c r="G39" s="12"/>
      <c r="I39" s="13"/>
      <c r="J39" s="0" t="s">
        <v>39</v>
      </c>
    </row>
    <row r="40" outlineLevel="2">
      <c r="A40" s="10" t="s">
        <v>59</v>
      </c>
      <c r="B40" s="0" t="s">
        <v>56</v>
      </c>
      <c r="C40" s="12">
        <v>1400</v>
      </c>
      <c r="D40" s="12"/>
      <c r="E40" s="12"/>
      <c r="F40" s="12"/>
      <c r="G40" s="12"/>
      <c r="I40" s="13"/>
      <c r="J40" s="0" t="s">
        <v>39</v>
      </c>
    </row>
    <row r="41" outlineLevel="2">
      <c r="A41" s="10" t="s">
        <v>60</v>
      </c>
      <c r="B41" s="0" t="s">
        <v>56</v>
      </c>
      <c r="C41" s="12"/>
      <c r="D41" s="12"/>
      <c r="E41" s="12"/>
      <c r="F41" s="12"/>
      <c r="G41" s="12">
        <v>0.6</v>
      </c>
      <c r="I41" s="13"/>
    </row>
    <row r="42" outlineLevel="2">
      <c r="A42" s="10" t="s">
        <v>61</v>
      </c>
      <c r="B42" s="0" t="s">
        <v>56</v>
      </c>
      <c r="C42" s="12">
        <v>23</v>
      </c>
      <c r="D42" s="12"/>
      <c r="E42" s="12"/>
      <c r="F42" s="12"/>
      <c r="G42" s="12"/>
      <c r="I42" s="13"/>
      <c r="J42" s="0" t="s">
        <v>39</v>
      </c>
    </row>
    <row r="43" outlineLevel="2">
      <c r="A43" s="10" t="s">
        <v>62</v>
      </c>
      <c r="B43" s="0" t="s">
        <v>56</v>
      </c>
      <c r="C43" s="12">
        <v>320</v>
      </c>
      <c r="D43" s="12"/>
      <c r="E43" s="12"/>
      <c r="F43" s="12"/>
      <c r="G43" s="12"/>
      <c r="I43" s="13"/>
      <c r="J43" s="0" t="s">
        <v>39</v>
      </c>
    </row>
    <row r="44" outlineLevel="2">
      <c r="A44" s="10" t="s">
        <v>63</v>
      </c>
      <c r="B44" s="0" t="s">
        <v>56</v>
      </c>
      <c r="C44" s="12">
        <v>210</v>
      </c>
      <c r="D44" s="12"/>
      <c r="E44" s="12"/>
      <c r="F44" s="12"/>
      <c r="G44" s="12"/>
      <c r="I44" s="13"/>
      <c r="J44" s="0" t="s">
        <v>39</v>
      </c>
    </row>
    <row r="45" outlineLevel="2">
      <c r="A45" s="10" t="s">
        <v>64</v>
      </c>
      <c r="B45" s="0" t="s">
        <v>56</v>
      </c>
      <c r="C45" s="12">
        <v>1500</v>
      </c>
      <c r="D45" s="12"/>
      <c r="E45" s="12"/>
      <c r="F45" s="12"/>
      <c r="G45" s="12"/>
      <c r="I45" s="13"/>
      <c r="J45" s="0" t="s">
        <v>39</v>
      </c>
    </row>
    <row r="46" outlineLevel="2">
      <c r="A46" s="10" t="s">
        <v>65</v>
      </c>
      <c r="B46" s="0" t="s">
        <v>56</v>
      </c>
      <c r="C46" s="12">
        <v>250</v>
      </c>
      <c r="D46" s="12"/>
      <c r="E46" s="12"/>
      <c r="F46" s="12"/>
      <c r="G46" s="12"/>
      <c r="I46" s="13"/>
      <c r="J46" s="0" t="s">
        <v>39</v>
      </c>
    </row>
    <row r="47" outlineLevel="2">
      <c r="A47" s="10" t="s">
        <v>66</v>
      </c>
      <c r="B47" s="0" t="s">
        <v>56</v>
      </c>
      <c r="C47" s="12">
        <v>17</v>
      </c>
      <c r="D47" s="12"/>
      <c r="E47" s="12"/>
      <c r="F47" s="12"/>
      <c r="G47" s="12"/>
      <c r="I47" s="13"/>
      <c r="J47" s="0" t="s">
        <v>39</v>
      </c>
    </row>
    <row r="48" outlineLevel="2">
      <c r="A48" s="10" t="s">
        <v>67</v>
      </c>
      <c r="B48" s="0" t="s">
        <v>56</v>
      </c>
      <c r="C48" s="12">
        <v>130</v>
      </c>
      <c r="D48" s="12"/>
      <c r="E48" s="12"/>
      <c r="F48" s="12"/>
      <c r="G48" s="12"/>
      <c r="I48" s="13"/>
      <c r="J48" s="0" t="s">
        <v>39</v>
      </c>
    </row>
    <row r="49" outlineLevel="2">
      <c r="A49" s="10" t="s">
        <v>68</v>
      </c>
      <c r="B49" s="0" t="s">
        <v>56</v>
      </c>
      <c r="C49" s="12">
        <v>34</v>
      </c>
      <c r="D49" s="12"/>
      <c r="E49" s="12"/>
      <c r="F49" s="12"/>
      <c r="G49" s="12"/>
      <c r="I49" s="13"/>
      <c r="J49" s="0" t="s">
        <v>39</v>
      </c>
    </row>
    <row r="50" outlineLevel="2">
      <c r="A50" s="10" t="s">
        <v>69</v>
      </c>
      <c r="B50" s="0" t="s">
        <v>56</v>
      </c>
      <c r="C50" s="12">
        <v>190</v>
      </c>
      <c r="D50" s="12"/>
      <c r="E50" s="12"/>
      <c r="F50" s="12"/>
      <c r="G50" s="12"/>
      <c r="I50" s="13"/>
      <c r="J50" s="0" t="s">
        <v>39</v>
      </c>
    </row>
    <row r="51" outlineLevel="2">
      <c r="A51" s="10" t="s">
        <v>70</v>
      </c>
      <c r="B51" s="0" t="s">
        <v>56</v>
      </c>
      <c r="C51" s="12">
        <v>460</v>
      </c>
      <c r="D51" s="12"/>
      <c r="E51" s="12"/>
      <c r="F51" s="12"/>
      <c r="G51" s="12"/>
      <c r="I51" s="13"/>
      <c r="J51" s="0" t="s">
        <v>39</v>
      </c>
    </row>
    <row r="52" outlineLevel="2">
      <c r="A52" s="10" t="s">
        <v>71</v>
      </c>
      <c r="B52" s="0" t="s">
        <v>56</v>
      </c>
      <c r="C52" s="12">
        <v>5.6</v>
      </c>
      <c r="D52" s="12"/>
      <c r="E52" s="12"/>
      <c r="F52" s="12"/>
      <c r="G52" s="12"/>
      <c r="I52" s="13"/>
      <c r="J52" s="0" t="s">
        <v>39</v>
      </c>
    </row>
    <row r="53" outlineLevel="2">
      <c r="A53" s="10" t="s">
        <v>72</v>
      </c>
      <c r="B53" s="0" t="s">
        <v>56</v>
      </c>
      <c r="C53" s="12">
        <v>0.36</v>
      </c>
      <c r="D53" s="12"/>
      <c r="E53" s="12"/>
      <c r="F53" s="12"/>
      <c r="G53" s="12"/>
      <c r="I53" s="13"/>
      <c r="J53" s="0" t="s">
        <v>39</v>
      </c>
    </row>
    <row r="54" outlineLevel="2">
      <c r="A54" s="10" t="s">
        <v>73</v>
      </c>
      <c r="B54" s="0" t="s">
        <v>56</v>
      </c>
      <c r="C54" s="12">
        <v>21</v>
      </c>
      <c r="D54" s="12"/>
      <c r="E54" s="12"/>
      <c r="F54" s="12"/>
      <c r="G54" s="12"/>
      <c r="I54" s="13"/>
      <c r="J54" s="0" t="s">
        <v>39</v>
      </c>
    </row>
    <row r="55">
      <c r="I55" s="13"/>
    </row>
    <row r="5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</mergeCells>
  <dataValidations count="1">
    <dataValidation type="decimal" sqref="C18" errorStyle="stop" promptTitle="Enter moisture content" errorTitle="Invalid moisture content" prompt="Value should be between 0 and 100.&#10;Original value: 0.568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https://phyllis.nl/Biomass/View/924</dc:description>
  <dcterms:created xsi:type="dcterms:W3CDTF">2026-03-19T07:24:01Z</dcterms:created>
  <dc:title>Phyllis2 #924 sieved 0.125-0.18 mm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