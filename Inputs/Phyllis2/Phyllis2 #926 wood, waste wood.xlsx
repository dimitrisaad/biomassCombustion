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26 wood, waste wood" sheetId="1" r:id="rId1"/>
  </sheets>
  <definedNames>
    <definedName name="w" localSheetId="0">IF(ISBLANK('Phyllis2 #926 wood, waste wood'!$C$18),#N/A,'Phyllis2 #926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<sst xmlns="http://schemas.openxmlformats.org/spreadsheetml/2006/main" count="74" uniqueCount="74">
  <si>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</si>
  <si>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https://phyllis.nl/Biomass/View/926</t>
  </si>
  <si>
    <t>wood, waste wood (#926)</t>
  </si>
  <si>
    <t>ID-number</t>
  </si>
  <si>
    <t>#926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</si>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</sst>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9.635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IFERROR(2.43*(1-w),"")</f>
        <v>2.1958695</v>
      </c>
      <c r="D19" s="11">
        <v>2.43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IFERROR(89.8*(1-w),"")</f>
        <v>81.147770000000008</v>
      </c>
      <c r="D20" s="11">
        <v>89.8</v>
      </c>
      <c r="E20" s="11">
        <v>92.036486624987191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IFERROR(7.77*(1-w),"")</f>
        <v>7.0213604999999966</v>
      </c>
      <c r="D21" s="11">
        <v>7.769999999999996</v>
      </c>
      <c r="E21" s="11">
        <v>7.9635133750128073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IFERROR(56.33818*(1-w),"")</f>
        <v>50.909996357000004</v>
      </c>
      <c r="D23" s="11">
        <v>56.33818</v>
      </c>
      <c r="E23" s="11">
        <v>57.741293430357693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IFERROR(5.588447*(1-w),"")</f>
        <v>5.0500001315500009</v>
      </c>
      <c r="D24" s="11">
        <v>5.588447</v>
      </c>
      <c r="E24" s="11">
        <v>5.7276283693758332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IFERROR(33.64134*(1-w),"")</f>
        <v>30.399996891</v>
      </c>
      <c r="D25" s="11">
        <v>33.64134</v>
      </c>
      <c r="E25" s="11">
        <v>34.479184175463772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IFERROR(1.7042*(1-w),"")</f>
        <v>1.54000033</v>
      </c>
      <c r="D26" s="11">
        <v>1.7042</v>
      </c>
      <c r="E26" s="11">
        <v>1.7466434354822178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IFERROR(0.09959608*(1-w),"")</f>
        <v>0.089999997692000011</v>
      </c>
      <c r="D27" s="11">
        <v>0.09959608</v>
      </c>
      <c r="E27" s="11">
        <v>0.1020765399200574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IFERROR(99.88451657*(1-w)+w*100,"")</f>
        <v>99.89564339848053</v>
      </c>
      <c r="D28" s="11">
        <v>99.884516570000017</v>
      </c>
      <c r="E28" s="11">
        <v>99.88164043251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IFERROR(807.8349*(1-w),"")</f>
        <v>730.000007385</v>
      </c>
      <c r="D30" s="12">
        <v>807.8349</v>
      </c>
      <c r="E30" s="12">
        <v>827.95418673772667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IFERROR(19.7*(1-w),"")</f>
        <v>17.801905</v>
      </c>
      <c r="D31" s="12">
        <v>19.7</v>
      </c>
      <c r="E31" s="12">
        <v>20.190632366506097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IFERROR(20.89084*(1-w)-w*2.443,"")</f>
        <v>18.642624516</v>
      </c>
      <c r="D33" s="11">
        <v>20.89084</v>
      </c>
      <c r="E33" s="11">
        <v>21.411130470431484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IFERROR(22.11033*(1-w),"")</f>
        <v>19.979999704500003</v>
      </c>
      <c r="D34" s="11">
        <v>22.11033</v>
      </c>
      <c r="E34" s="11">
        <v>22.660992108229991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IFERROR(22.328338254788*(1-w),"")</f>
        <v>20.177002863939183</v>
      </c>
      <c r="D35" s="11">
        <v>22.328338254788008</v>
      </c>
      <c r="E35" s="11">
        <v>22.88442990139183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14700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>
        <v>13</v>
      </c>
      <c r="D38" s="12"/>
      <c r="E38" s="12"/>
      <c r="F38" s="12"/>
      <c r="G38" s="12"/>
      <c r="I38" s="13"/>
      <c r="J38" s="0" t="s">
        <v>39</v>
      </c>
    </row>
    <row r="39" outlineLevel="2">
      <c r="A39" s="10" t="s">
        <v>58</v>
      </c>
      <c r="B39" s="0" t="s">
        <v>56</v>
      </c>
      <c r="C39" s="12">
        <v>10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5400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2.3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81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43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890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900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1100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130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1200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3.6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100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4500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75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>
        <v>3.2</v>
      </c>
      <c r="D53" s="12"/>
      <c r="E53" s="12"/>
      <c r="F53" s="12"/>
      <c r="G53" s="12"/>
      <c r="I53" s="13"/>
      <c r="J53" s="0" t="s">
        <v>39</v>
      </c>
    </row>
    <row r="54" outlineLevel="2">
      <c r="A54" s="10" t="s">
        <v>73</v>
      </c>
      <c r="B54" s="0" t="s">
        <v>56</v>
      </c>
      <c r="C54" s="12">
        <v>430</v>
      </c>
      <c r="D54" s="12"/>
      <c r="E54" s="12"/>
      <c r="F54" s="12"/>
      <c r="G54" s="12"/>
      <c r="I54" s="13"/>
      <c r="J54" s="0" t="s">
        <v>39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9.63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https://phyllis.nl/Biomass/View/926</dc:description>
  <dcterms:created xsi:type="dcterms:W3CDTF">2026-03-19T04:06:54Z</dcterms:created>
  <dc:title>Phyllis2 #926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