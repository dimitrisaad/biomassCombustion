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38 wood, category B " sheetId="1" r:id="rId1"/>
  </sheets>
  <definedNames>
    <definedName name="w" localSheetId="0">IF(ISBLANK('Phyllis2 #938 wood, category B '!$C$18),#N/A,'Phyllis2 #938 wood, category B 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<sst xmlns="http://schemas.openxmlformats.org/spreadsheetml/2006/main" count="82" uniqueCount="82">
  <si>
    <t>Phyllis2</t>
  </si>
  <si>
    <t>https://phyllis.nl/Biomass/View/938</t>
  </si>
  <si>
    <t>wood, category B (painted), fine fraction (#938)</t>
  </si>
  <si>
    <t>ID-number</t>
  </si>
  <si>
    <t>#938</t>
  </si>
  <si>
    <t>Material</t>
  </si>
  <si>
    <t>wood, category B (painted), fine fraction</t>
  </si>
  <si>
    <t>Classification</t>
  </si>
  <si>
    <t>ECN Phyllis classification &gt; treated wood &gt; demolition wood</t>
  </si>
  <si>
    <t>NTA 8003 classification &gt; [100] hout &gt; [150] verwerkt hout &gt; [170] geverfd/verlijmd hout (B-hout)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</si>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</sst>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22.5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IFERROR(25.2*(1-w),"")</f>
        <v>19.53</v>
      </c>
      <c r="D19" s="11">
        <v>25.2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IFERROR(58.5*(1-w),"")</f>
        <v>45.3375</v>
      </c>
      <c r="D20" s="11">
        <v>58.5</v>
      </c>
      <c r="E20" s="11">
        <v>78.208556149732615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IFERROR(16.3*(1-w),"")</f>
        <v>12.632499999999999</v>
      </c>
      <c r="D21" s="11">
        <v>16.299999999999997</v>
      </c>
      <c r="E21" s="11">
        <v>21.791443850267378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IFERROR(39.04*(1-w),"")</f>
        <v>30.256</v>
      </c>
      <c r="D23" s="11">
        <v>39.04</v>
      </c>
      <c r="E23" s="11">
        <v>52.192513368983953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IFERROR(4.26*(1-w),"")</f>
        <v>3.3015</v>
      </c>
      <c r="D24" s="11">
        <v>4.26</v>
      </c>
      <c r="E24" s="11">
        <v>5.6951871657754012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IFERROR(30.43*(1-w),"")</f>
        <v>23.58325</v>
      </c>
      <c r="D25" s="11">
        <v>30.43</v>
      </c>
      <c r="E25" s="11">
        <v>40.68181818181818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IFERROR(0.83*(1-w),"")</f>
        <v>0.64325</v>
      </c>
      <c r="D26" s="11">
        <v>0.83</v>
      </c>
      <c r="E26" s="11">
        <v>1.1096256684491979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IFERROR(0.15*(1-w),"")</f>
        <v>0.11624999999999999</v>
      </c>
      <c r="D27" s="11">
        <v>0.15</v>
      </c>
      <c r="E27" s="11">
        <v>0.20053475935828877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IFERROR(100.0042*(1-w)+w*100,"")</f>
        <v>100.003255</v>
      </c>
      <c r="D28" s="11">
        <v>100.0042</v>
      </c>
      <c r="E28" s="11">
        <v>100.00561497326203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IFERROR(900*(1-w),"")</f>
        <v>697.5</v>
      </c>
      <c r="D30" s="12">
        <v>900</v>
      </c>
      <c r="E30" s="12">
        <v>1203.2085561497327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IFERROR(42*(1-w),"")</f>
        <v>32.550000000000004</v>
      </c>
      <c r="D31" s="12">
        <v>42</v>
      </c>
      <c r="E31" s="12">
        <v>56.149732620320854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IFERROR(14.57039*(1-w)-w*2.443,"")</f>
        <v>10.742377249999999</v>
      </c>
      <c r="D33" s="11">
        <v>14.57039</v>
      </c>
      <c r="E33" s="11">
        <v>19.479131016042782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IFERROR(15.5*(1-w),"")</f>
        <v>12.012500000000001</v>
      </c>
      <c r="D34" s="11">
        <v>15.5</v>
      </c>
      <c r="E34" s="11">
        <v>20.72192513368984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IFERROR(14.91505112*(1-w),"")</f>
        <v>11.559164618</v>
      </c>
      <c r="D35" s="11">
        <v>14.915051120000001</v>
      </c>
      <c r="E35" s="11">
        <v>19.939907914438503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3400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>
        <v>18</v>
      </c>
      <c r="D38" s="12"/>
      <c r="E38" s="12"/>
      <c r="F38" s="12"/>
      <c r="G38" s="12"/>
      <c r="I38" s="13"/>
      <c r="J38" s="0" t="s">
        <v>39</v>
      </c>
    </row>
    <row r="39" outlineLevel="2">
      <c r="A39" s="10" t="s">
        <v>58</v>
      </c>
      <c r="B39" s="0" t="s">
        <v>56</v>
      </c>
      <c r="C39" s="12">
        <v>18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940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>
        <v>13000</v>
      </c>
      <c r="D41" s="12"/>
      <c r="E41" s="12"/>
      <c r="F41" s="12"/>
      <c r="G41" s="12"/>
      <c r="I41" s="13"/>
      <c r="J41" s="0" t="s">
        <v>39</v>
      </c>
    </row>
    <row r="42" outlineLevel="2">
      <c r="A42" s="10" t="s">
        <v>61</v>
      </c>
      <c r="B42" s="0" t="s">
        <v>56</v>
      </c>
      <c r="C42" s="12">
        <v>2.1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14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110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170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7100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>
        <v>1800</v>
      </c>
      <c r="D47" s="12"/>
      <c r="E47" s="12"/>
      <c r="F47" s="12"/>
      <c r="G47" s="12"/>
      <c r="I47" s="13"/>
      <c r="J47" s="0" t="s">
        <v>39</v>
      </c>
    </row>
    <row r="48" outlineLevel="2">
      <c r="A48" s="10" t="s">
        <v>67</v>
      </c>
      <c r="B48" s="0" t="s">
        <v>56</v>
      </c>
      <c r="C48" s="12">
        <v>1300</v>
      </c>
      <c r="D48" s="12"/>
      <c r="E48" s="12"/>
      <c r="F48" s="12"/>
      <c r="G48" s="12"/>
      <c r="I48" s="13"/>
      <c r="J48" s="0" t="s">
        <v>39</v>
      </c>
    </row>
    <row r="49" outlineLevel="2">
      <c r="A49" s="10" t="s">
        <v>68</v>
      </c>
      <c r="B49" s="0" t="s">
        <v>56</v>
      </c>
      <c r="C49" s="12">
        <v>170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1.8</v>
      </c>
      <c r="D50" s="12"/>
      <c r="E50" s="12"/>
      <c r="F50" s="12"/>
      <c r="G50" s="12"/>
      <c r="I50" s="13"/>
      <c r="J50" s="0" t="s">
        <v>39</v>
      </c>
    </row>
    <row r="51" outlineLevel="2">
      <c r="A51" s="10" t="s">
        <v>70</v>
      </c>
      <c r="B51" s="0" t="s">
        <v>56</v>
      </c>
      <c r="C51" s="12">
        <v>1200</v>
      </c>
      <c r="D51" s="12"/>
      <c r="E51" s="12"/>
      <c r="F51" s="12"/>
      <c r="G51" s="12"/>
      <c r="I51" s="13"/>
      <c r="J51" s="0" t="s">
        <v>39</v>
      </c>
    </row>
    <row r="52" outlineLevel="2">
      <c r="A52" s="10" t="s">
        <v>71</v>
      </c>
      <c r="B52" s="0" t="s">
        <v>56</v>
      </c>
      <c r="C52" s="12">
        <v>28</v>
      </c>
      <c r="D52" s="12"/>
      <c r="E52" s="12"/>
      <c r="F52" s="12"/>
      <c r="G52" s="12"/>
      <c r="I52" s="13"/>
      <c r="J52" s="0" t="s">
        <v>39</v>
      </c>
    </row>
    <row r="53" outlineLevel="2">
      <c r="A53" s="10" t="s">
        <v>72</v>
      </c>
      <c r="B53" s="0" t="s">
        <v>56</v>
      </c>
      <c r="C53" s="12">
        <v>270</v>
      </c>
      <c r="D53" s="12"/>
      <c r="E53" s="12"/>
      <c r="F53" s="12"/>
      <c r="G53" s="12"/>
      <c r="I53" s="13"/>
      <c r="J53" s="0" t="s">
        <v>39</v>
      </c>
    </row>
    <row r="54" outlineLevel="2">
      <c r="A54" s="10" t="s">
        <v>73</v>
      </c>
      <c r="B54" s="0" t="s">
        <v>56</v>
      </c>
      <c r="C54" s="12">
        <v>1700</v>
      </c>
      <c r="D54" s="12"/>
      <c r="E54" s="12"/>
      <c r="F54" s="12"/>
      <c r="G54" s="12"/>
      <c r="I54" s="13"/>
      <c r="J54" s="0" t="s">
        <v>39</v>
      </c>
    </row>
    <row r="55" outlineLevel="2">
      <c r="A55" s="10" t="s">
        <v>74</v>
      </c>
      <c r="B55" s="0" t="s">
        <v>56</v>
      </c>
      <c r="C55" s="12">
        <v>2.4</v>
      </c>
      <c r="D55" s="12"/>
      <c r="E55" s="12"/>
      <c r="F55" s="12"/>
      <c r="G55" s="12"/>
      <c r="I55" s="13"/>
      <c r="J55" s="0" t="s">
        <v>39</v>
      </c>
    </row>
    <row r="56" outlineLevel="2">
      <c r="A56" s="10" t="s">
        <v>75</v>
      </c>
      <c r="B56" s="0" t="s">
        <v>56</v>
      </c>
      <c r="C56" s="12"/>
      <c r="D56" s="12"/>
      <c r="E56" s="12"/>
      <c r="F56" s="12"/>
      <c r="G56" s="12">
        <v>0.4</v>
      </c>
      <c r="I56" s="13"/>
    </row>
    <row r="57" outlineLevel="2">
      <c r="A57" s="10" t="s">
        <v>76</v>
      </c>
      <c r="B57" s="0" t="s">
        <v>56</v>
      </c>
      <c r="C57" s="12">
        <v>8100</v>
      </c>
      <c r="D57" s="12"/>
      <c r="E57" s="12"/>
      <c r="F57" s="12"/>
      <c r="G57" s="12"/>
      <c r="I57" s="13"/>
      <c r="J57" s="0" t="s">
        <v>39</v>
      </c>
    </row>
    <row r="58" outlineLevel="2">
      <c r="A58" s="10" t="s">
        <v>77</v>
      </c>
      <c r="B58" s="0" t="s">
        <v>56</v>
      </c>
      <c r="C58" s="12">
        <v>3.2</v>
      </c>
      <c r="D58" s="12"/>
      <c r="E58" s="12"/>
      <c r="F58" s="12"/>
      <c r="G58" s="12"/>
      <c r="I58" s="13"/>
      <c r="J58" s="0" t="s">
        <v>39</v>
      </c>
    </row>
    <row r="59" outlineLevel="2">
      <c r="A59" s="10" t="s">
        <v>78</v>
      </c>
      <c r="B59" s="0" t="s">
        <v>56</v>
      </c>
      <c r="C59" s="12">
        <v>59</v>
      </c>
      <c r="D59" s="12"/>
      <c r="E59" s="12"/>
      <c r="F59" s="12"/>
      <c r="G59" s="12"/>
      <c r="I59" s="13"/>
      <c r="J59" s="0" t="s">
        <v>39</v>
      </c>
    </row>
    <row r="60" outlineLevel="2">
      <c r="A60" s="10" t="s">
        <v>79</v>
      </c>
      <c r="B60" s="0" t="s">
        <v>56</v>
      </c>
      <c r="C60" s="12">
        <v>450</v>
      </c>
      <c r="D60" s="12"/>
      <c r="E60" s="12"/>
      <c r="F60" s="12"/>
      <c r="G60" s="12"/>
      <c r="I60" s="13"/>
      <c r="J60" s="0" t="s">
        <v>39</v>
      </c>
    </row>
    <row r="61" outlineLevel="2">
      <c r="A61" s="10" t="s">
        <v>80</v>
      </c>
      <c r="B61" s="0" t="s">
        <v>56</v>
      </c>
      <c r="C61" s="12">
        <v>8</v>
      </c>
      <c r="D61" s="12"/>
      <c r="E61" s="12"/>
      <c r="F61" s="12"/>
      <c r="G61" s="12"/>
      <c r="I61" s="13"/>
      <c r="J61" s="0" t="s">
        <v>39</v>
      </c>
    </row>
    <row r="62" outlineLevel="2">
      <c r="A62" s="10" t="s">
        <v>81</v>
      </c>
      <c r="B62" s="0" t="s">
        <v>56</v>
      </c>
      <c r="C62" s="12">
        <v>1300</v>
      </c>
      <c r="D62" s="12"/>
      <c r="E62" s="12"/>
      <c r="F62" s="12"/>
      <c r="G62" s="12"/>
      <c r="I62" s="13"/>
      <c r="J62" s="0" t="s">
        <v>39</v>
      </c>
    </row>
    <row r="63">
      <c r="I63" s="13"/>
    </row>
    <row r="6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</mergeCells>
  <dataValidations count="1">
    <dataValidation type="decimal" sqref="C18" errorStyle="stop" promptTitle="Enter moisture content" errorTitle="Invalid moisture content" prompt="Value should be between 0 and 100.&#10;Original value: 22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https://phyllis.nl/Biomass/View/938</dc:description>
  <dcterms:created xsi:type="dcterms:W3CDTF">2026-03-19T04:03:23Z</dcterms:created>
  <dc:title>Phyllis2 #938 wood, category B (painted), fine fraction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