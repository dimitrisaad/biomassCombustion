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39 wood, category B " sheetId="1" r:id="rId1"/>
  </sheets>
  <definedNames>
    <definedName name="w" localSheetId="0">IF(ISBLANK('Phyllis2 #939 wood, category B '!$C$18),#N/A,'Phyllis2 #939 wood, category B 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<sst xmlns="http://schemas.openxmlformats.org/spreadsheetml/2006/main" count="82" uniqueCount="82">
  <si>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</si>
  <si>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https://phyllis.nl/Biomass/View/939</t>
  </si>
  <si>
    <t>wood, category B (painted) (#939)</t>
  </si>
  <si>
    <t>ID-number</t>
  </si>
  <si>
    <t>#939</t>
  </si>
  <si>
    <t>Material</t>
  </si>
  <si>
    <t>wood, category B (painted)</t>
  </si>
  <si>
    <t>Classification</t>
  </si>
  <si>
    <t>ECN Phyllis classification &gt; treated wood &gt; demolition wood &gt; wood, category B (painted)</t>
  </si>
  <si>
    <t>NTA 8003 classification &gt; [100] hout &gt; [150] verwerkt hout &gt; [170] geverfd/verlijmd hout (B-hout)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</si>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</sst>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4.65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IFERROR(2.9*(1-w),"")</f>
        <v>2.7651499999999998</v>
      </c>
      <c r="D19" s="11">
        <v>2.9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IFERROR(76.6*(1-w),"")</f>
        <v>73.0381</v>
      </c>
      <c r="D20" s="11">
        <v>76.6</v>
      </c>
      <c r="E20" s="11">
        <v>78.887744593202882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IFERROR(20.5*(1-w),"")</f>
        <v>19.54675</v>
      </c>
      <c r="D21" s="11">
        <v>20.5</v>
      </c>
      <c r="E21" s="11">
        <v>21.112255406797118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IFERROR(48.67*(1-w),"")</f>
        <v>46.406845000000004</v>
      </c>
      <c r="D23" s="11">
        <v>48.67</v>
      </c>
      <c r="E23" s="11">
        <v>50.123583934088572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IFERROR(5.64*(1-w),"")</f>
        <v>5.37774</v>
      </c>
      <c r="D24" s="11">
        <v>5.64</v>
      </c>
      <c r="E24" s="11">
        <v>5.8084449021627185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IFERROR(40.2*(1-w),"")</f>
        <v>38.3307</v>
      </c>
      <c r="D25" s="11">
        <v>40.2</v>
      </c>
      <c r="E25" s="11">
        <v>41.400617919670445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IFERROR(2.35*(1-w),"")</f>
        <v>2.2407250000000003</v>
      </c>
      <c r="D26" s="11">
        <v>2.35</v>
      </c>
      <c r="E26" s="11">
        <v>2.4201853759011329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IFERROR(0.083*(1-w),"")</f>
        <v>0.0791405</v>
      </c>
      <c r="D27" s="11">
        <v>0.083</v>
      </c>
      <c r="E27" s="11">
        <v>0.08547888774459321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IFERROR(100.005*(1-w)+w*100,"")</f>
        <v>100.00476750000001</v>
      </c>
      <c r="D28" s="11">
        <v>100.00500000000001</v>
      </c>
      <c r="E28" s="11">
        <v>100.00514933058703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IFERROR(1600*(1-w),"")</f>
        <v>1525.6</v>
      </c>
      <c r="D30" s="12">
        <v>1600</v>
      </c>
      <c r="E30" s="12">
        <v>1647.78578784758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IFERROR(20*(1-w),"")</f>
        <v>19.07</v>
      </c>
      <c r="D31" s="12">
        <v>20</v>
      </c>
      <c r="E31" s="12">
        <v>20.59732234809475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IFERROR(18.26926*(1-w)-w*2.443,"")</f>
        <v>17.30613991</v>
      </c>
      <c r="D33" s="11">
        <v>18.26926</v>
      </c>
      <c r="E33" s="11">
        <v>18.814891864057671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IFERROR(19.5*(1-w),"")</f>
        <v>18.59325</v>
      </c>
      <c r="D34" s="11">
        <v>19.5</v>
      </c>
      <c r="E34" s="11">
        <v>20.082389289392381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IFERROR(18.90916053*(1-w),"")</f>
        <v>18.029884565354998</v>
      </c>
      <c r="D35" s="11">
        <v>18.909160529999998</v>
      </c>
      <c r="E35" s="11">
        <v>19.473903738414005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570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>
        <v>11</v>
      </c>
      <c r="D38" s="12"/>
      <c r="E38" s="12"/>
      <c r="F38" s="12"/>
      <c r="G38" s="12"/>
      <c r="I38" s="13"/>
      <c r="J38" s="0" t="s">
        <v>39</v>
      </c>
    </row>
    <row r="39" outlineLevel="2">
      <c r="A39" s="10" t="s">
        <v>58</v>
      </c>
      <c r="B39" s="0" t="s">
        <v>56</v>
      </c>
      <c r="C39" s="12">
        <v>8.1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570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4900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2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3.4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28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17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600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760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570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86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0.59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790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2.8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>
        <v>130</v>
      </c>
      <c r="D53" s="12"/>
      <c r="E53" s="12"/>
      <c r="F53" s="12"/>
      <c r="G53" s="12"/>
      <c r="I53" s="13"/>
      <c r="J53" s="0" t="s">
        <v>39</v>
      </c>
    </row>
    <row r="54" outlineLevel="2">
      <c r="A54" s="10" t="s">
        <v>73</v>
      </c>
      <c r="B54" s="0" t="s">
        <v>56</v>
      </c>
      <c r="C54" s="12">
        <v>170</v>
      </c>
      <c r="D54" s="12"/>
      <c r="E54" s="12"/>
      <c r="F54" s="12"/>
      <c r="G54" s="12"/>
      <c r="I54" s="13"/>
      <c r="J54" s="0" t="s">
        <v>39</v>
      </c>
    </row>
    <row r="55" outlineLevel="2">
      <c r="A55" s="10" t="s">
        <v>74</v>
      </c>
      <c r="B55" s="0" t="s">
        <v>56</v>
      </c>
      <c r="C55" s="12"/>
      <c r="D55" s="12"/>
      <c r="E55" s="12"/>
      <c r="F55" s="12"/>
      <c r="G55" s="12">
        <v>0.3</v>
      </c>
      <c r="I55" s="13"/>
    </row>
    <row r="56" outlineLevel="2">
      <c r="A56" s="10" t="s">
        <v>75</v>
      </c>
      <c r="B56" s="0" t="s">
        <v>56</v>
      </c>
      <c r="C56" s="12"/>
      <c r="D56" s="12"/>
      <c r="E56" s="12"/>
      <c r="F56" s="12"/>
      <c r="G56" s="12">
        <v>0.4</v>
      </c>
      <c r="I56" s="13"/>
    </row>
    <row r="57" outlineLevel="2">
      <c r="A57" s="10" t="s">
        <v>76</v>
      </c>
      <c r="B57" s="0" t="s">
        <v>56</v>
      </c>
      <c r="C57" s="12">
        <v>2100</v>
      </c>
      <c r="D57" s="12"/>
      <c r="E57" s="12"/>
      <c r="F57" s="12"/>
      <c r="G57" s="12"/>
      <c r="I57" s="13"/>
      <c r="J57" s="0" t="s">
        <v>39</v>
      </c>
    </row>
    <row r="58" outlineLevel="2">
      <c r="A58" s="10" t="s">
        <v>77</v>
      </c>
      <c r="B58" s="0" t="s">
        <v>56</v>
      </c>
      <c r="C58" s="12">
        <v>1.1</v>
      </c>
      <c r="D58" s="12"/>
      <c r="E58" s="12"/>
      <c r="F58" s="12"/>
      <c r="G58" s="12"/>
      <c r="I58" s="13"/>
      <c r="J58" s="0" t="s">
        <v>39</v>
      </c>
    </row>
    <row r="59" outlineLevel="2">
      <c r="A59" s="10" t="s">
        <v>78</v>
      </c>
      <c r="B59" s="0" t="s">
        <v>56</v>
      </c>
      <c r="C59" s="12">
        <v>23</v>
      </c>
      <c r="D59" s="12"/>
      <c r="E59" s="12"/>
      <c r="F59" s="12"/>
      <c r="G59" s="12"/>
      <c r="I59" s="13"/>
      <c r="J59" s="0" t="s">
        <v>39</v>
      </c>
    </row>
    <row r="60" outlineLevel="2">
      <c r="A60" s="10" t="s">
        <v>79</v>
      </c>
      <c r="B60" s="0" t="s">
        <v>56</v>
      </c>
      <c r="C60" s="12">
        <v>390</v>
      </c>
      <c r="D60" s="12"/>
      <c r="E60" s="12"/>
      <c r="F60" s="12"/>
      <c r="G60" s="12"/>
      <c r="I60" s="13"/>
      <c r="J60" s="0" t="s">
        <v>39</v>
      </c>
    </row>
    <row r="61" outlineLevel="2">
      <c r="A61" s="10" t="s">
        <v>80</v>
      </c>
      <c r="B61" s="0" t="s">
        <v>56</v>
      </c>
      <c r="C61" s="12">
        <v>0.88</v>
      </c>
      <c r="D61" s="12"/>
      <c r="E61" s="12"/>
      <c r="F61" s="12"/>
      <c r="G61" s="12"/>
      <c r="I61" s="13"/>
      <c r="J61" s="0" t="s">
        <v>39</v>
      </c>
    </row>
    <row r="62" outlineLevel="2">
      <c r="A62" s="10" t="s">
        <v>81</v>
      </c>
      <c r="B62" s="0" t="s">
        <v>56</v>
      </c>
      <c r="C62" s="12">
        <v>380</v>
      </c>
      <c r="D62" s="12"/>
      <c r="E62" s="12"/>
      <c r="F62" s="12"/>
      <c r="G62" s="12"/>
      <c r="I62" s="13"/>
      <c r="J62" s="0" t="s">
        <v>39</v>
      </c>
    </row>
    <row r="63">
      <c r="I63" s="13"/>
    </row>
    <row r="6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</mergeCells>
  <dataValidations count="1">
    <dataValidation type="decimal" sqref="C18" errorStyle="stop" promptTitle="Enter moisture content" errorTitle="Invalid moisture content" prompt="Value should be between 0 and 100.&#10;Original value: 4.6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https://phyllis.nl/Biomass/View/939</dc:description>
  <dcterms:created xsi:type="dcterms:W3CDTF">2026-03-19T04:02:14Z</dcterms:created>
  <dc:title>Phyllis2 #939 wood, category B (painted)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