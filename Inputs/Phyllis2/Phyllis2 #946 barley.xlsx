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46 barley" sheetId="1" r:id="rId1"/>
  </sheets>
  <definedNames>
    <definedName name="w" localSheetId="0">IF(ISBLANK('Phyllis2 #946 barley'!$C$19),#N/A,'Phyllis2 #946 barley'!$C$19/100)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<sst xmlns="http://schemas.openxmlformats.org/spreadsheetml/2006/main" count="79" uniqueCount="79">
  <si>
    <t>Phyllis2</t>
  </si>
  <si>
    <t>https://phyllis.nl/Biomass/View/946</t>
  </si>
  <si>
    <t>barley (#946)</t>
  </si>
  <si>
    <t>ID-number</t>
  </si>
  <si>
    <t>#946</t>
  </si>
  <si>
    <t>Material</t>
  </si>
  <si>
    <t>barley</t>
  </si>
  <si>
    <t>Description</t>
  </si>
  <si>
    <t>pulverized</t>
  </si>
  <si>
    <t>Classification</t>
  </si>
  <si>
    <t>ECN Phyllis classification &gt; straw (stalk/cob/ear) &gt; barley &gt; barley</t>
  </si>
  <si>
    <t>NTA 8003 classification &gt; [200] biomassa uit land- en tuinbouw &gt; [220] stro &gt; [222] gerstestro</t>
  </si>
  <si>
    <t>Ash type</t>
  </si>
  <si>
    <t>ashed at 500 degC at reducing atmosphere</t>
  </si>
  <si>
    <t>Submitter organisation</t>
  </si>
  <si>
    <t>ECN (Netherlands)</t>
  </si>
  <si>
    <t>Literature</t>
  </si>
  <si>
    <t>J. B. Illerup and O. Rathmann: CO2 gasification of wheat straw, barley straw, willow and giganteus, Rosoe, Denmark, Risoe-R-873(EN), 32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</si>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</sst>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4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5" t="s">
        <v>7</v>
      </c>
      <c r="B7" s="0" t="s">
        <v>8</v>
      </c>
    </row>
    <row r="8" outlineLevel="1">
      <c r="A8" s="6" t="s">
        <v>9</v>
      </c>
      <c r="B8" s="0" t="s">
        <v>10</v>
      </c>
    </row>
    <row r="9" outlineLevel="1">
      <c r="A9" s="6"/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6"/>
    </row>
    <row r="18" outlineLevel="1">
      <c r="A18" s="9" t="s">
        <v>32</v>
      </c>
      <c r="I18" s="16"/>
    </row>
    <row r="19" outlineLevel="2">
      <c r="A19" s="10" t="s">
        <v>33</v>
      </c>
      <c r="B19" s="0" t="s">
        <v>34</v>
      </c>
      <c r="C19" s="11">
        <v>12.1</v>
      </c>
      <c r="D19" s="11"/>
      <c r="E19" s="11"/>
      <c r="F19" s="11"/>
      <c r="G19" s="11"/>
      <c r="I19" s="16"/>
    </row>
    <row r="20" outlineLevel="2">
      <c r="A20" s="10" t="s">
        <v>35</v>
      </c>
      <c r="B20" s="0" t="s">
        <v>34</v>
      </c>
      <c r="C20" s="11">
        <f>IFERROR(2.73*(1-w),"")</f>
        <v>2.39967</v>
      </c>
      <c r="D20" s="11">
        <v>2.73</v>
      </c>
      <c r="E20" s="11">
        <v/>
      </c>
      <c r="F20" s="11"/>
      <c r="G20" s="11"/>
      <c r="I20" s="16"/>
    </row>
    <row r="21" outlineLevel="2">
      <c r="A21" s="10" t="s">
        <v>36</v>
      </c>
      <c r="B21" s="0" t="s">
        <v>34</v>
      </c>
      <c r="C21" s="11">
        <f>IFERROR(79.9*(1-w),"")</f>
        <v>70.2321</v>
      </c>
      <c r="D21" s="11">
        <v>79.9</v>
      </c>
      <c r="E21" s="11">
        <v>82.142489976354483</v>
      </c>
      <c r="F21" s="11"/>
      <c r="G21" s="11"/>
      <c r="I21" s="16"/>
    </row>
    <row r="22" outlineLevel="2">
      <c r="A22" s="10" t="s">
        <v>37</v>
      </c>
      <c r="B22" s="0" t="s">
        <v>34</v>
      </c>
      <c r="C22" s="11">
        <f>IFERROR(17.37*(1-w),"")</f>
        <v>15.268229999999992</v>
      </c>
      <c r="D22" s="11">
        <v>17.36999999999999</v>
      </c>
      <c r="E22" s="11">
        <v>17.857510023645514</v>
      </c>
      <c r="F22" s="11"/>
      <c r="G22" s="11"/>
      <c r="I22" s="16"/>
      <c r="J22" s="0" t="s">
        <v>38</v>
      </c>
    </row>
    <row r="23" outlineLevel="1">
      <c r="A23" s="9" t="s">
        <v>39</v>
      </c>
      <c r="I23" s="16"/>
    </row>
    <row r="24" outlineLevel="2">
      <c r="A24" s="10" t="s">
        <v>40</v>
      </c>
      <c r="B24" s="0" t="s">
        <v>34</v>
      </c>
      <c r="C24" s="11">
        <f>IFERROR(47.21274*(1-w),"")</f>
        <v>41.49999846</v>
      </c>
      <c r="D24" s="11">
        <v>47.21274</v>
      </c>
      <c r="E24" s="11">
        <v>48.537822555772586</v>
      </c>
      <c r="F24" s="11"/>
      <c r="G24" s="11"/>
      <c r="I24" s="16"/>
      <c r="J24" s="0" t="s">
        <v>41</v>
      </c>
    </row>
    <row r="25" outlineLevel="2">
      <c r="A25" s="10" t="s">
        <v>42</v>
      </c>
      <c r="B25" s="0" t="s">
        <v>34</v>
      </c>
      <c r="C25" s="11">
        <f>IFERROR(6.143345*(1-w),"")</f>
        <v>5.400000255</v>
      </c>
      <c r="D25" s="11">
        <v>6.143345</v>
      </c>
      <c r="E25" s="11">
        <v>6.3157653952914572</v>
      </c>
      <c r="F25" s="11"/>
      <c r="G25" s="11"/>
      <c r="I25" s="16"/>
      <c r="J25" s="0" t="s">
        <v>41</v>
      </c>
    </row>
    <row r="26" outlineLevel="2">
      <c r="A26" s="10" t="s">
        <v>43</v>
      </c>
      <c r="B26" s="0" t="s">
        <v>34</v>
      </c>
      <c r="C26" s="11">
        <f>IFERROR(42.67*(1-w),"")</f>
        <v>37.506930000000004</v>
      </c>
      <c r="D26" s="11">
        <v>42.67</v>
      </c>
      <c r="E26" s="11">
        <v>43.867585072478668</v>
      </c>
      <c r="F26" s="11"/>
      <c r="G26" s="11"/>
      <c r="I26" s="16"/>
      <c r="J26" s="0" t="s">
        <v>38</v>
      </c>
    </row>
    <row r="27" outlineLevel="2">
      <c r="A27" s="10" t="s">
        <v>44</v>
      </c>
      <c r="B27" s="0" t="s">
        <v>34</v>
      </c>
      <c r="C27" s="11">
        <f>IFERROR(0.7963595*(1-w),"")</f>
        <v>0.7000000005</v>
      </c>
      <c r="D27" s="11">
        <v>0.7963595</v>
      </c>
      <c r="E27" s="11">
        <v>0.81871029094273673</v>
      </c>
      <c r="F27" s="11"/>
      <c r="G27" s="11"/>
      <c r="I27" s="16"/>
      <c r="J27" s="0" t="s">
        <v>41</v>
      </c>
    </row>
    <row r="28" outlineLevel="2">
      <c r="A28" s="10" t="s">
        <v>45</v>
      </c>
      <c r="B28" s="0" t="s">
        <v>34</v>
      </c>
      <c r="C28" s="11">
        <f>IFERROR(0.1478953*(1-w),"")</f>
        <v>0.1299999687</v>
      </c>
      <c r="D28" s="11">
        <v>0.1478953</v>
      </c>
      <c r="E28" s="11">
        <v>0.15204616017271513</v>
      </c>
      <c r="F28" s="11"/>
      <c r="G28" s="11"/>
      <c r="I28" s="16"/>
      <c r="J28" s="0" t="s">
        <v>41</v>
      </c>
    </row>
    <row r="29" outlineLevel="2">
      <c r="A29" s="10" t="s">
        <v>46</v>
      </c>
      <c r="B29" s="0" t="s">
        <v>34</v>
      </c>
      <c r="C29" s="11">
        <f>IFERROR(99.9961305*(1-w)+w*100,"")</f>
        <v>99.996598709499992</v>
      </c>
      <c r="D29" s="11">
        <v>99.996130499999992</v>
      </c>
      <c r="E29" s="11">
        <v>99.996021897810209</v>
      </c>
      <c r="F29" s="11"/>
      <c r="G29" s="11"/>
      <c r="I29" s="16"/>
      <c r="J29" s="0" t="s">
        <v>38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2">
        <f>IFERROR(2957.907*(1-w),"")</f>
        <v>2600.000253</v>
      </c>
      <c r="D31" s="12">
        <v>2957.907</v>
      </c>
      <c r="E31" s="12">
        <v>3040.92423152051</v>
      </c>
      <c r="F31" s="12"/>
      <c r="G31" s="12"/>
      <c r="I31" s="16"/>
      <c r="J31" s="0" t="s">
        <v>41</v>
      </c>
    </row>
    <row r="32" outlineLevel="1">
      <c r="A32" s="9" t="s">
        <v>50</v>
      </c>
      <c r="I32" s="16"/>
    </row>
    <row r="33" outlineLevel="2">
      <c r="A33" s="10" t="s">
        <v>51</v>
      </c>
      <c r="B33" s="0" t="s">
        <v>52</v>
      </c>
      <c r="C33" s="11">
        <f>IFERROR(17.95407*(1-w)-w*2.443,"")</f>
        <v>15.486024530000002</v>
      </c>
      <c r="D33" s="11">
        <v>17.95407</v>
      </c>
      <c r="E33" s="11">
        <v>18.457972653438883</v>
      </c>
      <c r="F33" s="11"/>
      <c r="G33" s="11"/>
      <c r="I33" s="16"/>
    </row>
    <row r="34" outlineLevel="2">
      <c r="A34" s="10" t="s">
        <v>53</v>
      </c>
      <c r="B34" s="0" t="s">
        <v>52</v>
      </c>
      <c r="C34" s="11">
        <f>IFERROR(19.29465*(1-w),"")</f>
        <v>16.959997350000002</v>
      </c>
      <c r="D34" s="11">
        <v>19.29465</v>
      </c>
      <c r="E34" s="11">
        <v>19.83617764984065</v>
      </c>
      <c r="F34" s="11"/>
      <c r="G34" s="11"/>
      <c r="I34" s="16"/>
    </row>
    <row r="35" outlineLevel="2">
      <c r="A35" s="10" t="s">
        <v>54</v>
      </c>
      <c r="B35" s="0" t="s">
        <v>52</v>
      </c>
      <c r="C35" s="11">
        <f>IFERROR(18.97460020128*(1-w),"")</f>
        <v>16.678673576925121</v>
      </c>
      <c r="D35" s="11">
        <v>18.97460020128</v>
      </c>
      <c r="E35" s="11">
        <v>19.507145267071042</v>
      </c>
      <c r="F35" s="11"/>
      <c r="G35" s="11"/>
      <c r="I35" s="16"/>
      <c r="J35" s="0" t="s">
        <v>38</v>
      </c>
    </row>
    <row r="36" outlineLevel="1">
      <c r="A36" s="9" t="s">
        <v>55</v>
      </c>
      <c r="I36" s="16"/>
    </row>
    <row r="37" outlineLevel="2">
      <c r="A37" s="10" t="s">
        <v>56</v>
      </c>
      <c r="B37" s="0" t="s">
        <v>57</v>
      </c>
      <c r="C37" s="12">
        <v>13700</v>
      </c>
      <c r="D37" s="12"/>
      <c r="E37" s="12"/>
      <c r="F37" s="12"/>
      <c r="G37" s="12"/>
      <c r="I37" s="16"/>
      <c r="J37" s="0" t="s">
        <v>41</v>
      </c>
    </row>
    <row r="38" outlineLevel="2">
      <c r="A38" s="10" t="s">
        <v>58</v>
      </c>
      <c r="B38" s="0" t="s">
        <v>57</v>
      </c>
      <c r="C38" s="12">
        <v>550</v>
      </c>
      <c r="D38" s="12"/>
      <c r="E38" s="12"/>
      <c r="F38" s="12"/>
      <c r="G38" s="12"/>
      <c r="I38" s="16"/>
      <c r="J38" s="0" t="s">
        <v>41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1160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1230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1250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6.2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4.3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4.5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4.9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22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0.67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0.64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18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2.1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1.9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41</v>
      </c>
      <c r="D56" s="11"/>
      <c r="E56" s="11"/>
      <c r="F56" s="11"/>
      <c r="G56" s="11"/>
      <c r="I56" s="16"/>
    </row>
    <row r="57">
      <c r="I57" s="16"/>
    </row>
    <row r="58" s="1" customFormat="1"/>
  </sheetData>
  <mergeCells>
    <mergeCell ref="A8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</mergeCells>
  <dataValidations count="1">
    <dataValidation type="decimal" sqref="C19" errorStyle="stop" promptTitle="Enter moisture content" errorTitle="Invalid moisture content" prompt="Value should be between 0 and 100.&#10;Original value: 12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https://phyllis.nl/Biomass/View/946</dc:description>
  <dcterms:created xsi:type="dcterms:W3CDTF">2026-03-17T06:04:01Z</dcterms:created>
  <dc:title>Phyllis2 #946 barley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