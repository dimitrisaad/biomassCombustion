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48 miscanthus gigant" sheetId="1" r:id="rId1"/>
  </sheets>
  <definedNames>
    <definedName name="w" localSheetId="0">IF(ISBLANK('Phyllis2 #948 miscanthus gigant'!$C$19),#N/A,'Phyllis2 #948 miscanthus gigant'!$C$19/100)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<sst xmlns="http://schemas.openxmlformats.org/spreadsheetml/2006/main" count="79" uniqueCount="79">
  <si>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</si>
  <si>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https://phyllis.nl/Biomass/View/948</t>
  </si>
  <si>
    <t>miscanthus giganteus (#948)</t>
  </si>
  <si>
    <t>ID-number</t>
  </si>
  <si>
    <t>#948</t>
  </si>
  <si>
    <t>Material</t>
  </si>
  <si>
    <t>miscanthus giganteus</t>
  </si>
  <si>
    <t>Description</t>
  </si>
  <si>
    <t>pulverized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</si>
  <si>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</si>
  <si>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</si>
  <si>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</si>
  <si>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Ash type</t>
  </si>
  <si>
    <t>ashed at 500 degC at reducing atmosphere</t>
  </si>
  <si>
    <t>Submitter organisation</t>
  </si>
  <si>
    <t>ECN (Netherlands)</t>
  </si>
  <si>
    <t>Literature</t>
  </si>
  <si>
    <t>J. B. Illerup and O. Rathmann: CO2 gasification of wheat straw, barley straw, willow and giganteus, Rosoe, Denmark, Risoe-R-873(EN), 32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</si>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</sst>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6"/>
    </row>
    <row r="18" outlineLevel="1">
      <c r="A18" s="9" t="s">
        <v>32</v>
      </c>
      <c r="I18" s="16"/>
    </row>
    <row r="19" outlineLevel="2">
      <c r="A19" s="10" t="s">
        <v>33</v>
      </c>
      <c r="B19" s="0" t="s">
        <v>34</v>
      </c>
      <c r="C19" s="11">
        <v>14.2</v>
      </c>
      <c r="D19" s="11"/>
      <c r="E19" s="11"/>
      <c r="F19" s="11"/>
      <c r="G19" s="11"/>
      <c r="I19" s="16"/>
    </row>
    <row r="20" outlineLevel="2">
      <c r="A20" s="10" t="s">
        <v>35</v>
      </c>
      <c r="B20" s="0" t="s">
        <v>34</v>
      </c>
      <c r="C20" s="11">
        <f>IFERROR(1.5*(1-w),"")</f>
        <v>1.287</v>
      </c>
      <c r="D20" s="11">
        <v>1.5</v>
      </c>
      <c r="E20" s="11">
        <v/>
      </c>
      <c r="F20" s="11"/>
      <c r="G20" s="11"/>
      <c r="I20" s="16"/>
    </row>
    <row r="21" outlineLevel="2">
      <c r="A21" s="10" t="s">
        <v>36</v>
      </c>
      <c r="B21" s="0" t="s">
        <v>34</v>
      </c>
      <c r="C21" s="11">
        <f>IFERROR(82.1*(1-w),"")</f>
        <v>70.4418</v>
      </c>
      <c r="D21" s="11">
        <v>82.1</v>
      </c>
      <c r="E21" s="11">
        <v>83.3502538071066</v>
      </c>
      <c r="F21" s="11"/>
      <c r="G21" s="11"/>
      <c r="I21" s="16"/>
    </row>
    <row r="22" outlineLevel="2">
      <c r="A22" s="10" t="s">
        <v>37</v>
      </c>
      <c r="B22" s="0" t="s">
        <v>34</v>
      </c>
      <c r="C22" s="11">
        <f>IFERROR(16.4*(1-w),"")</f>
        <v>14.071200000000005</v>
      </c>
      <c r="D22" s="11">
        <v>16.400000000000006</v>
      </c>
      <c r="E22" s="11">
        <v>16.649746192893407</v>
      </c>
      <c r="F22" s="11"/>
      <c r="G22" s="11"/>
      <c r="I22" s="16"/>
      <c r="J22" s="0" t="s">
        <v>38</v>
      </c>
    </row>
    <row r="23" outlineLevel="1">
      <c r="A23" s="9" t="s">
        <v>39</v>
      </c>
      <c r="I23" s="16"/>
    </row>
    <row r="24" outlineLevel="2">
      <c r="A24" s="10" t="s">
        <v>40</v>
      </c>
      <c r="B24" s="0" t="s">
        <v>34</v>
      </c>
      <c r="C24" s="11">
        <f>IFERROR(48.4*(1-w),"")</f>
        <v>41.5272</v>
      </c>
      <c r="D24" s="11">
        <v>48.4</v>
      </c>
      <c r="E24" s="11">
        <v>49.137055837563452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34</v>
      </c>
      <c r="C25" s="11">
        <f>IFERROR(6.3*(1-w),"")</f>
        <v>5.4053999999999993</v>
      </c>
      <c r="D25" s="11">
        <v>6.3</v>
      </c>
      <c r="E25" s="11">
        <v>6.3959390862944163</v>
      </c>
      <c r="F25" s="11"/>
      <c r="G25" s="11"/>
      <c r="I25" s="16"/>
      <c r="J25" s="0" t="s">
        <v>41</v>
      </c>
    </row>
    <row r="26" outlineLevel="2">
      <c r="A26" s="10" t="s">
        <v>43</v>
      </c>
      <c r="B26" s="0" t="s">
        <v>34</v>
      </c>
      <c r="C26" s="11">
        <f>IFERROR(43.27*(1-w),"")</f>
        <v>37.12566</v>
      </c>
      <c r="D26" s="11">
        <v>43.27</v>
      </c>
      <c r="E26" s="11">
        <v>43.92893401015229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34</v>
      </c>
      <c r="C27" s="11">
        <f>IFERROR(0.3*(1-w),"")</f>
        <v>0.25739999999999996</v>
      </c>
      <c r="D27" s="11">
        <v>0.3</v>
      </c>
      <c r="E27" s="11">
        <v>0.3045685279187817</v>
      </c>
      <c r="F27" s="11"/>
      <c r="G27" s="11"/>
      <c r="I27" s="16"/>
      <c r="J27" s="0" t="s">
        <v>41</v>
      </c>
    </row>
    <row r="28" outlineLevel="2">
      <c r="A28" s="10" t="s">
        <v>45</v>
      </c>
      <c r="B28" s="0" t="s">
        <v>34</v>
      </c>
      <c r="C28" s="11">
        <f>IFERROR(0.1*(1-w),"")</f>
        <v>0.0858</v>
      </c>
      <c r="D28" s="11">
        <v>0.1</v>
      </c>
      <c r="E28" s="11">
        <v>0.10152284263959392</v>
      </c>
      <c r="F28" s="11"/>
      <c r="G28" s="11"/>
      <c r="I28" s="16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99.999999999999986</v>
      </c>
      <c r="D29" s="11">
        <v>99.999999999999986</v>
      </c>
      <c r="E29" s="11">
        <v>99.999999999999986</v>
      </c>
      <c r="F29" s="11"/>
      <c r="G29" s="11"/>
      <c r="I29" s="16"/>
      <c r="J29" s="0" t="s">
        <v>38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2">
        <f>IFERROR(1300*(1-w),"")</f>
        <v>1115.4</v>
      </c>
      <c r="D31" s="12">
        <v>1300</v>
      </c>
      <c r="E31" s="12">
        <v>1319.7969543147208</v>
      </c>
      <c r="F31" s="12"/>
      <c r="G31" s="12"/>
      <c r="I31" s="16"/>
      <c r="J31" s="0" t="s">
        <v>41</v>
      </c>
    </row>
    <row r="32" outlineLevel="1">
      <c r="A32" s="9" t="s">
        <v>50</v>
      </c>
      <c r="I32" s="16"/>
    </row>
    <row r="33" outlineLevel="2">
      <c r="A33" s="10" t="s">
        <v>51</v>
      </c>
      <c r="B33" s="0" t="s">
        <v>52</v>
      </c>
      <c r="C33" s="11">
        <f>IFERROR(18.20523*(1-w)-w*2.443,"")</f>
        <v>15.273181339999999</v>
      </c>
      <c r="D33" s="11">
        <v>18.20523</v>
      </c>
      <c r="E33" s="11">
        <v>18.482467005076142</v>
      </c>
      <c r="F33" s="11"/>
      <c r="G33" s="11"/>
      <c r="I33" s="16"/>
    </row>
    <row r="34" outlineLevel="2">
      <c r="A34" s="10" t="s">
        <v>53</v>
      </c>
      <c r="B34" s="0" t="s">
        <v>52</v>
      </c>
      <c r="C34" s="11">
        <f>IFERROR(19.58*(1-w),"")</f>
        <v>16.799639999999997</v>
      </c>
      <c r="D34" s="11">
        <v>19.58</v>
      </c>
      <c r="E34" s="11">
        <v>19.878172588832484</v>
      </c>
      <c r="F34" s="11"/>
      <c r="G34" s="11"/>
      <c r="I34" s="16"/>
    </row>
    <row r="35" outlineLevel="2">
      <c r="A35" s="10" t="s">
        <v>54</v>
      </c>
      <c r="B35" s="0" t="s">
        <v>52</v>
      </c>
      <c r="C35" s="11">
        <f>IFERROR(19.58885425*(1-w),"")</f>
        <v>16.8072369465</v>
      </c>
      <c r="D35" s="11">
        <v>19.58885425</v>
      </c>
      <c r="E35" s="11">
        <v>19.887161675126904</v>
      </c>
      <c r="F35" s="11"/>
      <c r="G35" s="11"/>
      <c r="I35" s="16"/>
      <c r="J35" s="0" t="s">
        <v>38</v>
      </c>
    </row>
    <row r="36" outlineLevel="1">
      <c r="A36" s="9" t="s">
        <v>55</v>
      </c>
      <c r="I36" s="16"/>
    </row>
    <row r="37" outlineLevel="2">
      <c r="A37" s="10" t="s">
        <v>56</v>
      </c>
      <c r="B37" s="0" t="s">
        <v>57</v>
      </c>
      <c r="C37" s="12">
        <v>4100</v>
      </c>
      <c r="D37" s="12"/>
      <c r="E37" s="12"/>
      <c r="F37" s="12"/>
      <c r="G37" s="12"/>
      <c r="I37" s="16"/>
      <c r="J37" s="0" t="s">
        <v>41</v>
      </c>
    </row>
    <row r="38" outlineLevel="2">
      <c r="A38" s="10" t="s">
        <v>58</v>
      </c>
      <c r="B38" s="0" t="s">
        <v>57</v>
      </c>
      <c r="C38" s="12">
        <v>290</v>
      </c>
      <c r="D38" s="12"/>
      <c r="E38" s="12"/>
      <c r="F38" s="12"/>
      <c r="G38" s="12"/>
      <c r="I38" s="16"/>
      <c r="J38" s="0" t="s">
        <v>41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890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990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1100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0.54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1.1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5.9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2.2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27</v>
      </c>
      <c r="D56" s="11"/>
      <c r="E56" s="11"/>
      <c r="F56" s="11"/>
      <c r="G56" s="11"/>
      <c r="I56" s="16"/>
    </row>
    <row r="57">
      <c r="I57" s="16"/>
    </row>
    <row r="58" s="1" customFormat="1"/>
  </sheetData>
  <mergeCells>
    <mergeCell ref="A8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14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https://phyllis.nl/Biomass/View/948</dc:description>
  <dcterms:created xsi:type="dcterms:W3CDTF">2026-03-04T04:15:17Z</dcterms:created>
  <dc:title>Phyllis2 #948 miscanthus giganteus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