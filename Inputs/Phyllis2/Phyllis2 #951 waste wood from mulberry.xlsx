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51 waste wood from m" sheetId="1" r:id="rId1"/>
  </sheets>
  <definedNames>
    <definedName name="w" localSheetId="0">IF(ISBLANK('Phyllis2 #951 waste wood from m'!$C$18),#N/A,'Phyllis2 #951 waste wood from 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<sst xmlns="http://schemas.openxmlformats.org/spreadsheetml/2006/main" count="47" uniqueCount="47">
  <si>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</si>
  <si>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https://phyllis.nl/Biomass/View/951</t>
  </si>
  <si>
    <t>waste wood from mulberry (#951)</t>
  </si>
  <si>
    <t>ID-number</t>
  </si>
  <si>
    <t>#951</t>
  </si>
  <si>
    <t>Material</t>
  </si>
  <si>
    <t>waste wood from mulberry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</si>
  <si>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</si>
  <si>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</si>
  <si>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</si>
  <si>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</si>
  <si>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</si>
  <si>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</si>
  <si>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Lignin was extracted with sulphuric acid according to Japanese Industrial Standard. Mulberry wool contains 27% lignin and 73% holocellulose</t>
  </si>
  <si>
    <t>Literature</t>
  </si>
  <si>
    <t>M. Sadakata, K. Takahashi, M. Saito and T. Sakai: Production of fuel gas and char from wood, lignin and holocellulose by carbonization. Fuel 66 (12) pp. 1667-1671 (1987).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</si>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</sst>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IFERROR(2.5*(1-w),"")</f>
        <v/>
      </c>
      <c r="D19" s="11">
        <v>2.5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IFERROR(47.9*(1-w),"")</f>
        <v/>
      </c>
      <c r="D21" s="11">
        <v>47.9</v>
      </c>
      <c r="E21" s="11">
        <v>49.128205128205131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IFERROR(5.9*(1-w),"")</f>
        <v/>
      </c>
      <c r="D22" s="11">
        <v>5.9</v>
      </c>
      <c r="E22" s="11">
        <v>6.051282051282052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IFERROR(39.4*(1-w),"")</f>
        <v/>
      </c>
      <c r="D23" s="11">
        <v>39.4</v>
      </c>
      <c r="E23" s="11">
        <v>40.410256410256409</v>
      </c>
      <c r="F23" s="11"/>
      <c r="G23" s="11"/>
      <c r="I23" s="12"/>
      <c r="J23" s="0" t="s">
        <v>36</v>
      </c>
    </row>
    <row r="24" outlineLevel="2">
      <c r="A24" s="10" t="s">
        <v>39</v>
      </c>
      <c r="B24" s="0" t="s">
        <v>33</v>
      </c>
      <c r="C24" s="11">
        <f>IFERROR(0.4*(1-w),"")</f>
        <v/>
      </c>
      <c r="D24" s="11">
        <v>0.4</v>
      </c>
      <c r="E24" s="11">
        <v>0.4102564102564103</v>
      </c>
      <c r="F24" s="11"/>
      <c r="G24" s="11"/>
      <c r="I24" s="12"/>
      <c r="J24" s="0" t="s">
        <v>36</v>
      </c>
    </row>
    <row r="25" outlineLevel="2">
      <c r="A25" s="10" t="s">
        <v>40</v>
      </c>
      <c r="B25" s="0" t="s">
        <v>33</v>
      </c>
      <c r="C25" s="11">
        <f>IFERROR(96.1*(1-w)+w*100,"")</f>
        <v/>
      </c>
      <c r="D25" s="11">
        <v>96.1</v>
      </c>
      <c r="E25" s="11">
        <v>96</v>
      </c>
      <c r="F25" s="11"/>
      <c r="G25" s="11"/>
      <c r="I25" s="12"/>
      <c r="J25" s="0" t="s">
        <v>41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IFERROR(18.71252*(1-w)-w*2.443,"")</f>
        <v/>
      </c>
      <c r="D27" s="11">
        <v>18.71252</v>
      </c>
      <c r="E27" s="11">
        <v>19.192328205128206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IFERROR(20*(1-w),"")</f>
        <v/>
      </c>
      <c r="D28" s="11">
        <v>20</v>
      </c>
      <c r="E28" s="11">
        <v>20.512820512820515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IFERROR(19.39584625*(1-w),"")</f>
        <v/>
      </c>
      <c r="D29" s="11">
        <v>19.39584625</v>
      </c>
      <c r="E29" s="11">
        <v>19.893175641025643</v>
      </c>
      <c r="F29" s="11"/>
      <c r="G29" s="11"/>
      <c r="I29" s="12"/>
      <c r="J29" s="0" t="s">
        <v>41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https://phyllis.nl/Biomass/View/951</dc:description>
  <dcterms:created xsi:type="dcterms:W3CDTF">2026-03-19T07:17:19Z</dcterms:created>
  <dc:title>Phyllis2 #951 waste wood from mulberry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