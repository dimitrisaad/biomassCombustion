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55 apricot stones" sheetId="1" r:id="rId1"/>
  </sheets>
  <definedNames>
    <definedName name="w" localSheetId="0">IF(ISBLANK('Phyllis2 #955 apricot stones'!$C$18),#N/A,'Phyllis2 #955 apricot stones'!$C$18/100)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<sst xmlns="http://schemas.openxmlformats.org/spreadsheetml/2006/main" count="56" uniqueCount="56">
  <si>
    <t>Phyllis2</t>
  </si>
  <si>
    <t>https://phyllis.nl/Biomass/View/955</t>
  </si>
  <si>
    <t>apricot stones (#955)</t>
  </si>
  <si>
    <t>ID-number</t>
  </si>
  <si>
    <t>#955</t>
  </si>
  <si>
    <t>Material</t>
  </si>
  <si>
    <t>apricot stones</t>
  </si>
  <si>
    <t>Classification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</si>
  <si>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</si>
  <si>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</si>
  <si>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</si>
  <si>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</si>
  <si>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Remarks</t>
  </si>
  <si>
    <t>Apricot stones as waste product of canning industry, Bulgaria</t>
  </si>
  <si>
    <t>Literature</t>
  </si>
  <si>
    <t>M. Razvigorova, M. Goranova, V. Minkova and J. Cerny: On the composition of volatiles evolved during the production of carbon adsorbents from vegetable wastes. Fuel 73 (11) pp. 1718-1722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</si>
  <si>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</si>
  <si>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</si>
  <si>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</si>
  <si>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</si>
  <si>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</si>
  <si>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</si>
  <si>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</si>
  <si>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</si>
  <si>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</si>
  <si>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</si>
  <si>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</si>
  <si>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</si>
  <si>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</si>
  <si>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</si>
  <si>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</si>
  <si>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</si>
  <si>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</si>
  <si>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</si>
  <si>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</si>
  <si>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</si>
  <si>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</si>
  <si>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</si>
  <si>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</si>
  <si>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</si>
  <si>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</si>
  <si>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</si>
  <si>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</si>
  <si>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</si>
  <si>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</si>
  <si>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</si>
  <si>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</si>
  <si>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</si>
  <si>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</si>
  <si>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</si>
  <si>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</si>
  <si>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Unknown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</si>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</sst>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>6.4</v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31</v>
      </c>
      <c r="C19" s="11">
        <f>IFERROR(0.2*(1-w),"")</f>
        <v>0.1872</v>
      </c>
      <c r="D19" s="11">
        <v>0.2</v>
      </c>
      <c r="E19" s="11">
        <v/>
      </c>
      <c r="F19" s="11"/>
      <c r="G19" s="11"/>
      <c r="I19" s="14"/>
    </row>
    <row r="20" outlineLevel="2">
      <c r="A20" s="10" t="s">
        <v>33</v>
      </c>
      <c r="B20" s="0" t="s">
        <v>31</v>
      </c>
      <c r="C20" s="11">
        <f>IFERROR(80.4*(1-w),"")</f>
        <v>75.2544</v>
      </c>
      <c r="D20" s="11">
        <v>80.4</v>
      </c>
      <c r="E20" s="11">
        <v>80.561122244488985</v>
      </c>
      <c r="F20" s="11"/>
      <c r="G20" s="11"/>
      <c r="I20" s="14"/>
    </row>
    <row r="21" outlineLevel="2">
      <c r="A21" s="10" t="s">
        <v>34</v>
      </c>
      <c r="B21" s="0" t="s">
        <v>31</v>
      </c>
      <c r="C21" s="11">
        <f>IFERROR(19.4*(1-w),"")</f>
        <v>18.15839999999999</v>
      </c>
      <c r="D21" s="11">
        <v>19.399999999999991</v>
      </c>
      <c r="E21" s="11">
        <v>19.438877755511015</v>
      </c>
      <c r="F21" s="11"/>
      <c r="G21" s="11"/>
      <c r="I21" s="14"/>
      <c r="J21" s="0" t="s">
        <v>35</v>
      </c>
    </row>
    <row r="22" outlineLevel="1">
      <c r="A22" s="9" t="s">
        <v>36</v>
      </c>
      <c r="I22" s="14"/>
    </row>
    <row r="23" outlineLevel="2">
      <c r="A23" s="10" t="s">
        <v>37</v>
      </c>
      <c r="B23" s="0" t="s">
        <v>31</v>
      </c>
      <c r="C23" s="11">
        <f>IFERROR(51.397*(1-w),"")</f>
        <v>48.107592</v>
      </c>
      <c r="D23" s="11">
        <v>51.397</v>
      </c>
      <c r="E23" s="11">
        <v>51.5</v>
      </c>
      <c r="F23" s="11"/>
      <c r="G23" s="11"/>
      <c r="I23" s="14"/>
      <c r="J23" s="0" t="s">
        <v>38</v>
      </c>
    </row>
    <row r="24" outlineLevel="2">
      <c r="A24" s="10" t="s">
        <v>39</v>
      </c>
      <c r="B24" s="0" t="s">
        <v>31</v>
      </c>
      <c r="C24" s="11">
        <f>IFERROR(6.2874*(1-w),"")</f>
        <v>5.8850064</v>
      </c>
      <c r="D24" s="11">
        <v>6.2874</v>
      </c>
      <c r="E24" s="11">
        <v>6.3</v>
      </c>
      <c r="F24" s="11"/>
      <c r="G24" s="11"/>
      <c r="I24" s="14"/>
      <c r="J24" s="0" t="s">
        <v>38</v>
      </c>
    </row>
    <row r="25" outlineLevel="2">
      <c r="A25" s="10" t="s">
        <v>40</v>
      </c>
      <c r="B25" s="0" t="s">
        <v>31</v>
      </c>
      <c r="C25" s="11">
        <f>IFERROR(41.8162*(1-w),"")</f>
        <v>39.1399632</v>
      </c>
      <c r="D25" s="11">
        <v>41.8162</v>
      </c>
      <c r="E25" s="11">
        <v>41.9</v>
      </c>
      <c r="F25" s="11"/>
      <c r="G25" s="11"/>
      <c r="I25" s="14"/>
      <c r="J25" s="0" t="s">
        <v>38</v>
      </c>
    </row>
    <row r="26" outlineLevel="2">
      <c r="A26" s="10" t="s">
        <v>41</v>
      </c>
      <c r="B26" s="0" t="s">
        <v>31</v>
      </c>
      <c r="C26" s="11">
        <f>IFERROR(0.1996*(1-w),"")</f>
        <v>0.18682559999999998</v>
      </c>
      <c r="D26" s="11">
        <v>0.1996</v>
      </c>
      <c r="E26" s="11">
        <v>0.2</v>
      </c>
      <c r="F26" s="11"/>
      <c r="G26" s="11"/>
      <c r="I26" s="14"/>
      <c r="J26" s="0" t="s">
        <v>38</v>
      </c>
    </row>
    <row r="27" outlineLevel="2">
      <c r="A27" s="10" t="s">
        <v>42</v>
      </c>
      <c r="B27" s="0" t="s">
        <v>31</v>
      </c>
      <c r="C27" s="11">
        <f>IFERROR(0.0998*(1-w),"")</f>
        <v>0.09341279999999999</v>
      </c>
      <c r="D27" s="11">
        <v>0.0998</v>
      </c>
      <c r="E27" s="11">
        <v>0.1</v>
      </c>
      <c r="F27" s="11"/>
      <c r="G27" s="11"/>
      <c r="I27" s="14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4"/>
      <c r="J28" s="0" t="s">
        <v>35</v>
      </c>
    </row>
    <row r="29" outlineLevel="1">
      <c r="A29" s="9" t="s">
        <v>44</v>
      </c>
      <c r="I29" s="14"/>
    </row>
    <row r="30" outlineLevel="2">
      <c r="A30" s="10" t="s">
        <v>45</v>
      </c>
      <c r="B30" s="0" t="s">
        <v>46</v>
      </c>
      <c r="C30" s="11">
        <f>IFERROR(20.8002162*(1-w),"")</f>
        <v>19.4690023632</v>
      </c>
      <c r="D30" s="11">
        <v>20.8002162</v>
      </c>
      <c r="E30" s="11">
        <v>20.841900000000003</v>
      </c>
      <c r="F30" s="11"/>
      <c r="G30" s="11"/>
      <c r="I30" s="14"/>
      <c r="J30" s="0" t="s">
        <v>35</v>
      </c>
    </row>
    <row r="31" outlineLevel="1">
      <c r="A31" s="9" t="s">
        <v>47</v>
      </c>
      <c r="I31" s="14"/>
    </row>
    <row r="32" outlineLevel="2">
      <c r="A32" s="12" t="s">
        <v>48</v>
      </c>
      <c r="I32" s="14"/>
    </row>
    <row r="33" outlineLevel="3">
      <c r="A33" s="13" t="s">
        <v>49</v>
      </c>
      <c r="B33" s="0" t="s">
        <v>50</v>
      </c>
      <c r="C33" s="11">
        <v>30</v>
      </c>
      <c r="D33" s="11"/>
      <c r="E33" s="11"/>
      <c r="F33" s="11"/>
      <c r="G33" s="11"/>
      <c r="I33" s="14"/>
      <c r="J33" s="0" t="s">
        <v>51</v>
      </c>
    </row>
    <row r="34" outlineLevel="3">
      <c r="A34" s="13" t="s">
        <v>52</v>
      </c>
      <c r="B34" s="0" t="s">
        <v>50</v>
      </c>
      <c r="C34" s="11">
        <v>28</v>
      </c>
      <c r="D34" s="11"/>
      <c r="E34" s="11"/>
      <c r="F34" s="11"/>
      <c r="G34" s="11"/>
      <c r="I34" s="14"/>
      <c r="J34" s="0" t="s">
        <v>51</v>
      </c>
    </row>
    <row r="35" outlineLevel="3">
      <c r="A35" s="13" t="s">
        <v>53</v>
      </c>
      <c r="B35" s="0" t="s">
        <v>50</v>
      </c>
      <c r="C35" s="11">
        <v>37</v>
      </c>
      <c r="D35" s="11"/>
      <c r="E35" s="11"/>
      <c r="F35" s="11"/>
      <c r="G35" s="11"/>
      <c r="I35" s="14"/>
      <c r="J35" s="0" t="s">
        <v>51</v>
      </c>
    </row>
    <row r="36" outlineLevel="2">
      <c r="A36" s="12" t="s">
        <v>54</v>
      </c>
      <c r="I36" s="14"/>
    </row>
    <row r="37" outlineLevel="3">
      <c r="A37" s="13" t="s">
        <v>55</v>
      </c>
      <c r="B37" s="0" t="s">
        <v>50</v>
      </c>
      <c r="C37" s="11">
        <v>95.2</v>
      </c>
      <c r="D37" s="11"/>
      <c r="E37" s="11"/>
      <c r="F37" s="11"/>
      <c r="G37" s="11"/>
      <c r="I37" s="14"/>
      <c r="J37" s="0" t="s">
        <v>35</v>
      </c>
    </row>
    <row r="38">
      <c r="I38" s="14"/>
    </row>
    <row r="39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3:E33"/>
    <mergeCell ref="C34:E34"/>
    <mergeCell ref="C35:E35"/>
    <mergeCell ref="C37:E37"/>
  </mergeCells>
  <dataValidations count="1">
    <dataValidation type="decimal" sqref="C18" errorStyle="stop" promptTitle="Enter moisture content" errorTitle="Invalid moisture content" prompt="Value should be between 0 and 100.&#10;Original value: 6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https://phyllis.nl/Biomass/View/955</dc:description>
  <dcterms:created xsi:type="dcterms:W3CDTF">2026-03-17T05:43:58Z</dcterms:created>
  <dc:title>Phyllis2 #955 apricot stones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