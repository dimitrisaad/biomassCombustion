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6 wood, oak, red" sheetId="1" r:id="rId1"/>
  </sheets>
  <definedNames>
    <definedName name="w" localSheetId="0">IF(ISBLANK('Phyllis2 #96 wood, oak, red'!$C$17),#N/A,'Phyllis2 #96 wood, oak, red'!$C$17/100)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<sst xmlns="http://schemas.openxmlformats.org/spreadsheetml/2006/main" count="51" uniqueCount="51">
  <si>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</si>
  <si>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https://phyllis.nl/Biomass/View/96</t>
  </si>
  <si>
    <t>wood, oak, red (#96)</t>
  </si>
  <si>
    <t>ID-number</t>
  </si>
  <si>
    <t>#96</t>
  </si>
  <si>
    <t>Material</t>
  </si>
  <si>
    <t>wood, oak, red</t>
  </si>
  <si>
    <t>Classification</t>
  </si>
  <si>
    <t>ECN Phyllis classification &gt; untreated wood &gt; oak &gt; wood, oak, red</t>
  </si>
  <si>
    <t>NTA 8003 classification &gt; [100] hout &gt; [110] vers hout &gt; [120] loofhout &gt; [125] hard loofhout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</si>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</sst>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14.42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IFERROR(2.76*(1-w),"")</f>
        <v>2.362008</v>
      </c>
      <c r="D18" s="11">
        <v>2.76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IFERROR(81.07*(1-w),"")</f>
        <v>69.379706</v>
      </c>
      <c r="D19" s="11">
        <v>81.07</v>
      </c>
      <c r="E19" s="11">
        <v>83.371040723981892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IFERROR(16.17*(1-w),"")</f>
        <v>13.838286000000002</v>
      </c>
      <c r="D20" s="11">
        <v>16.17</v>
      </c>
      <c r="E20" s="11">
        <v>16.6289592760181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IFERROR(49.34*(1-w),"")</f>
        <v>42.225172</v>
      </c>
      <c r="D22" s="11">
        <v>49.34</v>
      </c>
      <c r="E22" s="11">
        <v>50.740436034553682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IFERROR(5.93*(1-w),"")</f>
        <v>5.074894</v>
      </c>
      <c r="D23" s="11">
        <v>5.93</v>
      </c>
      <c r="E23" s="11">
        <v>6.0983134512546275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IFERROR(41.74*(1-w),"")</f>
        <v>35.721092</v>
      </c>
      <c r="D24" s="11">
        <v>41.74</v>
      </c>
      <c r="E24" s="11">
        <v>42.924722336487044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IFERROR(0.07*(1-w),"")</f>
        <v>0.059906000000000008</v>
      </c>
      <c r="D25" s="11">
        <v>0.07</v>
      </c>
      <c r="E25" s="11">
        <v>0.071986836692719047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IFERROR(0.13*(1-w),"")</f>
        <v>0.111254</v>
      </c>
      <c r="D26" s="11">
        <v>0.13</v>
      </c>
      <c r="E26" s="11">
        <v>0.13368983957219252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</v>
      </c>
      <c r="D27" s="11">
        <v>100</v>
      </c>
      <c r="E27" s="11">
        <v>99.999999999999986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IFERROR(300*(1-w),"")</f>
        <v>256.74</v>
      </c>
      <c r="D29" s="12">
        <v>300</v>
      </c>
      <c r="E29" s="12">
        <v>308.51501439736734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IFERROR(17.83391*(1-w)-w*2.443,"")</f>
        <v>14.909979578</v>
      </c>
      <c r="D31" s="11">
        <v>17.83391</v>
      </c>
      <c r="E31" s="11">
        <v>18.340096668037845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IFERROR(19.12794*(1-w),"")</f>
        <v>16.369691052</v>
      </c>
      <c r="D32" s="11">
        <v>19.12794</v>
      </c>
      <c r="E32" s="11">
        <v>19.670855614973259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IFERROR(19.6150554928*(1-w),"")</f>
        <v>16.78656449073824</v>
      </c>
      <c r="D33" s="11">
        <v>19.6150554928</v>
      </c>
      <c r="E33" s="11">
        <v>20.171797092554502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14.4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https://phyllis.nl/Biomass/View/96</dc:description>
  <dcterms:created xsi:type="dcterms:W3CDTF">2026-03-19T07:10:15Z</dcterms:created>
  <dc:title>Phyllis2 #96 wood, oak, red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