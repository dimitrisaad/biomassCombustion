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7 wood, oak, red" sheetId="1" r:id="rId1"/>
  </sheets>
  <definedNames>
    <definedName name="w" localSheetId="0">IF(ISBLANK('Phyllis2 #97 wood, oak, red'!$C$17),#N/A,'Phyllis2 #97 wood, oak, red'!$C$17/100)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<sst xmlns="http://schemas.openxmlformats.org/spreadsheetml/2006/main" count="51" uniqueCount="51">
  <si>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</si>
  <si>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https://phyllis.nl/Biomass/View/97</t>
  </si>
  <si>
    <t>wood, oak, red (#97)</t>
  </si>
  <si>
    <t>ID-number</t>
  </si>
  <si>
    <t>#97</t>
  </si>
  <si>
    <t>Material</t>
  </si>
  <si>
    <t>wood, oak, red</t>
  </si>
  <si>
    <t>Classification</t>
  </si>
  <si>
    <t>ECN Phyllis classification &gt; untreated wood &gt; oak &gt; wood, oak, red</t>
  </si>
  <si>
    <t>NTA 8003 classification &gt; [100] hout &gt; [110] vers hout &gt; [120] loofhout &gt; [125] hard loofhout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</si>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</sst>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10.79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IFERROR(2.03*(1-w),"")</f>
        <v>1.8109629999999999</v>
      </c>
      <c r="D18" s="11">
        <v>2.03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IFERROR(80.47*(1-w),"")</f>
        <v>71.787287</v>
      </c>
      <c r="D19" s="11">
        <v>80.47</v>
      </c>
      <c r="E19" s="11">
        <v>82.137388996631614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IFERROR(17.5*(1-w),"")</f>
        <v>15.61175</v>
      </c>
      <c r="D20" s="11">
        <v>17.5</v>
      </c>
      <c r="E20" s="11">
        <v>17.862611003368379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IFERROR(49.5*(1-w),"")</f>
        <v>44.15895</v>
      </c>
      <c r="D22" s="11">
        <v>49.5</v>
      </c>
      <c r="E22" s="11">
        <v>50.52567112381341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IFERROR(5.86*(1-w),"")</f>
        <v>5.227706</v>
      </c>
      <c r="D23" s="11">
        <v>5.86</v>
      </c>
      <c r="E23" s="11">
        <v>5.9814228845564967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IFERROR(42.32*(1-w),"")</f>
        <v>37.753672</v>
      </c>
      <c r="D24" s="11">
        <v>42.32</v>
      </c>
      <c r="E24" s="11">
        <v>43.196897009288556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IFERROR(0.25*(1-w),"")</f>
        <v>0.223025</v>
      </c>
      <c r="D25" s="11">
        <v>0.25</v>
      </c>
      <c r="E25" s="11">
        <v>0.25518015719097681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IFERROR(0.01*(1-w),"")</f>
        <v>0.008921</v>
      </c>
      <c r="D26" s="11">
        <v>0.01</v>
      </c>
      <c r="E26" s="11">
        <v>0.010207206287639074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</v>
      </c>
      <c r="D27" s="11">
        <v>100.00000000000001</v>
      </c>
      <c r="E27" s="11">
        <v>100.00000000000001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IFERROR(300*(1-w),"")</f>
        <v>267.63</v>
      </c>
      <c r="D29" s="12">
        <v>300</v>
      </c>
      <c r="E29" s="12">
        <v>306.21618862917217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IFERROR(18.34019*(1-w)-w*2.443,"")</f>
        <v>16.097683799</v>
      </c>
      <c r="D31" s="11">
        <v>18.34019</v>
      </c>
      <c r="E31" s="11">
        <v>18.720210268449524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IFERROR(19.61894*(1-w),"")</f>
        <v>17.502056374</v>
      </c>
      <c r="D32" s="11">
        <v>19.61894</v>
      </c>
      <c r="E32" s="11">
        <v>20.02545677248137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IFERROR(19.4882774977*(1-w),"")</f>
        <v>17.385492355698172</v>
      </c>
      <c r="D33" s="11">
        <v>19.488277497700004</v>
      </c>
      <c r="E33" s="11">
        <v>19.892086860977855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10.7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https://phyllis.nl/Biomass/View/97</dc:description>
  <dcterms:created xsi:type="dcterms:W3CDTF">2026-03-19T07:10:20Z</dcterms:created>
  <dc:title>Phyllis2 #97 wood, oak, red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