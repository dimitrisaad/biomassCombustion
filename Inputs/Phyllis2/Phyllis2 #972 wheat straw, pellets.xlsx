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72 wheat straw, pell" sheetId="1" r:id="rId1"/>
  </sheets>
  <definedNames>
    <definedName name="w" localSheetId="0">IF(ISBLANK('Phyllis2 #972 wheat straw, pell'!$C$19),#N/A,'Phyllis2 #972 wheat straw, pell'!$C$19/100)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<sst xmlns="http://schemas.openxmlformats.org/spreadsheetml/2006/main" count="59" uniqueCount="59">
  <si>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</si>
  <si>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https://phyllis.nl/Biomass/View/972</t>
  </si>
  <si>
    <t>wheat straw, pellets (#972)</t>
  </si>
  <si>
    <t>ID-number</t>
  </si>
  <si>
    <t>#972</t>
  </si>
  <si>
    <t>Material</t>
  </si>
  <si>
    <t>wheat straw, pellets</t>
  </si>
  <si>
    <t>Classification</t>
  </si>
  <si>
    <t>ECN Phyllis classification &gt; straw (stalk/cob/ear) &gt; wheat &gt; wheat straw, pellets</t>
  </si>
  <si>
    <t>NTA 8003 classification &gt; [200] biomassa uit land- en tuinbouw &gt; [220] stro &gt; [223] tarwestro</t>
  </si>
  <si>
    <t>Ash type</t>
  </si>
  <si>
    <t>550 degC</t>
  </si>
  <si>
    <t>Submitter organisation</t>
  </si>
  <si>
    <t>ECN (Netherlands)</t>
  </si>
  <si>
    <t>Remarks</t>
  </si>
  <si>
    <t xml:space="preserve">tested in ECN  BFB gasifier (WOB)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</si>
  <si>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</si>
  <si>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</si>
  <si>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</si>
  <si>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</si>
  <si>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</si>
  <si>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</si>
  <si>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</si>
  <si>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</si>
  <si>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</si>
  <si>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</si>
  <si>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</si>
  <si>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</si>
  <si>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</si>
  <si>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</si>
  <si>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</si>
  <si>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</si>
  <si>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</si>
  <si>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</si>
  <si>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</si>
  <si>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</si>
  <si>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</si>
  <si>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</si>
  <si>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</si>
  <si>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</si>
  <si>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</si>
  <si>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</si>
  <si>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</si>
  <si>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</si>
  <si>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</si>
  <si>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</si>
  <si>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</si>
  <si>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</si>
  <si>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</si>
  <si>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</si>
  <si>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</si>
  <si>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</si>
  <si>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</si>
  <si>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</si>
  <si>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</si>
  <si>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</si>
  <si>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</si>
  <si>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</si>
  <si>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Sodium (Na)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</si>
</sst>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11.1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IFERROR(7.1*(1-w),"")</f>
        <v>6.3119</v>
      </c>
      <c r="D20" s="11">
        <v>7.1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IFERROR(74.9*(1-w),"")</f>
        <v>66.5861</v>
      </c>
      <c r="D21" s="11">
        <v>74.9</v>
      </c>
      <c r="E21" s="11">
        <v>80.6243272335845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IFERROR(18*(1-w),"")</f>
        <v>16.002</v>
      </c>
      <c r="D22" s="11">
        <v>18</v>
      </c>
      <c r="E22" s="11">
        <v>19.375672766415498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IFERROR(45.8*(1-w),"")</f>
        <v>40.7162</v>
      </c>
      <c r="D24" s="11">
        <v>45.8</v>
      </c>
      <c r="E24" s="11">
        <v>49.300322927879435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IFERROR(5.96*(1-w),"")</f>
        <v>5.29844</v>
      </c>
      <c r="D25" s="11">
        <v>5.96</v>
      </c>
      <c r="E25" s="11">
        <v>6.4155005382131316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IFERROR(40.13*(1-w),"")</f>
        <v>35.67557</v>
      </c>
      <c r="D26" s="11">
        <v>40.13</v>
      </c>
      <c r="E26" s="11">
        <v>43.196986006458559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IFERROR(0.45*(1-w),"")</f>
        <v>0.40005</v>
      </c>
      <c r="D27" s="11">
        <v>0.45</v>
      </c>
      <c r="E27" s="11">
        <v>0.48439181916038748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IFERROR(0.16*(1-w),"")</f>
        <v>0.14224</v>
      </c>
      <c r="D28" s="11">
        <v>0.16</v>
      </c>
      <c r="E28" s="11">
        <v>0.17222820236813777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IFERROR(4000*(1-w),"")</f>
        <v>3556</v>
      </c>
      <c r="D31" s="12">
        <v>4000</v>
      </c>
      <c r="E31" s="12">
        <v>4305.7050592034448</v>
      </c>
      <c r="F31" s="12"/>
      <c r="G31" s="12"/>
      <c r="I31" s="13"/>
      <c r="J31" s="0" t="s">
        <v>40</v>
      </c>
    </row>
    <row r="32" outlineLevel="2">
      <c r="A32" s="10" t="s">
        <v>49</v>
      </c>
      <c r="B32" s="0" t="s">
        <v>50</v>
      </c>
      <c r="C32" s="12"/>
      <c r="D32" s="12"/>
      <c r="E32" s="12"/>
      <c r="F32" s="12"/>
      <c r="G32" s="12">
        <v>10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1">
        <f>IFERROR(17.18943*(1-w)-w*2.443,"")</f>
        <v>15.010230270000003</v>
      </c>
      <c r="D34" s="11">
        <v>17.18943</v>
      </c>
      <c r="E34" s="11">
        <v>18.503153928955868</v>
      </c>
      <c r="F34" s="11"/>
      <c r="G34" s="11"/>
      <c r="I34" s="13"/>
    </row>
    <row r="35" outlineLevel="2">
      <c r="A35" s="10" t="s">
        <v>54</v>
      </c>
      <c r="B35" s="0" t="s">
        <v>53</v>
      </c>
      <c r="C35" s="11">
        <f>IFERROR(18.49*(1-w),"")</f>
        <v>16.43761</v>
      </c>
      <c r="D35" s="11">
        <v>18.49</v>
      </c>
      <c r="E35" s="11">
        <v>19.903121636167921</v>
      </c>
      <c r="F35" s="11"/>
      <c r="G35" s="11"/>
      <c r="I35" s="13"/>
    </row>
    <row r="36" outlineLevel="2">
      <c r="A36" s="10" t="s">
        <v>55</v>
      </c>
      <c r="B36" s="0" t="s">
        <v>53</v>
      </c>
      <c r="C36" s="11">
        <f>IFERROR(18.53737873*(1-w),"")</f>
        <v>16.479729690970004</v>
      </c>
      <c r="D36" s="11">
        <v>18.537378730000004</v>
      </c>
      <c r="E36" s="11">
        <v>19.954121345532833</v>
      </c>
      <c r="F36" s="11"/>
      <c r="G36" s="11"/>
      <c r="I36" s="13"/>
      <c r="J36" s="0" t="s">
        <v>37</v>
      </c>
    </row>
    <row r="37" outlineLevel="1">
      <c r="A37" s="9" t="s">
        <v>56</v>
      </c>
      <c r="I37" s="13"/>
    </row>
    <row r="38" outlineLevel="2">
      <c r="A38" s="10" t="s">
        <v>57</v>
      </c>
      <c r="B38" s="0" t="s">
        <v>50</v>
      </c>
      <c r="C38" s="12">
        <v>12400</v>
      </c>
      <c r="D38" s="12"/>
      <c r="E38" s="12"/>
      <c r="F38" s="12"/>
      <c r="G38" s="12"/>
      <c r="I38" s="13"/>
      <c r="J38" s="0" t="s">
        <v>40</v>
      </c>
    </row>
    <row r="39" outlineLevel="2">
      <c r="A39" s="10" t="s">
        <v>58</v>
      </c>
      <c r="B39" s="0" t="s">
        <v>50</v>
      </c>
      <c r="C39" s="12">
        <v>100</v>
      </c>
      <c r="D39" s="12"/>
      <c r="E39" s="12"/>
      <c r="F39" s="12"/>
      <c r="G39" s="12"/>
      <c r="I39" s="13"/>
      <c r="J39" s="0" t="s">
        <v>40</v>
      </c>
    </row>
    <row r="40">
      <c r="I40" s="13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8:E38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11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https://phyllis.nl/Biomass/View/972</dc:description>
  <dcterms:created xsi:type="dcterms:W3CDTF">2026-03-17T06:17:50Z</dcterms:created>
  <dc:title>Phyllis2 #972 wheat straw,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