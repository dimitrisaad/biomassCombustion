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6 hazelnut seedcoat" sheetId="1" r:id="rId1"/>
  </sheets>
  <definedNames>
    <definedName name="w" localSheetId="0">IF(ISBLANK('Phyllis2 #976 hazelnut seedcoat'!$C$18),#N/A,'Phyllis2 #976 hazelnut seedcoat'!$C$18/100)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<sst xmlns="http://schemas.openxmlformats.org/spreadsheetml/2006/main" count="55" uniqueCount="55">
  <si>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</si>
  <si>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https://phyllis.nl/Biomass/View/976</t>
  </si>
  <si>
    <t>hazelnut seedcoat (#976)</t>
  </si>
  <si>
    <t>ID-number</t>
  </si>
  <si>
    <t>#976</t>
  </si>
  <si>
    <t>Material</t>
  </si>
  <si>
    <t>hazelnut seedcoat</t>
  </si>
  <si>
    <t>Classification</t>
  </si>
  <si>
    <t>ECN Phyllis classification &gt; husk/shell/pit &gt; hazelnut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</si>
  <si>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</si>
  <si>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</si>
  <si>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</si>
  <si>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Remarks</t>
  </si>
  <si>
    <t>Biochemical composition on extractive free basis! Concentration of extractives: 19.6% (obtained with extraction with alcohol/benzene)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</si>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</sst>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IFERROR(1.8*(1-w),"")</f>
        <v/>
      </c>
      <c r="D19" s="11">
        <v>1.8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IFERROR(50.082*(1-w),"")</f>
        <v/>
      </c>
      <c r="D21" s="11">
        <v>50.082</v>
      </c>
      <c r="E21" s="11">
        <v>51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IFERROR(5.3028*(1-w),"")</f>
        <v/>
      </c>
      <c r="D22" s="11">
        <v>5.3028</v>
      </c>
      <c r="E22" s="11">
        <v>5.4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IFERROR(41.5386*(1-w),"")</f>
        <v/>
      </c>
      <c r="D23" s="11">
        <v>41.5386</v>
      </c>
      <c r="E23" s="11">
        <v>42.300000000000004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IFERROR(1.2766*(1-w),"")</f>
        <v/>
      </c>
      <c r="D24" s="11">
        <v>1.2766</v>
      </c>
      <c r="E24" s="11">
        <v>1.3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IFERROR(18.14284*(1-w)-w*2.443,"")</f>
        <v/>
      </c>
      <c r="D27" s="11">
        <v>18.14284</v>
      </c>
      <c r="E27" s="11">
        <v>18.475397148676173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IFERROR(19.3*(1-w),"")</f>
        <v/>
      </c>
      <c r="D28" s="11">
        <v>19.3</v>
      </c>
      <c r="E28" s="11">
        <v>19.653767820773933</v>
      </c>
      <c r="F28" s="11"/>
      <c r="G28" s="11"/>
      <c r="I28" s="14"/>
    </row>
    <row r="29" outlineLevel="2">
      <c r="A29" s="10" t="s">
        <v>46</v>
      </c>
      <c r="B29" s="0" t="s">
        <v>44</v>
      </c>
      <c r="C29" s="11">
        <f>IFERROR(18.92339532*(1-w),"")</f>
        <v/>
      </c>
      <c r="D29" s="11">
        <v>18.923395320000004</v>
      </c>
      <c r="E29" s="11">
        <v>19.270260000000004</v>
      </c>
      <c r="F29" s="11"/>
      <c r="G29" s="11"/>
      <c r="I29" s="14"/>
      <c r="J29" s="0" t="s">
        <v>39</v>
      </c>
    </row>
    <row r="30" outlineLevel="1">
      <c r="A30" s="9" t="s">
        <v>47</v>
      </c>
      <c r="I30" s="14"/>
    </row>
    <row r="31" outlineLevel="2">
      <c r="A31" s="12" t="s">
        <v>48</v>
      </c>
      <c r="I31" s="14"/>
    </row>
    <row r="32" outlineLevel="3">
      <c r="A32" s="13" t="s">
        <v>49</v>
      </c>
      <c r="B32" s="0" t="s">
        <v>50</v>
      </c>
      <c r="C32" s="11">
        <v>29.6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50</v>
      </c>
      <c r="C33" s="11">
        <v>15.7</v>
      </c>
      <c r="D33" s="11"/>
      <c r="E33" s="11"/>
      <c r="F33" s="11"/>
      <c r="G33" s="11"/>
      <c r="I33" s="14"/>
      <c r="J33" s="0" t="s">
        <v>36</v>
      </c>
    </row>
    <row r="34" outlineLevel="3">
      <c r="A34" s="13" t="s">
        <v>52</v>
      </c>
      <c r="B34" s="0" t="s">
        <v>50</v>
      </c>
      <c r="C34" s="11">
        <v>53</v>
      </c>
      <c r="D34" s="11"/>
      <c r="E34" s="11"/>
      <c r="F34" s="11"/>
      <c r="G34" s="11"/>
      <c r="I34" s="14"/>
      <c r="J34" s="0" t="s">
        <v>36</v>
      </c>
    </row>
    <row r="35" outlineLevel="2">
      <c r="A35" s="12" t="s">
        <v>53</v>
      </c>
      <c r="I35" s="14"/>
    </row>
    <row r="36" outlineLevel="3">
      <c r="A36" s="13" t="s">
        <v>54</v>
      </c>
      <c r="B36" s="0" t="s">
        <v>50</v>
      </c>
      <c r="C36" s="11">
        <v>100.1</v>
      </c>
      <c r="D36" s="11"/>
      <c r="E36" s="11"/>
      <c r="F36" s="11"/>
      <c r="G36" s="11"/>
      <c r="I36" s="14"/>
      <c r="J36" s="0" t="s">
        <v>39</v>
      </c>
    </row>
    <row r="37">
      <c r="I37" s="14"/>
    </row>
    <row r="3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6:E36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https://phyllis.nl/Biomass/View/976</dc:description>
  <dcterms:created xsi:type="dcterms:W3CDTF">2026-03-17T05:41:23Z</dcterms:created>
  <dc:title>Phyllis2 #976 hazelnut seedcoat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