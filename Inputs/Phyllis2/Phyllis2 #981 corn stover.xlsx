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981 corn stover" sheetId="1" r:id="rId1"/>
  </sheets>
  <definedNames>
    <definedName name="w" localSheetId="0">IF(ISBLANK('Phyllis2 #981 corn stover'!$C$18),#N/A,'Phyllis2 #981 corn stover'!$C$18/100)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<sst xmlns="http://schemas.openxmlformats.org/spreadsheetml/2006/main" count="54" uniqueCount="54">
  <si>
    <t>Phyllis2</t>
  </si>
  <si>
    <t>https://phyllis.nl/Biomass/View/981</t>
  </si>
  <si>
    <t>corn stover (#981)</t>
  </si>
  <si>
    <t>ID-number</t>
  </si>
  <si>
    <t>#981</t>
  </si>
  <si>
    <t>Material</t>
  </si>
  <si>
    <t>corn stover</t>
  </si>
  <si>
    <t>Classification</t>
  </si>
  <si>
    <t>ECN Phyllis classification &gt; straw (stalk/cob/ear) &gt; maize/corn &gt; corn stover</t>
  </si>
  <si>
    <t>NTA 8003 classification &gt; [200] biomassa uit land- en tuinbouw &gt; [240] gewassen &gt; [241] mais</t>
  </si>
  <si>
    <t>Submitter organisation</t>
  </si>
  <si>
    <t>ECN (Netherlands)</t>
  </si>
  <si>
    <t>Remarks</t>
  </si>
  <si>
    <t>Biochemical composition on extractive free basis! Concentration of extractives: 3.4% (obtained with extraction with acetone/water)</t>
  </si>
  <si>
    <t>Literature</t>
  </si>
  <si>
    <t>A. Demirbas: Calculation of higher heating values of biomass fuels. Fuel 76 (5) pp. 431-434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</si>
  <si>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</si>
  <si>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</si>
  <si>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</si>
  <si>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</si>
  <si>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</si>
  <si>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</si>
  <si>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</si>
  <si>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</si>
  <si>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</si>
  <si>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</si>
  <si>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</si>
  <si>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</si>
  <si>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</si>
  <si>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</si>
  <si>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</si>
  <si>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</si>
  <si>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</si>
  <si>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</si>
  <si>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</si>
  <si>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</si>
  <si>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Measured</t>
  </si>
  <si>
    <t>Hydrogen</t>
  </si>
  <si>
    <t>Oxygen</t>
  </si>
  <si>
    <t>Calculated</t>
  </si>
  <si>
    <t>Nitrogen</t>
  </si>
  <si>
    <t>Total (with halides)</t>
  </si>
  <si>
    <t>Heating value</t>
  </si>
  <si>
    <t>Gross calorific value (HHV)</t>
  </si>
  <si>
    <t>MJ/kg</t>
  </si>
  <si>
    <t>HHVMilne</t>
  </si>
  <si>
    <t>Biochemical analysis</t>
  </si>
  <si>
    <t>Cellulose, hemicellulose, lignin</t>
  </si>
  <si>
    <t>Cellulose</t>
  </si>
  <si>
    <t>wt% (dry)</t>
  </si>
  <si>
    <t>Hemicellulose</t>
  </si>
  <si>
    <t>Lignin</t>
  </si>
  <si>
    <t>Other</t>
  </si>
  <si>
    <t>Total ash + biochemical</t>
  </si>
</sst>
</file>

<file path=xl/styles.xml><?xml version="1.0" encoding="utf-8"?>
<styleSheet xmlns="http://schemas.openxmlformats.org/spreadsheetml/2006/main">
  <numFmts count="2">
    <numFmt numFmtId="164" formatCode="#,0.00"/>
    <numFmt numFmtId="165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981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6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>
      <c r="A12" s="5"/>
    </row>
    <row r="13" s="1" customFormat="1">
      <c r="A13" s="7" t="s">
        <v>16</v>
      </c>
    </row>
    <row r="14" s="1" customFormat="1">
      <c r="A14" s="8" t="s">
        <v>17</v>
      </c>
      <c r="B14" s="8" t="s">
        <v>18</v>
      </c>
      <c r="C14" s="8" t="s">
        <v>19</v>
      </c>
      <c r="D14" s="8"/>
      <c r="E14" s="8"/>
      <c r="F14" s="8" t="s">
        <v>20</v>
      </c>
      <c r="G14" s="8" t="s">
        <v>21</v>
      </c>
      <c r="H14" s="8" t="s">
        <v>22</v>
      </c>
      <c r="I14" s="8" t="s">
        <v>23</v>
      </c>
      <c r="J14" s="8" t="s">
        <v>24</v>
      </c>
      <c r="K14" s="8" t="s">
        <v>12</v>
      </c>
      <c r="L14" s="8"/>
    </row>
    <row r="15" s="1" customFormat="1">
      <c r="A15" s="8"/>
      <c r="B15" s="8"/>
      <c r="C15" s="8" t="s">
        <v>25</v>
      </c>
      <c r="D15" s="8" t="s">
        <v>26</v>
      </c>
      <c r="E15" s="8" t="s">
        <v>27</v>
      </c>
      <c r="F15" s="8"/>
      <c r="G15" s="8"/>
      <c r="H15" s="8"/>
      <c r="I15" s="8"/>
      <c r="J15" s="8"/>
      <c r="K15" s="8"/>
      <c r="L15" s="8"/>
    </row>
    <row r="16">
      <c r="A16" s="5" t="s">
        <v>28</v>
      </c>
      <c r="I16" s="14"/>
    </row>
    <row r="17" outlineLevel="1">
      <c r="A17" s="9" t="s">
        <v>29</v>
      </c>
      <c r="I17" s="14"/>
    </row>
    <row r="18" outlineLevel="2">
      <c r="A18" s="10" t="s">
        <v>30</v>
      </c>
      <c r="B18" s="0" t="s">
        <v>31</v>
      </c>
      <c r="C18" s="11">
        <v/>
      </c>
      <c r="D18" s="11"/>
      <c r="E18" s="11"/>
      <c r="F18" s="11"/>
      <c r="G18" s="11"/>
      <c r="I18" s="14"/>
    </row>
    <row r="19" outlineLevel="2">
      <c r="A19" s="10" t="s">
        <v>32</v>
      </c>
      <c r="B19" s="0" t="s">
        <v>33</v>
      </c>
      <c r="C19" s="11">
        <f>IFERROR(3.7*(1-w),"")</f>
        <v/>
      </c>
      <c r="D19" s="11">
        <v>3.7</v>
      </c>
      <c r="E19" s="11">
        <v/>
      </c>
      <c r="F19" s="11"/>
      <c r="G19" s="11"/>
      <c r="I19" s="14"/>
    </row>
    <row r="20" outlineLevel="1">
      <c r="A20" s="9" t="s">
        <v>34</v>
      </c>
      <c r="I20" s="14"/>
    </row>
    <row r="21" outlineLevel="2">
      <c r="A21" s="10" t="s">
        <v>35</v>
      </c>
      <c r="B21" s="0" t="s">
        <v>33</v>
      </c>
      <c r="C21" s="11">
        <f>IFERROR(49.5*(1-w),"")</f>
        <v/>
      </c>
      <c r="D21" s="11">
        <v>49.5</v>
      </c>
      <c r="E21" s="11">
        <v>51.401869158878505</v>
      </c>
      <c r="F21" s="11"/>
      <c r="G21" s="11"/>
      <c r="I21" s="14"/>
      <c r="J21" s="0" t="s">
        <v>36</v>
      </c>
    </row>
    <row r="22" outlineLevel="2">
      <c r="A22" s="10" t="s">
        <v>37</v>
      </c>
      <c r="B22" s="0" t="s">
        <v>33</v>
      </c>
      <c r="C22" s="11">
        <f>IFERROR(5.4*(1-w),"")</f>
        <v/>
      </c>
      <c r="D22" s="11">
        <v>5.4</v>
      </c>
      <c r="E22" s="11">
        <v>5.6074766355140193</v>
      </c>
      <c r="F22" s="11"/>
      <c r="G22" s="11"/>
      <c r="I22" s="14"/>
      <c r="J22" s="0" t="s">
        <v>36</v>
      </c>
    </row>
    <row r="23" outlineLevel="2">
      <c r="A23" s="10" t="s">
        <v>38</v>
      </c>
      <c r="B23" s="0" t="s">
        <v>33</v>
      </c>
      <c r="C23" s="11">
        <f>IFERROR(41.8*(1-w),"")</f>
        <v/>
      </c>
      <c r="D23" s="11">
        <v>41.8</v>
      </c>
      <c r="E23" s="11">
        <v>43.406022845275182</v>
      </c>
      <c r="F23" s="11"/>
      <c r="G23" s="11"/>
      <c r="I23" s="14"/>
      <c r="J23" s="0" t="s">
        <v>39</v>
      </c>
    </row>
    <row r="24" outlineLevel="2">
      <c r="A24" s="10" t="s">
        <v>40</v>
      </c>
      <c r="B24" s="0" t="s">
        <v>33</v>
      </c>
      <c r="C24" s="11">
        <f>IFERROR(0.6*(1-w),"")</f>
        <v/>
      </c>
      <c r="D24" s="11">
        <v>0.6</v>
      </c>
      <c r="E24" s="11">
        <v>0.62305295950155759</v>
      </c>
      <c r="F24" s="11"/>
      <c r="G24" s="11"/>
      <c r="I24" s="14"/>
      <c r="J24" s="0" t="s">
        <v>36</v>
      </c>
    </row>
    <row r="25" outlineLevel="2">
      <c r="A25" s="10" t="s">
        <v>41</v>
      </c>
      <c r="B25" s="0" t="s">
        <v>33</v>
      </c>
      <c r="C25" s="11">
        <f>IFERROR(101*(1-w)+w*100,"")</f>
        <v/>
      </c>
      <c r="D25" s="11">
        <v>100.99999999999999</v>
      </c>
      <c r="E25" s="11">
        <v>101.03842159916925</v>
      </c>
      <c r="F25" s="11"/>
      <c r="G25" s="11"/>
      <c r="I25" s="14"/>
      <c r="J25" s="0" t="s">
        <v>39</v>
      </c>
    </row>
    <row r="26" outlineLevel="1">
      <c r="A26" s="9" t="s">
        <v>42</v>
      </c>
      <c r="I26" s="14"/>
    </row>
    <row r="27" outlineLevel="2">
      <c r="A27" s="10" t="s">
        <v>43</v>
      </c>
      <c r="B27" s="0" t="s">
        <v>44</v>
      </c>
      <c r="C27" s="11">
        <f>IFERROR(17.8*(1-w),"")</f>
        <v/>
      </c>
      <c r="D27" s="11">
        <v>17.8</v>
      </c>
      <c r="E27" s="11">
        <v>18.483904465212877</v>
      </c>
      <c r="F27" s="11"/>
      <c r="G27" s="11"/>
      <c r="I27" s="14"/>
    </row>
    <row r="28" outlineLevel="2">
      <c r="A28" s="10" t="s">
        <v>45</v>
      </c>
      <c r="B28" s="0" t="s">
        <v>44</v>
      </c>
      <c r="C28" s="11">
        <f>IFERROR(18.87578457*(1-w),"")</f>
        <v/>
      </c>
      <c r="D28" s="11">
        <v>18.875784570000004</v>
      </c>
      <c r="E28" s="11">
        <v>19.601022398753898</v>
      </c>
      <c r="F28" s="11"/>
      <c r="G28" s="11"/>
      <c r="I28" s="14"/>
      <c r="J28" s="0" t="s">
        <v>39</v>
      </c>
    </row>
    <row r="29" outlineLevel="1">
      <c r="A29" s="9" t="s">
        <v>46</v>
      </c>
      <c r="I29" s="14"/>
    </row>
    <row r="30" outlineLevel="2">
      <c r="A30" s="12" t="s">
        <v>47</v>
      </c>
      <c r="I30" s="14"/>
    </row>
    <row r="31" outlineLevel="3">
      <c r="A31" s="13" t="s">
        <v>48</v>
      </c>
      <c r="B31" s="0" t="s">
        <v>49</v>
      </c>
      <c r="C31" s="11">
        <v>51.2</v>
      </c>
      <c r="D31" s="11"/>
      <c r="E31" s="11"/>
      <c r="F31" s="11"/>
      <c r="G31" s="11"/>
      <c r="I31" s="14"/>
      <c r="J31" s="0" t="s">
        <v>36</v>
      </c>
    </row>
    <row r="32" outlineLevel="3">
      <c r="A32" s="13" t="s">
        <v>50</v>
      </c>
      <c r="B32" s="0" t="s">
        <v>49</v>
      </c>
      <c r="C32" s="11">
        <v>30.7</v>
      </c>
      <c r="D32" s="11"/>
      <c r="E32" s="11"/>
      <c r="F32" s="11"/>
      <c r="G32" s="11"/>
      <c r="I32" s="14"/>
      <c r="J32" s="0" t="s">
        <v>36</v>
      </c>
    </row>
    <row r="33" outlineLevel="3">
      <c r="A33" s="13" t="s">
        <v>51</v>
      </c>
      <c r="B33" s="0" t="s">
        <v>49</v>
      </c>
      <c r="C33" s="11">
        <v>14.4</v>
      </c>
      <c r="D33" s="11"/>
      <c r="E33" s="11"/>
      <c r="F33" s="11"/>
      <c r="G33" s="11"/>
      <c r="I33" s="14"/>
      <c r="J33" s="0" t="s">
        <v>36</v>
      </c>
    </row>
    <row r="34" outlineLevel="2">
      <c r="A34" s="12" t="s">
        <v>52</v>
      </c>
      <c r="I34" s="14"/>
    </row>
    <row r="35" outlineLevel="3">
      <c r="A35" s="13" t="s">
        <v>53</v>
      </c>
      <c r="B35" s="0" t="s">
        <v>49</v>
      </c>
      <c r="C35" s="11">
        <v>100.00000000000001</v>
      </c>
      <c r="D35" s="11"/>
      <c r="E35" s="11"/>
      <c r="F35" s="11"/>
      <c r="G35" s="11"/>
      <c r="I35" s="14"/>
      <c r="J35" s="0" t="s">
        <v>39</v>
      </c>
    </row>
    <row r="36">
      <c r="I36" s="14"/>
    </row>
    <row r="37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  <mergeCell ref="C31:E31"/>
    <mergeCell ref="C32:E32"/>
    <mergeCell ref="C33:E33"/>
    <mergeCell ref="C35:E35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https://phyllis.nl/Biomass/View/981</dc:description>
  <dcterms:created xsi:type="dcterms:W3CDTF">2026-03-17T06:06:02Z</dcterms:created>
  <dc:title>Phyllis2 #981 corn stover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