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3 wood, oriental be" sheetId="1" r:id="rId1"/>
  </sheets>
  <definedNames>
    <definedName name="w" localSheetId="0">IF(ISBLANK('Phyllis2 #983 wood, oriental be'!$C$18),#N/A,'Phyllis2 #983 wood, oriental be'!$C$18/100)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<sst xmlns="http://schemas.openxmlformats.org/spreadsheetml/2006/main" count="54" uniqueCount="54">
  <si>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</si>
  <si>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https://phyllis.nl/Biomass/View/983</t>
  </si>
  <si>
    <t>wood, oriental beech (#983)</t>
  </si>
  <si>
    <t>ID-number</t>
  </si>
  <si>
    <t>#983</t>
  </si>
  <si>
    <t>Material</t>
  </si>
  <si>
    <t>wood, oriental beech</t>
  </si>
  <si>
    <t>Classification</t>
  </si>
  <si>
    <t>ECN Phyllis classification &gt; untreated wood &gt;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</si>
  <si>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</si>
  <si>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</si>
  <si>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</si>
  <si>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</si>
  <si>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Biochemical composition on extractive free basis! Concentration of extractives: 2.7% (obtained with extraction with alcohol/benzene)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</si>
  <si>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</si>
  <si>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</si>
  <si>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</si>
  <si>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</si>
  <si>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</si>
  <si>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</si>
  <si>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</si>
  <si>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</si>
  <si>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</si>
  <si>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</si>
  <si>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</si>
  <si>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</si>
  <si>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</si>
  <si>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</si>
  <si>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</si>
  <si>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</si>
  <si>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</si>
  <si>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</si>
  <si>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</si>
  <si>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</si>
  <si>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</si>
  <si>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</si>
  <si>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</si>
  <si>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</si>
  <si>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</si>
  <si>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</si>
  <si>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</si>
  <si>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Calculated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</si>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</sst>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IFERROR(0.4*(1-w),"")</f>
        <v/>
      </c>
      <c r="D19" s="11">
        <v>0.4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IFERROR(49.5*(1-w),"")</f>
        <v/>
      </c>
      <c r="D21" s="11">
        <v>49.5</v>
      </c>
      <c r="E21" s="11">
        <v>49.69879518072289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IFERROR(6.2*(1-w),"")</f>
        <v/>
      </c>
      <c r="D22" s="11">
        <v>6.2</v>
      </c>
      <c r="E22" s="11">
        <v>6.2248995983935744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IFERROR(41.2*(1-w),"")</f>
        <v/>
      </c>
      <c r="D23" s="11">
        <v>41.2</v>
      </c>
      <c r="E23" s="11">
        <v>41.365461847389561</v>
      </c>
      <c r="F23" s="11"/>
      <c r="G23" s="11"/>
      <c r="I23" s="14"/>
      <c r="J23" s="0" t="s">
        <v>36</v>
      </c>
    </row>
    <row r="24" outlineLevel="2">
      <c r="A24" s="10" t="s">
        <v>39</v>
      </c>
      <c r="B24" s="0" t="s">
        <v>33</v>
      </c>
      <c r="C24" s="11">
        <f>IFERROR(0.4*(1-w),"")</f>
        <v/>
      </c>
      <c r="D24" s="11">
        <v>0.4</v>
      </c>
      <c r="E24" s="11">
        <v>0.40160642570281124</v>
      </c>
      <c r="F24" s="11"/>
      <c r="G24" s="11"/>
      <c r="I24" s="14"/>
      <c r="J24" s="0" t="s">
        <v>36</v>
      </c>
    </row>
    <row r="25" outlineLevel="2">
      <c r="A25" s="10" t="s">
        <v>40</v>
      </c>
      <c r="B25" s="0" t="s">
        <v>33</v>
      </c>
      <c r="C25" s="11">
        <f>IFERROR(97.7*(1-w)+w*100,"")</f>
        <v/>
      </c>
      <c r="D25" s="11">
        <v>97.700000000000017</v>
      </c>
      <c r="E25" s="11">
        <v>97.690763052208851</v>
      </c>
      <c r="F25" s="11"/>
      <c r="G25" s="11"/>
      <c r="I25" s="14"/>
      <c r="J25" s="0" t="s">
        <v>41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IFERROR(19.2*(1-w),"")</f>
        <v/>
      </c>
      <c r="D27" s="11">
        <v>19.2</v>
      </c>
      <c r="E27" s="11">
        <v>19.277108433734938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IFERROR(20.07780448*(1-w),"")</f>
        <v/>
      </c>
      <c r="D28" s="11">
        <v>20.07780448</v>
      </c>
      <c r="E28" s="11">
        <v>20.158438232931729</v>
      </c>
      <c r="F28" s="11"/>
      <c r="G28" s="11"/>
      <c r="I28" s="14"/>
      <c r="J28" s="0" t="s">
        <v>41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45.8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31.8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21.9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99.9</v>
      </c>
      <c r="D35" s="11"/>
      <c r="E35" s="11"/>
      <c r="F35" s="11"/>
      <c r="G35" s="11"/>
      <c r="I35" s="14"/>
      <c r="J35" s="0" t="s">
        <v>41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https://phyllis.nl/Biomass/View/983</dc:description>
  <dcterms:created xsi:type="dcterms:W3CDTF">2026-03-19T04:20:34Z</dcterms:created>
  <dc:title>Phyllis2 #983 wood, oriental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