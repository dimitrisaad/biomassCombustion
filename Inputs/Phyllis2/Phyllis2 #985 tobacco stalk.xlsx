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85 tobacco stalk" sheetId="1" r:id="rId1"/>
  </sheets>
  <definedNames>
    <definedName name="w" localSheetId="0">IF(ISBLANK('Phyllis2 #985 tobacco stalk'!$C$18),#N/A,'Phyllis2 #985 tobacco stalk'!$C$18/100)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<sst xmlns="http://schemas.openxmlformats.org/spreadsheetml/2006/main" count="54" uniqueCount="54">
  <si>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</si>
  <si>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https://phyllis.nl/Biomass/View/985</t>
  </si>
  <si>
    <t>tobacco stalk (#985)</t>
  </si>
  <si>
    <t>ID-number</t>
  </si>
  <si>
    <t>#985</t>
  </si>
  <si>
    <t>Material</t>
  </si>
  <si>
    <t>tobacco stalk</t>
  </si>
  <si>
    <t>Classification</t>
  </si>
  <si>
    <t>ECN Phyllis classification &gt; grass/plant &gt; other plants</t>
  </si>
  <si>
    <t>NTA 8003 classification &gt; [200] biomassa uit land- en tuinbouw &gt; [240] gewassen &gt; [249] overige gewassen</t>
  </si>
  <si>
    <t>Submitter organisation</t>
  </si>
  <si>
    <t>ECN (Netherlands)</t>
  </si>
  <si>
    <t>Remarks</t>
  </si>
  <si>
    <t>Biochemical composition on extractive free basis! Concentration of extractives: 11.1% (obtained with extraction with acetone/water)</t>
  </si>
  <si>
    <t>Literature</t>
  </si>
  <si>
    <t>A. Demirbas: Calculation of higher heating values of biomass fuels. Fuel 76 (5) pp. 431-434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</si>
  <si>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</si>
  <si>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</si>
  <si>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</si>
  <si>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</si>
  <si>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</si>
  <si>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</si>
  <si>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</si>
  <si>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</si>
  <si>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</si>
  <si>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</si>
  <si>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</si>
  <si>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</si>
  <si>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</si>
  <si>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</si>
  <si>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</si>
  <si>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</si>
  <si>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</si>
  <si>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</si>
  <si>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</si>
  <si>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</si>
  <si>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</si>
  <si>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</si>
  <si>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</si>
  <si>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</si>
  <si>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</si>
  <si>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</si>
  <si>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</si>
  <si>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Gross calorific value (HHV)</t>
  </si>
  <si>
    <t>MJ/kg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</si>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</sst>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4"/>
    </row>
    <row r="17" outlineLevel="1">
      <c r="A17" s="9" t="s">
        <v>29</v>
      </c>
      <c r="I17" s="14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4"/>
    </row>
    <row r="19" outlineLevel="2">
      <c r="A19" s="10" t="s">
        <v>32</v>
      </c>
      <c r="B19" s="0" t="s">
        <v>33</v>
      </c>
      <c r="C19" s="11">
        <f>IFERROR(2.4*(1-w),"")</f>
        <v/>
      </c>
      <c r="D19" s="11">
        <v>2.4</v>
      </c>
      <c r="E19" s="11">
        <v/>
      </c>
      <c r="F19" s="11"/>
      <c r="G19" s="11"/>
      <c r="I19" s="14"/>
    </row>
    <row r="20" outlineLevel="1">
      <c r="A20" s="9" t="s">
        <v>34</v>
      </c>
      <c r="I20" s="14"/>
    </row>
    <row r="21" outlineLevel="2">
      <c r="A21" s="10" t="s">
        <v>35</v>
      </c>
      <c r="B21" s="0" t="s">
        <v>33</v>
      </c>
      <c r="C21" s="11">
        <f>IFERROR(49.3*(1-w),"")</f>
        <v/>
      </c>
      <c r="D21" s="11">
        <v>49.3</v>
      </c>
      <c r="E21" s="11">
        <v>50.51229508196721</v>
      </c>
      <c r="F21" s="11"/>
      <c r="G21" s="11"/>
      <c r="I21" s="14"/>
      <c r="J21" s="0" t="s">
        <v>36</v>
      </c>
    </row>
    <row r="22" outlineLevel="2">
      <c r="A22" s="10" t="s">
        <v>37</v>
      </c>
      <c r="B22" s="0" t="s">
        <v>33</v>
      </c>
      <c r="C22" s="11">
        <f>IFERROR(5.5*(1-w),"")</f>
        <v/>
      </c>
      <c r="D22" s="11">
        <v>5.5</v>
      </c>
      <c r="E22" s="11">
        <v>5.6352459016393448</v>
      </c>
      <c r="F22" s="11"/>
      <c r="G22" s="11"/>
      <c r="I22" s="14"/>
      <c r="J22" s="0" t="s">
        <v>36</v>
      </c>
    </row>
    <row r="23" outlineLevel="2">
      <c r="A23" s="10" t="s">
        <v>38</v>
      </c>
      <c r="B23" s="0" t="s">
        <v>33</v>
      </c>
      <c r="C23" s="11">
        <f>IFERROR(42.3*(1-w),"")</f>
        <v/>
      </c>
      <c r="D23" s="11">
        <v>42.3</v>
      </c>
      <c r="E23" s="11">
        <v>43.340163934426229</v>
      </c>
      <c r="F23" s="11"/>
      <c r="G23" s="11"/>
      <c r="I23" s="14"/>
      <c r="J23" s="0" t="s">
        <v>39</v>
      </c>
    </row>
    <row r="24" outlineLevel="2">
      <c r="A24" s="10" t="s">
        <v>40</v>
      </c>
      <c r="B24" s="0" t="s">
        <v>33</v>
      </c>
      <c r="C24" s="11">
        <f>IFERROR(0.5*(1-w),"")</f>
        <v/>
      </c>
      <c r="D24" s="11">
        <v>0.5</v>
      </c>
      <c r="E24" s="11">
        <v>0.51229508196721307</v>
      </c>
      <c r="F24" s="11"/>
      <c r="G24" s="11"/>
      <c r="I24" s="14"/>
      <c r="J24" s="0" t="s">
        <v>36</v>
      </c>
    </row>
    <row r="25" outlineLevel="2">
      <c r="A25" s="10" t="s">
        <v>41</v>
      </c>
      <c r="B25" s="0" t="s">
        <v>33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4"/>
      <c r="J25" s="0" t="s">
        <v>39</v>
      </c>
    </row>
    <row r="26" outlineLevel="1">
      <c r="A26" s="9" t="s">
        <v>42</v>
      </c>
      <c r="I26" s="14"/>
    </row>
    <row r="27" outlineLevel="2">
      <c r="A27" s="10" t="s">
        <v>43</v>
      </c>
      <c r="B27" s="0" t="s">
        <v>44</v>
      </c>
      <c r="C27" s="11">
        <f>IFERROR(17.7*(1-w),"")</f>
        <v/>
      </c>
      <c r="D27" s="11">
        <v>17.7</v>
      </c>
      <c r="E27" s="11">
        <v>18.135245901639344</v>
      </c>
      <c r="F27" s="11"/>
      <c r="G27" s="11"/>
      <c r="I27" s="14"/>
    </row>
    <row r="28" outlineLevel="2">
      <c r="A28" s="10" t="s">
        <v>45</v>
      </c>
      <c r="B28" s="0" t="s">
        <v>44</v>
      </c>
      <c r="C28" s="11">
        <f>IFERROR(18.91046128*(1-w),"")</f>
        <v/>
      </c>
      <c r="D28" s="11">
        <v>18.91046128</v>
      </c>
      <c r="E28" s="11">
        <v>19.37547262295082</v>
      </c>
      <c r="F28" s="11"/>
      <c r="G28" s="11"/>
      <c r="I28" s="14"/>
      <c r="J28" s="0" t="s">
        <v>39</v>
      </c>
    </row>
    <row r="29" outlineLevel="1">
      <c r="A29" s="9" t="s">
        <v>46</v>
      </c>
      <c r="I29" s="14"/>
    </row>
    <row r="30" outlineLevel="2">
      <c r="A30" s="12" t="s">
        <v>47</v>
      </c>
      <c r="I30" s="14"/>
    </row>
    <row r="31" outlineLevel="3">
      <c r="A31" s="13" t="s">
        <v>48</v>
      </c>
      <c r="B31" s="0" t="s">
        <v>49</v>
      </c>
      <c r="C31" s="11">
        <v>42.4</v>
      </c>
      <c r="D31" s="11"/>
      <c r="E31" s="11"/>
      <c r="F31" s="11"/>
      <c r="G31" s="11"/>
      <c r="I31" s="14"/>
      <c r="J31" s="0" t="s">
        <v>36</v>
      </c>
    </row>
    <row r="32" outlineLevel="3">
      <c r="A32" s="13" t="s">
        <v>50</v>
      </c>
      <c r="B32" s="0" t="s">
        <v>49</v>
      </c>
      <c r="C32" s="11">
        <v>28.2</v>
      </c>
      <c r="D32" s="11"/>
      <c r="E32" s="11"/>
      <c r="F32" s="11"/>
      <c r="G32" s="11"/>
      <c r="I32" s="14"/>
      <c r="J32" s="0" t="s">
        <v>36</v>
      </c>
    </row>
    <row r="33" outlineLevel="3">
      <c r="A33" s="13" t="s">
        <v>51</v>
      </c>
      <c r="B33" s="0" t="s">
        <v>49</v>
      </c>
      <c r="C33" s="11">
        <v>27</v>
      </c>
      <c r="D33" s="11"/>
      <c r="E33" s="11"/>
      <c r="F33" s="11"/>
      <c r="G33" s="11"/>
      <c r="I33" s="14"/>
      <c r="J33" s="0" t="s">
        <v>36</v>
      </c>
    </row>
    <row r="34" outlineLevel="2">
      <c r="A34" s="12" t="s">
        <v>52</v>
      </c>
      <c r="I34" s="14"/>
    </row>
    <row r="35" outlineLevel="3">
      <c r="A35" s="13" t="s">
        <v>53</v>
      </c>
      <c r="B35" s="0" t="s">
        <v>49</v>
      </c>
      <c r="C35" s="11">
        <v>100</v>
      </c>
      <c r="D35" s="11"/>
      <c r="E35" s="11"/>
      <c r="F35" s="11"/>
      <c r="G35" s="11"/>
      <c r="I35" s="14"/>
      <c r="J35" s="0" t="s">
        <v>39</v>
      </c>
    </row>
    <row r="36">
      <c r="I36" s="14"/>
    </row>
    <row r="3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1:E31"/>
    <mergeCell ref="C32:E32"/>
    <mergeCell ref="C33:E33"/>
    <mergeCell ref="C35:E3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https://phyllis.nl/Biomass/View/985</dc:description>
  <dcterms:created xsi:type="dcterms:W3CDTF">2026-03-04T04:33:32Z</dcterms:created>
  <dc:title>Phyllis2 #985 tobacco stalk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