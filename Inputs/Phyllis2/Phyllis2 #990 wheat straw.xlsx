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0 wheat straw" sheetId="1" r:id="rId1"/>
  </sheets>
  <definedNames>
    <definedName name="w" localSheetId="0">IF(ISBLANK('Phyllis2 #990 wheat straw'!$C$19),#N/A,'Phyllis2 #990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<sst xmlns="http://schemas.openxmlformats.org/spreadsheetml/2006/main" count="67" uniqueCount="67">
  <si>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</si>
  <si>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https://phyllis.nl/Biomass/View/990</t>
  </si>
  <si>
    <t>wheat straw (#990)</t>
  </si>
  <si>
    <t>ID-number</t>
  </si>
  <si>
    <t>#990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</si>
  <si>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</si>
  <si>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</si>
  <si>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</si>
  <si>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</si>
  <si>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</si>
  <si>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</si>
  <si>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ASTM D1102 600 oC</t>
  </si>
  <si>
    <t>Submitter organisation</t>
  </si>
  <si>
    <t>ECN (Netherlands)</t>
  </si>
  <si>
    <t>Remarks</t>
  </si>
  <si>
    <t>Elkraft, Denmark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</si>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</sst>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17.41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IFERROR(3.89*(1-w),"")</f>
        <v>3.212751</v>
      </c>
      <c r="D20" s="11">
        <v>3.89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IFERROR(81.24*(1-w),"")</f>
        <v>67.096116</v>
      </c>
      <c r="D21" s="11">
        <v>81.24</v>
      </c>
      <c r="E21" s="11">
        <v>84.528144834044326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IFERROR(14.87*(1-w),"")</f>
        <v>12.281133000000004</v>
      </c>
      <c r="D22" s="11">
        <v>14.870000000000005</v>
      </c>
      <c r="E22" s="11">
        <v>15.471855165955681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IFERROR(47.55*(1-w),"")</f>
        <v>39.271544999999996</v>
      </c>
      <c r="D24" s="11">
        <v>47.55</v>
      </c>
      <c r="E24" s="11">
        <v>49.474560399542192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IFERROR(5.86*(1-w),"")</f>
        <v>4.839774</v>
      </c>
      <c r="D25" s="11">
        <v>5.86</v>
      </c>
      <c r="E25" s="11">
        <v>6.0971803142232863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IFERROR(41.85*(1-w),"")</f>
        <v>34.563915</v>
      </c>
      <c r="D26" s="11">
        <v>41.85</v>
      </c>
      <c r="E26" s="11">
        <v>43.543855998335246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IFERROR(0.59*(1-w),"")</f>
        <v>0.48728099999999996</v>
      </c>
      <c r="D27" s="11">
        <v>0.59</v>
      </c>
      <c r="E27" s="11">
        <v>0.61387992924773693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IFERROR(0.09*(1-w),"")</f>
        <v>0.074331</v>
      </c>
      <c r="D28" s="11">
        <v>0.09</v>
      </c>
      <c r="E28" s="11">
        <v>0.093642701071688692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IFERROR(1700*(1-w),"")</f>
        <v>1404.03</v>
      </c>
      <c r="D31" s="12">
        <v>1700</v>
      </c>
      <c r="E31" s="12">
        <v>1768.8065757985642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IFERROR(17.10828*(1-w)-w*2.443,"")</f>
        <v>13.704402152</v>
      </c>
      <c r="D33" s="11">
        <v>17.10828</v>
      </c>
      <c r="E33" s="11">
        <v>17.800728332119448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IFERROR(18.38703*(1-w),"")</f>
        <v>15.185848077</v>
      </c>
      <c r="D34" s="11">
        <v>18.38703</v>
      </c>
      <c r="E34" s="11">
        <v>19.131235043179689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IFERROR(18.8176422113*(1-w),"")</f>
        <v>15.54149070231267</v>
      </c>
      <c r="D35" s="11">
        <v>18.8176422113</v>
      </c>
      <c r="E35" s="11">
        <v>19.579276049630632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2.49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4.3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55.32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1.05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0.84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12.27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2.48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1.51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12.9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0.22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17.4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https://phyllis.nl/Biomass/View/990</dc:description>
  <dcterms:created xsi:type="dcterms:W3CDTF">2026-03-17T06:15:41Z</dcterms:created>
  <dc:title>Phyllis2 #990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