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1 wheat straw" sheetId="1" r:id="rId1"/>
  </sheets>
  <definedNames>
    <definedName name="w" localSheetId="0">IF(ISBLANK('Phyllis2 #991 wheat straw'!$C$19),#N/A,'Phyllis2 #991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<sst xmlns="http://schemas.openxmlformats.org/spreadsheetml/2006/main" count="67" uniqueCount="67">
  <si>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</si>
  <si>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https://phyllis.nl/Biomass/View/991</t>
  </si>
  <si>
    <t>wheat straw (#991)</t>
  </si>
  <si>
    <t>ID-number</t>
  </si>
  <si>
    <t>#991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</si>
  <si>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</si>
  <si>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</si>
  <si>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</si>
  <si>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</si>
  <si>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</si>
  <si>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</si>
  <si>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ASTM D1102 600 oC</t>
  </si>
  <si>
    <t>Submitter organisation</t>
  </si>
  <si>
    <t>ECN (Netherlands)</t>
  </si>
  <si>
    <t>Remarks</t>
  </si>
  <si>
    <t>Oregon, Hydraco, fuel sample from firing test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</si>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</sst>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9.89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IFERROR(4.32*(1-w),"")</f>
        <v>3.892752</v>
      </c>
      <c r="D20" s="11">
        <v>4.32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IFERROR(78.62*(1-w),"")</f>
        <v>70.844482</v>
      </c>
      <c r="D21" s="11">
        <v>78.62</v>
      </c>
      <c r="E21" s="11">
        <v>82.169732441471581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IFERROR(17.06*(1-w),"")</f>
        <v>15.372766000000002</v>
      </c>
      <c r="D22" s="11">
        <v>17.060000000000002</v>
      </c>
      <c r="E22" s="11">
        <v>17.83026755852843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IFERROR(46.96*(1-w),"")</f>
        <v>42.315656000000004</v>
      </c>
      <c r="D24" s="11">
        <v>46.96</v>
      </c>
      <c r="E24" s="11">
        <v>49.080267558528426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IFERROR(5.69*(1-w),"")</f>
        <v>5.1272590000000005</v>
      </c>
      <c r="D25" s="11">
        <v>5.69</v>
      </c>
      <c r="E25" s="11">
        <v>5.9469063545150505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IFERROR(42.27*(1-w),"")</f>
        <v>38.089497</v>
      </c>
      <c r="D26" s="11">
        <v>42.27</v>
      </c>
      <c r="E26" s="11">
        <v>44.178511705685622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IFERROR(0.43*(1-w),"")</f>
        <v>0.387473</v>
      </c>
      <c r="D27" s="11">
        <v>0.43</v>
      </c>
      <c r="E27" s="11">
        <v>0.44941471571906355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IFERROR(0.19*(1-w),"")</f>
        <v>0.171209</v>
      </c>
      <c r="D28" s="11">
        <v>0.19</v>
      </c>
      <c r="E28" s="11">
        <v>0.19857859531772576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IFERROR(1400*(1-w),"")</f>
        <v>1261.54</v>
      </c>
      <c r="D31" s="12">
        <v>1400</v>
      </c>
      <c r="E31" s="12">
        <v>1463.2107023411372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IFERROR(17.21981*(1-w)-w*2.443,"")</f>
        <v>15.275158091</v>
      </c>
      <c r="D33" s="11">
        <v>17.21981</v>
      </c>
      <c r="E33" s="11">
        <v>17.997293060200668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IFERROR(18.46146*(1-w),"")</f>
        <v>16.635621606</v>
      </c>
      <c r="D34" s="11">
        <v>18.46146</v>
      </c>
      <c r="E34" s="11">
        <v>19.295004180602007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IFERROR(18.3613333472*(1-w),"")</f>
        <v>16.54539747916192</v>
      </c>
      <c r="D35" s="11">
        <v>18.3613333472</v>
      </c>
      <c r="E35" s="11">
        <v>19.190356759197325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4.92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3.32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46.07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1.85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1.69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9.95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2.45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1.18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25.2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0.09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9.8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https://phyllis.nl/Biomass/View/991</dc:description>
  <dcterms:created xsi:type="dcterms:W3CDTF">2026-03-17T06:15:44Z</dcterms:created>
  <dc:title>Phyllis2 #991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