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93 rice hulls" sheetId="1" r:id="rId1"/>
  </sheets>
  <definedNames>
    <definedName name="w" localSheetId="0">IF(ISBLANK('Phyllis2 #993 rice hulls'!$C$19),#N/A,'Phyllis2 #993 rice hulls'!$C$19/100)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<sst xmlns="http://schemas.openxmlformats.org/spreadsheetml/2006/main" count="67" uniqueCount="67">
  <si>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</si>
  <si>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https://phyllis.nl/Biomass/View/993</t>
  </si>
  <si>
    <t>rice hulls (#993)</t>
  </si>
  <si>
    <t>ID-number</t>
  </si>
  <si>
    <t>#993</t>
  </si>
  <si>
    <t>Material</t>
  </si>
  <si>
    <t>rice hulls</t>
  </si>
  <si>
    <t>Classification</t>
  </si>
  <si>
    <t>ECN Phyllis classification &gt; husk/shell/pit &gt; rice &gt; rice hulls</t>
  </si>
  <si>
    <t>NTA 8003 classification &gt; [500] biomassa uit de industrie &gt; [520] schillen/vliezen/pitten &gt; [523] rijstvliezen</t>
  </si>
  <si>
    <t>Ash type</t>
  </si>
  <si>
    <t>ASTM D1102 600 oC</t>
  </si>
  <si>
    <t>Submitter organisation</t>
  </si>
  <si>
    <t>ECN (Netherlands)</t>
  </si>
  <si>
    <t>Remarks</t>
  </si>
  <si>
    <t>California, Woodland Biomass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</si>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</sst>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9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10.94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IFERROR(20.26*(1-w),"")</f>
        <v>18.043556000000002</v>
      </c>
      <c r="D20" s="11">
        <v>20.26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IFERROR(63.52*(1-w),"")</f>
        <v>56.570912000000007</v>
      </c>
      <c r="D21" s="11">
        <v>63.52</v>
      </c>
      <c r="E21" s="11">
        <v>79.658891397040392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IFERROR(16.22*(1-w),"")</f>
        <v>14.445531999999993</v>
      </c>
      <c r="D22" s="11">
        <v>16.219999999999992</v>
      </c>
      <c r="E22" s="11">
        <v>20.341108602959608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IFERROR(38.83*(1-w),"")</f>
        <v>34.581998</v>
      </c>
      <c r="D24" s="11">
        <v>38.83</v>
      </c>
      <c r="E24" s="11">
        <v>48.695761223977925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IFERROR(4.75*(1-w),"")</f>
        <v>4.2303500000000005</v>
      </c>
      <c r="D25" s="11">
        <v>4.75</v>
      </c>
      <c r="E25" s="11">
        <v>5.956859794331578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IFERROR(35.47*(1-w),"")</f>
        <v>31.589582</v>
      </c>
      <c r="D26" s="11">
        <v>35.47</v>
      </c>
      <c r="E26" s="11">
        <v>44.482066716829692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IFERROR(0.52*(1-w),"")</f>
        <v>0.463112</v>
      </c>
      <c r="D27" s="11">
        <v>0.52</v>
      </c>
      <c r="E27" s="11">
        <v>0.65211938801103586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IFERROR(0.05*(1-w),"")</f>
        <v>0.044530000000000007</v>
      </c>
      <c r="D28" s="11">
        <v>0.05</v>
      </c>
      <c r="E28" s="11">
        <v>0.06270378730875345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</v>
      </c>
      <c r="D29" s="11">
        <v>100</v>
      </c>
      <c r="E29" s="11">
        <v>100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IFERROR(1200*(1-w),"")</f>
        <v>1068.72</v>
      </c>
      <c r="D31" s="12">
        <v>1200</v>
      </c>
      <c r="E31" s="12">
        <v>1504.8908954100827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IFERROR(14.80585*(1-w)-w*2.443,"")</f>
        <v>12.918825810000001</v>
      </c>
      <c r="D33" s="11">
        <v>14.80585</v>
      </c>
      <c r="E33" s="11">
        <v>18.567657386506145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IFERROR(15.84239*(1-w),"")</f>
        <v>14.109232534</v>
      </c>
      <c r="D34" s="11">
        <v>15.84239</v>
      </c>
      <c r="E34" s="11">
        <v>19.867557060446451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IFERROR(14.9579835428*(1-w),"")</f>
        <v>13.321580143217682</v>
      </c>
      <c r="D35" s="11">
        <v>14.957983542800001</v>
      </c>
      <c r="E35" s="11">
        <v>18.758444372711313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0.72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0.43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91.42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0.14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0.78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3.21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0.01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0.21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3.71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0.02</v>
      </c>
      <c r="D47" s="11"/>
      <c r="E47" s="11"/>
      <c r="F47" s="11"/>
      <c r="G47" s="11"/>
      <c r="I47" s="13"/>
    </row>
    <row r="48">
      <c r="I48" s="13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&#10;Original value: 10.9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https://phyllis.nl/Biomass/View/993</dc:description>
  <dcterms:created xsi:type="dcterms:W3CDTF">2026-03-17T05:47:09Z</dcterms:created>
  <dc:title>Phyllis2 #993 rice hulls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