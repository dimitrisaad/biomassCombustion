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94 rice straw" sheetId="1" r:id="rId1"/>
  </sheets>
  <definedNames>
    <definedName name="w" localSheetId="0">IF(ISBLANK('Phyllis2 #994 rice straw'!$C$19),#N/A,'Phyllis2 #994 rice straw'!$C$19/100)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<sst xmlns="http://schemas.openxmlformats.org/spreadsheetml/2006/main" count="67" uniqueCount="67">
  <si>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</si>
  <si>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https://phyllis.nl/Biomass/View/994</t>
  </si>
  <si>
    <t>rice straw (#994)</t>
  </si>
  <si>
    <t>ID-number</t>
  </si>
  <si>
    <t>#994</t>
  </si>
  <si>
    <t>Material</t>
  </si>
  <si>
    <t>rice straw</t>
  </si>
  <si>
    <t>Classification</t>
  </si>
  <si>
    <t>ECN Phyllis classification &gt; straw (stalk/cob/ear) &gt; rice &gt; rice straw</t>
  </si>
  <si>
    <t>NTA 8003 classification &gt; [200] biomassa uit land- en tuinbouw &gt; [220] stro &gt; [224] rijsthalm</t>
  </si>
  <si>
    <t>Ash type</t>
  </si>
  <si>
    <t>ASTM D1102 600 oC</t>
  </si>
  <si>
    <t>Submitter organisation</t>
  </si>
  <si>
    <t>ECN (Netherlands)</t>
  </si>
  <si>
    <t>Remarks</t>
  </si>
  <si>
    <t>California, Jenkins, field sample '92 crop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</si>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</sst>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9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7.93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IFERROR(18.67*(1-w),"")</f>
        <v>17.189469000000003</v>
      </c>
      <c r="D20" s="11">
        <v>18.67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IFERROR(65.47*(1-w),"")</f>
        <v>60.278228999999996</v>
      </c>
      <c r="D21" s="11">
        <v>65.47</v>
      </c>
      <c r="E21" s="11">
        <v>80.4992007869175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IFERROR(15.86*(1-w),"")</f>
        <v>14.602301999999998</v>
      </c>
      <c r="D22" s="11">
        <v>15.86</v>
      </c>
      <c r="E22" s="11">
        <v>19.5007992130825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IFERROR(38.24*(1-w),"")</f>
        <v>35.207568</v>
      </c>
      <c r="D24" s="11">
        <v>38.24</v>
      </c>
      <c r="E24" s="11">
        <v>47.018320422968152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IFERROR(5.2*(1-w),"")</f>
        <v>4.78764</v>
      </c>
      <c r="D25" s="11">
        <v>5.2</v>
      </c>
      <c r="E25" s="11">
        <v>6.39370466002705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IFERROR(36.26*(1-w),"")</f>
        <v>33.384581999999995</v>
      </c>
      <c r="D26" s="11">
        <v>36.26</v>
      </c>
      <c r="E26" s="11">
        <v>44.583794417804008</v>
      </c>
      <c r="F26" s="11"/>
      <c r="G26" s="11"/>
      <c r="I26" s="13"/>
      <c r="J26" s="0" t="s">
        <v>40</v>
      </c>
    </row>
    <row r="27" outlineLevel="2">
      <c r="A27" s="10" t="s">
        <v>43</v>
      </c>
      <c r="B27" s="0" t="s">
        <v>33</v>
      </c>
      <c r="C27" s="11">
        <f>IFERROR(0.87*(1-w),"")</f>
        <v>0.801009</v>
      </c>
      <c r="D27" s="11">
        <v>0.87</v>
      </c>
      <c r="E27" s="11">
        <v>1.069715971966064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IFERROR(0.18*(1-w),"")</f>
        <v>0.16572599999999998</v>
      </c>
      <c r="D28" s="11">
        <v>0.18</v>
      </c>
      <c r="E28" s="11">
        <v>0.22132054592401326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</v>
      </c>
      <c r="D29" s="11">
        <v>100.00000000000001</v>
      </c>
      <c r="E29" s="11">
        <v>100.00000000000001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IFERROR(5800*(1-w),"")</f>
        <v>5340.0599999999995</v>
      </c>
      <c r="D31" s="12">
        <v>5800</v>
      </c>
      <c r="E31" s="12">
        <v>7131.4398131070948</v>
      </c>
      <c r="F31" s="12"/>
      <c r="G31" s="12"/>
      <c r="I31" s="13"/>
      <c r="J31" s="0" t="s">
        <v>40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IFERROR(13.95127*(1-w)-w*2.443,"")</f>
        <v>12.651204389</v>
      </c>
      <c r="D33" s="11">
        <v>13.95127</v>
      </c>
      <c r="E33" s="11">
        <v>17.153903848518379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IFERROR(15.086*(1-w),"")</f>
        <v>13.889680199999999</v>
      </c>
      <c r="D34" s="11">
        <v>15.086</v>
      </c>
      <c r="E34" s="11">
        <v>18.549120865609247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IFERROR(15.2386680417*(1-w),"")</f>
        <v>14.030241665993188</v>
      </c>
      <c r="D35" s="11">
        <v>15.238668041699999</v>
      </c>
      <c r="E35" s="11">
        <v>18.736835167465877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1.24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1.41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74.67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0.85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1.04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3.01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1.75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0.96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12.3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0.09</v>
      </c>
      <c r="D47" s="11"/>
      <c r="E47" s="11"/>
      <c r="F47" s="11"/>
      <c r="G47" s="11"/>
      <c r="I47" s="13"/>
    </row>
    <row r="48">
      <c r="I48" s="13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&#10;Original value: 7.9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https://phyllis.nl/Biomass/View/994</dc:description>
  <dcterms:created xsi:type="dcterms:W3CDTF">2026-03-17T06:09:41Z</dcterms:created>
  <dc:title>Phyllis2 #994 rice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