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95 pistachio shells" sheetId="1" r:id="rId1"/>
  </sheets>
  <definedNames>
    <definedName name="w" localSheetId="0">IF(ISBLANK('Phyllis2 #995 pistachio shells'!$C$19),#N/A,'Phyllis2 #995 pistachio shells'!$C$19/100)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<sst xmlns="http://schemas.openxmlformats.org/spreadsheetml/2006/main" count="67" uniqueCount="67">
  <si>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</si>
  <si>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https://phyllis.nl/Biomass/View/995</t>
  </si>
  <si>
    <t>pistachio shells (#995)</t>
  </si>
  <si>
    <t>ID-number</t>
  </si>
  <si>
    <t>#995</t>
  </si>
  <si>
    <t>Material</t>
  </si>
  <si>
    <t>pistachio shells</t>
  </si>
  <si>
    <t>Classification</t>
  </si>
  <si>
    <t>ECN Phyllis classification &gt; husk/shell/pit &gt; others &gt; pistachio shells</t>
  </si>
  <si>
    <t>NTA 8003 classification &gt; [200] biomassa uit land- en tuinbouw &gt; [230] restproducten (doppen) &gt; [239] overige doppen</t>
  </si>
  <si>
    <t>Ash type</t>
  </si>
  <si>
    <t>ASTM D1102 600 oC</t>
  </si>
  <si>
    <t>Submitter organisation</t>
  </si>
  <si>
    <t>ECN (Netherlands)</t>
  </si>
  <si>
    <t>Remarks</t>
  </si>
  <si>
    <t>California residues collected from producers for MFC trials.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</si>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</sst>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7.54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IFERROR(1.41*(1-w),"")</f>
        <v>1.303686</v>
      </c>
      <c r="D20" s="11">
        <v>1.41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IFERROR(81.64*(1-w),"")</f>
        <v>75.484344</v>
      </c>
      <c r="D21" s="11">
        <v>81.64</v>
      </c>
      <c r="E21" s="11">
        <v>82.807586976366778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IFERROR(16.95*(1-w),"")</f>
        <v>15.671970000000002</v>
      </c>
      <c r="D22" s="11">
        <v>16.950000000000003</v>
      </c>
      <c r="E22" s="11">
        <v>17.192413023633232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IFERROR(50.2*(1-w),"")</f>
        <v>46.41492</v>
      </c>
      <c r="D24" s="11">
        <v>50.2</v>
      </c>
      <c r="E24" s="11">
        <v>50.917942996247085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IFERROR(6.32*(1-w),"")</f>
        <v>5.843472</v>
      </c>
      <c r="D25" s="11">
        <v>6.32</v>
      </c>
      <c r="E25" s="11">
        <v>6.4103864489299118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IFERROR(41.15*(1-w),"")</f>
        <v>38.04729</v>
      </c>
      <c r="D26" s="11">
        <v>41.15</v>
      </c>
      <c r="E26" s="11">
        <v>41.738513033776243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IFERROR(0.69*(1-w),"")</f>
        <v>0.63797399999999993</v>
      </c>
      <c r="D27" s="11">
        <v>0.69</v>
      </c>
      <c r="E27" s="11">
        <v>0.69986814078506943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IFERROR(0.22*(1-w),"")</f>
        <v>0.203412</v>
      </c>
      <c r="D28" s="11">
        <v>0.22</v>
      </c>
      <c r="E28" s="11">
        <v>0.22314636372857288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IFERROR(99.99*(1-w)+w*100,"")</f>
        <v>99.990753999999981</v>
      </c>
      <c r="D29" s="11">
        <v>99.99</v>
      </c>
      <c r="E29" s="11">
        <v>99.989856983466879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/>
      <c r="D31" s="12"/>
      <c r="E31" s="12"/>
      <c r="F31" s="12"/>
      <c r="G31" s="12">
        <v>100</v>
      </c>
      <c r="I31" s="13"/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IFERROR(18.32087*(1-w)-w*2.443,"")</f>
        <v>16.755274202</v>
      </c>
      <c r="D33" s="11">
        <v>18.32087</v>
      </c>
      <c r="E33" s="11">
        <v>18.582888731108632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IFERROR(19.7*(1-w),"")</f>
        <v>18.21462</v>
      </c>
      <c r="D34" s="11">
        <v>19.7</v>
      </c>
      <c r="E34" s="11">
        <v>19.981742570240389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IFERROR(20.4462631793*(1-w),"")</f>
        <v>18.904614935580785</v>
      </c>
      <c r="D35" s="11">
        <v>20.446263179300004</v>
      </c>
      <c r="E35" s="11">
        <v>20.738678546810025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3.79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11.8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8.22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35.37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2.17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10.01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3.26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4.5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18.2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0.2</v>
      </c>
      <c r="D47" s="11"/>
      <c r="E47" s="11"/>
      <c r="F47" s="11"/>
      <c r="G47" s="11"/>
      <c r="I47" s="13"/>
    </row>
    <row r="48">
      <c r="I48" s="13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1:E31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7.5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https://phyllis.nl/Biomass/View/995</dc:description>
  <dcterms:created xsi:type="dcterms:W3CDTF">2026-03-17T05:43:42Z</dcterms:created>
  <dc:title>Phyllis2 #995 pistachio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