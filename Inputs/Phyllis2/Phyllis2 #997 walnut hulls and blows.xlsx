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97 walnut hulls and " sheetId="1" r:id="rId1"/>
  </sheets>
  <definedNames>
    <definedName name="w" localSheetId="0">IF(ISBLANK('Phyllis2 #997 walnut hulls and '!$C$19),#N/A,'Phyllis2 #997 walnut hulls and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<sst xmlns="http://schemas.openxmlformats.org/spreadsheetml/2006/main" count="67" uniqueCount="67">
  <si>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</si>
  <si>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https://phyllis.nl/Biomass/View/997</t>
  </si>
  <si>
    <t>walnut hulls and blows (#997)</t>
  </si>
  <si>
    <t>ID-number</t>
  </si>
  <si>
    <t>#997</t>
  </si>
  <si>
    <t>Material</t>
  </si>
  <si>
    <t>walnut hulls and blows</t>
  </si>
  <si>
    <t>Classification</t>
  </si>
  <si>
    <t>ECN Phyllis classification &gt; husk/shell/pit &gt; walnut</t>
  </si>
  <si>
    <t>NTA 8003 classification &gt; [200] biomassa uit land- en tuinbouw &gt; [230] restproducten (doppen) &gt; [234] (wal)noten</t>
  </si>
  <si>
    <t>Ash type</t>
  </si>
  <si>
    <t>ASTM D1102 600 oC</t>
  </si>
  <si>
    <t>Submitter organisation</t>
  </si>
  <si>
    <t>ECN (Netherlands)</t>
  </si>
  <si>
    <t>Remarks</t>
  </si>
  <si>
    <t>Marysville, CA, Sithe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</si>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</sst>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9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47.85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IFERROR(2.95*(1-w),"")</f>
        <v>1.538425</v>
      </c>
      <c r="D20" s="11">
        <v>2.95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IFERROR(79.58*(1-w),"")</f>
        <v>41.500969999999995</v>
      </c>
      <c r="D21" s="11">
        <v>79.58</v>
      </c>
      <c r="E21" s="11">
        <v>81.998969603297269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IFERROR(17.47*(1-w),"")</f>
        <v>9.110605</v>
      </c>
      <c r="D22" s="11">
        <v>17.47</v>
      </c>
      <c r="E22" s="11">
        <v>18.001030396702728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IFERROR(53.51*(1-w),"")</f>
        <v>27.905464999999996</v>
      </c>
      <c r="D24" s="11">
        <v>53.51</v>
      </c>
      <c r="E24" s="11">
        <v>55.136527563111791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IFERROR(6.52*(1-w),"")</f>
        <v>3.4001799999999998</v>
      </c>
      <c r="D25" s="11">
        <v>6.52</v>
      </c>
      <c r="E25" s="11">
        <v>6.7181865018031939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IFERROR(35.36*(1-w),"")</f>
        <v>18.44024</v>
      </c>
      <c r="D26" s="11">
        <v>35.36</v>
      </c>
      <c r="E26" s="11">
        <v>36.434827408552287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IFERROR(1.53*(1-w),"")</f>
        <v>0.79789499999999991</v>
      </c>
      <c r="D27" s="11">
        <v>1.53</v>
      </c>
      <c r="E27" s="11">
        <v>1.5765069551777433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IFERROR(0.11*(1-w),"")</f>
        <v>0.057365</v>
      </c>
      <c r="D28" s="11">
        <v>0.11</v>
      </c>
      <c r="E28" s="11">
        <v>0.11334363730036064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IFERROR(200*(1-w),"")</f>
        <v>104.3</v>
      </c>
      <c r="D31" s="12">
        <v>200</v>
      </c>
      <c r="E31" s="12">
        <v>206.07934054611025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IFERROR(20.76959*(1-w)-w*2.443,"")</f>
        <v>9.662365685</v>
      </c>
      <c r="D33" s="11">
        <v>20.76959</v>
      </c>
      <c r="E33" s="11">
        <v>21.400917053065431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IFERROR(22.19237*(1-w),"")</f>
        <v>11.573320955</v>
      </c>
      <c r="D34" s="11">
        <v>22.19237</v>
      </c>
      <c r="E34" s="11">
        <v>22.866944873776404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IFERROR(22.4032924825*(1-w),"")</f>
        <v>11.683317029623751</v>
      </c>
      <c r="D35" s="11">
        <v>22.403292482500003</v>
      </c>
      <c r="E35" s="11">
        <v>23.084278704276148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2.25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6.24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6.88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1.14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2.42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16.62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13.45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0.99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32.9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0.09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47.8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https://phyllis.nl/Biomass/View/997</dc:description>
  <dcterms:created xsi:type="dcterms:W3CDTF">2026-03-17T05:48:49Z</dcterms:created>
  <dc:title>Phyllis2 #997 walnut hulls and blows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