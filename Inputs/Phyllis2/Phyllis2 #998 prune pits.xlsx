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98 prune pits" sheetId="1" r:id="rId1"/>
  </sheets>
  <definedNames>
    <definedName name="w" localSheetId="0">IF(ISBLANK('Phyllis2 #998 prune pits'!$C$19),#N/A,'Phyllis2 #998 prune pits'!$C$19/100)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<sst xmlns="http://schemas.openxmlformats.org/spreadsheetml/2006/main" count="67" uniqueCount="67">
  <si>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</si>
  <si>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https://phyllis.nl/Biomass/View/998</t>
  </si>
  <si>
    <t>prune pits (#998)</t>
  </si>
  <si>
    <t>ID-number</t>
  </si>
  <si>
    <t>#998</t>
  </si>
  <si>
    <t>Material</t>
  </si>
  <si>
    <t>prune pits</t>
  </si>
  <si>
    <t>Classification</t>
  </si>
  <si>
    <t>ECN Phyllis classification &gt; husk/shell/pit &gt; others &gt; prune pits</t>
  </si>
  <si>
    <t>NTA 8003 classification &gt; [500] biomassa uit de industrie &gt; [520] schillen/vliezen/pitten &gt; [529] overige schillen/vliezen/pitten</t>
  </si>
  <si>
    <t>Ash type</t>
  </si>
  <si>
    <t>ASTM D1102 600 oC</t>
  </si>
  <si>
    <t>Submitter organisation</t>
  </si>
  <si>
    <t>ECN (Netherlands)</t>
  </si>
  <si>
    <t>Remarks</t>
  </si>
  <si>
    <t>Marysville, CA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</si>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</sst>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33.59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IFERROR(1.41*(1-w),"")</f>
        <v>0.9363809999999998</v>
      </c>
      <c r="D20" s="11">
        <v>1.41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IFERROR(80.79*(1-w),"")</f>
        <v>53.652639</v>
      </c>
      <c r="D21" s="11">
        <v>80.79</v>
      </c>
      <c r="E21" s="11">
        <v>81.945430571051844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IFERROR(17.8*(1-w),"")</f>
        <v>11.820979999999997</v>
      </c>
      <c r="D22" s="11">
        <v>17.799999999999997</v>
      </c>
      <c r="E22" s="11">
        <v>18.054569428948167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IFERROR(49.26*(1-w),"")</f>
        <v>32.713565999999993</v>
      </c>
      <c r="D24" s="11">
        <v>49.26</v>
      </c>
      <c r="E24" s="11">
        <v>49.964499442134091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IFERROR(6.59*(1-w),"")</f>
        <v>4.3764189999999994</v>
      </c>
      <c r="D25" s="11">
        <v>6.59</v>
      </c>
      <c r="E25" s="11">
        <v>6.6842478953240692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IFERROR(41.82*(1-w),"")</f>
        <v>27.772661999999997</v>
      </c>
      <c r="D26" s="11">
        <v>41.82</v>
      </c>
      <c r="E26" s="11">
        <v>42.41809514149508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IFERROR(0.84*(1-w),"")</f>
        <v>0.5578439999999999</v>
      </c>
      <c r="D27" s="11">
        <v>0.84</v>
      </c>
      <c r="E27" s="11">
        <v>0.85201338878182364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IFERROR(0.07*(1-w),"")</f>
        <v>0.046487</v>
      </c>
      <c r="D28" s="11">
        <v>0.07</v>
      </c>
      <c r="E28" s="11">
        <v>0.071001115731818651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IFERROR(99.99*(1-w)+w*100,"")</f>
        <v>99.993358999999984</v>
      </c>
      <c r="D29" s="11">
        <v>99.989999999999981</v>
      </c>
      <c r="E29" s="11">
        <v>99.989856983466865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/>
      <c r="D31" s="12"/>
      <c r="E31" s="12"/>
      <c r="F31" s="12"/>
      <c r="G31" s="12">
        <v>100</v>
      </c>
      <c r="I31" s="13"/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IFERROR(18.65394*(1-w)-w*2.443,"")</f>
        <v>11.567477853999998</v>
      </c>
      <c r="D33" s="11">
        <v>18.65394</v>
      </c>
      <c r="E33" s="11">
        <v>18.920722182777158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IFERROR(20.09199*(1-w),"")</f>
        <v>13.343090558999998</v>
      </c>
      <c r="D34" s="11">
        <v>20.09199</v>
      </c>
      <c r="E34" s="11">
        <v>20.379338675322039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IFERROR(20.3739731793*(1-w),"")</f>
        <v>13.530355588373126</v>
      </c>
      <c r="D35" s="11">
        <v>20.3739731793</v>
      </c>
      <c r="E35" s="11">
        <v>20.665354680292118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2.07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16.8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3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0.57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0.09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12.25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9.72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0.39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37.5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0.02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33.5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https://phyllis.nl/Biomass/View/998</dc:description>
  <dcterms:created xsi:type="dcterms:W3CDTF">2026-03-17T05:43:47Z</dcterms:created>
  <dc:title>Phyllis2 #998 prune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